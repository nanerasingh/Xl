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NU\Desktop\Claude\"/>
    </mc:Choice>
  </mc:AlternateContent>
  <xr:revisionPtr revIDLastSave="0" documentId="8_{C025F01A-CC01-471A-BC60-3C7CA59AE23F}" xr6:coauthVersionLast="47" xr6:coauthVersionMax="47" xr10:uidLastSave="{00000000-0000-0000-0000-000000000000}"/>
  <bookViews>
    <workbookView xWindow="-108" yWindow="-108" windowWidth="23256" windowHeight="12456" tabRatio="834" activeTab="3" xr2:uid="{00000000-000D-0000-FFFF-FFFF00000000}"/>
  </bookViews>
  <sheets>
    <sheet name="Settings" sheetId="1" r:id="rId1"/>
    <sheet name="Machine_List" sheetId="2" r:id="rId2"/>
    <sheet name="Job_Master" sheetId="3" r:id="rId3"/>
    <sheet name="VTL_Plan" sheetId="4" r:id="rId4"/>
    <sheet name="SPM_Plan" sheetId="5" r:id="rId5"/>
    <sheet name="CARVING_Plan" sheetId="6" r:id="rId6"/>
    <sheet name="EDM_Plan" sheetId="7" r:id="rId7"/>
    <sheet name="ENG_Plan" sheetId="8" r:id="rId8"/>
    <sheet name="VENT_Plan" sheetId="9" r:id="rId9"/>
    <sheet name="FID_Plan" sheetId="10" r:id="rId10"/>
    <sheet name="QC_Plan" sheetId="11" r:id="rId11"/>
    <sheet name="Lists" sheetId="12" state="hidden" r:id="rId12"/>
    <sheet name="Dashboard" sheetId="13" r:id="rId13"/>
    <sheet name="PM_Schedule" sheetId="14" r:id="rId14"/>
    <sheet name="OPR_2P" sheetId="15" r:id="rId15"/>
    <sheet name="SEG_6P" sheetId="16" r:id="rId16"/>
    <sheet name="SOL_4P" sheetId="17" r:id="rId17"/>
    <sheet name="RW_2P" sheetId="18" r:id="rId18"/>
    <sheet name="RW2_4P" sheetId="19" r:id="rId19"/>
    <sheet name="FLAP_4P" sheetId="20" r:id="rId20"/>
    <sheet name="TUBE_4P" sheetId="21" r:id="rId21"/>
    <sheet name="WIP_Tracker" sheetId="22" r:id="rId22"/>
    <sheet name="Delivery_Tracker" sheetId="23" r:id="rId23"/>
    <sheet name="WhatIf_Scenario" sheetId="24" r:id="rId24"/>
    <sheet name="4Week_Horizon" sheetId="25" r:id="rId25"/>
    <sheet name="Material_Stock" sheetId="26" r:id="rId26"/>
    <sheet name="Shift_Roster" sheetId="27" r:id="rId27"/>
    <sheet name="Downtime_Register" sheetId="28" r:id="rId28"/>
    <sheet name="OPR_BR1" sheetId="29" r:id="rId29"/>
    <sheet name="OPR_BR2" sheetId="30" r:id="rId30"/>
    <sheet name="OPR_CR2" sheetId="31" r:id="rId31"/>
    <sheet name="OPR_CR3" sheetId="32" r:id="rId32"/>
    <sheet name="OPR_CR4" sheetId="33" r:id="rId33"/>
    <sheet name="OPR_RIM" sheetId="34" r:id="rId34"/>
    <sheet name="OPR_BPR" sheetId="35" r:id="rId35"/>
    <sheet name="Job_Master_Ring" sheetId="36" r:id="rId36"/>
  </sheets>
  <definedNames>
    <definedName name="DimensionID">Lists!$A$1:$A$200</definedName>
    <definedName name="DimensionOD">Lists!$B$1:$B$200</definedName>
    <definedName name="GlobalStartDate">Job_Master!$B$2</definedName>
    <definedName name="JobTypeList">Settings!$L$4:$L$7</definedName>
    <definedName name="MachineLookup">Lists!$C$1:$K$16</definedName>
    <definedName name="SizeList">Settings!$M$4:$M$18</definedName>
    <definedName name="WorkmanCategoryRange">Settings!$J$4:$J$5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4" i="3" l="1"/>
  <c r="BR53" i="36"/>
  <c r="BQ53" i="36"/>
  <c r="BP53" i="36"/>
  <c r="BO53" i="36"/>
  <c r="BN53" i="36"/>
  <c r="BM53" i="36"/>
  <c r="BL53" i="36"/>
  <c r="BK53" i="36"/>
  <c r="BJ53" i="36"/>
  <c r="BI53" i="36"/>
  <c r="BH53" i="36"/>
  <c r="BG53" i="36"/>
  <c r="BF53" i="36"/>
  <c r="BE53" i="36"/>
  <c r="BD53" i="36"/>
  <c r="BC53" i="36"/>
  <c r="BB53" i="36"/>
  <c r="BA53" i="36"/>
  <c r="AZ53" i="36"/>
  <c r="AY53" i="36"/>
  <c r="AX53" i="36"/>
  <c r="AW53" i="36"/>
  <c r="AV53" i="36"/>
  <c r="AU53" i="36"/>
  <c r="AT53" i="36"/>
  <c r="AS53" i="36"/>
  <c r="AR53" i="36"/>
  <c r="AQ53" i="36"/>
  <c r="AP53" i="36"/>
  <c r="AO53" i="36"/>
  <c r="AN53" i="36"/>
  <c r="AM53" i="36"/>
  <c r="AL53" i="36"/>
  <c r="AK53" i="36"/>
  <c r="AJ53" i="36"/>
  <c r="AI53" i="36"/>
  <c r="AH53" i="36"/>
  <c r="AG53" i="36"/>
  <c r="AF53" i="36"/>
  <c r="AE53" i="36"/>
  <c r="AD53" i="36"/>
  <c r="AC53" i="36"/>
  <c r="AB53" i="36"/>
  <c r="AA53" i="36"/>
  <c r="Z53" i="36"/>
  <c r="Y53" i="36"/>
  <c r="X53" i="36"/>
  <c r="W53" i="36"/>
  <c r="V53" i="36"/>
  <c r="U53" i="36"/>
  <c r="T53" i="36"/>
  <c r="S53" i="36"/>
  <c r="R53" i="36"/>
  <c r="Q53" i="36"/>
  <c r="P53" i="36"/>
  <c r="O53" i="36"/>
  <c r="N53" i="36"/>
  <c r="M53" i="36"/>
  <c r="L53" i="36"/>
  <c r="J53" i="36"/>
  <c r="H53" i="36"/>
  <c r="BR52" i="36"/>
  <c r="BQ52" i="36"/>
  <c r="BP52" i="36"/>
  <c r="BO52" i="36"/>
  <c r="BN52" i="36"/>
  <c r="BM52" i="36"/>
  <c r="BL52" i="36"/>
  <c r="BK52" i="36"/>
  <c r="BJ52" i="36"/>
  <c r="BI52" i="36"/>
  <c r="BH52" i="36"/>
  <c r="BG52" i="36"/>
  <c r="BF52" i="36"/>
  <c r="BE52" i="36"/>
  <c r="BD52" i="36"/>
  <c r="BC52" i="36"/>
  <c r="BB52" i="36"/>
  <c r="BA52" i="36"/>
  <c r="AZ52" i="36"/>
  <c r="AY52" i="36"/>
  <c r="AX52" i="36"/>
  <c r="AW52" i="36"/>
  <c r="AV52" i="36"/>
  <c r="AU52" i="36"/>
  <c r="AT52" i="36"/>
  <c r="AS52" i="36"/>
  <c r="AR52" i="36"/>
  <c r="AQ52" i="36"/>
  <c r="AP52" i="36"/>
  <c r="AO52" i="36"/>
  <c r="AN52" i="36"/>
  <c r="AM52" i="36"/>
  <c r="AL52" i="36"/>
  <c r="AK52" i="36"/>
  <c r="AJ52" i="36"/>
  <c r="AI52" i="36"/>
  <c r="AH52" i="36"/>
  <c r="AG52" i="36"/>
  <c r="AF52" i="36"/>
  <c r="AE52" i="36"/>
  <c r="AD52" i="36"/>
  <c r="AC52" i="36"/>
  <c r="AB52" i="36"/>
  <c r="AA52" i="36"/>
  <c r="Z52" i="36"/>
  <c r="Y52" i="36"/>
  <c r="X52" i="36"/>
  <c r="W52" i="36"/>
  <c r="V52" i="36"/>
  <c r="U52" i="36"/>
  <c r="T52" i="36"/>
  <c r="S52" i="36"/>
  <c r="R52" i="36"/>
  <c r="Q52" i="36"/>
  <c r="P52" i="36"/>
  <c r="O52" i="36"/>
  <c r="N52" i="36"/>
  <c r="M52" i="36"/>
  <c r="L52" i="36"/>
  <c r="J52" i="36"/>
  <c r="H52" i="36"/>
  <c r="BR51" i="36"/>
  <c r="BQ51" i="36"/>
  <c r="BP51" i="36"/>
  <c r="BO51" i="36"/>
  <c r="BN51" i="36"/>
  <c r="BM51" i="36"/>
  <c r="BL51" i="36"/>
  <c r="BK51" i="36"/>
  <c r="BJ51" i="36"/>
  <c r="BI51" i="36"/>
  <c r="BH51" i="36"/>
  <c r="BG51" i="36"/>
  <c r="BF51" i="36"/>
  <c r="BE51" i="36"/>
  <c r="BD51" i="36"/>
  <c r="BC51" i="36"/>
  <c r="BB51" i="36"/>
  <c r="BA51" i="36"/>
  <c r="AZ51" i="36"/>
  <c r="AY51" i="36"/>
  <c r="AX51" i="36"/>
  <c r="AW51" i="36"/>
  <c r="AV51" i="36"/>
  <c r="AU51" i="36"/>
  <c r="AT51" i="36"/>
  <c r="AS51" i="36"/>
  <c r="AR51" i="36"/>
  <c r="AQ51" i="36"/>
  <c r="AP51" i="36"/>
  <c r="AO51" i="36"/>
  <c r="AN51" i="36"/>
  <c r="AM51" i="36"/>
  <c r="AL51" i="36"/>
  <c r="AK51" i="36"/>
  <c r="AJ51" i="36"/>
  <c r="AI51" i="36"/>
  <c r="AH51" i="36"/>
  <c r="AG51" i="36"/>
  <c r="AF51" i="36"/>
  <c r="AE51" i="36"/>
  <c r="AD51" i="36"/>
  <c r="AC51" i="36"/>
  <c r="AB51" i="36"/>
  <c r="AA51" i="36"/>
  <c r="Z51" i="36"/>
  <c r="Y51" i="36"/>
  <c r="X51" i="36"/>
  <c r="W51" i="36"/>
  <c r="V51" i="36"/>
  <c r="U51" i="36"/>
  <c r="T51" i="36"/>
  <c r="S51" i="36"/>
  <c r="R51" i="36"/>
  <c r="Q51" i="36"/>
  <c r="P51" i="36"/>
  <c r="O51" i="36"/>
  <c r="N51" i="36"/>
  <c r="M51" i="36"/>
  <c r="L51" i="36"/>
  <c r="J51" i="36"/>
  <c r="H51" i="36"/>
  <c r="BR50" i="36"/>
  <c r="BQ50" i="36"/>
  <c r="BP50" i="36"/>
  <c r="BO50" i="36"/>
  <c r="BN50" i="36"/>
  <c r="BM50" i="36"/>
  <c r="BL50" i="36"/>
  <c r="BK50" i="36"/>
  <c r="BJ50" i="36"/>
  <c r="BI50" i="36"/>
  <c r="BH50" i="36"/>
  <c r="BG50" i="36"/>
  <c r="BF50" i="36"/>
  <c r="BE50" i="36"/>
  <c r="BD50" i="36"/>
  <c r="BC50" i="36"/>
  <c r="BB50" i="36"/>
  <c r="BA50" i="36"/>
  <c r="AZ50" i="36"/>
  <c r="AY50" i="36"/>
  <c r="AX50" i="36"/>
  <c r="AW50" i="36"/>
  <c r="AV50" i="36"/>
  <c r="AU50" i="36"/>
  <c r="AT50" i="36"/>
  <c r="AS50" i="36"/>
  <c r="AR50" i="36"/>
  <c r="AQ50" i="36"/>
  <c r="AP50" i="36"/>
  <c r="AO50" i="36"/>
  <c r="AN50" i="36"/>
  <c r="AM50" i="36"/>
  <c r="AL50" i="36"/>
  <c r="AK50" i="36"/>
  <c r="AJ50" i="36"/>
  <c r="AI50" i="36"/>
  <c r="AH50" i="36"/>
  <c r="AG50" i="36"/>
  <c r="AF50" i="36"/>
  <c r="AE50" i="36"/>
  <c r="AD50" i="36"/>
  <c r="AC50" i="36"/>
  <c r="AB50" i="36"/>
  <c r="AA50" i="36"/>
  <c r="Z50" i="36"/>
  <c r="Y50" i="36"/>
  <c r="X50" i="36"/>
  <c r="W50" i="36"/>
  <c r="V50" i="36"/>
  <c r="U50" i="36"/>
  <c r="T50" i="36"/>
  <c r="S50" i="36"/>
  <c r="R50" i="36"/>
  <c r="Q50" i="36"/>
  <c r="P50" i="36"/>
  <c r="O50" i="36"/>
  <c r="N50" i="36"/>
  <c r="M50" i="36"/>
  <c r="L50" i="36"/>
  <c r="J50" i="36"/>
  <c r="H50" i="36"/>
  <c r="BR49" i="36"/>
  <c r="BQ49" i="36"/>
  <c r="BP49" i="36"/>
  <c r="BO49" i="36"/>
  <c r="BN49" i="36"/>
  <c r="BM49" i="36"/>
  <c r="BL49" i="36"/>
  <c r="BK49" i="36"/>
  <c r="BJ49" i="36"/>
  <c r="BI49" i="36"/>
  <c r="BH49" i="36"/>
  <c r="BG49" i="36"/>
  <c r="BF49" i="36"/>
  <c r="BE49" i="36"/>
  <c r="BD49" i="36"/>
  <c r="BC49" i="36"/>
  <c r="BB49" i="36"/>
  <c r="BA49" i="36"/>
  <c r="AZ49" i="36"/>
  <c r="AY49" i="36"/>
  <c r="AX49" i="36"/>
  <c r="AW49" i="36"/>
  <c r="AV49" i="36"/>
  <c r="AU49" i="36"/>
  <c r="AT49" i="36"/>
  <c r="AS49" i="36"/>
  <c r="AR49" i="36"/>
  <c r="AQ49" i="36"/>
  <c r="AP49" i="36"/>
  <c r="AO49" i="36"/>
  <c r="AN49" i="36"/>
  <c r="AM49" i="36"/>
  <c r="AL49" i="36"/>
  <c r="AK49" i="36"/>
  <c r="AJ49" i="36"/>
  <c r="AI49" i="36"/>
  <c r="AH49" i="36"/>
  <c r="AG49" i="36"/>
  <c r="AF49" i="36"/>
  <c r="AE49" i="36"/>
  <c r="AD49" i="36"/>
  <c r="AC49" i="36"/>
  <c r="AB49" i="36"/>
  <c r="AA49" i="36"/>
  <c r="Z49" i="36"/>
  <c r="Y49" i="36"/>
  <c r="X49" i="36"/>
  <c r="W49" i="36"/>
  <c r="V49" i="36"/>
  <c r="U49" i="36"/>
  <c r="T49" i="36"/>
  <c r="S49" i="36"/>
  <c r="R49" i="36"/>
  <c r="Q49" i="36"/>
  <c r="P49" i="36"/>
  <c r="O49" i="36"/>
  <c r="N49" i="36"/>
  <c r="M49" i="36"/>
  <c r="L49" i="36"/>
  <c r="J49" i="36"/>
  <c r="H49" i="36"/>
  <c r="BR48" i="36"/>
  <c r="BQ48" i="36"/>
  <c r="BP48" i="36"/>
  <c r="BO48" i="36"/>
  <c r="BN48" i="36"/>
  <c r="BM48" i="36"/>
  <c r="BL48" i="36"/>
  <c r="BK48" i="36"/>
  <c r="BJ48" i="36"/>
  <c r="BI48" i="36"/>
  <c r="BH48" i="36"/>
  <c r="BG48" i="36"/>
  <c r="BF48" i="36"/>
  <c r="BE48" i="36"/>
  <c r="BD48" i="36"/>
  <c r="BC48" i="36"/>
  <c r="BB48" i="36"/>
  <c r="BA48" i="36"/>
  <c r="AZ48" i="36"/>
  <c r="AY48" i="36"/>
  <c r="AX48" i="36"/>
  <c r="AW48" i="36"/>
  <c r="AV48" i="36"/>
  <c r="AU48" i="36"/>
  <c r="AT48" i="36"/>
  <c r="AS48" i="36"/>
  <c r="AR48" i="36"/>
  <c r="AQ48" i="36"/>
  <c r="AP48" i="36"/>
  <c r="AO48" i="36"/>
  <c r="AN48" i="36"/>
  <c r="AM48" i="36"/>
  <c r="AL48" i="36"/>
  <c r="AK48" i="36"/>
  <c r="AJ48" i="36"/>
  <c r="AI48" i="36"/>
  <c r="AH48" i="36"/>
  <c r="AG48" i="36"/>
  <c r="AF48" i="36"/>
  <c r="AE48" i="36"/>
  <c r="AD48" i="36"/>
  <c r="AC48" i="36"/>
  <c r="AB48" i="36"/>
  <c r="AA48" i="36"/>
  <c r="Z48" i="36"/>
  <c r="Y48" i="36"/>
  <c r="X48" i="36"/>
  <c r="W48" i="36"/>
  <c r="V48" i="36"/>
  <c r="U48" i="36"/>
  <c r="T48" i="36"/>
  <c r="S48" i="36"/>
  <c r="R48" i="36"/>
  <c r="Q48" i="36"/>
  <c r="P48" i="36"/>
  <c r="O48" i="36"/>
  <c r="N48" i="36"/>
  <c r="M48" i="36"/>
  <c r="L48" i="36"/>
  <c r="J48" i="36"/>
  <c r="H48" i="36"/>
  <c r="BR47" i="36"/>
  <c r="BQ47" i="36"/>
  <c r="BP47" i="36"/>
  <c r="BO47" i="36"/>
  <c r="BN47" i="36"/>
  <c r="BM47" i="36"/>
  <c r="BL47" i="36"/>
  <c r="BK47" i="36"/>
  <c r="BJ47" i="36"/>
  <c r="BI47" i="36"/>
  <c r="BH47" i="36"/>
  <c r="BG47" i="36"/>
  <c r="BF47" i="36"/>
  <c r="BE47" i="36"/>
  <c r="BD47" i="36"/>
  <c r="BC47" i="36"/>
  <c r="BB47" i="36"/>
  <c r="BA47" i="36"/>
  <c r="AZ47" i="36"/>
  <c r="AY47" i="36"/>
  <c r="AX47" i="36"/>
  <c r="AW47" i="36"/>
  <c r="AV47" i="36"/>
  <c r="AU47" i="36"/>
  <c r="AT47" i="36"/>
  <c r="AS47" i="36"/>
  <c r="AR47" i="36"/>
  <c r="AQ47" i="36"/>
  <c r="AP47" i="36"/>
  <c r="AO47" i="36"/>
  <c r="AN47" i="36"/>
  <c r="AM47" i="36"/>
  <c r="AL47" i="36"/>
  <c r="AK47" i="36"/>
  <c r="AJ47" i="36"/>
  <c r="AI47" i="36"/>
  <c r="AH47" i="36"/>
  <c r="AG47" i="36"/>
  <c r="AF47" i="36"/>
  <c r="AE47" i="36"/>
  <c r="AD47" i="36"/>
  <c r="AC47" i="36"/>
  <c r="AB47" i="36"/>
  <c r="AA47" i="36"/>
  <c r="Z47" i="36"/>
  <c r="Y47" i="36"/>
  <c r="X47" i="36"/>
  <c r="W47" i="36"/>
  <c r="V47" i="36"/>
  <c r="U47" i="36"/>
  <c r="T47" i="36"/>
  <c r="S47" i="36"/>
  <c r="R47" i="36"/>
  <c r="Q47" i="36"/>
  <c r="P47" i="36"/>
  <c r="O47" i="36"/>
  <c r="N47" i="36"/>
  <c r="M47" i="36"/>
  <c r="L47" i="36"/>
  <c r="J47" i="36"/>
  <c r="H47" i="36"/>
  <c r="BR46" i="36"/>
  <c r="BQ46" i="36"/>
  <c r="BP46" i="36"/>
  <c r="BO46" i="36"/>
  <c r="BN46" i="36"/>
  <c r="BM46" i="36"/>
  <c r="BL46" i="36"/>
  <c r="BK46" i="36"/>
  <c r="BJ46" i="36"/>
  <c r="BI46" i="36"/>
  <c r="BH46" i="36"/>
  <c r="BG46" i="36"/>
  <c r="BF46" i="36"/>
  <c r="BE46" i="36"/>
  <c r="BD46" i="36"/>
  <c r="BC46" i="36"/>
  <c r="BB46" i="36"/>
  <c r="BA46" i="36"/>
  <c r="AZ46" i="36"/>
  <c r="AY46" i="36"/>
  <c r="AX46" i="36"/>
  <c r="AW46" i="36"/>
  <c r="AV46" i="36"/>
  <c r="AU46" i="36"/>
  <c r="AT46" i="36"/>
  <c r="AS46" i="36"/>
  <c r="AR46" i="36"/>
  <c r="AQ46" i="36"/>
  <c r="AP46" i="36"/>
  <c r="AO46" i="36"/>
  <c r="AN46" i="36"/>
  <c r="AM46" i="36"/>
  <c r="AL46" i="36"/>
  <c r="AK46" i="36"/>
  <c r="AJ46" i="36"/>
  <c r="AI46" i="36"/>
  <c r="AH46" i="36"/>
  <c r="AG46" i="36"/>
  <c r="AF46" i="36"/>
  <c r="AE46" i="36"/>
  <c r="AD46" i="36"/>
  <c r="AC46" i="36"/>
  <c r="AB46" i="36"/>
  <c r="AA46" i="36"/>
  <c r="Z46" i="36"/>
  <c r="Y46" i="36"/>
  <c r="X46" i="36"/>
  <c r="W46" i="36"/>
  <c r="V46" i="36"/>
  <c r="U46" i="36"/>
  <c r="T46" i="36"/>
  <c r="S46" i="36"/>
  <c r="R46" i="36"/>
  <c r="Q46" i="36"/>
  <c r="P46" i="36"/>
  <c r="O46" i="36"/>
  <c r="N46" i="36"/>
  <c r="M46" i="36"/>
  <c r="L46" i="36"/>
  <c r="J46" i="36"/>
  <c r="H46" i="36"/>
  <c r="BR45" i="36"/>
  <c r="BQ45" i="36"/>
  <c r="BP45" i="36"/>
  <c r="BO45" i="36"/>
  <c r="BN45" i="36"/>
  <c r="BM45" i="36"/>
  <c r="BL45" i="36"/>
  <c r="BK45" i="36"/>
  <c r="BJ45" i="36"/>
  <c r="BI45" i="36"/>
  <c r="BH45" i="36"/>
  <c r="BG45" i="36"/>
  <c r="BF45" i="36"/>
  <c r="BE45" i="36"/>
  <c r="BD45" i="36"/>
  <c r="BC45" i="36"/>
  <c r="BB45" i="36"/>
  <c r="BA45" i="36"/>
  <c r="AZ45" i="36"/>
  <c r="AY45" i="36"/>
  <c r="AX45" i="36"/>
  <c r="AW45" i="36"/>
  <c r="AV45" i="36"/>
  <c r="AU45" i="36"/>
  <c r="AT45" i="36"/>
  <c r="AS45" i="36"/>
  <c r="AR45" i="36"/>
  <c r="AQ45" i="36"/>
  <c r="AP45" i="36"/>
  <c r="AO45" i="36"/>
  <c r="AN45" i="36"/>
  <c r="AM45" i="36"/>
  <c r="AL45" i="36"/>
  <c r="AK45" i="36"/>
  <c r="AJ45" i="36"/>
  <c r="AI45" i="36"/>
  <c r="AH45" i="36"/>
  <c r="AG45" i="36"/>
  <c r="AF45" i="36"/>
  <c r="AE45" i="36"/>
  <c r="AD45" i="36"/>
  <c r="AC45" i="36"/>
  <c r="AB45" i="36"/>
  <c r="AA45" i="36"/>
  <c r="Z45" i="36"/>
  <c r="Y45" i="36"/>
  <c r="X45" i="36"/>
  <c r="W45" i="36"/>
  <c r="V45" i="36"/>
  <c r="U45" i="36"/>
  <c r="T45" i="36"/>
  <c r="S45" i="36"/>
  <c r="R45" i="36"/>
  <c r="Q45" i="36"/>
  <c r="P45" i="36"/>
  <c r="O45" i="36"/>
  <c r="N45" i="36"/>
  <c r="M45" i="36"/>
  <c r="L45" i="36"/>
  <c r="J45" i="36"/>
  <c r="H45" i="36"/>
  <c r="BR44" i="36"/>
  <c r="BQ44" i="36"/>
  <c r="BP44" i="36"/>
  <c r="BO44" i="36"/>
  <c r="BN44" i="36"/>
  <c r="BM44" i="36"/>
  <c r="BL44" i="36"/>
  <c r="BK44" i="36"/>
  <c r="BJ44" i="36"/>
  <c r="BI44" i="36"/>
  <c r="BH44" i="36"/>
  <c r="BG44" i="36"/>
  <c r="BF44" i="36"/>
  <c r="BE44" i="36"/>
  <c r="BD44" i="36"/>
  <c r="BC44" i="36"/>
  <c r="BB44" i="36"/>
  <c r="BA44" i="36"/>
  <c r="AZ44" i="36"/>
  <c r="AY44" i="36"/>
  <c r="AX44" i="36"/>
  <c r="AW44" i="36"/>
  <c r="AV44" i="36"/>
  <c r="AU44" i="36"/>
  <c r="AT44" i="36"/>
  <c r="AS44" i="36"/>
  <c r="AR44" i="36"/>
  <c r="AQ44" i="36"/>
  <c r="AP44" i="36"/>
  <c r="AO44" i="36"/>
  <c r="AN44" i="36"/>
  <c r="AM44" i="36"/>
  <c r="AL44" i="36"/>
  <c r="AK44" i="36"/>
  <c r="AJ44" i="36"/>
  <c r="AI44" i="36"/>
  <c r="AH44" i="36"/>
  <c r="AG44" i="36"/>
  <c r="AF44" i="36"/>
  <c r="AE44" i="36"/>
  <c r="AD44" i="36"/>
  <c r="AC44" i="36"/>
  <c r="AB44" i="36"/>
  <c r="AA44" i="36"/>
  <c r="Z44" i="36"/>
  <c r="Y44" i="36"/>
  <c r="X44" i="36"/>
  <c r="W44" i="36"/>
  <c r="V44" i="36"/>
  <c r="U44" i="36"/>
  <c r="T44" i="36"/>
  <c r="S44" i="36"/>
  <c r="R44" i="36"/>
  <c r="Q44" i="36"/>
  <c r="P44" i="36"/>
  <c r="O44" i="36"/>
  <c r="N44" i="36"/>
  <c r="M44" i="36"/>
  <c r="L44" i="36"/>
  <c r="J44" i="36"/>
  <c r="H44" i="36"/>
  <c r="BR43" i="36"/>
  <c r="BQ43" i="36"/>
  <c r="BP43" i="36"/>
  <c r="BO43" i="36"/>
  <c r="BN43" i="36"/>
  <c r="BM43" i="36"/>
  <c r="BL43" i="36"/>
  <c r="BK43" i="36"/>
  <c r="BJ43" i="36"/>
  <c r="BI43" i="36"/>
  <c r="BH43" i="36"/>
  <c r="BG43" i="36"/>
  <c r="BF43" i="36"/>
  <c r="BE43" i="36"/>
  <c r="BD43" i="36"/>
  <c r="BC43" i="36"/>
  <c r="BB43" i="36"/>
  <c r="BA43" i="36"/>
  <c r="AZ43" i="36"/>
  <c r="AY43" i="36"/>
  <c r="AX43" i="36"/>
  <c r="AW43" i="36"/>
  <c r="AV43" i="36"/>
  <c r="AU43" i="36"/>
  <c r="AT43" i="36"/>
  <c r="AS43" i="36"/>
  <c r="AR43" i="36"/>
  <c r="AQ43" i="36"/>
  <c r="AP43" i="36"/>
  <c r="AO43" i="36"/>
  <c r="AN43" i="36"/>
  <c r="AM43" i="36"/>
  <c r="AL43" i="36"/>
  <c r="AK43" i="36"/>
  <c r="AJ43" i="36"/>
  <c r="AI43" i="36"/>
  <c r="AH43" i="36"/>
  <c r="AG43" i="36"/>
  <c r="AF43" i="36"/>
  <c r="AE43" i="36"/>
  <c r="AD43" i="36"/>
  <c r="AC43" i="36"/>
  <c r="AB43" i="36"/>
  <c r="AA43" i="36"/>
  <c r="Z43" i="36"/>
  <c r="Y43" i="36"/>
  <c r="X43" i="36"/>
  <c r="W43" i="36"/>
  <c r="V43" i="36"/>
  <c r="U43" i="36"/>
  <c r="T43" i="36"/>
  <c r="S43" i="36"/>
  <c r="R43" i="36"/>
  <c r="Q43" i="36"/>
  <c r="P43" i="36"/>
  <c r="O43" i="36"/>
  <c r="N43" i="36"/>
  <c r="M43" i="36"/>
  <c r="L43" i="36"/>
  <c r="J43" i="36"/>
  <c r="H43" i="36"/>
  <c r="BR42" i="36"/>
  <c r="BQ42" i="36"/>
  <c r="BP42" i="36"/>
  <c r="BO42" i="36"/>
  <c r="BN42" i="36"/>
  <c r="BM42" i="36"/>
  <c r="BL42" i="36"/>
  <c r="BK42" i="36"/>
  <c r="BJ42" i="36"/>
  <c r="BI42" i="36"/>
  <c r="BH42" i="36"/>
  <c r="BG42" i="36"/>
  <c r="BF42" i="36"/>
  <c r="BE42" i="36"/>
  <c r="BD42" i="36"/>
  <c r="BC42" i="36"/>
  <c r="BB42" i="36"/>
  <c r="BA42" i="36"/>
  <c r="AZ42" i="36"/>
  <c r="AY42" i="36"/>
  <c r="AX42" i="36"/>
  <c r="AW42" i="36"/>
  <c r="AV42" i="36"/>
  <c r="AU42" i="36"/>
  <c r="AT42" i="36"/>
  <c r="AS42" i="36"/>
  <c r="AR42" i="36"/>
  <c r="AQ42" i="36"/>
  <c r="AP42" i="36"/>
  <c r="AO42" i="36"/>
  <c r="AN42" i="36"/>
  <c r="AM42" i="36"/>
  <c r="AL42" i="36"/>
  <c r="AK42" i="36"/>
  <c r="AJ42" i="36"/>
  <c r="AI42" i="36"/>
  <c r="AH42" i="36"/>
  <c r="AG42" i="36"/>
  <c r="AF42" i="36"/>
  <c r="AE42" i="36"/>
  <c r="AD42" i="36"/>
  <c r="AC42" i="36"/>
  <c r="AB42" i="36"/>
  <c r="AA42" i="36"/>
  <c r="Z42" i="36"/>
  <c r="Y42" i="36"/>
  <c r="X42" i="36"/>
  <c r="W42" i="36"/>
  <c r="V42" i="36"/>
  <c r="U42" i="36"/>
  <c r="T42" i="36"/>
  <c r="S42" i="36"/>
  <c r="R42" i="36"/>
  <c r="Q42" i="36"/>
  <c r="P42" i="36"/>
  <c r="O42" i="36"/>
  <c r="N42" i="36"/>
  <c r="M42" i="36"/>
  <c r="L42" i="36"/>
  <c r="J42" i="36"/>
  <c r="H42" i="36"/>
  <c r="BR41" i="36"/>
  <c r="BQ41" i="36"/>
  <c r="BP41" i="36"/>
  <c r="BO41" i="36"/>
  <c r="BN41" i="36"/>
  <c r="BM41" i="36"/>
  <c r="BL41" i="36"/>
  <c r="BK41" i="36"/>
  <c r="BJ41" i="36"/>
  <c r="BI41" i="36"/>
  <c r="BH41" i="36"/>
  <c r="BG41" i="36"/>
  <c r="BF41" i="36"/>
  <c r="BE41" i="36"/>
  <c r="BD41" i="36"/>
  <c r="BC41" i="36"/>
  <c r="BB41" i="36"/>
  <c r="BA41" i="36"/>
  <c r="AZ41" i="36"/>
  <c r="AY41" i="36"/>
  <c r="AX41" i="36"/>
  <c r="AW41" i="36"/>
  <c r="AV41" i="36"/>
  <c r="AU41" i="36"/>
  <c r="AT41" i="36"/>
  <c r="AS41" i="36"/>
  <c r="AR41" i="36"/>
  <c r="AQ41" i="36"/>
  <c r="AP41" i="36"/>
  <c r="AO41" i="36"/>
  <c r="AN41" i="36"/>
  <c r="AM41" i="36"/>
  <c r="AL41" i="36"/>
  <c r="AK41" i="36"/>
  <c r="AJ41" i="36"/>
  <c r="AI41" i="36"/>
  <c r="AH41" i="36"/>
  <c r="AG41" i="36"/>
  <c r="AF41" i="36"/>
  <c r="AE41" i="36"/>
  <c r="AD41" i="36"/>
  <c r="AC41" i="36"/>
  <c r="AB41" i="36"/>
  <c r="AA41" i="36"/>
  <c r="Z41" i="36"/>
  <c r="Y41" i="36"/>
  <c r="X41" i="36"/>
  <c r="W41" i="36"/>
  <c r="V41" i="36"/>
  <c r="U41" i="36"/>
  <c r="T41" i="36"/>
  <c r="S41" i="36"/>
  <c r="R41" i="36"/>
  <c r="Q41" i="36"/>
  <c r="P41" i="36"/>
  <c r="O41" i="36"/>
  <c r="N41" i="36"/>
  <c r="M41" i="36"/>
  <c r="L41" i="36"/>
  <c r="J41" i="36"/>
  <c r="H41" i="36"/>
  <c r="BR40" i="36"/>
  <c r="BQ40" i="36"/>
  <c r="BP40" i="36"/>
  <c r="BO40" i="36"/>
  <c r="BN40" i="36"/>
  <c r="BM40" i="36"/>
  <c r="BL40" i="36"/>
  <c r="BK40" i="36"/>
  <c r="BJ40" i="36"/>
  <c r="BI40" i="36"/>
  <c r="BH40" i="36"/>
  <c r="BG40" i="36"/>
  <c r="BF40" i="36"/>
  <c r="BE40" i="36"/>
  <c r="BD40" i="36"/>
  <c r="BC40" i="36"/>
  <c r="BB40" i="36"/>
  <c r="BA40" i="36"/>
  <c r="AZ40" i="36"/>
  <c r="AY40" i="36"/>
  <c r="AX40" i="36"/>
  <c r="AW40" i="36"/>
  <c r="AV40" i="36"/>
  <c r="AU40" i="36"/>
  <c r="AT40" i="36"/>
  <c r="AS40" i="36"/>
  <c r="AR40" i="36"/>
  <c r="AQ40" i="36"/>
  <c r="AP40" i="36"/>
  <c r="AO40" i="36"/>
  <c r="AN40" i="36"/>
  <c r="AM40" i="36"/>
  <c r="AL40" i="36"/>
  <c r="AK40" i="36"/>
  <c r="AJ40" i="36"/>
  <c r="AI40" i="36"/>
  <c r="AH40" i="36"/>
  <c r="AG40" i="36"/>
  <c r="AF40" i="36"/>
  <c r="AE40" i="36"/>
  <c r="AD40" i="36"/>
  <c r="AC40" i="36"/>
  <c r="AB40" i="36"/>
  <c r="AA40" i="36"/>
  <c r="Z40" i="36"/>
  <c r="Y40" i="36"/>
  <c r="X40" i="36"/>
  <c r="W40" i="36"/>
  <c r="V40" i="36"/>
  <c r="U40" i="36"/>
  <c r="T40" i="36"/>
  <c r="S40" i="36"/>
  <c r="R40" i="36"/>
  <c r="Q40" i="36"/>
  <c r="P40" i="36"/>
  <c r="O40" i="36"/>
  <c r="N40" i="36"/>
  <c r="M40" i="36"/>
  <c r="L40" i="36"/>
  <c r="J40" i="36"/>
  <c r="H40" i="36"/>
  <c r="BR39" i="36"/>
  <c r="BQ39" i="36"/>
  <c r="BP39" i="36"/>
  <c r="BO39" i="36"/>
  <c r="BN39" i="36"/>
  <c r="BM39" i="36"/>
  <c r="BL39" i="36"/>
  <c r="BK39" i="36"/>
  <c r="BJ39" i="36"/>
  <c r="BI39" i="36"/>
  <c r="BH39" i="36"/>
  <c r="BG39" i="36"/>
  <c r="BF39" i="36"/>
  <c r="BE39" i="36"/>
  <c r="BD39" i="36"/>
  <c r="BC39" i="36"/>
  <c r="BB39" i="36"/>
  <c r="BA39" i="36"/>
  <c r="AZ39" i="36"/>
  <c r="AY39" i="36"/>
  <c r="AX39" i="36"/>
  <c r="AW39" i="36"/>
  <c r="AV39" i="36"/>
  <c r="AU39" i="36"/>
  <c r="AT39" i="36"/>
  <c r="AS39" i="36"/>
  <c r="AR39" i="36"/>
  <c r="AQ39" i="36"/>
  <c r="AP39" i="36"/>
  <c r="AO39" i="36"/>
  <c r="AN39" i="36"/>
  <c r="AM39" i="36"/>
  <c r="AL39" i="36"/>
  <c r="AK39" i="36"/>
  <c r="AJ39" i="36"/>
  <c r="AI39" i="36"/>
  <c r="AH39" i="36"/>
  <c r="AG39" i="36"/>
  <c r="AF39" i="36"/>
  <c r="AE39" i="36"/>
  <c r="AD39" i="36"/>
  <c r="AC39" i="36"/>
  <c r="AB39" i="36"/>
  <c r="AA39" i="36"/>
  <c r="Z39" i="36"/>
  <c r="Y39" i="36"/>
  <c r="X39" i="36"/>
  <c r="W39" i="36"/>
  <c r="V39" i="36"/>
  <c r="U39" i="36"/>
  <c r="T39" i="36"/>
  <c r="S39" i="36"/>
  <c r="R39" i="36"/>
  <c r="Q39" i="36"/>
  <c r="P39" i="36"/>
  <c r="O39" i="36"/>
  <c r="N39" i="36"/>
  <c r="M39" i="36"/>
  <c r="L39" i="36"/>
  <c r="J39" i="36"/>
  <c r="H39" i="36"/>
  <c r="BR38" i="36"/>
  <c r="BQ38" i="36"/>
  <c r="BP38" i="36"/>
  <c r="BO38" i="36"/>
  <c r="BN38" i="36"/>
  <c r="BM38" i="36"/>
  <c r="BL38" i="36"/>
  <c r="BK38" i="36"/>
  <c r="BJ38" i="36"/>
  <c r="BI38" i="36"/>
  <c r="BH38" i="36"/>
  <c r="BG38" i="36"/>
  <c r="BF38" i="36"/>
  <c r="BE38" i="36"/>
  <c r="BD38" i="36"/>
  <c r="BC38" i="36"/>
  <c r="BB38" i="36"/>
  <c r="BA38" i="36"/>
  <c r="AZ38" i="36"/>
  <c r="AY38" i="36"/>
  <c r="AX38" i="36"/>
  <c r="AW38" i="36"/>
  <c r="AV38" i="36"/>
  <c r="AU38" i="36"/>
  <c r="AT38" i="36"/>
  <c r="AS38" i="36"/>
  <c r="AR38" i="36"/>
  <c r="AQ38" i="36"/>
  <c r="AP38" i="36"/>
  <c r="AO38" i="36"/>
  <c r="AN38" i="36"/>
  <c r="AM38" i="36"/>
  <c r="AL38" i="36"/>
  <c r="AK38" i="36"/>
  <c r="AJ38" i="36"/>
  <c r="AI38" i="36"/>
  <c r="AH38" i="36"/>
  <c r="AG38" i="36"/>
  <c r="AF38" i="36"/>
  <c r="AE38" i="36"/>
  <c r="AD38" i="36"/>
  <c r="AC38" i="36"/>
  <c r="AB38" i="36"/>
  <c r="AA38" i="36"/>
  <c r="Z38" i="36"/>
  <c r="Y38" i="36"/>
  <c r="X38" i="36"/>
  <c r="W38" i="36"/>
  <c r="V38" i="36"/>
  <c r="U38" i="36"/>
  <c r="T38" i="36"/>
  <c r="S38" i="36"/>
  <c r="R38" i="36"/>
  <c r="Q38" i="36"/>
  <c r="P38" i="36"/>
  <c r="O38" i="36"/>
  <c r="N38" i="36"/>
  <c r="M38" i="36"/>
  <c r="L38" i="36"/>
  <c r="J38" i="36"/>
  <c r="H38" i="36"/>
  <c r="BR37" i="36"/>
  <c r="BQ37" i="36"/>
  <c r="BP37" i="36"/>
  <c r="BO37" i="36"/>
  <c r="BN37" i="36"/>
  <c r="BM37" i="36"/>
  <c r="BL37" i="36"/>
  <c r="BK37" i="36"/>
  <c r="BJ37" i="36"/>
  <c r="BI37" i="36"/>
  <c r="BH37" i="36"/>
  <c r="BG37" i="36"/>
  <c r="BF37" i="36"/>
  <c r="BE37" i="36"/>
  <c r="BD37" i="36"/>
  <c r="BC37" i="36"/>
  <c r="BB37" i="36"/>
  <c r="BA37" i="36"/>
  <c r="AZ37" i="36"/>
  <c r="AY37" i="36"/>
  <c r="AX37" i="36"/>
  <c r="AW37" i="36"/>
  <c r="AV37" i="36"/>
  <c r="AU37" i="36"/>
  <c r="AT37" i="36"/>
  <c r="AS37" i="36"/>
  <c r="AR37" i="36"/>
  <c r="AQ37" i="36"/>
  <c r="AP37" i="36"/>
  <c r="AO37" i="36"/>
  <c r="AN37" i="36"/>
  <c r="AM37" i="36"/>
  <c r="AL37" i="36"/>
  <c r="AK37" i="36"/>
  <c r="AJ37" i="36"/>
  <c r="AI37" i="36"/>
  <c r="AH37" i="36"/>
  <c r="AG37" i="36"/>
  <c r="AF37" i="36"/>
  <c r="AE37" i="36"/>
  <c r="AD37" i="36"/>
  <c r="AC37" i="36"/>
  <c r="AB37" i="36"/>
  <c r="AA37" i="36"/>
  <c r="Z37" i="36"/>
  <c r="Y37" i="36"/>
  <c r="X37" i="36"/>
  <c r="W37" i="36"/>
  <c r="V37" i="36"/>
  <c r="U37" i="36"/>
  <c r="T37" i="36"/>
  <c r="S37" i="36"/>
  <c r="R37" i="36"/>
  <c r="Q37" i="36"/>
  <c r="P37" i="36"/>
  <c r="O37" i="36"/>
  <c r="N37" i="36"/>
  <c r="M37" i="36"/>
  <c r="L37" i="36"/>
  <c r="J37" i="36"/>
  <c r="H37" i="36"/>
  <c r="BR36" i="36"/>
  <c r="BQ36" i="36"/>
  <c r="BP36" i="36"/>
  <c r="BO36" i="36"/>
  <c r="BN36" i="36"/>
  <c r="BM36" i="36"/>
  <c r="BL36" i="36"/>
  <c r="BK36" i="36"/>
  <c r="BJ36" i="36"/>
  <c r="BI36" i="36"/>
  <c r="BH36" i="36"/>
  <c r="BG36" i="36"/>
  <c r="BF36" i="36"/>
  <c r="BE36" i="36"/>
  <c r="BD36" i="36"/>
  <c r="BC36" i="36"/>
  <c r="BB36" i="36"/>
  <c r="BA36" i="36"/>
  <c r="AZ36" i="36"/>
  <c r="AY36" i="36"/>
  <c r="AX36" i="36"/>
  <c r="AW36" i="36"/>
  <c r="AV36" i="36"/>
  <c r="AU36" i="36"/>
  <c r="AT36" i="36"/>
  <c r="AS36" i="36"/>
  <c r="AR36" i="36"/>
  <c r="AQ36" i="36"/>
  <c r="AP36" i="36"/>
  <c r="AO36" i="36"/>
  <c r="AN36" i="36"/>
  <c r="AM36" i="36"/>
  <c r="AL36" i="36"/>
  <c r="AK36" i="36"/>
  <c r="AJ36" i="36"/>
  <c r="AI36" i="36"/>
  <c r="AH36" i="36"/>
  <c r="AG36" i="36"/>
  <c r="AF36" i="36"/>
  <c r="AE36" i="36"/>
  <c r="AD36" i="36"/>
  <c r="AC36" i="36"/>
  <c r="AB36" i="36"/>
  <c r="AA36" i="36"/>
  <c r="Z36" i="36"/>
  <c r="Y36" i="36"/>
  <c r="X36" i="36"/>
  <c r="W36" i="36"/>
  <c r="V36" i="36"/>
  <c r="U36" i="36"/>
  <c r="T36" i="36"/>
  <c r="S36" i="36"/>
  <c r="R36" i="36"/>
  <c r="Q36" i="36"/>
  <c r="P36" i="36"/>
  <c r="O36" i="36"/>
  <c r="N36" i="36"/>
  <c r="M36" i="36"/>
  <c r="L36" i="36"/>
  <c r="J36" i="36"/>
  <c r="H36" i="36"/>
  <c r="BR35" i="36"/>
  <c r="BQ35" i="36"/>
  <c r="BP35" i="36"/>
  <c r="BO35" i="36"/>
  <c r="BN35" i="36"/>
  <c r="BM35" i="36"/>
  <c r="BL35" i="36"/>
  <c r="BK35" i="36"/>
  <c r="BJ35" i="36"/>
  <c r="BI35" i="36"/>
  <c r="BH35" i="36"/>
  <c r="BG35" i="36"/>
  <c r="BF35" i="36"/>
  <c r="BE35" i="36"/>
  <c r="BD35" i="36"/>
  <c r="BC35" i="36"/>
  <c r="BB35" i="36"/>
  <c r="BA35" i="36"/>
  <c r="AZ35" i="36"/>
  <c r="AY35" i="36"/>
  <c r="AX35" i="36"/>
  <c r="AW35" i="36"/>
  <c r="AV35" i="36"/>
  <c r="AU35" i="36"/>
  <c r="AT35" i="36"/>
  <c r="AS35" i="36"/>
  <c r="AR35" i="36"/>
  <c r="AQ35" i="36"/>
  <c r="AP35" i="36"/>
  <c r="AO35" i="36"/>
  <c r="AN35" i="36"/>
  <c r="AM35" i="36"/>
  <c r="AL35" i="36"/>
  <c r="AK35" i="36"/>
  <c r="AJ35" i="36"/>
  <c r="AI35" i="36"/>
  <c r="AH35" i="36"/>
  <c r="AG35" i="36"/>
  <c r="AF35" i="36"/>
  <c r="AE35" i="36"/>
  <c r="AD35" i="36"/>
  <c r="AC35" i="36"/>
  <c r="AB35" i="36"/>
  <c r="AA35" i="36"/>
  <c r="Z35" i="36"/>
  <c r="Y35" i="36"/>
  <c r="X35" i="36"/>
  <c r="W35" i="36"/>
  <c r="V35" i="36"/>
  <c r="U35" i="36"/>
  <c r="T35" i="36"/>
  <c r="S35" i="36"/>
  <c r="R35" i="36"/>
  <c r="Q35" i="36"/>
  <c r="P35" i="36"/>
  <c r="O35" i="36"/>
  <c r="N35" i="36"/>
  <c r="M35" i="36"/>
  <c r="L35" i="36"/>
  <c r="J35" i="36"/>
  <c r="H35" i="36"/>
  <c r="BR34" i="36"/>
  <c r="BQ34" i="36"/>
  <c r="BP34" i="36"/>
  <c r="BO34" i="36"/>
  <c r="BN34" i="36"/>
  <c r="BM34" i="36"/>
  <c r="BL34" i="36"/>
  <c r="BK34" i="36"/>
  <c r="BJ34" i="36"/>
  <c r="BI34" i="36"/>
  <c r="BH34" i="36"/>
  <c r="BG34" i="36"/>
  <c r="BF34" i="36"/>
  <c r="BE34" i="36"/>
  <c r="BD34" i="36"/>
  <c r="BC34" i="36"/>
  <c r="BB34" i="36"/>
  <c r="BA34" i="36"/>
  <c r="AZ34" i="36"/>
  <c r="AY34" i="36"/>
  <c r="AX34" i="36"/>
  <c r="AW34" i="36"/>
  <c r="AV34" i="36"/>
  <c r="AU34" i="36"/>
  <c r="AT34" i="36"/>
  <c r="AS34" i="36"/>
  <c r="AR34" i="36"/>
  <c r="AQ34" i="36"/>
  <c r="AP34" i="36"/>
  <c r="AO34" i="36"/>
  <c r="AN34" i="36"/>
  <c r="AM34" i="36"/>
  <c r="AL34" i="36"/>
  <c r="AK34" i="36"/>
  <c r="AJ34" i="36"/>
  <c r="AI34" i="36"/>
  <c r="AH34" i="36"/>
  <c r="AG34" i="36"/>
  <c r="AF34" i="36"/>
  <c r="AE34" i="36"/>
  <c r="AD34" i="36"/>
  <c r="AC34" i="36"/>
  <c r="AB34" i="36"/>
  <c r="AA34" i="36"/>
  <c r="Z34" i="36"/>
  <c r="Y34" i="36"/>
  <c r="X34" i="36"/>
  <c r="W34" i="36"/>
  <c r="V34" i="36"/>
  <c r="U34" i="36"/>
  <c r="T34" i="36"/>
  <c r="S34" i="36"/>
  <c r="R34" i="36"/>
  <c r="Q34" i="36"/>
  <c r="P34" i="36"/>
  <c r="O34" i="36"/>
  <c r="N34" i="36"/>
  <c r="M34" i="36"/>
  <c r="L34" i="36"/>
  <c r="J34" i="36"/>
  <c r="H34" i="36"/>
  <c r="BR33" i="36"/>
  <c r="BQ33" i="36"/>
  <c r="BP33" i="36"/>
  <c r="BO33" i="36"/>
  <c r="BN33" i="36"/>
  <c r="BM33" i="36"/>
  <c r="BL33" i="36"/>
  <c r="BK33" i="36"/>
  <c r="BJ33" i="36"/>
  <c r="BI33" i="36"/>
  <c r="BH33" i="36"/>
  <c r="BG33" i="36"/>
  <c r="BF33" i="36"/>
  <c r="BE33" i="36"/>
  <c r="BD33" i="36"/>
  <c r="BC33" i="36"/>
  <c r="BB33" i="36"/>
  <c r="BA33" i="36"/>
  <c r="AZ33" i="36"/>
  <c r="AY33" i="36"/>
  <c r="AX33" i="36"/>
  <c r="AW33" i="36"/>
  <c r="AV33" i="36"/>
  <c r="AU33" i="36"/>
  <c r="AT33" i="36"/>
  <c r="AS33" i="36"/>
  <c r="AR33" i="36"/>
  <c r="AQ33" i="36"/>
  <c r="AP33" i="36"/>
  <c r="AO33" i="36"/>
  <c r="AN33" i="36"/>
  <c r="AM33" i="36"/>
  <c r="AL33" i="36"/>
  <c r="AK33" i="36"/>
  <c r="AJ33" i="36"/>
  <c r="AI33" i="36"/>
  <c r="AH33" i="36"/>
  <c r="AG33" i="36"/>
  <c r="AF33" i="36"/>
  <c r="AE33" i="36"/>
  <c r="AD33" i="36"/>
  <c r="AC33" i="36"/>
  <c r="AB33" i="36"/>
  <c r="AA33" i="36"/>
  <c r="Z33" i="36"/>
  <c r="Y33" i="36"/>
  <c r="X33" i="36"/>
  <c r="W33" i="36"/>
  <c r="V33" i="36"/>
  <c r="U33" i="36"/>
  <c r="T33" i="36"/>
  <c r="S33" i="36"/>
  <c r="R33" i="36"/>
  <c r="Q33" i="36"/>
  <c r="P33" i="36"/>
  <c r="O33" i="36"/>
  <c r="N33" i="36"/>
  <c r="M33" i="36"/>
  <c r="L33" i="36"/>
  <c r="J33" i="36"/>
  <c r="H33" i="36"/>
  <c r="BR32" i="36"/>
  <c r="BQ32" i="36"/>
  <c r="BP32" i="36"/>
  <c r="BO32" i="36"/>
  <c r="BN32" i="36"/>
  <c r="BM32" i="36"/>
  <c r="BL32" i="36"/>
  <c r="BK32" i="36"/>
  <c r="BJ32" i="36"/>
  <c r="BI32" i="36"/>
  <c r="BH32" i="36"/>
  <c r="BG32" i="36"/>
  <c r="BF32" i="36"/>
  <c r="BE32" i="36"/>
  <c r="BD32" i="36"/>
  <c r="BC32" i="36"/>
  <c r="BB32" i="36"/>
  <c r="BA32" i="36"/>
  <c r="AZ32" i="36"/>
  <c r="AY32" i="36"/>
  <c r="AX32" i="36"/>
  <c r="AW32" i="36"/>
  <c r="AV32" i="36"/>
  <c r="AU32" i="36"/>
  <c r="AT32" i="36"/>
  <c r="AS32" i="36"/>
  <c r="AR32" i="36"/>
  <c r="AQ32" i="36"/>
  <c r="AP32" i="36"/>
  <c r="AO32" i="36"/>
  <c r="AN32" i="36"/>
  <c r="AM32" i="36"/>
  <c r="AL32" i="36"/>
  <c r="AK32" i="36"/>
  <c r="AJ32" i="36"/>
  <c r="AI32" i="36"/>
  <c r="AH32" i="36"/>
  <c r="AG32" i="36"/>
  <c r="AF32" i="36"/>
  <c r="AE32" i="36"/>
  <c r="AD32" i="36"/>
  <c r="AC32" i="36"/>
  <c r="AB32" i="36"/>
  <c r="AA32" i="36"/>
  <c r="Z32" i="36"/>
  <c r="Y32" i="36"/>
  <c r="X32" i="36"/>
  <c r="W32" i="36"/>
  <c r="V32" i="36"/>
  <c r="U32" i="36"/>
  <c r="T32" i="36"/>
  <c r="S32" i="36"/>
  <c r="R32" i="36"/>
  <c r="Q32" i="36"/>
  <c r="P32" i="36"/>
  <c r="O32" i="36"/>
  <c r="N32" i="36"/>
  <c r="M32" i="36"/>
  <c r="L32" i="36"/>
  <c r="J32" i="36"/>
  <c r="H32" i="36"/>
  <c r="BR31" i="36"/>
  <c r="BQ31" i="36"/>
  <c r="BP31" i="36"/>
  <c r="BO31" i="36"/>
  <c r="BN31" i="36"/>
  <c r="BM31" i="36"/>
  <c r="BL31" i="36"/>
  <c r="BK31" i="36"/>
  <c r="BJ31" i="36"/>
  <c r="BI31" i="36"/>
  <c r="BH31" i="36"/>
  <c r="BG31" i="36"/>
  <c r="BF31" i="36"/>
  <c r="BE31" i="36"/>
  <c r="BD31" i="36"/>
  <c r="BC31" i="36"/>
  <c r="BB31" i="36"/>
  <c r="BA31" i="36"/>
  <c r="AZ31" i="36"/>
  <c r="AY31" i="36"/>
  <c r="AX31" i="36"/>
  <c r="AW31" i="36"/>
  <c r="AV31" i="36"/>
  <c r="AU31" i="36"/>
  <c r="AT31" i="36"/>
  <c r="AS31" i="36"/>
  <c r="AR31" i="36"/>
  <c r="AQ31" i="36"/>
  <c r="AP31" i="36"/>
  <c r="AO31" i="36"/>
  <c r="AN31" i="36"/>
  <c r="AM31" i="36"/>
  <c r="AL31" i="36"/>
  <c r="AK31" i="36"/>
  <c r="AJ31" i="36"/>
  <c r="AI31" i="36"/>
  <c r="AH31" i="36"/>
  <c r="AG31" i="36"/>
  <c r="AF31" i="36"/>
  <c r="AE31" i="36"/>
  <c r="AD31" i="36"/>
  <c r="AC31" i="36"/>
  <c r="AB31" i="36"/>
  <c r="AA31" i="36"/>
  <c r="Z31" i="36"/>
  <c r="Y31" i="36"/>
  <c r="X31" i="36"/>
  <c r="W31" i="36"/>
  <c r="V31" i="36"/>
  <c r="U31" i="36"/>
  <c r="T31" i="36"/>
  <c r="S31" i="36"/>
  <c r="R31" i="36"/>
  <c r="Q31" i="36"/>
  <c r="P31" i="36"/>
  <c r="O31" i="36"/>
  <c r="N31" i="36"/>
  <c r="M31" i="36"/>
  <c r="L31" i="36"/>
  <c r="J31" i="36"/>
  <c r="H31" i="36"/>
  <c r="BR30" i="36"/>
  <c r="BQ30" i="36"/>
  <c r="BP30" i="36"/>
  <c r="BO30" i="36"/>
  <c r="BN30" i="36"/>
  <c r="BM30" i="36"/>
  <c r="BL30" i="36"/>
  <c r="BK30" i="36"/>
  <c r="BJ30" i="36"/>
  <c r="BI30" i="36"/>
  <c r="BH30" i="36"/>
  <c r="BG30" i="36"/>
  <c r="BF30" i="36"/>
  <c r="BE30" i="36"/>
  <c r="BD30" i="36"/>
  <c r="BC30" i="36"/>
  <c r="BB30" i="36"/>
  <c r="BA30" i="36"/>
  <c r="AZ30" i="36"/>
  <c r="AY30" i="36"/>
  <c r="AX30" i="36"/>
  <c r="AW30" i="36"/>
  <c r="AV30" i="36"/>
  <c r="AU30" i="36"/>
  <c r="AT30" i="36"/>
  <c r="AS30" i="36"/>
  <c r="AR30" i="36"/>
  <c r="AQ30" i="36"/>
  <c r="AP30" i="36"/>
  <c r="AO30" i="36"/>
  <c r="AN30" i="36"/>
  <c r="AM30" i="36"/>
  <c r="AL30" i="36"/>
  <c r="AK30" i="36"/>
  <c r="AJ30" i="36"/>
  <c r="AI30" i="36"/>
  <c r="AH30" i="36"/>
  <c r="AG30" i="36"/>
  <c r="AF30" i="36"/>
  <c r="AE30" i="36"/>
  <c r="AD30" i="36"/>
  <c r="AC30" i="36"/>
  <c r="AB30" i="36"/>
  <c r="AA30" i="36"/>
  <c r="Z30" i="36"/>
  <c r="Y30" i="36"/>
  <c r="X30" i="36"/>
  <c r="W30" i="36"/>
  <c r="V30" i="36"/>
  <c r="U30" i="36"/>
  <c r="T30" i="36"/>
  <c r="S30" i="36"/>
  <c r="R30" i="36"/>
  <c r="Q30" i="36"/>
  <c r="P30" i="36"/>
  <c r="O30" i="36"/>
  <c r="N30" i="36"/>
  <c r="M30" i="36"/>
  <c r="L30" i="36"/>
  <c r="J30" i="36"/>
  <c r="H30" i="36"/>
  <c r="BR29" i="36"/>
  <c r="BQ29" i="36"/>
  <c r="BP29" i="36"/>
  <c r="BO29" i="36"/>
  <c r="BN29" i="36"/>
  <c r="BM29" i="36"/>
  <c r="BL29" i="36"/>
  <c r="BK29" i="36"/>
  <c r="BJ29" i="36"/>
  <c r="BI29" i="36"/>
  <c r="BH29" i="36"/>
  <c r="BG29" i="36"/>
  <c r="BF29" i="36"/>
  <c r="BE29" i="36"/>
  <c r="BD29" i="36"/>
  <c r="BC29" i="36"/>
  <c r="BB29" i="36"/>
  <c r="BA29" i="36"/>
  <c r="AZ29" i="36"/>
  <c r="AY29" i="36"/>
  <c r="AX29" i="36"/>
  <c r="AW29" i="36"/>
  <c r="AV29" i="36"/>
  <c r="AU29" i="36"/>
  <c r="AT29" i="36"/>
  <c r="AS29" i="36"/>
  <c r="AR29" i="36"/>
  <c r="AQ29" i="36"/>
  <c r="AP29" i="36"/>
  <c r="AO29" i="36"/>
  <c r="AN29" i="36"/>
  <c r="AM29" i="36"/>
  <c r="AL29" i="36"/>
  <c r="AK29" i="36"/>
  <c r="AJ29" i="36"/>
  <c r="AI29" i="36"/>
  <c r="AH29" i="36"/>
  <c r="AG29" i="36"/>
  <c r="AF29" i="36"/>
  <c r="AE29" i="36"/>
  <c r="AD29" i="36"/>
  <c r="AC29" i="36"/>
  <c r="AB29" i="36"/>
  <c r="AA29" i="36"/>
  <c r="Z29" i="36"/>
  <c r="Y29" i="36"/>
  <c r="X29" i="36"/>
  <c r="W29" i="36"/>
  <c r="V29" i="36"/>
  <c r="U29" i="36"/>
  <c r="T29" i="36"/>
  <c r="S29" i="36"/>
  <c r="R29" i="36"/>
  <c r="Q29" i="36"/>
  <c r="P29" i="36"/>
  <c r="O29" i="36"/>
  <c r="N29" i="36"/>
  <c r="M29" i="36"/>
  <c r="L29" i="36"/>
  <c r="J29" i="36"/>
  <c r="H29" i="36"/>
  <c r="BR28" i="36"/>
  <c r="BQ28" i="36"/>
  <c r="BP28" i="36"/>
  <c r="BO28" i="36"/>
  <c r="BN28" i="36"/>
  <c r="BM28" i="36"/>
  <c r="BL28" i="36"/>
  <c r="BK28" i="36"/>
  <c r="BJ28" i="36"/>
  <c r="BI28" i="36"/>
  <c r="BH28" i="36"/>
  <c r="BG28" i="36"/>
  <c r="BF28" i="36"/>
  <c r="BE28" i="36"/>
  <c r="BD28" i="36"/>
  <c r="BC28" i="36"/>
  <c r="BB28" i="36"/>
  <c r="BA28" i="36"/>
  <c r="AZ28" i="36"/>
  <c r="AY28" i="36"/>
  <c r="AX28" i="36"/>
  <c r="AW28" i="36"/>
  <c r="AV28" i="36"/>
  <c r="AU28" i="36"/>
  <c r="AT28" i="36"/>
  <c r="AS28" i="36"/>
  <c r="AR28" i="36"/>
  <c r="AQ28" i="36"/>
  <c r="AP28" i="36"/>
  <c r="AO28" i="36"/>
  <c r="AN28" i="36"/>
  <c r="AM28" i="36"/>
  <c r="AL28" i="36"/>
  <c r="AK28" i="36"/>
  <c r="AJ28" i="36"/>
  <c r="AI28" i="36"/>
  <c r="AH28" i="36"/>
  <c r="AG28" i="36"/>
  <c r="AF28" i="36"/>
  <c r="AE28" i="36"/>
  <c r="AD28" i="36"/>
  <c r="AC28" i="36"/>
  <c r="AB28" i="36"/>
  <c r="AA28" i="36"/>
  <c r="Z28" i="36"/>
  <c r="Y28" i="36"/>
  <c r="X28" i="36"/>
  <c r="W28" i="36"/>
  <c r="V28" i="36"/>
  <c r="U28" i="36"/>
  <c r="T28" i="36"/>
  <c r="S28" i="36"/>
  <c r="R28" i="36"/>
  <c r="Q28" i="36"/>
  <c r="P28" i="36"/>
  <c r="O28" i="36"/>
  <c r="N28" i="36"/>
  <c r="M28" i="36"/>
  <c r="L28" i="36"/>
  <c r="J28" i="36"/>
  <c r="H28" i="36"/>
  <c r="BR27" i="36"/>
  <c r="BQ27" i="36"/>
  <c r="BP27" i="36"/>
  <c r="BO27" i="36"/>
  <c r="BN27" i="36"/>
  <c r="BM27" i="36"/>
  <c r="BL27" i="36"/>
  <c r="BK27" i="36"/>
  <c r="BJ27" i="36"/>
  <c r="BI27" i="36"/>
  <c r="BH27" i="36"/>
  <c r="BG27" i="36"/>
  <c r="BF27" i="36"/>
  <c r="BE27" i="36"/>
  <c r="BD27" i="36"/>
  <c r="BC27" i="36"/>
  <c r="BB27" i="36"/>
  <c r="BA27" i="36"/>
  <c r="AZ27" i="36"/>
  <c r="AY27" i="36"/>
  <c r="AX27" i="36"/>
  <c r="AW27" i="36"/>
  <c r="AV27" i="36"/>
  <c r="AU27" i="36"/>
  <c r="AT27" i="36"/>
  <c r="AS27" i="36"/>
  <c r="AR27" i="36"/>
  <c r="AQ27" i="36"/>
  <c r="AP27" i="36"/>
  <c r="AO27" i="36"/>
  <c r="AN27" i="36"/>
  <c r="AM27" i="36"/>
  <c r="AL27" i="36"/>
  <c r="AK27" i="36"/>
  <c r="AJ27" i="36"/>
  <c r="AI27" i="36"/>
  <c r="AH27" i="36"/>
  <c r="AG27" i="36"/>
  <c r="AF27" i="36"/>
  <c r="AE27" i="36"/>
  <c r="AD27" i="36"/>
  <c r="AC27" i="36"/>
  <c r="AB27" i="36"/>
  <c r="AA27" i="36"/>
  <c r="Z27" i="36"/>
  <c r="Y27" i="36"/>
  <c r="X27" i="36"/>
  <c r="W27" i="36"/>
  <c r="V27" i="36"/>
  <c r="U27" i="36"/>
  <c r="T27" i="36"/>
  <c r="S27" i="36"/>
  <c r="R27" i="36"/>
  <c r="Q27" i="36"/>
  <c r="P27" i="36"/>
  <c r="O27" i="36"/>
  <c r="N27" i="36"/>
  <c r="M27" i="36"/>
  <c r="L27" i="36"/>
  <c r="J27" i="36"/>
  <c r="H27" i="36"/>
  <c r="BR26" i="36"/>
  <c r="BQ26" i="36"/>
  <c r="BP26" i="36"/>
  <c r="BO26" i="36"/>
  <c r="BN26" i="36"/>
  <c r="BM26" i="36"/>
  <c r="BL26" i="36"/>
  <c r="BK26" i="36"/>
  <c r="BJ26" i="36"/>
  <c r="BI26" i="36"/>
  <c r="BH26" i="36"/>
  <c r="BG26" i="36"/>
  <c r="BF26" i="36"/>
  <c r="BE26" i="36"/>
  <c r="BD26" i="36"/>
  <c r="BC26" i="36"/>
  <c r="BB26" i="36"/>
  <c r="BA26" i="36"/>
  <c r="AZ26" i="36"/>
  <c r="AY26" i="36"/>
  <c r="AX26" i="36"/>
  <c r="AW26" i="36"/>
  <c r="AV26" i="36"/>
  <c r="AU26" i="36"/>
  <c r="AT26" i="36"/>
  <c r="AS26" i="36"/>
  <c r="AR26" i="36"/>
  <c r="AQ26" i="36"/>
  <c r="AP26" i="36"/>
  <c r="AO26" i="36"/>
  <c r="AN26" i="36"/>
  <c r="AM26" i="36"/>
  <c r="AL26" i="36"/>
  <c r="AK26" i="36"/>
  <c r="AJ26" i="36"/>
  <c r="AI26" i="36"/>
  <c r="AH26" i="36"/>
  <c r="AG26" i="36"/>
  <c r="AF26" i="36"/>
  <c r="AE26" i="36"/>
  <c r="AD26" i="36"/>
  <c r="AC26" i="36"/>
  <c r="AB26" i="36"/>
  <c r="AA26" i="36"/>
  <c r="Z26" i="36"/>
  <c r="Y26" i="36"/>
  <c r="X26" i="36"/>
  <c r="W26" i="36"/>
  <c r="V26" i="36"/>
  <c r="U26" i="36"/>
  <c r="T26" i="36"/>
  <c r="S26" i="36"/>
  <c r="R26" i="36"/>
  <c r="Q26" i="36"/>
  <c r="P26" i="36"/>
  <c r="O26" i="36"/>
  <c r="N26" i="36"/>
  <c r="M26" i="36"/>
  <c r="L26" i="36"/>
  <c r="J26" i="36"/>
  <c r="H26" i="36"/>
  <c r="BR25" i="36"/>
  <c r="BQ25" i="36"/>
  <c r="BP25" i="36"/>
  <c r="BO25" i="36"/>
  <c r="BN25" i="36"/>
  <c r="BM25" i="36"/>
  <c r="BL25" i="36"/>
  <c r="BK25" i="36"/>
  <c r="BJ25" i="36"/>
  <c r="BI25" i="36"/>
  <c r="BH25" i="36"/>
  <c r="BG25" i="36"/>
  <c r="BF25" i="36"/>
  <c r="BE25" i="36"/>
  <c r="BD25" i="36"/>
  <c r="BC25" i="36"/>
  <c r="BB25" i="36"/>
  <c r="BA25" i="36"/>
  <c r="AZ25" i="36"/>
  <c r="AY25" i="36"/>
  <c r="AX25" i="36"/>
  <c r="AW25" i="36"/>
  <c r="AV25" i="36"/>
  <c r="AU25" i="36"/>
  <c r="AT25" i="36"/>
  <c r="AS25" i="36"/>
  <c r="AR25" i="36"/>
  <c r="AQ25" i="36"/>
  <c r="AP25" i="36"/>
  <c r="AO25" i="36"/>
  <c r="AN25" i="36"/>
  <c r="AM25" i="36"/>
  <c r="AL25" i="36"/>
  <c r="AK25" i="36"/>
  <c r="AJ25" i="36"/>
  <c r="AI25" i="36"/>
  <c r="AH25" i="36"/>
  <c r="AG25" i="36"/>
  <c r="AF25" i="36"/>
  <c r="AE25" i="36"/>
  <c r="AD25" i="36"/>
  <c r="AC25" i="36"/>
  <c r="AB25" i="36"/>
  <c r="AA25" i="36"/>
  <c r="Z25" i="36"/>
  <c r="Y25" i="36"/>
  <c r="X25" i="36"/>
  <c r="W25" i="36"/>
  <c r="V25" i="36"/>
  <c r="U25" i="36"/>
  <c r="T25" i="36"/>
  <c r="S25" i="36"/>
  <c r="R25" i="36"/>
  <c r="Q25" i="36"/>
  <c r="P25" i="36"/>
  <c r="O25" i="36"/>
  <c r="N25" i="36"/>
  <c r="M25" i="36"/>
  <c r="L25" i="36"/>
  <c r="J25" i="36"/>
  <c r="H25" i="36"/>
  <c r="BR24" i="36"/>
  <c r="BQ24" i="36"/>
  <c r="BP24" i="36"/>
  <c r="BO24" i="36"/>
  <c r="BN24" i="36"/>
  <c r="BM24" i="36"/>
  <c r="BL24" i="36"/>
  <c r="BK24" i="36"/>
  <c r="BJ24" i="36"/>
  <c r="BI24" i="36"/>
  <c r="BH24" i="36"/>
  <c r="BG24" i="36"/>
  <c r="BF24" i="36"/>
  <c r="BE24" i="36"/>
  <c r="BD24" i="36"/>
  <c r="BC24" i="36"/>
  <c r="BB24" i="36"/>
  <c r="BA24" i="36"/>
  <c r="AZ24" i="36"/>
  <c r="AY24" i="36"/>
  <c r="AX24" i="36"/>
  <c r="AW24" i="36"/>
  <c r="AV24" i="36"/>
  <c r="AU24" i="36"/>
  <c r="AT24" i="36"/>
  <c r="AS24" i="36"/>
  <c r="AR24" i="36"/>
  <c r="AQ24" i="36"/>
  <c r="AP24" i="36"/>
  <c r="AO24" i="36"/>
  <c r="AN24" i="36"/>
  <c r="AM24" i="36"/>
  <c r="AL24" i="36"/>
  <c r="AK24" i="36"/>
  <c r="AJ24" i="36"/>
  <c r="AI24" i="36"/>
  <c r="AH24" i="36"/>
  <c r="AG24" i="36"/>
  <c r="AF24" i="36"/>
  <c r="AE24" i="36"/>
  <c r="AD24" i="36"/>
  <c r="AC24" i="36"/>
  <c r="AB24" i="36"/>
  <c r="AA24" i="36"/>
  <c r="Z24" i="36"/>
  <c r="Y24" i="36"/>
  <c r="X24" i="36"/>
  <c r="W24" i="36"/>
  <c r="V24" i="36"/>
  <c r="U24" i="36"/>
  <c r="T24" i="36"/>
  <c r="S24" i="36"/>
  <c r="R24" i="36"/>
  <c r="Q24" i="36"/>
  <c r="P24" i="36"/>
  <c r="O24" i="36"/>
  <c r="N24" i="36"/>
  <c r="M24" i="36"/>
  <c r="L24" i="36"/>
  <c r="J24" i="36"/>
  <c r="H24" i="36"/>
  <c r="BR23" i="36"/>
  <c r="BQ23" i="36"/>
  <c r="BP23" i="36"/>
  <c r="BO23" i="36"/>
  <c r="BN23" i="36"/>
  <c r="BM23" i="36"/>
  <c r="BL23" i="36"/>
  <c r="BK23" i="36"/>
  <c r="BJ23" i="36"/>
  <c r="BI23" i="36"/>
  <c r="BH23" i="36"/>
  <c r="BG23" i="36"/>
  <c r="BF23" i="36"/>
  <c r="BE23" i="36"/>
  <c r="BD23" i="36"/>
  <c r="BC23" i="36"/>
  <c r="BB23" i="36"/>
  <c r="BA23" i="36"/>
  <c r="AZ23" i="36"/>
  <c r="AY23" i="36"/>
  <c r="AX23" i="36"/>
  <c r="AW23" i="36"/>
  <c r="AV23" i="36"/>
  <c r="AU23" i="36"/>
  <c r="AT23" i="36"/>
  <c r="AS23" i="36"/>
  <c r="AR23" i="36"/>
  <c r="AQ23" i="36"/>
  <c r="AP23" i="36"/>
  <c r="AO23" i="36"/>
  <c r="AN23" i="36"/>
  <c r="AM23" i="36"/>
  <c r="AL23" i="36"/>
  <c r="AK23" i="36"/>
  <c r="AJ23" i="36"/>
  <c r="AI23" i="36"/>
  <c r="AH23" i="36"/>
  <c r="AG23" i="36"/>
  <c r="AF23" i="36"/>
  <c r="AE23" i="36"/>
  <c r="AD23" i="36"/>
  <c r="AC23" i="36"/>
  <c r="AB23" i="36"/>
  <c r="AA23" i="36"/>
  <c r="Z23" i="36"/>
  <c r="Y23" i="36"/>
  <c r="X23" i="36"/>
  <c r="W23" i="36"/>
  <c r="V23" i="36"/>
  <c r="U23" i="36"/>
  <c r="T23" i="36"/>
  <c r="S23" i="36"/>
  <c r="R23" i="36"/>
  <c r="Q23" i="36"/>
  <c r="P23" i="36"/>
  <c r="O23" i="36"/>
  <c r="N23" i="36"/>
  <c r="M23" i="36"/>
  <c r="L23" i="36"/>
  <c r="J23" i="36"/>
  <c r="H23" i="36"/>
  <c r="BR22" i="36"/>
  <c r="BQ22" i="36"/>
  <c r="BP22" i="36"/>
  <c r="BO22" i="36"/>
  <c r="BN22" i="36"/>
  <c r="BM22" i="36"/>
  <c r="BL22" i="36"/>
  <c r="BK22" i="36"/>
  <c r="BJ22" i="36"/>
  <c r="BI22" i="36"/>
  <c r="BH22" i="36"/>
  <c r="BG22" i="36"/>
  <c r="BF22" i="36"/>
  <c r="BE22" i="36"/>
  <c r="BD22" i="36"/>
  <c r="BC22" i="36"/>
  <c r="BB22" i="36"/>
  <c r="BA22" i="36"/>
  <c r="AZ22" i="36"/>
  <c r="AY22" i="36"/>
  <c r="AX22" i="36"/>
  <c r="AW22" i="36"/>
  <c r="AV22" i="36"/>
  <c r="AU22" i="36"/>
  <c r="AT22" i="36"/>
  <c r="AS22" i="36"/>
  <c r="AR22" i="36"/>
  <c r="AQ22" i="36"/>
  <c r="AP22" i="36"/>
  <c r="AO22" i="36"/>
  <c r="AN22" i="36"/>
  <c r="AM22" i="36"/>
  <c r="AL22" i="36"/>
  <c r="AK22" i="36"/>
  <c r="AJ22" i="36"/>
  <c r="AI22" i="36"/>
  <c r="AH22" i="36"/>
  <c r="AG22" i="36"/>
  <c r="AF22" i="36"/>
  <c r="AE22" i="36"/>
  <c r="AD22" i="36"/>
  <c r="AC22" i="36"/>
  <c r="AB22" i="36"/>
  <c r="AA22" i="36"/>
  <c r="Z22" i="36"/>
  <c r="Y22" i="36"/>
  <c r="X22" i="36"/>
  <c r="W22" i="36"/>
  <c r="V22" i="36"/>
  <c r="U22" i="36"/>
  <c r="T22" i="36"/>
  <c r="S22" i="36"/>
  <c r="R22" i="36"/>
  <c r="Q22" i="36"/>
  <c r="P22" i="36"/>
  <c r="O22" i="36"/>
  <c r="N22" i="36"/>
  <c r="M22" i="36"/>
  <c r="L22" i="36"/>
  <c r="J22" i="36"/>
  <c r="H22" i="36"/>
  <c r="BR21" i="36"/>
  <c r="BQ21" i="36"/>
  <c r="BP21" i="36"/>
  <c r="BO21" i="36"/>
  <c r="BN21" i="36"/>
  <c r="BM21" i="36"/>
  <c r="BL21" i="36"/>
  <c r="BK21" i="36"/>
  <c r="BJ21" i="36"/>
  <c r="BI21" i="36"/>
  <c r="BH21" i="36"/>
  <c r="BG21" i="36"/>
  <c r="BF21" i="36"/>
  <c r="BE21" i="36"/>
  <c r="BD21" i="36"/>
  <c r="BC21" i="36"/>
  <c r="BB21" i="36"/>
  <c r="BA21" i="36"/>
  <c r="AZ21" i="36"/>
  <c r="AY21" i="36"/>
  <c r="AX21" i="36"/>
  <c r="AW21" i="36"/>
  <c r="AV21" i="36"/>
  <c r="AU21" i="36"/>
  <c r="AT21" i="36"/>
  <c r="AS21" i="36"/>
  <c r="AR21" i="36"/>
  <c r="AQ21" i="36"/>
  <c r="AP21" i="36"/>
  <c r="AO21" i="36"/>
  <c r="AN21" i="36"/>
  <c r="AM21" i="36"/>
  <c r="AL21" i="36"/>
  <c r="AK21" i="36"/>
  <c r="AJ21" i="36"/>
  <c r="AI21" i="36"/>
  <c r="AH21" i="36"/>
  <c r="AG21" i="36"/>
  <c r="AF21" i="36"/>
  <c r="AE21" i="36"/>
  <c r="AD21" i="36"/>
  <c r="AC21" i="36"/>
  <c r="AB21" i="36"/>
  <c r="AA21" i="36"/>
  <c r="Z21" i="36"/>
  <c r="Y21" i="36"/>
  <c r="X21" i="36"/>
  <c r="W21" i="36"/>
  <c r="V21" i="36"/>
  <c r="U21" i="36"/>
  <c r="T21" i="36"/>
  <c r="S21" i="36"/>
  <c r="R21" i="36"/>
  <c r="Q21" i="36"/>
  <c r="P21" i="36"/>
  <c r="O21" i="36"/>
  <c r="N21" i="36"/>
  <c r="M21" i="36"/>
  <c r="L21" i="36"/>
  <c r="J21" i="36"/>
  <c r="H21" i="36"/>
  <c r="BR20" i="36"/>
  <c r="BQ20" i="36"/>
  <c r="BP20" i="36"/>
  <c r="BO20" i="36"/>
  <c r="BN20" i="36"/>
  <c r="BM20" i="36"/>
  <c r="BL20" i="36"/>
  <c r="BK20" i="36"/>
  <c r="BJ20" i="36"/>
  <c r="BI20" i="36"/>
  <c r="BH20" i="36"/>
  <c r="BG20" i="36"/>
  <c r="BF20" i="36"/>
  <c r="BE20" i="36"/>
  <c r="BD20" i="36"/>
  <c r="BC20" i="36"/>
  <c r="BB20" i="36"/>
  <c r="BA20" i="36"/>
  <c r="AZ20" i="36"/>
  <c r="AY20" i="36"/>
  <c r="AX20" i="36"/>
  <c r="AW20" i="36"/>
  <c r="AV20" i="36"/>
  <c r="AU20" i="36"/>
  <c r="AT20" i="36"/>
  <c r="AS20" i="36"/>
  <c r="AR20" i="36"/>
  <c r="AQ20" i="36"/>
  <c r="AP20" i="36"/>
  <c r="AO20" i="36"/>
  <c r="AN20" i="36"/>
  <c r="AM20" i="36"/>
  <c r="AL20" i="36"/>
  <c r="AK20" i="36"/>
  <c r="AJ20" i="36"/>
  <c r="AI20" i="36"/>
  <c r="AH20" i="36"/>
  <c r="AG20" i="36"/>
  <c r="AF20" i="36"/>
  <c r="AE20" i="36"/>
  <c r="AD20" i="36"/>
  <c r="AC20" i="36"/>
  <c r="AB20" i="36"/>
  <c r="AA20" i="36"/>
  <c r="Z20" i="36"/>
  <c r="Y20" i="36"/>
  <c r="X20" i="36"/>
  <c r="W20" i="36"/>
  <c r="V20" i="36"/>
  <c r="U20" i="36"/>
  <c r="T20" i="36"/>
  <c r="S20" i="36"/>
  <c r="R20" i="36"/>
  <c r="Q20" i="36"/>
  <c r="P20" i="36"/>
  <c r="O20" i="36"/>
  <c r="N20" i="36"/>
  <c r="M20" i="36"/>
  <c r="L20" i="36"/>
  <c r="J20" i="36"/>
  <c r="H20" i="36"/>
  <c r="BR19" i="36"/>
  <c r="BQ19" i="36"/>
  <c r="BP19" i="36"/>
  <c r="BO19" i="36"/>
  <c r="BN19" i="36"/>
  <c r="BM19" i="36"/>
  <c r="BL19" i="36"/>
  <c r="BK19" i="36"/>
  <c r="BJ19" i="36"/>
  <c r="BI19" i="36"/>
  <c r="BH19" i="36"/>
  <c r="BG19" i="36"/>
  <c r="BF19" i="36"/>
  <c r="BE19" i="36"/>
  <c r="BD19" i="36"/>
  <c r="BC19" i="36"/>
  <c r="BB19" i="36"/>
  <c r="BA19" i="36"/>
  <c r="AZ19" i="36"/>
  <c r="AY19" i="36"/>
  <c r="AX19" i="36"/>
  <c r="AW19" i="36"/>
  <c r="AV19" i="36"/>
  <c r="AU19" i="36"/>
  <c r="AT19" i="36"/>
  <c r="AS19" i="36"/>
  <c r="AR19" i="36"/>
  <c r="AQ19" i="36"/>
  <c r="AP19" i="36"/>
  <c r="AO19" i="36"/>
  <c r="AN19" i="36"/>
  <c r="AM19" i="36"/>
  <c r="AL19" i="36"/>
  <c r="AK19" i="36"/>
  <c r="AJ19" i="36"/>
  <c r="AI19" i="36"/>
  <c r="AH19" i="36"/>
  <c r="AG19" i="36"/>
  <c r="AF19" i="36"/>
  <c r="AE19" i="36"/>
  <c r="AD19" i="36"/>
  <c r="AC19" i="36"/>
  <c r="AB19" i="36"/>
  <c r="AA19" i="36"/>
  <c r="Z19" i="36"/>
  <c r="Y19" i="36"/>
  <c r="X19" i="36"/>
  <c r="W19" i="36"/>
  <c r="V19" i="36"/>
  <c r="U19" i="36"/>
  <c r="T19" i="36"/>
  <c r="S19" i="36"/>
  <c r="R19" i="36"/>
  <c r="Q19" i="36"/>
  <c r="P19" i="36"/>
  <c r="O19" i="36"/>
  <c r="N19" i="36"/>
  <c r="M19" i="36"/>
  <c r="L19" i="36"/>
  <c r="J19" i="36"/>
  <c r="H19" i="36"/>
  <c r="BR18" i="36"/>
  <c r="BQ18" i="36"/>
  <c r="BP18" i="36"/>
  <c r="BO18" i="36"/>
  <c r="BN18" i="36"/>
  <c r="BM18" i="36"/>
  <c r="BL18" i="36"/>
  <c r="BK18" i="36"/>
  <c r="BJ18" i="36"/>
  <c r="BI18" i="36"/>
  <c r="BH18" i="36"/>
  <c r="BG18" i="36"/>
  <c r="BF18" i="36"/>
  <c r="BE18" i="36"/>
  <c r="BD18" i="36"/>
  <c r="BC18" i="36"/>
  <c r="BB18" i="36"/>
  <c r="BA18" i="36"/>
  <c r="AZ18" i="36"/>
  <c r="AY18" i="36"/>
  <c r="AX18" i="36"/>
  <c r="AW18" i="36"/>
  <c r="AV18" i="36"/>
  <c r="AU18" i="36"/>
  <c r="AT18" i="36"/>
  <c r="AS18" i="36"/>
  <c r="AR18" i="36"/>
  <c r="AQ18" i="36"/>
  <c r="AP18" i="36"/>
  <c r="AO18" i="36"/>
  <c r="AN18" i="36"/>
  <c r="AM18" i="36"/>
  <c r="AL18" i="36"/>
  <c r="AK18" i="36"/>
  <c r="AJ18" i="36"/>
  <c r="AI18" i="36"/>
  <c r="AH18" i="36"/>
  <c r="AG18" i="36"/>
  <c r="AF18" i="36"/>
  <c r="AE18" i="36"/>
  <c r="AD18" i="36"/>
  <c r="AC18" i="36"/>
  <c r="AB18" i="36"/>
  <c r="AA18" i="36"/>
  <c r="Z18" i="36"/>
  <c r="Y18" i="36"/>
  <c r="X18" i="36"/>
  <c r="W18" i="36"/>
  <c r="V18" i="36"/>
  <c r="U18" i="36"/>
  <c r="T18" i="36"/>
  <c r="S18" i="36"/>
  <c r="R18" i="36"/>
  <c r="Q18" i="36"/>
  <c r="P18" i="36"/>
  <c r="O18" i="36"/>
  <c r="N18" i="36"/>
  <c r="M18" i="36"/>
  <c r="L18" i="36"/>
  <c r="J18" i="36"/>
  <c r="H18" i="36"/>
  <c r="BR17" i="36"/>
  <c r="BQ17" i="36"/>
  <c r="BP17" i="36"/>
  <c r="BO17" i="36"/>
  <c r="BN17" i="36"/>
  <c r="BM17" i="36"/>
  <c r="BL17" i="36"/>
  <c r="BK17" i="36"/>
  <c r="BJ17" i="36"/>
  <c r="BI17" i="36"/>
  <c r="BH17" i="36"/>
  <c r="BG17" i="36"/>
  <c r="BF17" i="36"/>
  <c r="BE17" i="36"/>
  <c r="BD17" i="36"/>
  <c r="BC17" i="36"/>
  <c r="BB17" i="36"/>
  <c r="BA17" i="36"/>
  <c r="AZ17" i="36"/>
  <c r="AY17" i="36"/>
  <c r="AX17" i="36"/>
  <c r="AW17" i="36"/>
  <c r="AV17" i="36"/>
  <c r="AU17" i="36"/>
  <c r="AT17" i="36"/>
  <c r="AS17" i="36"/>
  <c r="AR17" i="36"/>
  <c r="AQ17" i="36"/>
  <c r="AP17" i="36"/>
  <c r="AO17" i="36"/>
  <c r="AN17" i="36"/>
  <c r="AM17" i="36"/>
  <c r="AL17" i="36"/>
  <c r="AK17" i="36"/>
  <c r="AJ17" i="36"/>
  <c r="AI17" i="36"/>
  <c r="AH17" i="36"/>
  <c r="AG17" i="36"/>
  <c r="AF17" i="36"/>
  <c r="AE17" i="36"/>
  <c r="AD17" i="36"/>
  <c r="AC17" i="36"/>
  <c r="AB17" i="36"/>
  <c r="AA17" i="36"/>
  <c r="Z17" i="36"/>
  <c r="Y17" i="36"/>
  <c r="X17" i="36"/>
  <c r="W17" i="36"/>
  <c r="V17" i="36"/>
  <c r="U17" i="36"/>
  <c r="T17" i="36"/>
  <c r="S17" i="36"/>
  <c r="R17" i="36"/>
  <c r="Q17" i="36"/>
  <c r="P17" i="36"/>
  <c r="O17" i="36"/>
  <c r="N17" i="36"/>
  <c r="M17" i="36"/>
  <c r="L17" i="36"/>
  <c r="J17" i="36"/>
  <c r="H17" i="36"/>
  <c r="BR16" i="36"/>
  <c r="BQ16" i="36"/>
  <c r="BP16" i="36"/>
  <c r="BO16" i="36"/>
  <c r="BN16" i="36"/>
  <c r="BM16" i="36"/>
  <c r="BL16" i="36"/>
  <c r="BK16" i="36"/>
  <c r="BJ16" i="36"/>
  <c r="BI16" i="36"/>
  <c r="BH16" i="36"/>
  <c r="BG16" i="36"/>
  <c r="BF16" i="36"/>
  <c r="BE16" i="36"/>
  <c r="BD16" i="36"/>
  <c r="BC16" i="36"/>
  <c r="BB16" i="36"/>
  <c r="BA16" i="36"/>
  <c r="AZ16" i="36"/>
  <c r="AY16" i="36"/>
  <c r="AX16" i="36"/>
  <c r="AW16" i="36"/>
  <c r="AV16" i="36"/>
  <c r="AU16" i="36"/>
  <c r="AT16" i="36"/>
  <c r="AS16" i="36"/>
  <c r="AR16" i="36"/>
  <c r="AQ16" i="36"/>
  <c r="AP16" i="36"/>
  <c r="AO16" i="36"/>
  <c r="AN16" i="36"/>
  <c r="AM16" i="36"/>
  <c r="AL16" i="36"/>
  <c r="AK16" i="36"/>
  <c r="AJ16" i="36"/>
  <c r="AI16" i="36"/>
  <c r="AH16" i="36"/>
  <c r="AG16" i="36"/>
  <c r="AF16" i="36"/>
  <c r="AE16" i="36"/>
  <c r="AD16" i="36"/>
  <c r="AC16" i="36"/>
  <c r="AB16" i="36"/>
  <c r="AA16" i="36"/>
  <c r="Z16" i="36"/>
  <c r="Y16" i="36"/>
  <c r="X16" i="36"/>
  <c r="W16" i="36"/>
  <c r="V16" i="36"/>
  <c r="U16" i="36"/>
  <c r="T16" i="36"/>
  <c r="S16" i="36"/>
  <c r="R16" i="36"/>
  <c r="Q16" i="36"/>
  <c r="P16" i="36"/>
  <c r="O16" i="36"/>
  <c r="N16" i="36"/>
  <c r="M16" i="36"/>
  <c r="L16" i="36"/>
  <c r="J16" i="36"/>
  <c r="H16" i="36"/>
  <c r="BR15" i="36"/>
  <c r="BQ15" i="36"/>
  <c r="BP15" i="36"/>
  <c r="BO15" i="36"/>
  <c r="BN15" i="36"/>
  <c r="BM15" i="36"/>
  <c r="BL15" i="36"/>
  <c r="BK15" i="36"/>
  <c r="BJ15" i="36"/>
  <c r="BI15" i="36"/>
  <c r="BH15" i="36"/>
  <c r="BG15" i="36"/>
  <c r="BF15" i="36"/>
  <c r="BE15" i="36"/>
  <c r="BD15" i="36"/>
  <c r="BC15" i="36"/>
  <c r="BB15" i="36"/>
  <c r="BA15" i="36"/>
  <c r="AZ15" i="36"/>
  <c r="AY15" i="36"/>
  <c r="AX15" i="36"/>
  <c r="AW15" i="36"/>
  <c r="AV15" i="36"/>
  <c r="AU15" i="36"/>
  <c r="AT15" i="36"/>
  <c r="AS15" i="36"/>
  <c r="AR15" i="36"/>
  <c r="AQ15" i="36"/>
  <c r="AP15" i="36"/>
  <c r="AO15" i="36"/>
  <c r="AN15" i="36"/>
  <c r="AM15" i="36"/>
  <c r="AL15" i="36"/>
  <c r="AK15" i="36"/>
  <c r="AJ15" i="36"/>
  <c r="AI15" i="36"/>
  <c r="AH15" i="36"/>
  <c r="AG15" i="36"/>
  <c r="AF15" i="36"/>
  <c r="AE15" i="36"/>
  <c r="AD15" i="36"/>
  <c r="AC15" i="36"/>
  <c r="AB15" i="36"/>
  <c r="AA15" i="36"/>
  <c r="Z15" i="36"/>
  <c r="Y15" i="36"/>
  <c r="X15" i="36"/>
  <c r="W15" i="36"/>
  <c r="V15" i="36"/>
  <c r="U15" i="36"/>
  <c r="T15" i="36"/>
  <c r="S15" i="36"/>
  <c r="R15" i="36"/>
  <c r="Q15" i="36"/>
  <c r="P15" i="36"/>
  <c r="O15" i="36"/>
  <c r="N15" i="36"/>
  <c r="M15" i="36"/>
  <c r="L15" i="36"/>
  <c r="J15" i="36"/>
  <c r="H15" i="36"/>
  <c r="BR14" i="36"/>
  <c r="BQ14" i="36"/>
  <c r="BP14" i="36"/>
  <c r="BO14" i="36"/>
  <c r="BN14" i="36"/>
  <c r="BM14" i="36"/>
  <c r="BL14" i="36"/>
  <c r="BK14" i="36"/>
  <c r="BJ14" i="36"/>
  <c r="BI14" i="36"/>
  <c r="BH14" i="36"/>
  <c r="BG14" i="36"/>
  <c r="BF14" i="36"/>
  <c r="BE14" i="36"/>
  <c r="BD14" i="36"/>
  <c r="BC14" i="36"/>
  <c r="BB14" i="36"/>
  <c r="BA14" i="36"/>
  <c r="AZ14" i="36"/>
  <c r="AY14" i="36"/>
  <c r="AX14" i="36"/>
  <c r="AW14" i="36"/>
  <c r="AV14" i="36"/>
  <c r="AU14" i="36"/>
  <c r="AT14" i="36"/>
  <c r="AS14" i="36"/>
  <c r="AR14" i="36"/>
  <c r="AQ14" i="36"/>
  <c r="AP14" i="36"/>
  <c r="AO14" i="36"/>
  <c r="AN14" i="36"/>
  <c r="AM14" i="36"/>
  <c r="AL14" i="36"/>
  <c r="AK14" i="36"/>
  <c r="AJ14" i="36"/>
  <c r="AI14" i="36"/>
  <c r="AH14" i="36"/>
  <c r="AG14" i="36"/>
  <c r="AF14" i="36"/>
  <c r="AE14" i="36"/>
  <c r="AD14" i="36"/>
  <c r="AC14" i="36"/>
  <c r="AB14" i="36"/>
  <c r="AA14" i="36"/>
  <c r="Z14" i="36"/>
  <c r="Y14" i="36"/>
  <c r="X14" i="36"/>
  <c r="W14" i="36"/>
  <c r="V14" i="36"/>
  <c r="U14" i="36"/>
  <c r="T14" i="36"/>
  <c r="S14" i="36"/>
  <c r="R14" i="36"/>
  <c r="Q14" i="36"/>
  <c r="P14" i="36"/>
  <c r="O14" i="36"/>
  <c r="N14" i="36"/>
  <c r="M14" i="36"/>
  <c r="L14" i="36"/>
  <c r="J14" i="36"/>
  <c r="H14" i="36"/>
  <c r="BR13" i="36"/>
  <c r="BQ13" i="36"/>
  <c r="BP13" i="36"/>
  <c r="BO13" i="36"/>
  <c r="BN13" i="36"/>
  <c r="BM13" i="36"/>
  <c r="BL13" i="36"/>
  <c r="BK13" i="36"/>
  <c r="BJ13" i="36"/>
  <c r="BI13" i="36"/>
  <c r="BH13" i="36"/>
  <c r="BG13" i="36"/>
  <c r="BF13" i="36"/>
  <c r="BE13" i="36"/>
  <c r="BD13" i="36"/>
  <c r="BC13" i="36"/>
  <c r="BB13" i="36"/>
  <c r="BA13" i="36"/>
  <c r="AZ13" i="36"/>
  <c r="AY13" i="36"/>
  <c r="AX13" i="36"/>
  <c r="AW13" i="36"/>
  <c r="AV13" i="36"/>
  <c r="AU13" i="36"/>
  <c r="AT13" i="36"/>
  <c r="AS13" i="36"/>
  <c r="AR13" i="36"/>
  <c r="AQ13" i="36"/>
  <c r="AP13" i="36"/>
  <c r="AO13" i="36"/>
  <c r="AN13" i="36"/>
  <c r="AM13" i="36"/>
  <c r="AL13" i="36"/>
  <c r="AK13" i="36"/>
  <c r="AJ13" i="36"/>
  <c r="AI13" i="36"/>
  <c r="AH13" i="36"/>
  <c r="AG13" i="36"/>
  <c r="AF13" i="36"/>
  <c r="AE13" i="36"/>
  <c r="AD13" i="36"/>
  <c r="AC13" i="36"/>
  <c r="AB13" i="36"/>
  <c r="AA13" i="36"/>
  <c r="Z13" i="36"/>
  <c r="Y13" i="36"/>
  <c r="X13" i="36"/>
  <c r="W13" i="36"/>
  <c r="V13" i="36"/>
  <c r="U13" i="36"/>
  <c r="T13" i="36"/>
  <c r="S13" i="36"/>
  <c r="R13" i="36"/>
  <c r="Q13" i="36"/>
  <c r="P13" i="36"/>
  <c r="O13" i="36"/>
  <c r="N13" i="36"/>
  <c r="M13" i="36"/>
  <c r="L13" i="36"/>
  <c r="J13" i="36"/>
  <c r="H13" i="36"/>
  <c r="BR12" i="36"/>
  <c r="BQ12" i="36"/>
  <c r="BP12" i="36"/>
  <c r="BO12" i="36"/>
  <c r="BN12" i="36"/>
  <c r="BM12" i="36"/>
  <c r="BL12" i="36"/>
  <c r="BK12" i="36"/>
  <c r="BJ12" i="36"/>
  <c r="BI12" i="36"/>
  <c r="BH12" i="36"/>
  <c r="BG12" i="36"/>
  <c r="BF12" i="36"/>
  <c r="BE12" i="36"/>
  <c r="BD12" i="36"/>
  <c r="BC12" i="36"/>
  <c r="BB12" i="36"/>
  <c r="BA12" i="36"/>
  <c r="AZ12" i="36"/>
  <c r="AY12" i="36"/>
  <c r="AX12" i="36"/>
  <c r="AW12" i="36"/>
  <c r="AV12" i="36"/>
  <c r="AU12" i="36"/>
  <c r="AT12" i="36"/>
  <c r="AS12" i="36"/>
  <c r="AR12" i="36"/>
  <c r="AQ12" i="36"/>
  <c r="AP12" i="36"/>
  <c r="AO12" i="36"/>
  <c r="AN12" i="36"/>
  <c r="AM12" i="36"/>
  <c r="AL12" i="36"/>
  <c r="AK12" i="36"/>
  <c r="AJ12" i="36"/>
  <c r="AI12" i="36"/>
  <c r="AH12" i="36"/>
  <c r="AG12" i="36"/>
  <c r="AF12" i="36"/>
  <c r="AE12" i="36"/>
  <c r="AD12" i="36"/>
  <c r="AC12" i="36"/>
  <c r="AB12" i="36"/>
  <c r="AA12" i="36"/>
  <c r="Z12" i="36"/>
  <c r="Y12" i="36"/>
  <c r="X12" i="36"/>
  <c r="W12" i="36"/>
  <c r="V12" i="36"/>
  <c r="U12" i="36"/>
  <c r="T12" i="36"/>
  <c r="S12" i="36"/>
  <c r="R12" i="36"/>
  <c r="Q12" i="36"/>
  <c r="P12" i="36"/>
  <c r="O12" i="36"/>
  <c r="N12" i="36"/>
  <c r="M12" i="36"/>
  <c r="L12" i="36"/>
  <c r="J12" i="36"/>
  <c r="H12" i="36"/>
  <c r="BR11" i="36"/>
  <c r="BQ11" i="36"/>
  <c r="BP11" i="36"/>
  <c r="BO11" i="36"/>
  <c r="BN11" i="36"/>
  <c r="BM11" i="36"/>
  <c r="BL11" i="36"/>
  <c r="BK11" i="36"/>
  <c r="BJ11" i="36"/>
  <c r="BI11" i="36"/>
  <c r="BH11" i="36"/>
  <c r="BG11" i="36"/>
  <c r="BF11" i="36"/>
  <c r="BE11" i="36"/>
  <c r="BD11" i="36"/>
  <c r="BC11" i="36"/>
  <c r="BB11" i="36"/>
  <c r="BA11" i="36"/>
  <c r="AZ11" i="36"/>
  <c r="AY11" i="36"/>
  <c r="AX11" i="36"/>
  <c r="AW11" i="36"/>
  <c r="AV11" i="36"/>
  <c r="AU11" i="36"/>
  <c r="AT11" i="36"/>
  <c r="AS11" i="36"/>
  <c r="AR11" i="36"/>
  <c r="AQ11" i="36"/>
  <c r="AP11" i="36"/>
  <c r="AO11" i="36"/>
  <c r="AN11" i="36"/>
  <c r="AM11" i="36"/>
  <c r="AL11" i="36"/>
  <c r="AK11" i="36"/>
  <c r="AJ11" i="36"/>
  <c r="AI11" i="36"/>
  <c r="AH11" i="36"/>
  <c r="AG11" i="36"/>
  <c r="AF11" i="36"/>
  <c r="AE11" i="36"/>
  <c r="AD11" i="36"/>
  <c r="AC11" i="36"/>
  <c r="AB11" i="36"/>
  <c r="AA11" i="36"/>
  <c r="Z11" i="36"/>
  <c r="Y11" i="36"/>
  <c r="X11" i="36"/>
  <c r="W11" i="36"/>
  <c r="V11" i="36"/>
  <c r="U11" i="36"/>
  <c r="T11" i="36"/>
  <c r="S11" i="36"/>
  <c r="R11" i="36"/>
  <c r="Q11" i="36"/>
  <c r="P11" i="36"/>
  <c r="O11" i="36"/>
  <c r="N11" i="36"/>
  <c r="M11" i="36"/>
  <c r="L11" i="36"/>
  <c r="J11" i="36"/>
  <c r="H11" i="36"/>
  <c r="BR10" i="36"/>
  <c r="BQ10" i="36"/>
  <c r="BP10" i="36"/>
  <c r="BO10" i="36"/>
  <c r="BN10" i="36"/>
  <c r="BM10" i="36"/>
  <c r="BL10" i="36"/>
  <c r="BK10" i="36"/>
  <c r="BJ10" i="36"/>
  <c r="BI10" i="36"/>
  <c r="BH10" i="36"/>
  <c r="BG10" i="36"/>
  <c r="BF10" i="36"/>
  <c r="BE10" i="36"/>
  <c r="BD10" i="36"/>
  <c r="BC10" i="36"/>
  <c r="BB10" i="36"/>
  <c r="BA10" i="36"/>
  <c r="AZ10" i="36"/>
  <c r="AY10" i="36"/>
  <c r="AX10" i="36"/>
  <c r="AW10" i="36"/>
  <c r="AV10" i="36"/>
  <c r="AU10" i="36"/>
  <c r="AT10" i="36"/>
  <c r="AS10" i="36"/>
  <c r="AR10" i="36"/>
  <c r="AQ10" i="36"/>
  <c r="AP10" i="36"/>
  <c r="AO10" i="36"/>
  <c r="AN10" i="36"/>
  <c r="AM10" i="36"/>
  <c r="AL10" i="36"/>
  <c r="AK10" i="36"/>
  <c r="AJ10" i="36"/>
  <c r="AI10" i="36"/>
  <c r="AH10" i="36"/>
  <c r="AG10" i="36"/>
  <c r="AF10" i="36"/>
  <c r="AE10" i="36"/>
  <c r="AD10" i="36"/>
  <c r="AC10" i="36"/>
  <c r="AB10" i="36"/>
  <c r="AA10" i="36"/>
  <c r="Z10" i="36"/>
  <c r="Y10" i="36"/>
  <c r="X10" i="36"/>
  <c r="W10" i="36"/>
  <c r="V10" i="36"/>
  <c r="U10" i="36"/>
  <c r="T10" i="36"/>
  <c r="S10" i="36"/>
  <c r="R10" i="36"/>
  <c r="Q10" i="36"/>
  <c r="P10" i="36"/>
  <c r="O10" i="36"/>
  <c r="N10" i="36"/>
  <c r="M10" i="36"/>
  <c r="L10" i="36"/>
  <c r="J10" i="36"/>
  <c r="H10" i="36"/>
  <c r="BR9" i="36"/>
  <c r="BQ9" i="36"/>
  <c r="BP9" i="36"/>
  <c r="BO9" i="36"/>
  <c r="BN9" i="36"/>
  <c r="BM9" i="36"/>
  <c r="BL9" i="36"/>
  <c r="BK9" i="36"/>
  <c r="BJ9" i="36"/>
  <c r="BI9" i="36"/>
  <c r="BH9" i="36"/>
  <c r="BG9" i="36"/>
  <c r="BF9" i="36"/>
  <c r="BE9" i="36"/>
  <c r="BD9" i="36"/>
  <c r="BC9" i="36"/>
  <c r="BB9" i="36"/>
  <c r="BA9" i="36"/>
  <c r="AZ9" i="36"/>
  <c r="AY9" i="36"/>
  <c r="AX9" i="36"/>
  <c r="AW9" i="36"/>
  <c r="AV9" i="36"/>
  <c r="AU9" i="36"/>
  <c r="AT9" i="36"/>
  <c r="AS9" i="36"/>
  <c r="AR9" i="36"/>
  <c r="AQ9" i="36"/>
  <c r="AP9" i="36"/>
  <c r="AO9" i="36"/>
  <c r="AN9" i="36"/>
  <c r="AM9" i="36"/>
  <c r="AL9" i="36"/>
  <c r="AK9" i="36"/>
  <c r="AJ9" i="36"/>
  <c r="AI9" i="36"/>
  <c r="AH9" i="36"/>
  <c r="AG9" i="36"/>
  <c r="AF9" i="36"/>
  <c r="AE9" i="36"/>
  <c r="AD9" i="36"/>
  <c r="AC9" i="36"/>
  <c r="AB9" i="36"/>
  <c r="AA9" i="36"/>
  <c r="Z9" i="36"/>
  <c r="Y9" i="36"/>
  <c r="X9" i="36"/>
  <c r="W9" i="36"/>
  <c r="V9" i="36"/>
  <c r="U9" i="36"/>
  <c r="T9" i="36"/>
  <c r="S9" i="36"/>
  <c r="R9" i="36"/>
  <c r="Q9" i="36"/>
  <c r="P9" i="36"/>
  <c r="O9" i="36"/>
  <c r="N9" i="36"/>
  <c r="M9" i="36"/>
  <c r="L9" i="36"/>
  <c r="J9" i="36"/>
  <c r="H9" i="36"/>
  <c r="BR8" i="36"/>
  <c r="BQ8" i="36"/>
  <c r="BP8" i="36"/>
  <c r="BO8" i="36"/>
  <c r="BN8" i="36"/>
  <c r="BM8" i="36"/>
  <c r="BL8" i="36"/>
  <c r="BK8" i="36"/>
  <c r="BJ8" i="36"/>
  <c r="BI8" i="36"/>
  <c r="BH8" i="36"/>
  <c r="BG8" i="36"/>
  <c r="BF8" i="36"/>
  <c r="BE8" i="36"/>
  <c r="BD8" i="36"/>
  <c r="BC8" i="36"/>
  <c r="BB8" i="36"/>
  <c r="BA8" i="36"/>
  <c r="AZ8" i="36"/>
  <c r="AY8" i="36"/>
  <c r="AX8" i="36"/>
  <c r="AW8" i="36"/>
  <c r="AV8" i="36"/>
  <c r="AU8" i="36"/>
  <c r="AT8" i="36"/>
  <c r="AS8" i="36"/>
  <c r="AR8" i="36"/>
  <c r="AQ8" i="36"/>
  <c r="AP8" i="36"/>
  <c r="AO8" i="36"/>
  <c r="AN8" i="36"/>
  <c r="AM8" i="36"/>
  <c r="AL8" i="36"/>
  <c r="AK8" i="36"/>
  <c r="AJ8" i="36"/>
  <c r="AI8" i="36"/>
  <c r="AH8" i="36"/>
  <c r="AG8" i="36"/>
  <c r="AF8" i="36"/>
  <c r="AE8" i="36"/>
  <c r="AD8" i="36"/>
  <c r="AC8" i="36"/>
  <c r="AB8" i="36"/>
  <c r="AA8" i="36"/>
  <c r="Z8" i="36"/>
  <c r="Y8" i="36"/>
  <c r="X8" i="36"/>
  <c r="W8" i="36"/>
  <c r="V8" i="36"/>
  <c r="U8" i="36"/>
  <c r="T8" i="36"/>
  <c r="S8" i="36"/>
  <c r="R8" i="36"/>
  <c r="Q8" i="36"/>
  <c r="P8" i="36"/>
  <c r="O8" i="36"/>
  <c r="N8" i="36"/>
  <c r="M8" i="36"/>
  <c r="L8" i="36"/>
  <c r="J8" i="36"/>
  <c r="H8" i="36"/>
  <c r="BR7" i="36"/>
  <c r="BQ7" i="36"/>
  <c r="BP7" i="36"/>
  <c r="BO7" i="36"/>
  <c r="BN7" i="36"/>
  <c r="BM7" i="36"/>
  <c r="BL7" i="36"/>
  <c r="BK7" i="36"/>
  <c r="BJ7" i="36"/>
  <c r="BI7" i="36"/>
  <c r="BH7" i="36"/>
  <c r="BG7" i="36"/>
  <c r="BF7" i="36"/>
  <c r="BE7" i="36"/>
  <c r="BD7" i="36"/>
  <c r="BC7" i="36"/>
  <c r="BB7" i="36"/>
  <c r="BA7" i="36"/>
  <c r="AZ7" i="36"/>
  <c r="AY7" i="36"/>
  <c r="AX7" i="36"/>
  <c r="AW7" i="36"/>
  <c r="AV7" i="36"/>
  <c r="AU7" i="36"/>
  <c r="AT7" i="36"/>
  <c r="AS7" i="36"/>
  <c r="AR7" i="36"/>
  <c r="AQ7" i="36"/>
  <c r="AP7" i="36"/>
  <c r="AO7" i="36"/>
  <c r="AN7" i="36"/>
  <c r="AM7" i="36"/>
  <c r="AL7" i="36"/>
  <c r="AK7" i="36"/>
  <c r="AJ7" i="36"/>
  <c r="AI7" i="36"/>
  <c r="AH7" i="36"/>
  <c r="AG7" i="36"/>
  <c r="AF7" i="36"/>
  <c r="AE7" i="36"/>
  <c r="AD7" i="36"/>
  <c r="AC7" i="36"/>
  <c r="AB7" i="36"/>
  <c r="AA7" i="36"/>
  <c r="Z7" i="36"/>
  <c r="Y7" i="36"/>
  <c r="X7" i="36"/>
  <c r="W7" i="36"/>
  <c r="V7" i="36"/>
  <c r="U7" i="36"/>
  <c r="T7" i="36"/>
  <c r="S7" i="36"/>
  <c r="R7" i="36"/>
  <c r="Q7" i="36"/>
  <c r="P7" i="36"/>
  <c r="O7" i="36"/>
  <c r="N7" i="36"/>
  <c r="M7" i="36"/>
  <c r="L7" i="36"/>
  <c r="J7" i="36"/>
  <c r="H7" i="36"/>
  <c r="BR6" i="36"/>
  <c r="BQ6" i="36"/>
  <c r="BP6" i="36"/>
  <c r="BO6" i="36"/>
  <c r="BN6" i="36"/>
  <c r="BM6" i="36"/>
  <c r="BL6" i="36"/>
  <c r="BK6" i="36"/>
  <c r="BJ6" i="36"/>
  <c r="BI6" i="36"/>
  <c r="BH6" i="36"/>
  <c r="BG6" i="36"/>
  <c r="BF6" i="36"/>
  <c r="BE6" i="36"/>
  <c r="BD6" i="36"/>
  <c r="BC6" i="36"/>
  <c r="BB6" i="36"/>
  <c r="BA6" i="36"/>
  <c r="AZ6" i="36"/>
  <c r="AY6" i="36"/>
  <c r="AX6" i="36"/>
  <c r="AW6" i="36"/>
  <c r="AV6" i="36"/>
  <c r="AU6" i="36"/>
  <c r="AT6" i="36"/>
  <c r="AS6" i="36"/>
  <c r="AR6" i="36"/>
  <c r="AQ6" i="36"/>
  <c r="AP6" i="36"/>
  <c r="AO6" i="36"/>
  <c r="AN6" i="36"/>
  <c r="AM6" i="36"/>
  <c r="AL6" i="36"/>
  <c r="AK6" i="36"/>
  <c r="AJ6" i="36"/>
  <c r="AI6" i="36"/>
  <c r="AH6" i="36"/>
  <c r="AG6" i="36"/>
  <c r="AF6" i="36"/>
  <c r="AE6" i="36"/>
  <c r="AD6" i="36"/>
  <c r="AC6" i="36"/>
  <c r="AB6" i="36"/>
  <c r="AA6" i="36"/>
  <c r="Z6" i="36"/>
  <c r="Y6" i="36"/>
  <c r="X6" i="36"/>
  <c r="W6" i="36"/>
  <c r="V6" i="36"/>
  <c r="U6" i="36"/>
  <c r="T6" i="36"/>
  <c r="S6" i="36"/>
  <c r="R6" i="36"/>
  <c r="Q6" i="36"/>
  <c r="P6" i="36"/>
  <c r="O6" i="36"/>
  <c r="N6" i="36"/>
  <c r="M6" i="36"/>
  <c r="L6" i="36"/>
  <c r="J6" i="36"/>
  <c r="H6" i="36"/>
  <c r="BR5" i="36"/>
  <c r="BQ5" i="36"/>
  <c r="BP5" i="36"/>
  <c r="BO5" i="36"/>
  <c r="BN5" i="36"/>
  <c r="BM5" i="36"/>
  <c r="BL5" i="36"/>
  <c r="BK5" i="36"/>
  <c r="BJ5" i="36"/>
  <c r="BI5" i="36"/>
  <c r="BH5" i="36"/>
  <c r="BG5" i="36"/>
  <c r="BF5" i="36"/>
  <c r="BE5" i="36"/>
  <c r="BD5" i="36"/>
  <c r="BC5" i="36"/>
  <c r="BB5" i="36"/>
  <c r="BA5" i="36"/>
  <c r="AZ5" i="36"/>
  <c r="AY5" i="36"/>
  <c r="AX5" i="36"/>
  <c r="AW5" i="36"/>
  <c r="AV5" i="36"/>
  <c r="AU5" i="36"/>
  <c r="AT5" i="36"/>
  <c r="AS5" i="36"/>
  <c r="AR5" i="36"/>
  <c r="AQ5" i="36"/>
  <c r="AP5" i="36"/>
  <c r="AO5" i="36"/>
  <c r="AN5" i="36"/>
  <c r="AM5" i="36"/>
  <c r="AL5" i="36"/>
  <c r="AK5" i="36"/>
  <c r="AJ5" i="36"/>
  <c r="AI5" i="36"/>
  <c r="AH5" i="36"/>
  <c r="AG5" i="36"/>
  <c r="AF5" i="36"/>
  <c r="AE5" i="36"/>
  <c r="AD5" i="36"/>
  <c r="AC5" i="36"/>
  <c r="AB5" i="36"/>
  <c r="AA5" i="36"/>
  <c r="Z5" i="36"/>
  <c r="Y5" i="36"/>
  <c r="X5" i="36"/>
  <c r="W5" i="36"/>
  <c r="V5" i="36"/>
  <c r="U5" i="36"/>
  <c r="T5" i="36"/>
  <c r="S5" i="36"/>
  <c r="R5" i="36"/>
  <c r="Q5" i="36"/>
  <c r="P5" i="36"/>
  <c r="O5" i="36"/>
  <c r="N5" i="36"/>
  <c r="M5" i="36"/>
  <c r="L5" i="36"/>
  <c r="J5" i="36"/>
  <c r="H5" i="36"/>
  <c r="BR4" i="36"/>
  <c r="BQ4" i="36"/>
  <c r="BP4" i="36"/>
  <c r="BO4" i="36"/>
  <c r="BN4" i="36"/>
  <c r="BM4" i="36"/>
  <c r="BL4" i="36"/>
  <c r="BK4" i="36"/>
  <c r="BJ4" i="36"/>
  <c r="BI4" i="36"/>
  <c r="BH4" i="36"/>
  <c r="BG4" i="36"/>
  <c r="BF4" i="36"/>
  <c r="BE4" i="36"/>
  <c r="BD4" i="36"/>
  <c r="BC4" i="36"/>
  <c r="BB4" i="36"/>
  <c r="BA4" i="36"/>
  <c r="AZ4" i="36"/>
  <c r="AY4" i="36"/>
  <c r="AX4" i="36"/>
  <c r="AW4" i="36"/>
  <c r="AV4" i="36"/>
  <c r="AU4" i="36"/>
  <c r="AT4" i="36"/>
  <c r="AS4" i="36"/>
  <c r="AR4" i="36"/>
  <c r="AQ4" i="36"/>
  <c r="AP4" i="36"/>
  <c r="AO4" i="36"/>
  <c r="AN4" i="36"/>
  <c r="AM4" i="36"/>
  <c r="AL4" i="36"/>
  <c r="AK4" i="36"/>
  <c r="AJ4" i="36"/>
  <c r="AI4" i="36"/>
  <c r="AH4" i="36"/>
  <c r="AG4" i="36"/>
  <c r="AF4" i="36"/>
  <c r="AE4" i="36"/>
  <c r="AD4" i="36"/>
  <c r="AC4" i="36"/>
  <c r="AB4" i="36"/>
  <c r="AA4" i="36"/>
  <c r="Z4" i="36"/>
  <c r="Y4" i="36"/>
  <c r="X4" i="36"/>
  <c r="W4" i="36"/>
  <c r="V4" i="36"/>
  <c r="U4" i="36"/>
  <c r="T4" i="36"/>
  <c r="S4" i="36"/>
  <c r="R4" i="36"/>
  <c r="Q4" i="36"/>
  <c r="P4" i="36"/>
  <c r="O4" i="36"/>
  <c r="N4" i="36"/>
  <c r="M4" i="36"/>
  <c r="L4" i="36"/>
  <c r="J4" i="36"/>
  <c r="H4" i="36"/>
  <c r="K18" i="35"/>
  <c r="J18" i="35"/>
  <c r="K17" i="35"/>
  <c r="J17" i="35"/>
  <c r="K16" i="35"/>
  <c r="J16" i="35"/>
  <c r="K15" i="35"/>
  <c r="J15" i="35"/>
  <c r="K14" i="35"/>
  <c r="J14" i="35"/>
  <c r="K13" i="35"/>
  <c r="J13" i="35"/>
  <c r="K12" i="35"/>
  <c r="J12" i="35"/>
  <c r="K11" i="35"/>
  <c r="J11" i="35"/>
  <c r="K10" i="35"/>
  <c r="J10" i="35"/>
  <c r="K9" i="35"/>
  <c r="J9" i="35"/>
  <c r="K8" i="35"/>
  <c r="J8" i="35"/>
  <c r="K7" i="35"/>
  <c r="J7" i="35"/>
  <c r="K6" i="35"/>
  <c r="J6" i="35"/>
  <c r="K5" i="35"/>
  <c r="J5" i="35"/>
  <c r="K4" i="35"/>
  <c r="J4" i="35"/>
  <c r="K18" i="34"/>
  <c r="J18" i="34"/>
  <c r="K17" i="34"/>
  <c r="J17" i="34"/>
  <c r="K16" i="34"/>
  <c r="J16" i="34"/>
  <c r="K15" i="34"/>
  <c r="J15" i="34"/>
  <c r="K14" i="34"/>
  <c r="J14" i="34"/>
  <c r="K13" i="34"/>
  <c r="J13" i="34"/>
  <c r="K12" i="34"/>
  <c r="J12" i="34"/>
  <c r="K11" i="34"/>
  <c r="J11" i="34"/>
  <c r="K10" i="34"/>
  <c r="J10" i="34"/>
  <c r="K9" i="34"/>
  <c r="J9" i="34"/>
  <c r="K8" i="34"/>
  <c r="J8" i="34"/>
  <c r="K7" i="34"/>
  <c r="J7" i="34"/>
  <c r="K6" i="34"/>
  <c r="J6" i="34"/>
  <c r="K5" i="34"/>
  <c r="J5" i="34"/>
  <c r="K4" i="34"/>
  <c r="J4" i="34"/>
  <c r="K18" i="33"/>
  <c r="J18" i="33"/>
  <c r="K17" i="33"/>
  <c r="J17" i="33"/>
  <c r="K16" i="33"/>
  <c r="J16" i="33"/>
  <c r="K15" i="33"/>
  <c r="J15" i="33"/>
  <c r="K14" i="33"/>
  <c r="J14" i="33"/>
  <c r="K13" i="33"/>
  <c r="J13" i="33"/>
  <c r="K12" i="33"/>
  <c r="J12" i="33"/>
  <c r="K11" i="33"/>
  <c r="J11" i="33"/>
  <c r="K10" i="33"/>
  <c r="J10" i="33"/>
  <c r="K9" i="33"/>
  <c r="J9" i="33"/>
  <c r="K8" i="33"/>
  <c r="J8" i="33"/>
  <c r="K7" i="33"/>
  <c r="J7" i="33"/>
  <c r="K6" i="33"/>
  <c r="J6" i="33"/>
  <c r="K5" i="33"/>
  <c r="J5" i="33"/>
  <c r="K4" i="33"/>
  <c r="J4" i="33"/>
  <c r="K18" i="32"/>
  <c r="J18" i="32"/>
  <c r="K17" i="32"/>
  <c r="J17" i="32"/>
  <c r="K16" i="32"/>
  <c r="J16" i="32"/>
  <c r="K15" i="32"/>
  <c r="J15" i="32"/>
  <c r="K14" i="32"/>
  <c r="J14" i="32"/>
  <c r="K13" i="32"/>
  <c r="J13" i="32"/>
  <c r="K12" i="32"/>
  <c r="J12" i="32"/>
  <c r="K11" i="32"/>
  <c r="J11" i="32"/>
  <c r="K10" i="32"/>
  <c r="J10" i="32"/>
  <c r="K9" i="32"/>
  <c r="J9" i="32"/>
  <c r="K8" i="32"/>
  <c r="J8" i="32"/>
  <c r="K7" i="32"/>
  <c r="J7" i="32"/>
  <c r="K6" i="32"/>
  <c r="J6" i="32"/>
  <c r="K5" i="32"/>
  <c r="J5" i="32"/>
  <c r="K4" i="32"/>
  <c r="J4" i="32"/>
  <c r="K18" i="31"/>
  <c r="J18" i="31"/>
  <c r="K17" i="31"/>
  <c r="J17" i="31"/>
  <c r="K16" i="31"/>
  <c r="J16" i="31"/>
  <c r="K15" i="31"/>
  <c r="J15" i="31"/>
  <c r="K14" i="31"/>
  <c r="J14" i="31"/>
  <c r="K13" i="31"/>
  <c r="J13" i="31"/>
  <c r="K12" i="31"/>
  <c r="J12" i="31"/>
  <c r="K11" i="31"/>
  <c r="J11" i="31"/>
  <c r="K10" i="31"/>
  <c r="J10" i="31"/>
  <c r="K9" i="31"/>
  <c r="J9" i="31"/>
  <c r="K8" i="31"/>
  <c r="J8" i="31"/>
  <c r="K7" i="31"/>
  <c r="J7" i="31"/>
  <c r="K6" i="31"/>
  <c r="J6" i="31"/>
  <c r="K5" i="31"/>
  <c r="J5" i="31"/>
  <c r="K4" i="31"/>
  <c r="J4" i="31"/>
  <c r="K18" i="30"/>
  <c r="J18" i="30"/>
  <c r="K17" i="30"/>
  <c r="J17" i="30"/>
  <c r="K16" i="30"/>
  <c r="J16" i="30"/>
  <c r="K15" i="30"/>
  <c r="J15" i="30"/>
  <c r="K14" i="30"/>
  <c r="J14" i="30"/>
  <c r="K13" i="30"/>
  <c r="J13" i="30"/>
  <c r="K12" i="30"/>
  <c r="J12" i="30"/>
  <c r="K11" i="30"/>
  <c r="J11" i="30"/>
  <c r="K10" i="30"/>
  <c r="J10" i="30"/>
  <c r="K9" i="30"/>
  <c r="J9" i="30"/>
  <c r="K8" i="30"/>
  <c r="J8" i="30"/>
  <c r="K7" i="30"/>
  <c r="J7" i="30"/>
  <c r="K6" i="30"/>
  <c r="J6" i="30"/>
  <c r="K5" i="30"/>
  <c r="J5" i="30"/>
  <c r="K4" i="30"/>
  <c r="J4" i="30"/>
  <c r="K18" i="29"/>
  <c r="J18" i="29"/>
  <c r="K17" i="29"/>
  <c r="J17" i="29"/>
  <c r="K16" i="29"/>
  <c r="J16" i="29"/>
  <c r="K15" i="29"/>
  <c r="J15" i="29"/>
  <c r="K14" i="29"/>
  <c r="J14" i="29"/>
  <c r="K13" i="29"/>
  <c r="J13" i="29"/>
  <c r="K12" i="29"/>
  <c r="J12" i="29"/>
  <c r="K11" i="29"/>
  <c r="J11" i="29"/>
  <c r="K10" i="29"/>
  <c r="J10" i="29"/>
  <c r="K9" i="29"/>
  <c r="J9" i="29"/>
  <c r="K8" i="29"/>
  <c r="J8" i="29"/>
  <c r="K7" i="29"/>
  <c r="J7" i="29"/>
  <c r="K6" i="29"/>
  <c r="J6" i="29"/>
  <c r="K5" i="29"/>
  <c r="J5" i="29"/>
  <c r="K4" i="29"/>
  <c r="J4" i="29"/>
  <c r="H88" i="28"/>
  <c r="E85" i="28"/>
  <c r="D85" i="28"/>
  <c r="C85" i="28"/>
  <c r="B85" i="28"/>
  <c r="A85" i="28"/>
  <c r="E84" i="28"/>
  <c r="D84" i="28"/>
  <c r="C84" i="28"/>
  <c r="B84" i="28"/>
  <c r="A84" i="28"/>
  <c r="E83" i="28"/>
  <c r="D83" i="28"/>
  <c r="C83" i="28"/>
  <c r="B83" i="28"/>
  <c r="A83" i="28"/>
  <c r="E82" i="28"/>
  <c r="D82" i="28"/>
  <c r="C82" i="28"/>
  <c r="B82" i="28"/>
  <c r="A82" i="28"/>
  <c r="E81" i="28"/>
  <c r="D81" i="28"/>
  <c r="C81" i="28"/>
  <c r="B81" i="28"/>
  <c r="A81" i="28"/>
  <c r="E80" i="28"/>
  <c r="D80" i="28"/>
  <c r="C80" i="28"/>
  <c r="B80" i="28"/>
  <c r="A80" i="28"/>
  <c r="E79" i="28"/>
  <c r="D79" i="28"/>
  <c r="C79" i="28"/>
  <c r="B79" i="28"/>
  <c r="A79" i="28"/>
  <c r="E78" i="28"/>
  <c r="D78" i="28"/>
  <c r="C78" i="28"/>
  <c r="B78" i="28"/>
  <c r="A78" i="28"/>
  <c r="E77" i="28"/>
  <c r="D77" i="28"/>
  <c r="C77" i="28"/>
  <c r="B77" i="28"/>
  <c r="A77" i="28"/>
  <c r="E76" i="28"/>
  <c r="D76" i="28"/>
  <c r="C76" i="28"/>
  <c r="B76" i="28"/>
  <c r="A76" i="28"/>
  <c r="E75" i="28"/>
  <c r="D75" i="28"/>
  <c r="C75" i="28"/>
  <c r="B75" i="28"/>
  <c r="A75" i="28"/>
  <c r="E74" i="28"/>
  <c r="D74" i="28"/>
  <c r="C74" i="28"/>
  <c r="B74" i="28"/>
  <c r="A74" i="28"/>
  <c r="E73" i="28"/>
  <c r="D73" i="28"/>
  <c r="C73" i="28"/>
  <c r="B73" i="28"/>
  <c r="A73" i="28"/>
  <c r="E72" i="28"/>
  <c r="D72" i="28"/>
  <c r="C72" i="28"/>
  <c r="B72" i="28"/>
  <c r="A72" i="28"/>
  <c r="E71" i="28"/>
  <c r="D71" i="28"/>
  <c r="C71" i="28"/>
  <c r="B71" i="28"/>
  <c r="A71" i="28"/>
  <c r="E70" i="28"/>
  <c r="D70" i="28"/>
  <c r="C70" i="28"/>
  <c r="B70" i="28"/>
  <c r="A70" i="28"/>
  <c r="E69" i="28"/>
  <c r="D69" i="28"/>
  <c r="C69" i="28"/>
  <c r="B69" i="28"/>
  <c r="A69" i="28"/>
  <c r="E68" i="28"/>
  <c r="D68" i="28"/>
  <c r="C68" i="28"/>
  <c r="B68" i="28"/>
  <c r="A68" i="28"/>
  <c r="E67" i="28"/>
  <c r="D67" i="28"/>
  <c r="C67" i="28"/>
  <c r="B67" i="28"/>
  <c r="A67" i="28"/>
  <c r="E66" i="28"/>
  <c r="D66" i="28"/>
  <c r="C66" i="28"/>
  <c r="B66" i="28"/>
  <c r="A66" i="28"/>
  <c r="E65" i="28"/>
  <c r="D65" i="28"/>
  <c r="C65" i="28"/>
  <c r="B65" i="28"/>
  <c r="A65" i="28"/>
  <c r="E64" i="28"/>
  <c r="D64" i="28"/>
  <c r="C64" i="28"/>
  <c r="B64" i="28"/>
  <c r="A64" i="28"/>
  <c r="E63" i="28"/>
  <c r="D63" i="28"/>
  <c r="C63" i="28"/>
  <c r="B63" i="28"/>
  <c r="A63" i="28"/>
  <c r="E62" i="28"/>
  <c r="D62" i="28"/>
  <c r="C62" i="28"/>
  <c r="B62" i="28"/>
  <c r="A62" i="28"/>
  <c r="E61" i="28"/>
  <c r="D61" i="28"/>
  <c r="C61" i="28"/>
  <c r="B61" i="28"/>
  <c r="A61" i="28"/>
  <c r="E60" i="28"/>
  <c r="D60" i="28"/>
  <c r="C60" i="28"/>
  <c r="B60" i="28"/>
  <c r="A60" i="28"/>
  <c r="E59" i="28"/>
  <c r="D59" i="28"/>
  <c r="C59" i="28"/>
  <c r="B59" i="28"/>
  <c r="A59" i="28"/>
  <c r="E58" i="28"/>
  <c r="D58" i="28"/>
  <c r="C58" i="28"/>
  <c r="B58" i="28"/>
  <c r="A58" i="28"/>
  <c r="E57" i="28"/>
  <c r="D57" i="28"/>
  <c r="C57" i="28"/>
  <c r="B57" i="28"/>
  <c r="A57" i="28"/>
  <c r="E56" i="28"/>
  <c r="D56" i="28"/>
  <c r="C56" i="28"/>
  <c r="B56" i="28"/>
  <c r="A56" i="28"/>
  <c r="E55" i="28"/>
  <c r="D55" i="28"/>
  <c r="C55" i="28"/>
  <c r="B55" i="28"/>
  <c r="A55" i="28"/>
  <c r="E54" i="28"/>
  <c r="D54" i="28"/>
  <c r="C54" i="28"/>
  <c r="B54" i="28"/>
  <c r="A54" i="28"/>
  <c r="E53" i="28"/>
  <c r="D53" i="28"/>
  <c r="C53" i="28"/>
  <c r="B53" i="28"/>
  <c r="A53" i="28"/>
  <c r="E52" i="28"/>
  <c r="D52" i="28"/>
  <c r="C52" i="28"/>
  <c r="B52" i="28"/>
  <c r="A52" i="28"/>
  <c r="E51" i="28"/>
  <c r="D51" i="28"/>
  <c r="C51" i="28"/>
  <c r="B51" i="28"/>
  <c r="A51" i="28"/>
  <c r="E50" i="28"/>
  <c r="D50" i="28"/>
  <c r="C50" i="28"/>
  <c r="B50" i="28"/>
  <c r="A50" i="28"/>
  <c r="E49" i="28"/>
  <c r="D49" i="28"/>
  <c r="C49" i="28"/>
  <c r="B49" i="28"/>
  <c r="A49" i="28"/>
  <c r="E48" i="28"/>
  <c r="D48" i="28"/>
  <c r="C48" i="28"/>
  <c r="B48" i="28"/>
  <c r="A48" i="28"/>
  <c r="E47" i="28"/>
  <c r="D47" i="28"/>
  <c r="C47" i="28"/>
  <c r="B47" i="28"/>
  <c r="A47" i="28"/>
  <c r="E46" i="28"/>
  <c r="D46" i="28"/>
  <c r="C46" i="28"/>
  <c r="B46" i="28"/>
  <c r="A46" i="28"/>
  <c r="E45" i="28"/>
  <c r="D45" i="28"/>
  <c r="C45" i="28"/>
  <c r="B45" i="28"/>
  <c r="A45" i="28"/>
  <c r="E44" i="28"/>
  <c r="D44" i="28"/>
  <c r="C44" i="28"/>
  <c r="B44" i="28"/>
  <c r="A44" i="28"/>
  <c r="E43" i="28"/>
  <c r="D43" i="28"/>
  <c r="C43" i="28"/>
  <c r="B43" i="28"/>
  <c r="A43" i="28"/>
  <c r="E42" i="28"/>
  <c r="D42" i="28"/>
  <c r="C42" i="28"/>
  <c r="B42" i="28"/>
  <c r="A42" i="28"/>
  <c r="E41" i="28"/>
  <c r="D41" i="28"/>
  <c r="C41" i="28"/>
  <c r="B41" i="28"/>
  <c r="A41" i="28"/>
  <c r="E40" i="28"/>
  <c r="D40" i="28"/>
  <c r="C40" i="28"/>
  <c r="B40" i="28"/>
  <c r="A40" i="28"/>
  <c r="E39" i="28"/>
  <c r="D39" i="28"/>
  <c r="C39" i="28"/>
  <c r="B39" i="28"/>
  <c r="A39" i="28"/>
  <c r="E38" i="28"/>
  <c r="D38" i="28"/>
  <c r="C38" i="28"/>
  <c r="B38" i="28"/>
  <c r="A38" i="28"/>
  <c r="E37" i="28"/>
  <c r="D37" i="28"/>
  <c r="C37" i="28"/>
  <c r="B37" i="28"/>
  <c r="A37" i="28"/>
  <c r="E36" i="28"/>
  <c r="D36" i="28"/>
  <c r="C36" i="28"/>
  <c r="B36" i="28"/>
  <c r="A36" i="28"/>
  <c r="E35" i="28"/>
  <c r="D35" i="28"/>
  <c r="C35" i="28"/>
  <c r="B35" i="28"/>
  <c r="A35" i="28"/>
  <c r="E34" i="28"/>
  <c r="D34" i="28"/>
  <c r="C34" i="28"/>
  <c r="B34" i="28"/>
  <c r="A34" i="28"/>
  <c r="E33" i="28"/>
  <c r="D33" i="28"/>
  <c r="C33" i="28"/>
  <c r="B33" i="28"/>
  <c r="A33" i="28"/>
  <c r="E32" i="28"/>
  <c r="D32" i="28"/>
  <c r="C32" i="28"/>
  <c r="B32" i="28"/>
  <c r="A32" i="28"/>
  <c r="E31" i="28"/>
  <c r="D31" i="28"/>
  <c r="C31" i="28"/>
  <c r="B31" i="28"/>
  <c r="A31" i="28"/>
  <c r="E30" i="28"/>
  <c r="D30" i="28"/>
  <c r="C30" i="28"/>
  <c r="B30" i="28"/>
  <c r="A30" i="28"/>
  <c r="E29" i="28"/>
  <c r="D29" i="28"/>
  <c r="C29" i="28"/>
  <c r="B29" i="28"/>
  <c r="A29" i="28"/>
  <c r="E28" i="28"/>
  <c r="D28" i="28"/>
  <c r="C28" i="28"/>
  <c r="B28" i="28"/>
  <c r="A28" i="28"/>
  <c r="E27" i="28"/>
  <c r="D27" i="28"/>
  <c r="C27" i="28"/>
  <c r="B27" i="28"/>
  <c r="A27" i="28"/>
  <c r="E26" i="28"/>
  <c r="D26" i="28"/>
  <c r="C26" i="28"/>
  <c r="B26" i="28"/>
  <c r="A26" i="28"/>
  <c r="E25" i="28"/>
  <c r="D25" i="28"/>
  <c r="C25" i="28"/>
  <c r="B25" i="28"/>
  <c r="A25" i="28"/>
  <c r="E24" i="28"/>
  <c r="D24" i="28"/>
  <c r="C24" i="28"/>
  <c r="B24" i="28"/>
  <c r="A24" i="28"/>
  <c r="E23" i="28"/>
  <c r="D23" i="28"/>
  <c r="C23" i="28"/>
  <c r="B23" i="28"/>
  <c r="A23" i="28"/>
  <c r="E22" i="28"/>
  <c r="D22" i="28"/>
  <c r="C22" i="28"/>
  <c r="B22" i="28"/>
  <c r="A22" i="28"/>
  <c r="E21" i="28"/>
  <c r="D21" i="28"/>
  <c r="C21" i="28"/>
  <c r="B21" i="28"/>
  <c r="A21" i="28"/>
  <c r="E20" i="28"/>
  <c r="D20" i="28"/>
  <c r="C20" i="28"/>
  <c r="B20" i="28"/>
  <c r="A20" i="28"/>
  <c r="E19" i="28"/>
  <c r="D19" i="28"/>
  <c r="C19" i="28"/>
  <c r="B19" i="28"/>
  <c r="A19" i="28"/>
  <c r="E18" i="28"/>
  <c r="D18" i="28"/>
  <c r="C18" i="28"/>
  <c r="B18" i="28"/>
  <c r="A18" i="28"/>
  <c r="E17" i="28"/>
  <c r="D17" i="28"/>
  <c r="C17" i="28"/>
  <c r="B17" i="28"/>
  <c r="A17" i="28"/>
  <c r="E16" i="28"/>
  <c r="D16" i="28"/>
  <c r="C16" i="28"/>
  <c r="B16" i="28"/>
  <c r="A16" i="28"/>
  <c r="E15" i="28"/>
  <c r="D15" i="28"/>
  <c r="C15" i="28"/>
  <c r="B15" i="28"/>
  <c r="A15" i="28"/>
  <c r="E14" i="28"/>
  <c r="D14" i="28"/>
  <c r="C14" i="28"/>
  <c r="B14" i="28"/>
  <c r="A14" i="28"/>
  <c r="E13" i="28"/>
  <c r="D13" i="28"/>
  <c r="C13" i="28"/>
  <c r="B13" i="28"/>
  <c r="A13" i="28"/>
  <c r="E12" i="28"/>
  <c r="D12" i="28"/>
  <c r="C12" i="28"/>
  <c r="B12" i="28"/>
  <c r="A12" i="28"/>
  <c r="E11" i="28"/>
  <c r="D11" i="28"/>
  <c r="C11" i="28"/>
  <c r="B11" i="28"/>
  <c r="A11" i="28"/>
  <c r="E10" i="28"/>
  <c r="D10" i="28"/>
  <c r="C10" i="28"/>
  <c r="B10" i="28"/>
  <c r="A10" i="28"/>
  <c r="E9" i="28"/>
  <c r="D9" i="28"/>
  <c r="C9" i="28"/>
  <c r="B9" i="28"/>
  <c r="A9" i="28"/>
  <c r="E8" i="28"/>
  <c r="D8" i="28"/>
  <c r="C8" i="28"/>
  <c r="B8" i="28"/>
  <c r="A8" i="28"/>
  <c r="E7" i="28"/>
  <c r="D7" i="28"/>
  <c r="C7" i="28"/>
  <c r="B7" i="28"/>
  <c r="A7" i="28"/>
  <c r="E6" i="28"/>
  <c r="D6" i="28"/>
  <c r="C6" i="28"/>
  <c r="B6" i="28"/>
  <c r="A6" i="28"/>
  <c r="E5" i="28"/>
  <c r="D5" i="28"/>
  <c r="C5" i="28"/>
  <c r="B5" i="28"/>
  <c r="A5" i="28"/>
  <c r="E4" i="28"/>
  <c r="D4" i="28"/>
  <c r="C4" i="28"/>
  <c r="B4" i="28"/>
  <c r="A4" i="28"/>
  <c r="E3" i="28"/>
  <c r="D3" i="28"/>
  <c r="C3" i="28"/>
  <c r="B3" i="28"/>
  <c r="A3" i="28"/>
  <c r="C8" i="27"/>
  <c r="A8" i="27"/>
  <c r="C7" i="27"/>
  <c r="A7" i="27"/>
  <c r="C6" i="27"/>
  <c r="A6" i="27"/>
  <c r="C5" i="27"/>
  <c r="A5" i="27"/>
  <c r="C4" i="27"/>
  <c r="A4" i="27"/>
  <c r="C72" i="26"/>
  <c r="B72" i="26"/>
  <c r="A72" i="26"/>
  <c r="C71" i="26"/>
  <c r="B71" i="26"/>
  <c r="A71" i="26"/>
  <c r="C70" i="26"/>
  <c r="B70" i="26"/>
  <c r="A70" i="26"/>
  <c r="C69" i="26"/>
  <c r="B69" i="26"/>
  <c r="A69" i="26"/>
  <c r="C68" i="26"/>
  <c r="B68" i="26"/>
  <c r="A68" i="26"/>
  <c r="C67" i="26"/>
  <c r="B67" i="26"/>
  <c r="A67" i="26"/>
  <c r="C66" i="26"/>
  <c r="B66" i="26"/>
  <c r="A66" i="26"/>
  <c r="C65" i="26"/>
  <c r="B65" i="26"/>
  <c r="A65" i="26"/>
  <c r="C64" i="26"/>
  <c r="B64" i="26"/>
  <c r="A64" i="26"/>
  <c r="C63" i="26"/>
  <c r="B63" i="26"/>
  <c r="A63" i="26"/>
  <c r="C62" i="26"/>
  <c r="B62" i="26"/>
  <c r="A62" i="26"/>
  <c r="C61" i="26"/>
  <c r="B61" i="26"/>
  <c r="A61" i="26"/>
  <c r="C60" i="26"/>
  <c r="B60" i="26"/>
  <c r="A60" i="26"/>
  <c r="C59" i="26"/>
  <c r="B59" i="26"/>
  <c r="A59" i="26"/>
  <c r="C58" i="26"/>
  <c r="B58" i="26"/>
  <c r="A58" i="26"/>
  <c r="C57" i="26"/>
  <c r="B57" i="26"/>
  <c r="A57" i="26"/>
  <c r="C56" i="26"/>
  <c r="B56" i="26"/>
  <c r="A56" i="26"/>
  <c r="C55" i="26"/>
  <c r="B55" i="26"/>
  <c r="A55" i="26"/>
  <c r="C54" i="26"/>
  <c r="B54" i="26"/>
  <c r="A54" i="26"/>
  <c r="C53" i="26"/>
  <c r="B53" i="26"/>
  <c r="A53" i="26"/>
  <c r="C52" i="26"/>
  <c r="B52" i="26"/>
  <c r="A52" i="26"/>
  <c r="C51" i="26"/>
  <c r="B51" i="26"/>
  <c r="A51" i="26"/>
  <c r="C50" i="26"/>
  <c r="B50" i="26"/>
  <c r="A50" i="26"/>
  <c r="C49" i="26"/>
  <c r="B49" i="26"/>
  <c r="A49" i="26"/>
  <c r="C48" i="26"/>
  <c r="B48" i="26"/>
  <c r="A48" i="26"/>
  <c r="C47" i="26"/>
  <c r="B47" i="26"/>
  <c r="A47" i="26"/>
  <c r="C46" i="26"/>
  <c r="B46" i="26"/>
  <c r="A46" i="26"/>
  <c r="C45" i="26"/>
  <c r="B45" i="26"/>
  <c r="A45" i="26"/>
  <c r="C44" i="26"/>
  <c r="B44" i="26"/>
  <c r="A44" i="26"/>
  <c r="C43" i="26"/>
  <c r="B43" i="26"/>
  <c r="A43" i="26"/>
  <c r="C42" i="26"/>
  <c r="B42" i="26"/>
  <c r="A42" i="26"/>
  <c r="C41" i="26"/>
  <c r="B41" i="26"/>
  <c r="A41" i="26"/>
  <c r="C40" i="26"/>
  <c r="B40" i="26"/>
  <c r="A40" i="26"/>
  <c r="C39" i="26"/>
  <c r="B39" i="26"/>
  <c r="A39" i="26"/>
  <c r="C38" i="26"/>
  <c r="B38" i="26"/>
  <c r="A38" i="26"/>
  <c r="C37" i="26"/>
  <c r="B37" i="26"/>
  <c r="A37" i="26"/>
  <c r="C36" i="26"/>
  <c r="B36" i="26"/>
  <c r="A36" i="26"/>
  <c r="C35" i="26"/>
  <c r="B35" i="26"/>
  <c r="A35" i="26"/>
  <c r="C34" i="26"/>
  <c r="B34" i="26"/>
  <c r="A34" i="26"/>
  <c r="C33" i="26"/>
  <c r="B33" i="26"/>
  <c r="A33" i="26"/>
  <c r="C32" i="26"/>
  <c r="B32" i="26"/>
  <c r="A32" i="26"/>
  <c r="C31" i="26"/>
  <c r="B31" i="26"/>
  <c r="A31" i="26"/>
  <c r="C30" i="26"/>
  <c r="B30" i="26"/>
  <c r="A30" i="26"/>
  <c r="C29" i="26"/>
  <c r="B29" i="26"/>
  <c r="A29" i="26"/>
  <c r="C28" i="26"/>
  <c r="B28" i="26"/>
  <c r="A28" i="26"/>
  <c r="C27" i="26"/>
  <c r="B27" i="26"/>
  <c r="A27" i="26"/>
  <c r="C26" i="26"/>
  <c r="B26" i="26"/>
  <c r="A26" i="26"/>
  <c r="C25" i="26"/>
  <c r="B25" i="26"/>
  <c r="A25" i="26"/>
  <c r="C24" i="26"/>
  <c r="B24" i="26"/>
  <c r="A24" i="26"/>
  <c r="C23" i="26"/>
  <c r="B23" i="26"/>
  <c r="A23" i="26"/>
  <c r="C22" i="26"/>
  <c r="B22" i="26"/>
  <c r="A22" i="26"/>
  <c r="C21" i="26"/>
  <c r="B21" i="26"/>
  <c r="A21" i="26"/>
  <c r="C20" i="26"/>
  <c r="B20" i="26"/>
  <c r="A20" i="26"/>
  <c r="C19" i="26"/>
  <c r="B19" i="26"/>
  <c r="A19" i="26"/>
  <c r="C18" i="26"/>
  <c r="B18" i="26"/>
  <c r="A18" i="26"/>
  <c r="C17" i="26"/>
  <c r="B17" i="26"/>
  <c r="A17" i="26"/>
  <c r="C16" i="26"/>
  <c r="B16" i="26"/>
  <c r="A16" i="26"/>
  <c r="C15" i="26"/>
  <c r="B15" i="26"/>
  <c r="A15" i="26"/>
  <c r="C14" i="26"/>
  <c r="B14" i="26"/>
  <c r="A14" i="26"/>
  <c r="C13" i="26"/>
  <c r="B13" i="26"/>
  <c r="A13" i="26"/>
  <c r="C12" i="26"/>
  <c r="B12" i="26"/>
  <c r="A12" i="26"/>
  <c r="C11" i="26"/>
  <c r="B11" i="26"/>
  <c r="A11" i="26"/>
  <c r="C10" i="26"/>
  <c r="B10" i="26"/>
  <c r="A10" i="26"/>
  <c r="C9" i="26"/>
  <c r="B9" i="26"/>
  <c r="A9" i="26"/>
  <c r="C8" i="26"/>
  <c r="B8" i="26"/>
  <c r="A8" i="26"/>
  <c r="C7" i="26"/>
  <c r="B7" i="26"/>
  <c r="A7" i="26"/>
  <c r="C6" i="26"/>
  <c r="B6" i="26"/>
  <c r="A6" i="26"/>
  <c r="C5" i="26"/>
  <c r="B5" i="26"/>
  <c r="A5" i="26"/>
  <c r="C4" i="26"/>
  <c r="B4" i="26"/>
  <c r="A4" i="26"/>
  <c r="C3" i="26"/>
  <c r="B3" i="26"/>
  <c r="A3" i="26"/>
  <c r="B2" i="25"/>
  <c r="E2" i="25" s="1"/>
  <c r="B7" i="24"/>
  <c r="B6" i="24"/>
  <c r="E72" i="23"/>
  <c r="D72" i="23"/>
  <c r="C72" i="23"/>
  <c r="B72" i="23"/>
  <c r="A72" i="23"/>
  <c r="E71" i="23"/>
  <c r="D71" i="23"/>
  <c r="C71" i="23"/>
  <c r="B71" i="23"/>
  <c r="A71" i="23"/>
  <c r="E70" i="23"/>
  <c r="D70" i="23"/>
  <c r="C70" i="23"/>
  <c r="B70" i="23"/>
  <c r="A70" i="23"/>
  <c r="E69" i="23"/>
  <c r="D69" i="23"/>
  <c r="C69" i="23"/>
  <c r="B69" i="23"/>
  <c r="A69" i="23"/>
  <c r="E68" i="23"/>
  <c r="D68" i="23"/>
  <c r="C68" i="23"/>
  <c r="B68" i="23"/>
  <c r="A68" i="23"/>
  <c r="E67" i="23"/>
  <c r="D67" i="23"/>
  <c r="C67" i="23"/>
  <c r="B67" i="23"/>
  <c r="A67" i="23"/>
  <c r="E66" i="23"/>
  <c r="D66" i="23"/>
  <c r="C66" i="23"/>
  <c r="B66" i="23"/>
  <c r="A66" i="23"/>
  <c r="E65" i="23"/>
  <c r="D65" i="23"/>
  <c r="C65" i="23"/>
  <c r="B65" i="23"/>
  <c r="A65" i="23"/>
  <c r="E64" i="23"/>
  <c r="D64" i="23"/>
  <c r="C64" i="23"/>
  <c r="B64" i="23"/>
  <c r="A64" i="23"/>
  <c r="E63" i="23"/>
  <c r="D63" i="23"/>
  <c r="C63" i="23"/>
  <c r="B63" i="23"/>
  <c r="A63" i="23"/>
  <c r="E62" i="23"/>
  <c r="D62" i="23"/>
  <c r="C62" i="23"/>
  <c r="B62" i="23"/>
  <c r="A62" i="23"/>
  <c r="E61" i="23"/>
  <c r="D61" i="23"/>
  <c r="C61" i="23"/>
  <c r="B61" i="23"/>
  <c r="A61" i="23"/>
  <c r="E60" i="23"/>
  <c r="D60" i="23"/>
  <c r="C60" i="23"/>
  <c r="B60" i="23"/>
  <c r="A60" i="23"/>
  <c r="E59" i="23"/>
  <c r="D59" i="23"/>
  <c r="C59" i="23"/>
  <c r="B59" i="23"/>
  <c r="A59" i="23"/>
  <c r="E58" i="23"/>
  <c r="D58" i="23"/>
  <c r="C58" i="23"/>
  <c r="B58" i="23"/>
  <c r="A58" i="23"/>
  <c r="E57" i="23"/>
  <c r="D57" i="23"/>
  <c r="C57" i="23"/>
  <c r="B57" i="23"/>
  <c r="A57" i="23"/>
  <c r="E56" i="23"/>
  <c r="D56" i="23"/>
  <c r="C56" i="23"/>
  <c r="B56" i="23"/>
  <c r="A56" i="23"/>
  <c r="E55" i="23"/>
  <c r="D55" i="23"/>
  <c r="C55" i="23"/>
  <c r="B55" i="23"/>
  <c r="A55" i="23"/>
  <c r="E54" i="23"/>
  <c r="D54" i="23"/>
  <c r="C54" i="23"/>
  <c r="B54" i="23"/>
  <c r="A54" i="23"/>
  <c r="E53" i="23"/>
  <c r="D53" i="23"/>
  <c r="C53" i="23"/>
  <c r="B53" i="23"/>
  <c r="A53" i="23"/>
  <c r="E52" i="23"/>
  <c r="D52" i="23"/>
  <c r="C52" i="23"/>
  <c r="B52" i="23"/>
  <c r="A52" i="23"/>
  <c r="E51" i="23"/>
  <c r="D51" i="23"/>
  <c r="C51" i="23"/>
  <c r="B51" i="23"/>
  <c r="A51" i="23"/>
  <c r="E50" i="23"/>
  <c r="D50" i="23"/>
  <c r="C50" i="23"/>
  <c r="B50" i="23"/>
  <c r="A50" i="23"/>
  <c r="E49" i="23"/>
  <c r="D49" i="23"/>
  <c r="C49" i="23"/>
  <c r="B49" i="23"/>
  <c r="A49" i="23"/>
  <c r="E48" i="23"/>
  <c r="D48" i="23"/>
  <c r="C48" i="23"/>
  <c r="B48" i="23"/>
  <c r="A48" i="23"/>
  <c r="E47" i="23"/>
  <c r="D47" i="23"/>
  <c r="C47" i="23"/>
  <c r="B47" i="23"/>
  <c r="A47" i="23"/>
  <c r="E46" i="23"/>
  <c r="D46" i="23"/>
  <c r="C46" i="23"/>
  <c r="B46" i="23"/>
  <c r="A46" i="23"/>
  <c r="E45" i="23"/>
  <c r="D45" i="23"/>
  <c r="C45" i="23"/>
  <c r="B45" i="23"/>
  <c r="A45" i="23"/>
  <c r="E44" i="23"/>
  <c r="D44" i="23"/>
  <c r="C44" i="23"/>
  <c r="B44" i="23"/>
  <c r="A44" i="23"/>
  <c r="E43" i="23"/>
  <c r="D43" i="23"/>
  <c r="C43" i="23"/>
  <c r="B43" i="23"/>
  <c r="A43" i="23"/>
  <c r="E42" i="23"/>
  <c r="D42" i="23"/>
  <c r="C42" i="23"/>
  <c r="B42" i="23"/>
  <c r="A42" i="23"/>
  <c r="E41" i="23"/>
  <c r="D41" i="23"/>
  <c r="C41" i="23"/>
  <c r="B41" i="23"/>
  <c r="A41" i="23"/>
  <c r="E40" i="23"/>
  <c r="D40" i="23"/>
  <c r="C40" i="23"/>
  <c r="B40" i="23"/>
  <c r="A40" i="23"/>
  <c r="E39" i="23"/>
  <c r="D39" i="23"/>
  <c r="C39" i="23"/>
  <c r="B39" i="23"/>
  <c r="A39" i="23"/>
  <c r="E38" i="23"/>
  <c r="D38" i="23"/>
  <c r="C38" i="23"/>
  <c r="B38" i="23"/>
  <c r="A38" i="23"/>
  <c r="E37" i="23"/>
  <c r="D37" i="23"/>
  <c r="C37" i="23"/>
  <c r="B37" i="23"/>
  <c r="A37" i="23"/>
  <c r="E36" i="23"/>
  <c r="D36" i="23"/>
  <c r="C36" i="23"/>
  <c r="B36" i="23"/>
  <c r="A36" i="23"/>
  <c r="E35" i="23"/>
  <c r="D35" i="23"/>
  <c r="C35" i="23"/>
  <c r="B35" i="23"/>
  <c r="A35" i="23"/>
  <c r="E34" i="23"/>
  <c r="D34" i="23"/>
  <c r="C34" i="23"/>
  <c r="B34" i="23"/>
  <c r="A34" i="23"/>
  <c r="E33" i="23"/>
  <c r="D33" i="23"/>
  <c r="C33" i="23"/>
  <c r="B33" i="23"/>
  <c r="A33" i="23"/>
  <c r="E32" i="23"/>
  <c r="D32" i="23"/>
  <c r="C32" i="23"/>
  <c r="B32" i="23"/>
  <c r="A32" i="23"/>
  <c r="E31" i="23"/>
  <c r="D31" i="23"/>
  <c r="C31" i="23"/>
  <c r="B31" i="23"/>
  <c r="A31" i="23"/>
  <c r="E30" i="23"/>
  <c r="D30" i="23"/>
  <c r="C30" i="23"/>
  <c r="B30" i="23"/>
  <c r="A30" i="23"/>
  <c r="E29" i="23"/>
  <c r="D29" i="23"/>
  <c r="C29" i="23"/>
  <c r="B29" i="23"/>
  <c r="A29" i="23"/>
  <c r="E28" i="23"/>
  <c r="D28" i="23"/>
  <c r="C28" i="23"/>
  <c r="B28" i="23"/>
  <c r="A28" i="23"/>
  <c r="E27" i="23"/>
  <c r="D27" i="23"/>
  <c r="C27" i="23"/>
  <c r="B27" i="23"/>
  <c r="A27" i="23"/>
  <c r="E26" i="23"/>
  <c r="D26" i="23"/>
  <c r="C26" i="23"/>
  <c r="B26" i="23"/>
  <c r="A26" i="23"/>
  <c r="E25" i="23"/>
  <c r="D25" i="23"/>
  <c r="C25" i="23"/>
  <c r="B25" i="23"/>
  <c r="A25" i="23"/>
  <c r="E24" i="23"/>
  <c r="D24" i="23"/>
  <c r="C24" i="23"/>
  <c r="B24" i="23"/>
  <c r="A24" i="23"/>
  <c r="E23" i="23"/>
  <c r="D23" i="23"/>
  <c r="C23" i="23"/>
  <c r="B23" i="23"/>
  <c r="A23" i="23"/>
  <c r="E22" i="23"/>
  <c r="D22" i="23"/>
  <c r="C22" i="23"/>
  <c r="B22" i="23"/>
  <c r="A22" i="23"/>
  <c r="E21" i="23"/>
  <c r="D21" i="23"/>
  <c r="C21" i="23"/>
  <c r="B21" i="23"/>
  <c r="A21" i="23"/>
  <c r="E20" i="23"/>
  <c r="D20" i="23"/>
  <c r="C20" i="23"/>
  <c r="B20" i="23"/>
  <c r="A20" i="23"/>
  <c r="E19" i="23"/>
  <c r="D19" i="23"/>
  <c r="C19" i="23"/>
  <c r="B19" i="23"/>
  <c r="A19" i="23"/>
  <c r="E18" i="23"/>
  <c r="D18" i="23"/>
  <c r="C18" i="23"/>
  <c r="B18" i="23"/>
  <c r="A18" i="23"/>
  <c r="E17" i="23"/>
  <c r="D17" i="23"/>
  <c r="C17" i="23"/>
  <c r="B17" i="23"/>
  <c r="A17" i="23"/>
  <c r="E16" i="23"/>
  <c r="D16" i="23"/>
  <c r="C16" i="23"/>
  <c r="B16" i="23"/>
  <c r="A16" i="23"/>
  <c r="E15" i="23"/>
  <c r="D15" i="23"/>
  <c r="C15" i="23"/>
  <c r="B15" i="23"/>
  <c r="A15" i="23"/>
  <c r="E14" i="23"/>
  <c r="D14" i="23"/>
  <c r="C14" i="23"/>
  <c r="B14" i="23"/>
  <c r="A14" i="23"/>
  <c r="E13" i="23"/>
  <c r="D13" i="23"/>
  <c r="C13" i="23"/>
  <c r="B13" i="23"/>
  <c r="A13" i="23"/>
  <c r="E12" i="23"/>
  <c r="D12" i="23"/>
  <c r="C12" i="23"/>
  <c r="B12" i="23"/>
  <c r="A12" i="23"/>
  <c r="E11" i="23"/>
  <c r="D11" i="23"/>
  <c r="C11" i="23"/>
  <c r="B11" i="23"/>
  <c r="A11" i="23"/>
  <c r="E10" i="23"/>
  <c r="D10" i="23"/>
  <c r="C10" i="23"/>
  <c r="B10" i="23"/>
  <c r="A10" i="23"/>
  <c r="E9" i="23"/>
  <c r="D9" i="23"/>
  <c r="C9" i="23"/>
  <c r="B9" i="23"/>
  <c r="A9" i="23"/>
  <c r="E8" i="23"/>
  <c r="D8" i="23"/>
  <c r="C8" i="23"/>
  <c r="B8" i="23"/>
  <c r="A8" i="23"/>
  <c r="E7" i="23"/>
  <c r="D7" i="23"/>
  <c r="C7" i="23"/>
  <c r="B7" i="23"/>
  <c r="A7" i="23"/>
  <c r="E6" i="23"/>
  <c r="D6" i="23"/>
  <c r="C6" i="23"/>
  <c r="B6" i="23"/>
  <c r="A6" i="23"/>
  <c r="E5" i="23"/>
  <c r="D5" i="23"/>
  <c r="C5" i="23"/>
  <c r="B5" i="23"/>
  <c r="A5" i="23"/>
  <c r="E4" i="23"/>
  <c r="D4" i="23"/>
  <c r="C4" i="23"/>
  <c r="B4" i="23"/>
  <c r="A4" i="23"/>
  <c r="E3" i="23"/>
  <c r="D3" i="23"/>
  <c r="C3" i="23"/>
  <c r="B3" i="23"/>
  <c r="A3" i="23"/>
  <c r="E73" i="22"/>
  <c r="D73" i="22"/>
  <c r="C73" i="22"/>
  <c r="B73" i="22"/>
  <c r="A73" i="22"/>
  <c r="E72" i="22"/>
  <c r="D72" i="22"/>
  <c r="C72" i="22"/>
  <c r="B72" i="22"/>
  <c r="A72" i="22"/>
  <c r="E71" i="22"/>
  <c r="D71" i="22"/>
  <c r="C71" i="22"/>
  <c r="B71" i="22"/>
  <c r="A71" i="22"/>
  <c r="E70" i="22"/>
  <c r="D70" i="22"/>
  <c r="C70" i="22"/>
  <c r="B70" i="22"/>
  <c r="A70" i="22"/>
  <c r="E69" i="22"/>
  <c r="D69" i="22"/>
  <c r="C69" i="22"/>
  <c r="B69" i="22"/>
  <c r="A69" i="22"/>
  <c r="E68" i="22"/>
  <c r="D68" i="22"/>
  <c r="C68" i="22"/>
  <c r="B68" i="22"/>
  <c r="A68" i="22"/>
  <c r="E67" i="22"/>
  <c r="D67" i="22"/>
  <c r="C67" i="22"/>
  <c r="B67" i="22"/>
  <c r="A67" i="22"/>
  <c r="E66" i="22"/>
  <c r="D66" i="22"/>
  <c r="C66" i="22"/>
  <c r="B66" i="22"/>
  <c r="A66" i="22"/>
  <c r="E65" i="22"/>
  <c r="D65" i="22"/>
  <c r="C65" i="22"/>
  <c r="B65" i="22"/>
  <c r="A65" i="22"/>
  <c r="E64" i="22"/>
  <c r="D64" i="22"/>
  <c r="C64" i="22"/>
  <c r="B64" i="22"/>
  <c r="A64" i="22"/>
  <c r="E63" i="22"/>
  <c r="D63" i="22"/>
  <c r="C63" i="22"/>
  <c r="B63" i="22"/>
  <c r="A63" i="22"/>
  <c r="E62" i="22"/>
  <c r="D62" i="22"/>
  <c r="C62" i="22"/>
  <c r="B62" i="22"/>
  <c r="A62" i="22"/>
  <c r="E61" i="22"/>
  <c r="D61" i="22"/>
  <c r="C61" i="22"/>
  <c r="B61" i="22"/>
  <c r="A61" i="22"/>
  <c r="E60" i="22"/>
  <c r="D60" i="22"/>
  <c r="C60" i="22"/>
  <c r="B60" i="22"/>
  <c r="A60" i="22"/>
  <c r="E59" i="22"/>
  <c r="D59" i="22"/>
  <c r="C59" i="22"/>
  <c r="B59" i="22"/>
  <c r="A59" i="22"/>
  <c r="E58" i="22"/>
  <c r="D58" i="22"/>
  <c r="C58" i="22"/>
  <c r="B58" i="22"/>
  <c r="A58" i="22"/>
  <c r="E57" i="22"/>
  <c r="D57" i="22"/>
  <c r="C57" i="22"/>
  <c r="B57" i="22"/>
  <c r="A57" i="22"/>
  <c r="E56" i="22"/>
  <c r="D56" i="22"/>
  <c r="C56" i="22"/>
  <c r="B56" i="22"/>
  <c r="A56" i="22"/>
  <c r="E55" i="22"/>
  <c r="D55" i="22"/>
  <c r="C55" i="22"/>
  <c r="B55" i="22"/>
  <c r="A55" i="22"/>
  <c r="E54" i="22"/>
  <c r="D54" i="22"/>
  <c r="C54" i="22"/>
  <c r="B54" i="22"/>
  <c r="A54" i="22"/>
  <c r="E53" i="22"/>
  <c r="D53" i="22"/>
  <c r="C53" i="22"/>
  <c r="B53" i="22"/>
  <c r="A53" i="22"/>
  <c r="E52" i="22"/>
  <c r="D52" i="22"/>
  <c r="C52" i="22"/>
  <c r="B52" i="22"/>
  <c r="A52" i="22"/>
  <c r="E51" i="22"/>
  <c r="D51" i="22"/>
  <c r="C51" i="22"/>
  <c r="B51" i="22"/>
  <c r="A51" i="22"/>
  <c r="E50" i="22"/>
  <c r="D50" i="22"/>
  <c r="C50" i="22"/>
  <c r="B50" i="22"/>
  <c r="A50" i="22"/>
  <c r="E49" i="22"/>
  <c r="D49" i="22"/>
  <c r="C49" i="22"/>
  <c r="B49" i="22"/>
  <c r="A49" i="22"/>
  <c r="E48" i="22"/>
  <c r="D48" i="22"/>
  <c r="C48" i="22"/>
  <c r="B48" i="22"/>
  <c r="A48" i="22"/>
  <c r="E47" i="22"/>
  <c r="D47" i="22"/>
  <c r="C47" i="22"/>
  <c r="B47" i="22"/>
  <c r="A47" i="22"/>
  <c r="E46" i="22"/>
  <c r="D46" i="22"/>
  <c r="C46" i="22"/>
  <c r="B46" i="22"/>
  <c r="A46" i="22"/>
  <c r="E45" i="22"/>
  <c r="D45" i="22"/>
  <c r="C45" i="22"/>
  <c r="B45" i="22"/>
  <c r="A45" i="22"/>
  <c r="E44" i="22"/>
  <c r="D44" i="22"/>
  <c r="C44" i="22"/>
  <c r="B44" i="22"/>
  <c r="A44" i="22"/>
  <c r="E43" i="22"/>
  <c r="D43" i="22"/>
  <c r="C43" i="22"/>
  <c r="B43" i="22"/>
  <c r="A43" i="22"/>
  <c r="E42" i="22"/>
  <c r="D42" i="22"/>
  <c r="C42" i="22"/>
  <c r="B42" i="22"/>
  <c r="A42" i="22"/>
  <c r="E41" i="22"/>
  <c r="D41" i="22"/>
  <c r="C41" i="22"/>
  <c r="B41" i="22"/>
  <c r="A41" i="22"/>
  <c r="E40" i="22"/>
  <c r="D40" i="22"/>
  <c r="C40" i="22"/>
  <c r="B40" i="22"/>
  <c r="A40" i="22"/>
  <c r="E39" i="22"/>
  <c r="D39" i="22"/>
  <c r="C39" i="22"/>
  <c r="B39" i="22"/>
  <c r="A39" i="22"/>
  <c r="E38" i="22"/>
  <c r="D38" i="22"/>
  <c r="C38" i="22"/>
  <c r="B38" i="22"/>
  <c r="A38" i="22"/>
  <c r="E37" i="22"/>
  <c r="D37" i="22"/>
  <c r="C37" i="22"/>
  <c r="B37" i="22"/>
  <c r="A37" i="22"/>
  <c r="E36" i="22"/>
  <c r="D36" i="22"/>
  <c r="C36" i="22"/>
  <c r="B36" i="22"/>
  <c r="A36" i="22"/>
  <c r="E35" i="22"/>
  <c r="D35" i="22"/>
  <c r="C35" i="22"/>
  <c r="B35" i="22"/>
  <c r="A35" i="22"/>
  <c r="E34" i="22"/>
  <c r="D34" i="22"/>
  <c r="C34" i="22"/>
  <c r="B34" i="22"/>
  <c r="A34" i="22"/>
  <c r="E33" i="22"/>
  <c r="D33" i="22"/>
  <c r="C33" i="22"/>
  <c r="B33" i="22"/>
  <c r="A33" i="22"/>
  <c r="E32" i="22"/>
  <c r="D32" i="22"/>
  <c r="C32" i="22"/>
  <c r="B32" i="22"/>
  <c r="A32" i="22"/>
  <c r="E31" i="22"/>
  <c r="D31" i="22"/>
  <c r="C31" i="22"/>
  <c r="B31" i="22"/>
  <c r="A31" i="22"/>
  <c r="E30" i="22"/>
  <c r="D30" i="22"/>
  <c r="C30" i="22"/>
  <c r="B30" i="22"/>
  <c r="A30" i="22"/>
  <c r="E29" i="22"/>
  <c r="D29" i="22"/>
  <c r="C29" i="22"/>
  <c r="B29" i="22"/>
  <c r="A29" i="22"/>
  <c r="E28" i="22"/>
  <c r="D28" i="22"/>
  <c r="C28" i="22"/>
  <c r="B28" i="22"/>
  <c r="A28" i="22"/>
  <c r="E27" i="22"/>
  <c r="D27" i="22"/>
  <c r="C27" i="22"/>
  <c r="B27" i="22"/>
  <c r="A27" i="22"/>
  <c r="E26" i="22"/>
  <c r="D26" i="22"/>
  <c r="C26" i="22"/>
  <c r="B26" i="22"/>
  <c r="A26" i="22"/>
  <c r="E25" i="22"/>
  <c r="D25" i="22"/>
  <c r="C25" i="22"/>
  <c r="B25" i="22"/>
  <c r="A25" i="22"/>
  <c r="E24" i="22"/>
  <c r="D24" i="22"/>
  <c r="C24" i="22"/>
  <c r="B24" i="22"/>
  <c r="A24" i="22"/>
  <c r="E23" i="22"/>
  <c r="D23" i="22"/>
  <c r="C23" i="22"/>
  <c r="B23" i="22"/>
  <c r="A23" i="22"/>
  <c r="E22" i="22"/>
  <c r="D22" i="22"/>
  <c r="C22" i="22"/>
  <c r="B22" i="22"/>
  <c r="A22" i="22"/>
  <c r="E21" i="22"/>
  <c r="D21" i="22"/>
  <c r="C21" i="22"/>
  <c r="B21" i="22"/>
  <c r="A21" i="22"/>
  <c r="E20" i="22"/>
  <c r="D20" i="22"/>
  <c r="C20" i="22"/>
  <c r="B20" i="22"/>
  <c r="A20" i="22"/>
  <c r="E19" i="22"/>
  <c r="D19" i="22"/>
  <c r="C19" i="22"/>
  <c r="B19" i="22"/>
  <c r="A19" i="22"/>
  <c r="E18" i="22"/>
  <c r="D18" i="22"/>
  <c r="C18" i="22"/>
  <c r="B18" i="22"/>
  <c r="A18" i="22"/>
  <c r="E17" i="22"/>
  <c r="D17" i="22"/>
  <c r="C17" i="22"/>
  <c r="B17" i="22"/>
  <c r="A17" i="22"/>
  <c r="E16" i="22"/>
  <c r="D16" i="22"/>
  <c r="C16" i="22"/>
  <c r="B16" i="22"/>
  <c r="A16" i="22"/>
  <c r="E15" i="22"/>
  <c r="D15" i="22"/>
  <c r="C15" i="22"/>
  <c r="B15" i="22"/>
  <c r="A15" i="22"/>
  <c r="E14" i="22"/>
  <c r="D14" i="22"/>
  <c r="C14" i="22"/>
  <c r="B14" i="22"/>
  <c r="A14" i="22"/>
  <c r="E13" i="22"/>
  <c r="D13" i="22"/>
  <c r="C13" i="22"/>
  <c r="B13" i="22"/>
  <c r="A13" i="22"/>
  <c r="E12" i="22"/>
  <c r="D12" i="22"/>
  <c r="C12" i="22"/>
  <c r="B12" i="22"/>
  <c r="A12" i="22"/>
  <c r="E11" i="22"/>
  <c r="D11" i="22"/>
  <c r="C11" i="22"/>
  <c r="B11" i="22"/>
  <c r="A11" i="22"/>
  <c r="E10" i="22"/>
  <c r="D10" i="22"/>
  <c r="C10" i="22"/>
  <c r="B10" i="22"/>
  <c r="A10" i="22"/>
  <c r="E9" i="22"/>
  <c r="D9" i="22"/>
  <c r="C9" i="22"/>
  <c r="B9" i="22"/>
  <c r="A9" i="22"/>
  <c r="E8" i="22"/>
  <c r="D8" i="22"/>
  <c r="C8" i="22"/>
  <c r="B8" i="22"/>
  <c r="A8" i="22"/>
  <c r="E7" i="22"/>
  <c r="D7" i="22"/>
  <c r="C7" i="22"/>
  <c r="B7" i="22"/>
  <c r="A7" i="22"/>
  <c r="E6" i="22"/>
  <c r="D6" i="22"/>
  <c r="C6" i="22"/>
  <c r="B6" i="22"/>
  <c r="A6" i="22"/>
  <c r="E5" i="22"/>
  <c r="D5" i="22"/>
  <c r="C5" i="22"/>
  <c r="B5" i="22"/>
  <c r="A5" i="22"/>
  <c r="E4" i="22"/>
  <c r="D4" i="22"/>
  <c r="C4" i="22"/>
  <c r="B4" i="22"/>
  <c r="A4" i="22"/>
  <c r="B2" i="22"/>
  <c r="K18" i="21"/>
  <c r="J18" i="21"/>
  <c r="K17" i="21"/>
  <c r="J17" i="21"/>
  <c r="K16" i="21"/>
  <c r="J16" i="21"/>
  <c r="K15" i="21"/>
  <c r="J15" i="21"/>
  <c r="K14" i="21"/>
  <c r="J14" i="21"/>
  <c r="K13" i="21"/>
  <c r="J13" i="21"/>
  <c r="K12" i="21"/>
  <c r="J12" i="21"/>
  <c r="K11" i="21"/>
  <c r="J11" i="21"/>
  <c r="K10" i="21"/>
  <c r="J10" i="21"/>
  <c r="K9" i="21"/>
  <c r="J9" i="21"/>
  <c r="K8" i="21"/>
  <c r="J8" i="21"/>
  <c r="K7" i="21"/>
  <c r="J7" i="21"/>
  <c r="K6" i="21"/>
  <c r="J6" i="21"/>
  <c r="K5" i="21"/>
  <c r="J5" i="21"/>
  <c r="K4" i="21"/>
  <c r="J4" i="21"/>
  <c r="K18" i="20"/>
  <c r="J18" i="20"/>
  <c r="K17" i="20"/>
  <c r="J17" i="20"/>
  <c r="K16" i="20"/>
  <c r="J16" i="20"/>
  <c r="K15" i="20"/>
  <c r="J15" i="20"/>
  <c r="K14" i="20"/>
  <c r="J14" i="20"/>
  <c r="K13" i="20"/>
  <c r="J13" i="20"/>
  <c r="K12" i="20"/>
  <c r="J12" i="20"/>
  <c r="K11" i="20"/>
  <c r="J11" i="20"/>
  <c r="K10" i="20"/>
  <c r="J10" i="20"/>
  <c r="K9" i="20"/>
  <c r="J9" i="20"/>
  <c r="K8" i="20"/>
  <c r="J8" i="20"/>
  <c r="K7" i="20"/>
  <c r="J7" i="20"/>
  <c r="K6" i="20"/>
  <c r="J6" i="20"/>
  <c r="K5" i="20"/>
  <c r="J5" i="20"/>
  <c r="K4" i="20"/>
  <c r="J4" i="20"/>
  <c r="K18" i="19"/>
  <c r="J18" i="19"/>
  <c r="K17" i="19"/>
  <c r="J17" i="19"/>
  <c r="K16" i="19"/>
  <c r="J16" i="19"/>
  <c r="K15" i="19"/>
  <c r="J15" i="19"/>
  <c r="K14" i="19"/>
  <c r="J14" i="19"/>
  <c r="K13" i="19"/>
  <c r="J13" i="19"/>
  <c r="K12" i="19"/>
  <c r="J12" i="19"/>
  <c r="K11" i="19"/>
  <c r="J11" i="19"/>
  <c r="K10" i="19"/>
  <c r="J10" i="19"/>
  <c r="K9" i="19"/>
  <c r="J9" i="19"/>
  <c r="K8" i="19"/>
  <c r="J8" i="19"/>
  <c r="K7" i="19"/>
  <c r="J7" i="19"/>
  <c r="K6" i="19"/>
  <c r="J6" i="19"/>
  <c r="K5" i="19"/>
  <c r="J5" i="19"/>
  <c r="K4" i="19"/>
  <c r="J4" i="19"/>
  <c r="K18" i="18"/>
  <c r="J18" i="18"/>
  <c r="K17" i="18"/>
  <c r="J17" i="18"/>
  <c r="K16" i="18"/>
  <c r="J16" i="18"/>
  <c r="K15" i="18"/>
  <c r="J15" i="18"/>
  <c r="K14" i="18"/>
  <c r="J14" i="18"/>
  <c r="K13" i="18"/>
  <c r="J13" i="18"/>
  <c r="K12" i="18"/>
  <c r="J12" i="18"/>
  <c r="K11" i="18"/>
  <c r="J11" i="18"/>
  <c r="K10" i="18"/>
  <c r="J10" i="18"/>
  <c r="K9" i="18"/>
  <c r="J9" i="18"/>
  <c r="K8" i="18"/>
  <c r="J8" i="18"/>
  <c r="K7" i="18"/>
  <c r="J7" i="18"/>
  <c r="K6" i="18"/>
  <c r="J6" i="18"/>
  <c r="K5" i="18"/>
  <c r="J5" i="18"/>
  <c r="K4" i="18"/>
  <c r="J4" i="18"/>
  <c r="K18" i="17"/>
  <c r="J18" i="17"/>
  <c r="K17" i="17"/>
  <c r="J17" i="17"/>
  <c r="K16" i="17"/>
  <c r="J16" i="17"/>
  <c r="K15" i="17"/>
  <c r="J15" i="17"/>
  <c r="K14" i="17"/>
  <c r="J14" i="17"/>
  <c r="K13" i="17"/>
  <c r="J13" i="17"/>
  <c r="K12" i="17"/>
  <c r="J12" i="17"/>
  <c r="K11" i="17"/>
  <c r="J11" i="17"/>
  <c r="K10" i="17"/>
  <c r="J10" i="17"/>
  <c r="K9" i="17"/>
  <c r="J9" i="17"/>
  <c r="K8" i="17"/>
  <c r="J8" i="17"/>
  <c r="K7" i="17"/>
  <c r="J7" i="17"/>
  <c r="K6" i="17"/>
  <c r="J6" i="17"/>
  <c r="K5" i="17"/>
  <c r="J5" i="17"/>
  <c r="K4" i="17"/>
  <c r="J4" i="17"/>
  <c r="K18" i="16"/>
  <c r="J18" i="16"/>
  <c r="K17" i="16"/>
  <c r="J17" i="16"/>
  <c r="K16" i="16"/>
  <c r="J16" i="16"/>
  <c r="K15" i="16"/>
  <c r="J15" i="16"/>
  <c r="K14" i="16"/>
  <c r="J14" i="16"/>
  <c r="K13" i="16"/>
  <c r="J13" i="16"/>
  <c r="K12" i="16"/>
  <c r="J12" i="16"/>
  <c r="K11" i="16"/>
  <c r="J11" i="16"/>
  <c r="K10" i="16"/>
  <c r="J10" i="16"/>
  <c r="K9" i="16"/>
  <c r="J9" i="16"/>
  <c r="K8" i="16"/>
  <c r="J8" i="16"/>
  <c r="K7" i="16"/>
  <c r="J7" i="16"/>
  <c r="K6" i="16"/>
  <c r="J6" i="16"/>
  <c r="K5" i="16"/>
  <c r="J5" i="16"/>
  <c r="K4" i="16"/>
  <c r="J4" i="16"/>
  <c r="BN86" i="14"/>
  <c r="BL86" i="14"/>
  <c r="BK86" i="14"/>
  <c r="BJ86" i="14"/>
  <c r="BI86" i="14"/>
  <c r="BF86" i="14"/>
  <c r="BD86" i="14"/>
  <c r="BC86" i="14"/>
  <c r="BB86" i="14"/>
  <c r="BA86" i="14"/>
  <c r="AX86" i="14"/>
  <c r="AV86" i="14"/>
  <c r="AU86" i="14"/>
  <c r="AT86" i="14"/>
  <c r="AS86" i="14"/>
  <c r="AP86" i="14"/>
  <c r="AN86" i="14"/>
  <c r="AM86" i="14"/>
  <c r="AL86" i="14"/>
  <c r="AK86" i="14"/>
  <c r="AH86" i="14"/>
  <c r="AF86" i="14"/>
  <c r="AE86" i="14"/>
  <c r="AD86" i="14"/>
  <c r="AC86" i="14"/>
  <c r="Z86" i="14"/>
  <c r="X86" i="14"/>
  <c r="W86" i="14"/>
  <c r="V86" i="14"/>
  <c r="U86" i="14"/>
  <c r="R86" i="14"/>
  <c r="P86" i="14"/>
  <c r="O86" i="14"/>
  <c r="N86" i="14"/>
  <c r="M86" i="14"/>
  <c r="J86" i="14"/>
  <c r="H86" i="14"/>
  <c r="G86" i="14"/>
  <c r="E86" i="14"/>
  <c r="F86" i="14" s="1"/>
  <c r="D86" i="14"/>
  <c r="C86" i="14"/>
  <c r="BH86" i="14" s="1"/>
  <c r="B86" i="14"/>
  <c r="A86" i="14"/>
  <c r="BN85" i="14"/>
  <c r="BM85" i="14"/>
  <c r="BL85" i="14"/>
  <c r="BK85" i="14"/>
  <c r="BI85" i="14"/>
  <c r="BH85" i="14"/>
  <c r="BF85" i="14"/>
  <c r="BE85" i="14"/>
  <c r="BD85" i="14"/>
  <c r="BC85" i="14"/>
  <c r="BA85" i="14"/>
  <c r="AZ85" i="14"/>
  <c r="AX85" i="14"/>
  <c r="AW85" i="14"/>
  <c r="AV85" i="14"/>
  <c r="AU85" i="14"/>
  <c r="AS85" i="14"/>
  <c r="AR85" i="14"/>
  <c r="AP85" i="14"/>
  <c r="AO85" i="14"/>
  <c r="AN85" i="14"/>
  <c r="AM85" i="14"/>
  <c r="AK85" i="14"/>
  <c r="AJ85" i="14"/>
  <c r="AH85" i="14"/>
  <c r="AG85" i="14"/>
  <c r="AF85" i="14"/>
  <c r="AE85" i="14"/>
  <c r="AC85" i="14"/>
  <c r="AB85" i="14"/>
  <c r="Z85" i="14"/>
  <c r="Y85" i="14"/>
  <c r="X85" i="14"/>
  <c r="W85" i="14"/>
  <c r="U85" i="14"/>
  <c r="T85" i="14"/>
  <c r="R85" i="14"/>
  <c r="Q85" i="14"/>
  <c r="P85" i="14"/>
  <c r="O85" i="14"/>
  <c r="M85" i="14"/>
  <c r="L85" i="14"/>
  <c r="J85" i="14"/>
  <c r="I85" i="14"/>
  <c r="H85" i="14"/>
  <c r="G85" i="14"/>
  <c r="E85" i="14"/>
  <c r="F85" i="14" s="1"/>
  <c r="D85" i="14"/>
  <c r="C85" i="14"/>
  <c r="BJ85" i="14" s="1"/>
  <c r="B85" i="14"/>
  <c r="A85" i="14"/>
  <c r="BM84" i="14"/>
  <c r="BK84" i="14"/>
  <c r="BJ84" i="14"/>
  <c r="BH84" i="14"/>
  <c r="BF84" i="14"/>
  <c r="BB84" i="14"/>
  <c r="AZ84" i="14"/>
  <c r="AY84" i="14"/>
  <c r="AX84" i="14"/>
  <c r="AU84" i="14"/>
  <c r="AQ84" i="14"/>
  <c r="AP84" i="14"/>
  <c r="AO84" i="14"/>
  <c r="AM84" i="14"/>
  <c r="AJ84" i="14"/>
  <c r="AG84" i="14"/>
  <c r="AE84" i="14"/>
  <c r="AD84" i="14"/>
  <c r="AB84" i="14"/>
  <c r="Z84" i="14"/>
  <c r="V84" i="14"/>
  <c r="T84" i="14"/>
  <c r="S84" i="14"/>
  <c r="R84" i="14"/>
  <c r="O84" i="14"/>
  <c r="K84" i="14"/>
  <c r="J84" i="14"/>
  <c r="I84" i="14"/>
  <c r="G84" i="14"/>
  <c r="D84" i="14"/>
  <c r="C84" i="14"/>
  <c r="BN84" i="14" s="1"/>
  <c r="B84" i="14"/>
  <c r="A84" i="14"/>
  <c r="BM83" i="14"/>
  <c r="BH83" i="14"/>
  <c r="BB83" i="14"/>
  <c r="AW83" i="14"/>
  <c r="AS83" i="14"/>
  <c r="AR83" i="14"/>
  <c r="AL83" i="14"/>
  <c r="AI83" i="14"/>
  <c r="AG83" i="14"/>
  <c r="X83" i="14"/>
  <c r="V83" i="14"/>
  <c r="Q83" i="14"/>
  <c r="M83" i="14"/>
  <c r="L83" i="14"/>
  <c r="D83" i="14"/>
  <c r="C83" i="14"/>
  <c r="B83" i="14"/>
  <c r="A83" i="14"/>
  <c r="BK82" i="14"/>
  <c r="BG82" i="14"/>
  <c r="BF82" i="14"/>
  <c r="BA82" i="14"/>
  <c r="AV82" i="14"/>
  <c r="AU82" i="14"/>
  <c r="AP82" i="14"/>
  <c r="AL82" i="14"/>
  <c r="AK82" i="14"/>
  <c r="AE82" i="14"/>
  <c r="AA82" i="14"/>
  <c r="Z82" i="14"/>
  <c r="U82" i="14"/>
  <c r="P82" i="14"/>
  <c r="O82" i="14"/>
  <c r="J82" i="14"/>
  <c r="E82" i="14"/>
  <c r="F82" i="14" s="1"/>
  <c r="D82" i="14"/>
  <c r="C82" i="14"/>
  <c r="BL82" i="14" s="1"/>
  <c r="B82" i="14"/>
  <c r="A82" i="14"/>
  <c r="BN81" i="14"/>
  <c r="BM81" i="14"/>
  <c r="BL81" i="14"/>
  <c r="BK81" i="14"/>
  <c r="BI81" i="14"/>
  <c r="BH81" i="14"/>
  <c r="BF81" i="14"/>
  <c r="BE81" i="14"/>
  <c r="BD81" i="14"/>
  <c r="BC81" i="14"/>
  <c r="BA81" i="14"/>
  <c r="AZ81" i="14"/>
  <c r="AX81" i="14"/>
  <c r="AW81" i="14"/>
  <c r="AV81" i="14"/>
  <c r="AU81" i="14"/>
  <c r="AS81" i="14"/>
  <c r="AR81" i="14"/>
  <c r="AP81" i="14"/>
  <c r="AO81" i="14"/>
  <c r="AN81" i="14"/>
  <c r="AM81" i="14"/>
  <c r="AK81" i="14"/>
  <c r="AJ81" i="14"/>
  <c r="AH81" i="14"/>
  <c r="AG81" i="14"/>
  <c r="AF81" i="14"/>
  <c r="AE81" i="14"/>
  <c r="AC81" i="14"/>
  <c r="AB81" i="14"/>
  <c r="Z81" i="14"/>
  <c r="Y81" i="14"/>
  <c r="X81" i="14"/>
  <c r="W81" i="14"/>
  <c r="U81" i="14"/>
  <c r="T81" i="14"/>
  <c r="R81" i="14"/>
  <c r="Q81" i="14"/>
  <c r="P81" i="14"/>
  <c r="O81" i="14"/>
  <c r="M81" i="14"/>
  <c r="L81" i="14"/>
  <c r="J81" i="14"/>
  <c r="I81" i="14"/>
  <c r="H81" i="14"/>
  <c r="G81" i="14"/>
  <c r="E81" i="14"/>
  <c r="F81" i="14" s="1"/>
  <c r="D81" i="14"/>
  <c r="C81" i="14"/>
  <c r="BJ81" i="14" s="1"/>
  <c r="B81" i="14"/>
  <c r="A81" i="14"/>
  <c r="BN80" i="14"/>
  <c r="BM80" i="14"/>
  <c r="BK80" i="14"/>
  <c r="BH80" i="14"/>
  <c r="BE80" i="14"/>
  <c r="BC80" i="14"/>
  <c r="BB80" i="14"/>
  <c r="AZ80" i="14"/>
  <c r="AX80" i="14"/>
  <c r="AW80" i="14"/>
  <c r="AT80" i="14"/>
  <c r="AQ80" i="14"/>
  <c r="AP80" i="14"/>
  <c r="AM80" i="14"/>
  <c r="AL80" i="14"/>
  <c r="AI80" i="14"/>
  <c r="AH80" i="14"/>
  <c r="AG80" i="14"/>
  <c r="AB80" i="14"/>
  <c r="AA80" i="14"/>
  <c r="Y80" i="14"/>
  <c r="W80" i="14"/>
  <c r="V80" i="14"/>
  <c r="T80" i="14"/>
  <c r="R80" i="14"/>
  <c r="N80" i="14"/>
  <c r="L80" i="14"/>
  <c r="K80" i="14"/>
  <c r="J80" i="14"/>
  <c r="G80" i="14"/>
  <c r="D80" i="14"/>
  <c r="C80" i="14"/>
  <c r="B80" i="14"/>
  <c r="A80" i="14"/>
  <c r="BM79" i="14"/>
  <c r="BI79" i="14"/>
  <c r="BG79" i="14"/>
  <c r="BE79" i="14"/>
  <c r="AY79" i="14"/>
  <c r="AT79" i="14"/>
  <c r="AS79" i="14"/>
  <c r="AR79" i="14"/>
  <c r="AJ79" i="14"/>
  <c r="AG79" i="14"/>
  <c r="AF79" i="14"/>
  <c r="AD79" i="14"/>
  <c r="X79" i="14"/>
  <c r="U79" i="14"/>
  <c r="T79" i="14"/>
  <c r="S79" i="14"/>
  <c r="L79" i="14"/>
  <c r="I79" i="14"/>
  <c r="H79" i="14"/>
  <c r="E79" i="14"/>
  <c r="F79" i="14" s="1"/>
  <c r="D79" i="14"/>
  <c r="C79" i="14"/>
  <c r="AZ79" i="14" s="1"/>
  <c r="B79" i="14"/>
  <c r="A79" i="14"/>
  <c r="BJ78" i="14"/>
  <c r="AY78" i="14"/>
  <c r="AX78" i="14"/>
  <c r="AV78" i="14"/>
  <c r="AA78" i="14"/>
  <c r="X78" i="14"/>
  <c r="O78" i="14"/>
  <c r="N78" i="14"/>
  <c r="D78" i="14"/>
  <c r="C78" i="14"/>
  <c r="BI78" i="14" s="1"/>
  <c r="B78" i="14"/>
  <c r="A78" i="14"/>
  <c r="BN77" i="14"/>
  <c r="BM77" i="14"/>
  <c r="BL77" i="14"/>
  <c r="BK77" i="14"/>
  <c r="BI77" i="14"/>
  <c r="BH77" i="14"/>
  <c r="BF77" i="14"/>
  <c r="BE77" i="14"/>
  <c r="BD77" i="14"/>
  <c r="BC77" i="14"/>
  <c r="BA77" i="14"/>
  <c r="AZ77" i="14"/>
  <c r="AX77" i="14"/>
  <c r="AW77" i="14"/>
  <c r="AV77" i="14"/>
  <c r="AU77" i="14"/>
  <c r="AS77" i="14"/>
  <c r="AR77" i="14"/>
  <c r="AP77" i="14"/>
  <c r="AO77" i="14"/>
  <c r="AN77" i="14"/>
  <c r="AM77" i="14"/>
  <c r="AK77" i="14"/>
  <c r="AJ77" i="14"/>
  <c r="AH77" i="14"/>
  <c r="AG77" i="14"/>
  <c r="AF77" i="14"/>
  <c r="AE77" i="14"/>
  <c r="AC77" i="14"/>
  <c r="AB77" i="14"/>
  <c r="Z77" i="14"/>
  <c r="Y77" i="14"/>
  <c r="X77" i="14"/>
  <c r="W77" i="14"/>
  <c r="U77" i="14"/>
  <c r="T77" i="14"/>
  <c r="R77" i="14"/>
  <c r="Q77" i="14"/>
  <c r="P77" i="14"/>
  <c r="O77" i="14"/>
  <c r="M77" i="14"/>
  <c r="L77" i="14"/>
  <c r="J77" i="14"/>
  <c r="I77" i="14"/>
  <c r="H77" i="14"/>
  <c r="G77" i="14"/>
  <c r="E77" i="14"/>
  <c r="F77" i="14" s="1"/>
  <c r="D77" i="14"/>
  <c r="C77" i="14"/>
  <c r="BJ77" i="14" s="1"/>
  <c r="B77" i="14"/>
  <c r="A77" i="14"/>
  <c r="BJ76" i="14"/>
  <c r="AZ76" i="14"/>
  <c r="AW76" i="14"/>
  <c r="AO76" i="14"/>
  <c r="AL76" i="14"/>
  <c r="Z76" i="14"/>
  <c r="Y76" i="14"/>
  <c r="N76" i="14"/>
  <c r="L76" i="14"/>
  <c r="D76" i="14"/>
  <c r="C76" i="14"/>
  <c r="BK76" i="14" s="1"/>
  <c r="B76" i="14"/>
  <c r="A76" i="14"/>
  <c r="BH75" i="14"/>
  <c r="BE75" i="14"/>
  <c r="BD75" i="14"/>
  <c r="BB75" i="14"/>
  <c r="AV75" i="14"/>
  <c r="AS75" i="14"/>
  <c r="AR75" i="14"/>
  <c r="AQ75" i="14"/>
  <c r="AJ75" i="14"/>
  <c r="AG75" i="14"/>
  <c r="AF75" i="14"/>
  <c r="AC75" i="14"/>
  <c r="X75" i="14"/>
  <c r="U75" i="14"/>
  <c r="S75" i="14"/>
  <c r="Q75" i="14"/>
  <c r="L75" i="14"/>
  <c r="H75" i="14"/>
  <c r="E75" i="14"/>
  <c r="F75" i="14" s="1"/>
  <c r="D75" i="14"/>
  <c r="C75" i="14"/>
  <c r="BI75" i="14" s="1"/>
  <c r="B75" i="14"/>
  <c r="A75" i="14"/>
  <c r="BL74" i="14"/>
  <c r="BK74" i="14"/>
  <c r="BJ74" i="14"/>
  <c r="BI74" i="14"/>
  <c r="BG74" i="14"/>
  <c r="BF74" i="14"/>
  <c r="BD74" i="14"/>
  <c r="BB74" i="14"/>
  <c r="BA74" i="14"/>
  <c r="AY74" i="14"/>
  <c r="AX74" i="14"/>
  <c r="AV74" i="14"/>
  <c r="AU74" i="14"/>
  <c r="AT74" i="14"/>
  <c r="AQ74" i="14"/>
  <c r="AP74" i="14"/>
  <c r="AN74" i="14"/>
  <c r="AM74" i="14"/>
  <c r="AL74" i="14"/>
  <c r="AK74" i="14"/>
  <c r="AI74" i="14"/>
  <c r="AF74" i="14"/>
  <c r="AE74" i="14"/>
  <c r="AD74" i="14"/>
  <c r="AC74" i="14"/>
  <c r="AA74" i="14"/>
  <c r="Z74" i="14"/>
  <c r="X74" i="14"/>
  <c r="V74" i="14"/>
  <c r="U74" i="14"/>
  <c r="S74" i="14"/>
  <c r="R74" i="14"/>
  <c r="P74" i="14"/>
  <c r="O74" i="14"/>
  <c r="N74" i="14"/>
  <c r="K74" i="14"/>
  <c r="J74" i="14"/>
  <c r="H74" i="14"/>
  <c r="G74" i="14"/>
  <c r="E74" i="14"/>
  <c r="F74" i="14" s="1"/>
  <c r="D74" i="14"/>
  <c r="C74" i="14"/>
  <c r="B74" i="14"/>
  <c r="A74" i="14"/>
  <c r="BN73" i="14"/>
  <c r="BL73" i="14"/>
  <c r="BI73" i="14"/>
  <c r="BF73" i="14"/>
  <c r="BE73" i="14"/>
  <c r="BC73" i="14"/>
  <c r="AZ73" i="14"/>
  <c r="AV73" i="14"/>
  <c r="AU73" i="14"/>
  <c r="AS73" i="14"/>
  <c r="AP73" i="14"/>
  <c r="AN73" i="14"/>
  <c r="AK73" i="14"/>
  <c r="AJ73" i="14"/>
  <c r="AH73" i="14"/>
  <c r="AF73" i="14"/>
  <c r="AC73" i="14"/>
  <c r="AA73" i="14"/>
  <c r="Z73" i="14"/>
  <c r="Y73" i="14"/>
  <c r="W73" i="14"/>
  <c r="T73" i="14"/>
  <c r="R73" i="14"/>
  <c r="Q73" i="14"/>
  <c r="P73" i="14"/>
  <c r="M73" i="14"/>
  <c r="K73" i="14"/>
  <c r="I73" i="14"/>
  <c r="H73" i="14"/>
  <c r="G73" i="14"/>
  <c r="D73" i="14"/>
  <c r="C73" i="14"/>
  <c r="BK73" i="14" s="1"/>
  <c r="B73" i="14"/>
  <c r="A73" i="14"/>
  <c r="BN72" i="14"/>
  <c r="BM72" i="14"/>
  <c r="BK72" i="14"/>
  <c r="BI72" i="14"/>
  <c r="BH72" i="14"/>
  <c r="BG72" i="14"/>
  <c r="BF72" i="14"/>
  <c r="BE72" i="14"/>
  <c r="BC72" i="14"/>
  <c r="BB72" i="14"/>
  <c r="AZ72" i="14"/>
  <c r="AY72" i="14"/>
  <c r="AX72" i="14"/>
  <c r="AW72" i="14"/>
  <c r="AU72" i="14"/>
  <c r="AT72" i="14"/>
  <c r="AS72" i="14"/>
  <c r="AQ72" i="14"/>
  <c r="AP72" i="14"/>
  <c r="AO72" i="14"/>
  <c r="AM72" i="14"/>
  <c r="AL72" i="14"/>
  <c r="AK72" i="14"/>
  <c r="AJ72" i="14"/>
  <c r="AH72" i="14"/>
  <c r="AG72" i="14"/>
  <c r="AF72" i="14"/>
  <c r="AE72" i="14"/>
  <c r="AD72" i="14"/>
  <c r="AC72" i="14"/>
  <c r="AB72" i="14"/>
  <c r="Z72" i="14"/>
  <c r="Y72" i="14"/>
  <c r="X72" i="14"/>
  <c r="W72" i="14"/>
  <c r="V72" i="14"/>
  <c r="U72" i="14"/>
  <c r="T72" i="14"/>
  <c r="R72" i="14"/>
  <c r="Q72" i="14"/>
  <c r="P72" i="14"/>
  <c r="O72" i="14"/>
  <c r="N72" i="14"/>
  <c r="M72" i="14"/>
  <c r="L72" i="14"/>
  <c r="J72" i="14"/>
  <c r="I72" i="14"/>
  <c r="H72" i="14"/>
  <c r="G72" i="14"/>
  <c r="E72" i="14"/>
  <c r="F72" i="14" s="1"/>
  <c r="D72" i="14"/>
  <c r="C72" i="14"/>
  <c r="B72" i="14"/>
  <c r="A72" i="14"/>
  <c r="BN71" i="14"/>
  <c r="BL71" i="14"/>
  <c r="BK71" i="14"/>
  <c r="BJ71" i="14"/>
  <c r="BH71" i="14"/>
  <c r="BF71" i="14"/>
  <c r="BD71" i="14"/>
  <c r="BC71" i="14"/>
  <c r="BB71" i="14"/>
  <c r="AZ71" i="14"/>
  <c r="AX71" i="14"/>
  <c r="AV71" i="14"/>
  <c r="AU71" i="14"/>
  <c r="AT71" i="14"/>
  <c r="AR71" i="14"/>
  <c r="AP71" i="14"/>
  <c r="AN71" i="14"/>
  <c r="AM71" i="14"/>
  <c r="AL71" i="14"/>
  <c r="AJ71" i="14"/>
  <c r="AH71" i="14"/>
  <c r="AF71" i="14"/>
  <c r="AE71" i="14"/>
  <c r="AD71" i="14"/>
  <c r="AB71" i="14"/>
  <c r="Z71" i="14"/>
  <c r="X71" i="14"/>
  <c r="W71" i="14"/>
  <c r="V71" i="14"/>
  <c r="T71" i="14"/>
  <c r="R71" i="14"/>
  <c r="P71" i="14"/>
  <c r="O71" i="14"/>
  <c r="N71" i="14"/>
  <c r="L71" i="14"/>
  <c r="J71" i="14"/>
  <c r="H71" i="14"/>
  <c r="G71" i="14"/>
  <c r="D71" i="14"/>
  <c r="C71" i="14"/>
  <c r="BI71" i="14" s="1"/>
  <c r="B71" i="14"/>
  <c r="A71" i="14"/>
  <c r="BN70" i="14"/>
  <c r="BM70" i="14"/>
  <c r="BL70" i="14"/>
  <c r="BJ70" i="14"/>
  <c r="BI70" i="14"/>
  <c r="BH70" i="14"/>
  <c r="BF70" i="14"/>
  <c r="BE70" i="14"/>
  <c r="BD70" i="14"/>
  <c r="BB70" i="14"/>
  <c r="BA70" i="14"/>
  <c r="AZ70" i="14"/>
  <c r="AX70" i="14"/>
  <c r="AW70" i="14"/>
  <c r="AV70" i="14"/>
  <c r="AT70" i="14"/>
  <c r="AS70" i="14"/>
  <c r="AR70" i="14"/>
  <c r="AP70" i="14"/>
  <c r="AO70" i="14"/>
  <c r="AN70" i="14"/>
  <c r="AL70" i="14"/>
  <c r="AK70" i="14"/>
  <c r="AJ70" i="14"/>
  <c r="AH70" i="14"/>
  <c r="AG70" i="14"/>
  <c r="AF70" i="14"/>
  <c r="AD70" i="14"/>
  <c r="AC70" i="14"/>
  <c r="AB70" i="14"/>
  <c r="Z70" i="14"/>
  <c r="Y70" i="14"/>
  <c r="X70" i="14"/>
  <c r="V70" i="14"/>
  <c r="U70" i="14"/>
  <c r="T70" i="14"/>
  <c r="R70" i="14"/>
  <c r="Q70" i="14"/>
  <c r="P70" i="14"/>
  <c r="N70" i="14"/>
  <c r="M70" i="14"/>
  <c r="L70" i="14"/>
  <c r="J70" i="14"/>
  <c r="I70" i="14"/>
  <c r="H70" i="14"/>
  <c r="E70" i="14"/>
  <c r="F70" i="14" s="1"/>
  <c r="D70" i="14"/>
  <c r="C70" i="14"/>
  <c r="BK70" i="14" s="1"/>
  <c r="B70" i="14"/>
  <c r="A70" i="14"/>
  <c r="AQ69" i="14"/>
  <c r="Z69" i="14"/>
  <c r="T69" i="14"/>
  <c r="D69" i="14"/>
  <c r="C69" i="14"/>
  <c r="AX69" i="14" s="1"/>
  <c r="B69" i="14"/>
  <c r="A69" i="14"/>
  <c r="BN68" i="14"/>
  <c r="BM68" i="14"/>
  <c r="BL68" i="14"/>
  <c r="BK68" i="14"/>
  <c r="BJ68" i="14"/>
  <c r="BI68" i="14"/>
  <c r="BH68" i="14"/>
  <c r="BF68" i="14"/>
  <c r="BE68" i="14"/>
  <c r="BD68" i="14"/>
  <c r="BC68" i="14"/>
  <c r="BB68" i="14"/>
  <c r="BA68" i="14"/>
  <c r="AZ68" i="14"/>
  <c r="AX68" i="14"/>
  <c r="AW68" i="14"/>
  <c r="AV68" i="14"/>
  <c r="AU68" i="14"/>
  <c r="AT68" i="14"/>
  <c r="AS68" i="14"/>
  <c r="AR68" i="14"/>
  <c r="AP68" i="14"/>
  <c r="AO68" i="14"/>
  <c r="AN68" i="14"/>
  <c r="AM68" i="14"/>
  <c r="AL68" i="14"/>
  <c r="AK68" i="14"/>
  <c r="AJ68" i="14"/>
  <c r="AH68" i="14"/>
  <c r="AG68" i="14"/>
  <c r="AF68" i="14"/>
  <c r="AE68" i="14"/>
  <c r="AD68" i="14"/>
  <c r="AC68" i="14"/>
  <c r="AB68" i="14"/>
  <c r="Z68" i="14"/>
  <c r="Y68" i="14"/>
  <c r="X68" i="14"/>
  <c r="W68" i="14"/>
  <c r="V68" i="14"/>
  <c r="U68" i="14"/>
  <c r="T68" i="14"/>
  <c r="R68" i="14"/>
  <c r="Q68" i="14"/>
  <c r="P68" i="14"/>
  <c r="O68" i="14"/>
  <c r="N68" i="14"/>
  <c r="M68" i="14"/>
  <c r="L68" i="14"/>
  <c r="J68" i="14"/>
  <c r="I68" i="14"/>
  <c r="H68" i="14"/>
  <c r="G68" i="14"/>
  <c r="E68" i="14"/>
  <c r="F68" i="14" s="1"/>
  <c r="D68" i="14"/>
  <c r="C68" i="14"/>
  <c r="BG68" i="14" s="1"/>
  <c r="B68" i="14"/>
  <c r="A68" i="14"/>
  <c r="BN67" i="14"/>
  <c r="BL67" i="14"/>
  <c r="BK67" i="14"/>
  <c r="BJ67" i="14"/>
  <c r="BH67" i="14"/>
  <c r="BF67" i="14"/>
  <c r="BD67" i="14"/>
  <c r="BC67" i="14"/>
  <c r="BB67" i="14"/>
  <c r="AZ67" i="14"/>
  <c r="AX67" i="14"/>
  <c r="AV67" i="14"/>
  <c r="AU67" i="14"/>
  <c r="AT67" i="14"/>
  <c r="AR67" i="14"/>
  <c r="AP67" i="14"/>
  <c r="AN67" i="14"/>
  <c r="AM67" i="14"/>
  <c r="AL67" i="14"/>
  <c r="AJ67" i="14"/>
  <c r="AH67" i="14"/>
  <c r="AF67" i="14"/>
  <c r="AE67" i="14"/>
  <c r="AD67" i="14"/>
  <c r="AB67" i="14"/>
  <c r="Z67" i="14"/>
  <c r="X67" i="14"/>
  <c r="W67" i="14"/>
  <c r="V67" i="14"/>
  <c r="T67" i="14"/>
  <c r="R67" i="14"/>
  <c r="P67" i="14"/>
  <c r="O67" i="14"/>
  <c r="N67" i="14"/>
  <c r="L67" i="14"/>
  <c r="J67" i="14"/>
  <c r="H67" i="14"/>
  <c r="G67" i="14"/>
  <c r="D67" i="14"/>
  <c r="C67" i="14"/>
  <c r="BI67" i="14" s="1"/>
  <c r="B67" i="14"/>
  <c r="A67" i="14"/>
  <c r="BN66" i="14"/>
  <c r="BM66" i="14"/>
  <c r="BL66" i="14"/>
  <c r="BJ66" i="14"/>
  <c r="BI66" i="14"/>
  <c r="BH66" i="14"/>
  <c r="BF66" i="14"/>
  <c r="BE66" i="14"/>
  <c r="BD66" i="14"/>
  <c r="BB66" i="14"/>
  <c r="BA66" i="14"/>
  <c r="AZ66" i="14"/>
  <c r="AX66" i="14"/>
  <c r="AW66" i="14"/>
  <c r="AV66" i="14"/>
  <c r="AT66" i="14"/>
  <c r="AS66" i="14"/>
  <c r="AR66" i="14"/>
  <c r="AP66" i="14"/>
  <c r="AO66" i="14"/>
  <c r="AN66" i="14"/>
  <c r="AL66" i="14"/>
  <c r="AK66" i="14"/>
  <c r="AJ66" i="14"/>
  <c r="AH66" i="14"/>
  <c r="AG66" i="14"/>
  <c r="AF66" i="14"/>
  <c r="AD66" i="14"/>
  <c r="AC66" i="14"/>
  <c r="AB66" i="14"/>
  <c r="Z66" i="14"/>
  <c r="Y66" i="14"/>
  <c r="X66" i="14"/>
  <c r="V66" i="14"/>
  <c r="U66" i="14"/>
  <c r="T66" i="14"/>
  <c r="R66" i="14"/>
  <c r="Q66" i="14"/>
  <c r="P66" i="14"/>
  <c r="N66" i="14"/>
  <c r="M66" i="14"/>
  <c r="L66" i="14"/>
  <c r="J66" i="14"/>
  <c r="I66" i="14"/>
  <c r="H66" i="14"/>
  <c r="E66" i="14"/>
  <c r="F66" i="14" s="1"/>
  <c r="D66" i="14"/>
  <c r="C66" i="14"/>
  <c r="BK66" i="14" s="1"/>
  <c r="B66" i="14"/>
  <c r="A66" i="14"/>
  <c r="BN65" i="14"/>
  <c r="BL65" i="14"/>
  <c r="BJ65" i="14"/>
  <c r="BH65" i="14"/>
  <c r="BG65" i="14"/>
  <c r="BF65" i="14"/>
  <c r="BD65" i="14"/>
  <c r="AZ65" i="14"/>
  <c r="AY65" i="14"/>
  <c r="AX65" i="14"/>
  <c r="AV65" i="14"/>
  <c r="AT65" i="14"/>
  <c r="AR65" i="14"/>
  <c r="AQ65" i="14"/>
  <c r="AN65" i="14"/>
  <c r="AL65" i="14"/>
  <c r="AJ65" i="14"/>
  <c r="AI65" i="14"/>
  <c r="AH65" i="14"/>
  <c r="AF65" i="14"/>
  <c r="AD65" i="14"/>
  <c r="AA65" i="14"/>
  <c r="Z65" i="14"/>
  <c r="X65" i="14"/>
  <c r="V65" i="14"/>
  <c r="T65" i="14"/>
  <c r="S65" i="14"/>
  <c r="R65" i="14"/>
  <c r="N65" i="14"/>
  <c r="L65" i="14"/>
  <c r="K65" i="14"/>
  <c r="J65" i="14"/>
  <c r="H65" i="14"/>
  <c r="D65" i="14"/>
  <c r="C65" i="14"/>
  <c r="B65" i="14"/>
  <c r="A65" i="14"/>
  <c r="BN64" i="14"/>
  <c r="BM64" i="14"/>
  <c r="BL64" i="14"/>
  <c r="BK64" i="14"/>
  <c r="BJ64" i="14"/>
  <c r="BI64" i="14"/>
  <c r="BH64" i="14"/>
  <c r="BF64" i="14"/>
  <c r="BE64" i="14"/>
  <c r="BD64" i="14"/>
  <c r="BC64" i="14"/>
  <c r="BB64" i="14"/>
  <c r="BA64" i="14"/>
  <c r="AZ64" i="14"/>
  <c r="AX64" i="14"/>
  <c r="AW64" i="14"/>
  <c r="AV64" i="14"/>
  <c r="AU64" i="14"/>
  <c r="AT64" i="14"/>
  <c r="AS64" i="14"/>
  <c r="AR64" i="14"/>
  <c r="AP64" i="14"/>
  <c r="AO64" i="14"/>
  <c r="AN64" i="14"/>
  <c r="AM64" i="14"/>
  <c r="AL64" i="14"/>
  <c r="AK64" i="14"/>
  <c r="AJ64" i="14"/>
  <c r="AH64" i="14"/>
  <c r="AG64" i="14"/>
  <c r="AF64" i="14"/>
  <c r="AE64" i="14"/>
  <c r="AD64" i="14"/>
  <c r="AC64" i="14"/>
  <c r="AB64" i="14"/>
  <c r="Z64" i="14"/>
  <c r="Y64" i="14"/>
  <c r="X64" i="14"/>
  <c r="W64" i="14"/>
  <c r="V64" i="14"/>
  <c r="U64" i="14"/>
  <c r="T64" i="14"/>
  <c r="R64" i="14"/>
  <c r="Q64" i="14"/>
  <c r="P64" i="14"/>
  <c r="O64" i="14"/>
  <c r="N64" i="14"/>
  <c r="M64" i="14"/>
  <c r="L64" i="14"/>
  <c r="J64" i="14"/>
  <c r="I64" i="14"/>
  <c r="H64" i="14"/>
  <c r="G64" i="14"/>
  <c r="E64" i="14"/>
  <c r="F64" i="14" s="1"/>
  <c r="D64" i="14"/>
  <c r="C64" i="14"/>
  <c r="BG64" i="14" s="1"/>
  <c r="B64" i="14"/>
  <c r="A64" i="14"/>
  <c r="BN63" i="14"/>
  <c r="BD63" i="14"/>
  <c r="BC63" i="14"/>
  <c r="AU63" i="14"/>
  <c r="AT63" i="14"/>
  <c r="AR63" i="14"/>
  <c r="AI63" i="14"/>
  <c r="Z63" i="14"/>
  <c r="X63" i="14"/>
  <c r="W63" i="14"/>
  <c r="O63" i="14"/>
  <c r="N63" i="14"/>
  <c r="D63" i="14"/>
  <c r="C63" i="14"/>
  <c r="B63" i="14"/>
  <c r="A63" i="14"/>
  <c r="BN62" i="14"/>
  <c r="BM62" i="14"/>
  <c r="BL62" i="14"/>
  <c r="BJ62" i="14"/>
  <c r="BI62" i="14"/>
  <c r="BH62" i="14"/>
  <c r="BF62" i="14"/>
  <c r="BE62" i="14"/>
  <c r="BD62" i="14"/>
  <c r="BB62" i="14"/>
  <c r="BA62" i="14"/>
  <c r="AZ62" i="14"/>
  <c r="AX62" i="14"/>
  <c r="AW62" i="14"/>
  <c r="AV62" i="14"/>
  <c r="AT62" i="14"/>
  <c r="AS62" i="14"/>
  <c r="AR62" i="14"/>
  <c r="AP62" i="14"/>
  <c r="AO62" i="14"/>
  <c r="AN62" i="14"/>
  <c r="AL62" i="14"/>
  <c r="AK62" i="14"/>
  <c r="AJ62" i="14"/>
  <c r="AH62" i="14"/>
  <c r="AG62" i="14"/>
  <c r="AF62" i="14"/>
  <c r="AD62" i="14"/>
  <c r="AC62" i="14"/>
  <c r="AB62" i="14"/>
  <c r="Z62" i="14"/>
  <c r="Y62" i="14"/>
  <c r="X62" i="14"/>
  <c r="V62" i="14"/>
  <c r="U62" i="14"/>
  <c r="T62" i="14"/>
  <c r="R62" i="14"/>
  <c r="Q62" i="14"/>
  <c r="P62" i="14"/>
  <c r="N62" i="14"/>
  <c r="M62" i="14"/>
  <c r="L62" i="14"/>
  <c r="J62" i="14"/>
  <c r="I62" i="14"/>
  <c r="H62" i="14"/>
  <c r="E62" i="14"/>
  <c r="F62" i="14" s="1"/>
  <c r="D62" i="14"/>
  <c r="C62" i="14"/>
  <c r="BK62" i="14" s="1"/>
  <c r="B62" i="14"/>
  <c r="A62" i="14"/>
  <c r="BL61" i="14"/>
  <c r="BK61" i="14"/>
  <c r="BJ61" i="14"/>
  <c r="BH61" i="14"/>
  <c r="BF61" i="14"/>
  <c r="BB61" i="14"/>
  <c r="AZ61" i="14"/>
  <c r="AY61" i="14"/>
  <c r="AX61" i="14"/>
  <c r="AU61" i="14"/>
  <c r="AQ61" i="14"/>
  <c r="AP61" i="14"/>
  <c r="AN61" i="14"/>
  <c r="AM61" i="14"/>
  <c r="AJ61" i="14"/>
  <c r="AF61" i="14"/>
  <c r="AE61" i="14"/>
  <c r="AD61" i="14"/>
  <c r="AB61" i="14"/>
  <c r="Z61" i="14"/>
  <c r="V61" i="14"/>
  <c r="T61" i="14"/>
  <c r="S61" i="14"/>
  <c r="R61" i="14"/>
  <c r="O61" i="14"/>
  <c r="K61" i="14"/>
  <c r="J61" i="14"/>
  <c r="H61" i="14"/>
  <c r="G61" i="14"/>
  <c r="D61" i="14"/>
  <c r="C61" i="14"/>
  <c r="BN61" i="14" s="1"/>
  <c r="B61" i="14"/>
  <c r="A61" i="14"/>
  <c r="BN60" i="14"/>
  <c r="BM60" i="14"/>
  <c r="BL60" i="14"/>
  <c r="BK60" i="14"/>
  <c r="BJ60" i="14"/>
  <c r="BI60" i="14"/>
  <c r="BH60" i="14"/>
  <c r="BF60" i="14"/>
  <c r="BE60" i="14"/>
  <c r="BD60" i="14"/>
  <c r="BC60" i="14"/>
  <c r="BB60" i="14"/>
  <c r="BA60" i="14"/>
  <c r="AZ60" i="14"/>
  <c r="AX60" i="14"/>
  <c r="AW60" i="14"/>
  <c r="AV60" i="14"/>
  <c r="AU60" i="14"/>
  <c r="AT60" i="14"/>
  <c r="AS60" i="14"/>
  <c r="AR60" i="14"/>
  <c r="AP60" i="14"/>
  <c r="AO60" i="14"/>
  <c r="AN60" i="14"/>
  <c r="AM60" i="14"/>
  <c r="AL60" i="14"/>
  <c r="AK60" i="14"/>
  <c r="AJ60" i="14"/>
  <c r="AH60" i="14"/>
  <c r="AG60" i="14"/>
  <c r="AF60" i="14"/>
  <c r="AE60" i="14"/>
  <c r="AD60" i="14"/>
  <c r="AC60" i="14"/>
  <c r="AB60" i="14"/>
  <c r="Z60" i="14"/>
  <c r="Y60" i="14"/>
  <c r="X60" i="14"/>
  <c r="W60" i="14"/>
  <c r="V60" i="14"/>
  <c r="U60" i="14"/>
  <c r="T60" i="14"/>
  <c r="R60" i="14"/>
  <c r="Q60" i="14"/>
  <c r="P60" i="14"/>
  <c r="O60" i="14"/>
  <c r="N60" i="14"/>
  <c r="M60" i="14"/>
  <c r="L60" i="14"/>
  <c r="J60" i="14"/>
  <c r="I60" i="14"/>
  <c r="H60" i="14"/>
  <c r="G60" i="14"/>
  <c r="E60" i="14"/>
  <c r="F60" i="14" s="1"/>
  <c r="D60" i="14"/>
  <c r="C60" i="14"/>
  <c r="BG60" i="14" s="1"/>
  <c r="B60" i="14"/>
  <c r="A60" i="14"/>
  <c r="BL59" i="14"/>
  <c r="BH59" i="14"/>
  <c r="BG59" i="14"/>
  <c r="BF59" i="14"/>
  <c r="BB59" i="14"/>
  <c r="AX59" i="14"/>
  <c r="AV59" i="14"/>
  <c r="AU59" i="14"/>
  <c r="AQ59" i="14"/>
  <c r="AM59" i="14"/>
  <c r="AL59" i="14"/>
  <c r="AJ59" i="14"/>
  <c r="AF59" i="14"/>
  <c r="AB59" i="14"/>
  <c r="AA59" i="14"/>
  <c r="Z59" i="14"/>
  <c r="V59" i="14"/>
  <c r="R59" i="14"/>
  <c r="P59" i="14"/>
  <c r="O59" i="14"/>
  <c r="K59" i="14"/>
  <c r="G59" i="14"/>
  <c r="D59" i="14"/>
  <c r="C59" i="14"/>
  <c r="BN59" i="14" s="1"/>
  <c r="B59" i="14"/>
  <c r="A59" i="14"/>
  <c r="BN58" i="14"/>
  <c r="BM58" i="14"/>
  <c r="BL58" i="14"/>
  <c r="BJ58" i="14"/>
  <c r="BI58" i="14"/>
  <c r="BH58" i="14"/>
  <c r="BF58" i="14"/>
  <c r="BE58" i="14"/>
  <c r="BD58" i="14"/>
  <c r="BB58" i="14"/>
  <c r="BA58" i="14"/>
  <c r="AZ58" i="14"/>
  <c r="AX58" i="14"/>
  <c r="AW58" i="14"/>
  <c r="AV58" i="14"/>
  <c r="AT58" i="14"/>
  <c r="AS58" i="14"/>
  <c r="AR58" i="14"/>
  <c r="AP58" i="14"/>
  <c r="AO58" i="14"/>
  <c r="AN58" i="14"/>
  <c r="AL58" i="14"/>
  <c r="AK58" i="14"/>
  <c r="AJ58" i="14"/>
  <c r="AH58" i="14"/>
  <c r="AG58" i="14"/>
  <c r="AF58" i="14"/>
  <c r="AD58" i="14"/>
  <c r="AC58" i="14"/>
  <c r="AB58" i="14"/>
  <c r="Z58" i="14"/>
  <c r="Y58" i="14"/>
  <c r="X58" i="14"/>
  <c r="V58" i="14"/>
  <c r="U58" i="14"/>
  <c r="T58" i="14"/>
  <c r="R58" i="14"/>
  <c r="Q58" i="14"/>
  <c r="P58" i="14"/>
  <c r="N58" i="14"/>
  <c r="M58" i="14"/>
  <c r="L58" i="14"/>
  <c r="J58" i="14"/>
  <c r="I58" i="14"/>
  <c r="H58" i="14"/>
  <c r="E58" i="14"/>
  <c r="F58" i="14" s="1"/>
  <c r="D58" i="14"/>
  <c r="C58" i="14"/>
  <c r="BK58" i="14" s="1"/>
  <c r="B58" i="14"/>
  <c r="A58" i="14"/>
  <c r="BL57" i="14"/>
  <c r="BB57" i="14"/>
  <c r="AQ57" i="14"/>
  <c r="AH57" i="14"/>
  <c r="W57" i="14"/>
  <c r="L57" i="14"/>
  <c r="D57" i="14"/>
  <c r="C57" i="14"/>
  <c r="BC57" i="14" s="1"/>
  <c r="B57" i="14"/>
  <c r="A57" i="14"/>
  <c r="BN56" i="14"/>
  <c r="BM56" i="14"/>
  <c r="BL56" i="14"/>
  <c r="BK56" i="14"/>
  <c r="BJ56" i="14"/>
  <c r="BI56" i="14"/>
  <c r="BH56" i="14"/>
  <c r="BF56" i="14"/>
  <c r="BE56" i="14"/>
  <c r="BD56" i="14"/>
  <c r="BC56" i="14"/>
  <c r="BB56" i="14"/>
  <c r="BA56" i="14"/>
  <c r="AZ56" i="14"/>
  <c r="AX56" i="14"/>
  <c r="AW56" i="14"/>
  <c r="AV56" i="14"/>
  <c r="AU56" i="14"/>
  <c r="AT56" i="14"/>
  <c r="AS56" i="14"/>
  <c r="AR56" i="14"/>
  <c r="AP56" i="14"/>
  <c r="AO56" i="14"/>
  <c r="AN56" i="14"/>
  <c r="AM56" i="14"/>
  <c r="AL56" i="14"/>
  <c r="AK56" i="14"/>
  <c r="AJ56" i="14"/>
  <c r="AH56" i="14"/>
  <c r="AG56" i="14"/>
  <c r="AF56" i="14"/>
  <c r="AE56" i="14"/>
  <c r="AD56" i="14"/>
  <c r="AC56" i="14"/>
  <c r="AB56" i="14"/>
  <c r="Z56" i="14"/>
  <c r="Y56" i="14"/>
  <c r="X56" i="14"/>
  <c r="W56" i="14"/>
  <c r="V56" i="14"/>
  <c r="U56" i="14"/>
  <c r="T56" i="14"/>
  <c r="R56" i="14"/>
  <c r="Q56" i="14"/>
  <c r="P56" i="14"/>
  <c r="O56" i="14"/>
  <c r="N56" i="14"/>
  <c r="M56" i="14"/>
  <c r="L56" i="14"/>
  <c r="J56" i="14"/>
  <c r="I56" i="14"/>
  <c r="H56" i="14"/>
  <c r="G56" i="14"/>
  <c r="E56" i="14"/>
  <c r="F56" i="14" s="1"/>
  <c r="D56" i="14"/>
  <c r="C56" i="14"/>
  <c r="BG56" i="14" s="1"/>
  <c r="B56" i="14"/>
  <c r="A56" i="14"/>
  <c r="BK55" i="14"/>
  <c r="BJ55" i="14"/>
  <c r="BH55" i="14"/>
  <c r="AZ55" i="14"/>
  <c r="AY55" i="14"/>
  <c r="AX55" i="14"/>
  <c r="AP55" i="14"/>
  <c r="AN55" i="14"/>
  <c r="AM55" i="14"/>
  <c r="AE55" i="14"/>
  <c r="AD55" i="14"/>
  <c r="AB55" i="14"/>
  <c r="T55" i="14"/>
  <c r="S55" i="14"/>
  <c r="R55" i="14"/>
  <c r="J55" i="14"/>
  <c r="H55" i="14"/>
  <c r="G55" i="14"/>
  <c r="D55" i="14"/>
  <c r="C55" i="14"/>
  <c r="BN55" i="14" s="1"/>
  <c r="B55" i="14"/>
  <c r="A55" i="14"/>
  <c r="BN54" i="14"/>
  <c r="BM54" i="14"/>
  <c r="BL54" i="14"/>
  <c r="BJ54" i="14"/>
  <c r="BI54" i="14"/>
  <c r="BH54" i="14"/>
  <c r="BF54" i="14"/>
  <c r="BE54" i="14"/>
  <c r="BD54" i="14"/>
  <c r="BB54" i="14"/>
  <c r="BA54" i="14"/>
  <c r="AZ54" i="14"/>
  <c r="AX54" i="14"/>
  <c r="AW54" i="14"/>
  <c r="AV54" i="14"/>
  <c r="AT54" i="14"/>
  <c r="AS54" i="14"/>
  <c r="AR54" i="14"/>
  <c r="AP54" i="14"/>
  <c r="AO54" i="14"/>
  <c r="AN54" i="14"/>
  <c r="AL54" i="14"/>
  <c r="AK54" i="14"/>
  <c r="AJ54" i="14"/>
  <c r="AH54" i="14"/>
  <c r="AG54" i="14"/>
  <c r="AF54" i="14"/>
  <c r="AD54" i="14"/>
  <c r="AC54" i="14"/>
  <c r="AB54" i="14"/>
  <c r="Z54" i="14"/>
  <c r="Y54" i="14"/>
  <c r="X54" i="14"/>
  <c r="V54" i="14"/>
  <c r="U54" i="14"/>
  <c r="T54" i="14"/>
  <c r="R54" i="14"/>
  <c r="Q54" i="14"/>
  <c r="P54" i="14"/>
  <c r="N54" i="14"/>
  <c r="M54" i="14"/>
  <c r="L54" i="14"/>
  <c r="J54" i="14"/>
  <c r="I54" i="14"/>
  <c r="H54" i="14"/>
  <c r="E54" i="14"/>
  <c r="F54" i="14" s="1"/>
  <c r="D54" i="14"/>
  <c r="C54" i="14"/>
  <c r="BK54" i="14" s="1"/>
  <c r="B54" i="14"/>
  <c r="A54" i="14"/>
  <c r="BG53" i="14"/>
  <c r="AV53" i="14"/>
  <c r="AL53" i="14"/>
  <c r="AI53" i="14"/>
  <c r="X53" i="14"/>
  <c r="N53" i="14"/>
  <c r="D53" i="14"/>
  <c r="C53" i="14"/>
  <c r="BD53" i="14" s="1"/>
  <c r="B53" i="14"/>
  <c r="A53" i="14"/>
  <c r="BN52" i="14"/>
  <c r="BM52" i="14"/>
  <c r="BL52" i="14"/>
  <c r="BK52" i="14"/>
  <c r="BJ52" i="14"/>
  <c r="BI52" i="14"/>
  <c r="BH52" i="14"/>
  <c r="BF52" i="14"/>
  <c r="BE52" i="14"/>
  <c r="BD52" i="14"/>
  <c r="BC52" i="14"/>
  <c r="BB52" i="14"/>
  <c r="BA52" i="14"/>
  <c r="AZ52" i="14"/>
  <c r="AX52" i="14"/>
  <c r="AW52" i="14"/>
  <c r="AV52" i="14"/>
  <c r="AU52" i="14"/>
  <c r="AT52" i="14"/>
  <c r="AS52" i="14"/>
  <c r="AR52" i="14"/>
  <c r="AP52" i="14"/>
  <c r="AO52" i="14"/>
  <c r="AN52" i="14"/>
  <c r="AM52" i="14"/>
  <c r="AL52" i="14"/>
  <c r="AK52" i="14"/>
  <c r="AJ52" i="14"/>
  <c r="AH52" i="14"/>
  <c r="AG52" i="14"/>
  <c r="AF52" i="14"/>
  <c r="AE52" i="14"/>
  <c r="AD52" i="14"/>
  <c r="AC52" i="14"/>
  <c r="AB52" i="14"/>
  <c r="Z52" i="14"/>
  <c r="Y52" i="14"/>
  <c r="X52" i="14"/>
  <c r="W52" i="14"/>
  <c r="V52" i="14"/>
  <c r="U52" i="14"/>
  <c r="T52" i="14"/>
  <c r="R52" i="14"/>
  <c r="Q52" i="14"/>
  <c r="P52" i="14"/>
  <c r="O52" i="14"/>
  <c r="N52" i="14"/>
  <c r="M52" i="14"/>
  <c r="L52" i="14"/>
  <c r="J52" i="14"/>
  <c r="I52" i="14"/>
  <c r="H52" i="14"/>
  <c r="G52" i="14"/>
  <c r="E52" i="14"/>
  <c r="F52" i="14" s="1"/>
  <c r="D52" i="14"/>
  <c r="C52" i="14"/>
  <c r="BG52" i="14" s="1"/>
  <c r="B52" i="14"/>
  <c r="A52" i="14"/>
  <c r="BN51" i="14"/>
  <c r="BL51" i="14"/>
  <c r="BK51" i="14"/>
  <c r="BJ51" i="14"/>
  <c r="BG51" i="14"/>
  <c r="BF51" i="14"/>
  <c r="BC51" i="14"/>
  <c r="BB51" i="14"/>
  <c r="AZ51" i="14"/>
  <c r="AY51" i="14"/>
  <c r="AV51" i="14"/>
  <c r="AU51" i="14"/>
  <c r="AR51" i="14"/>
  <c r="AQ51" i="14"/>
  <c r="AP51" i="14"/>
  <c r="AN51" i="14"/>
  <c r="AL51" i="14"/>
  <c r="AJ51" i="14"/>
  <c r="AH51" i="14"/>
  <c r="AF51" i="14"/>
  <c r="AE51" i="14"/>
  <c r="AD51" i="14"/>
  <c r="AA51" i="14"/>
  <c r="Z51" i="14"/>
  <c r="W51" i="14"/>
  <c r="V51" i="14"/>
  <c r="T51" i="14"/>
  <c r="S51" i="14"/>
  <c r="P51" i="14"/>
  <c r="O51" i="14"/>
  <c r="L51" i="14"/>
  <c r="K51" i="14"/>
  <c r="J51" i="14"/>
  <c r="H51" i="14"/>
  <c r="D51" i="14"/>
  <c r="C51" i="14"/>
  <c r="B51" i="14"/>
  <c r="A51" i="14"/>
  <c r="BN50" i="14"/>
  <c r="BM50" i="14"/>
  <c r="BL50" i="14"/>
  <c r="BJ50" i="14"/>
  <c r="BI50" i="14"/>
  <c r="BH50" i="14"/>
  <c r="BF50" i="14"/>
  <c r="BE50" i="14"/>
  <c r="BD50" i="14"/>
  <c r="BB50" i="14"/>
  <c r="BA50" i="14"/>
  <c r="AZ50" i="14"/>
  <c r="AX50" i="14"/>
  <c r="AW50" i="14"/>
  <c r="AV50" i="14"/>
  <c r="AT50" i="14"/>
  <c r="AS50" i="14"/>
  <c r="AR50" i="14"/>
  <c r="AP50" i="14"/>
  <c r="AO50" i="14"/>
  <c r="AN50" i="14"/>
  <c r="AL50" i="14"/>
  <c r="AK50" i="14"/>
  <c r="AJ50" i="14"/>
  <c r="AH50" i="14"/>
  <c r="AG50" i="14"/>
  <c r="AF50" i="14"/>
  <c r="AD50" i="14"/>
  <c r="AC50" i="14"/>
  <c r="AB50" i="14"/>
  <c r="Z50" i="14"/>
  <c r="Y50" i="14"/>
  <c r="X50" i="14"/>
  <c r="V50" i="14"/>
  <c r="U50" i="14"/>
  <c r="T50" i="14"/>
  <c r="R50" i="14"/>
  <c r="Q50" i="14"/>
  <c r="P50" i="14"/>
  <c r="N50" i="14"/>
  <c r="M50" i="14"/>
  <c r="L50" i="14"/>
  <c r="J50" i="14"/>
  <c r="I50" i="14"/>
  <c r="H50" i="14"/>
  <c r="E50" i="14"/>
  <c r="F50" i="14" s="1"/>
  <c r="D50" i="14"/>
  <c r="C50" i="14"/>
  <c r="BK50" i="14" s="1"/>
  <c r="B50" i="14"/>
  <c r="A50" i="14"/>
  <c r="BN49" i="14"/>
  <c r="BL49" i="14"/>
  <c r="BJ49" i="14"/>
  <c r="BH49" i="14"/>
  <c r="BG49" i="14"/>
  <c r="BF49" i="14"/>
  <c r="BC49" i="14"/>
  <c r="BB49" i="14"/>
  <c r="AY49" i="14"/>
  <c r="AX49" i="14"/>
  <c r="AV49" i="14"/>
  <c r="AU49" i="14"/>
  <c r="AR49" i="14"/>
  <c r="AQ49" i="14"/>
  <c r="AN49" i="14"/>
  <c r="AM49" i="14"/>
  <c r="AL49" i="14"/>
  <c r="AJ49" i="14"/>
  <c r="AH49" i="14"/>
  <c r="AF49" i="14"/>
  <c r="AD49" i="14"/>
  <c r="AB49" i="14"/>
  <c r="AA49" i="14"/>
  <c r="Z49" i="14"/>
  <c r="W49" i="14"/>
  <c r="V49" i="14"/>
  <c r="S49" i="14"/>
  <c r="R49" i="14"/>
  <c r="P49" i="14"/>
  <c r="O49" i="14"/>
  <c r="L49" i="14"/>
  <c r="K49" i="14"/>
  <c r="H49" i="14"/>
  <c r="G49" i="14"/>
  <c r="D49" i="14"/>
  <c r="C49" i="14"/>
  <c r="BK49" i="14" s="1"/>
  <c r="B49" i="14"/>
  <c r="A49" i="14"/>
  <c r="BN48" i="14"/>
  <c r="BM48" i="14"/>
  <c r="BL48" i="14"/>
  <c r="BK48" i="14"/>
  <c r="BJ48" i="14"/>
  <c r="BI48" i="14"/>
  <c r="BH48" i="14"/>
  <c r="BF48" i="14"/>
  <c r="BE48" i="14"/>
  <c r="BD48" i="14"/>
  <c r="BC48" i="14"/>
  <c r="BB48" i="14"/>
  <c r="BA48" i="14"/>
  <c r="AZ48" i="14"/>
  <c r="AX48" i="14"/>
  <c r="AW48" i="14"/>
  <c r="AV48" i="14"/>
  <c r="AU48" i="14"/>
  <c r="AT48" i="14"/>
  <c r="AS48" i="14"/>
  <c r="AR48" i="14"/>
  <c r="AP48" i="14"/>
  <c r="AO48" i="14"/>
  <c r="AN48" i="14"/>
  <c r="AM48" i="14"/>
  <c r="AL48" i="14"/>
  <c r="AK48" i="14"/>
  <c r="AJ48" i="14"/>
  <c r="AH48" i="14"/>
  <c r="AG48" i="14"/>
  <c r="AF48" i="14"/>
  <c r="AE48" i="14"/>
  <c r="AD48" i="14"/>
  <c r="AC48" i="14"/>
  <c r="AB48" i="14"/>
  <c r="Z48" i="14"/>
  <c r="Y48" i="14"/>
  <c r="X48" i="14"/>
  <c r="W48" i="14"/>
  <c r="V48" i="14"/>
  <c r="U48" i="14"/>
  <c r="T48" i="14"/>
  <c r="R48" i="14"/>
  <c r="Q48" i="14"/>
  <c r="P48" i="14"/>
  <c r="O48" i="14"/>
  <c r="N48" i="14"/>
  <c r="M48" i="14"/>
  <c r="L48" i="14"/>
  <c r="J48" i="14"/>
  <c r="I48" i="14"/>
  <c r="H48" i="14"/>
  <c r="G48" i="14"/>
  <c r="E48" i="14"/>
  <c r="F48" i="14" s="1"/>
  <c r="D48" i="14"/>
  <c r="C48" i="14"/>
  <c r="BG48" i="14" s="1"/>
  <c r="B48" i="14"/>
  <c r="A48" i="14"/>
  <c r="BN47" i="14"/>
  <c r="BM47" i="14"/>
  <c r="BK47" i="14"/>
  <c r="BJ47" i="14"/>
  <c r="BG47" i="14"/>
  <c r="BF47" i="14"/>
  <c r="BE47" i="14"/>
  <c r="BD47" i="14"/>
  <c r="BB47" i="14"/>
  <c r="AZ47" i="14"/>
  <c r="AX47" i="14"/>
  <c r="AW47" i="14"/>
  <c r="AV47" i="14"/>
  <c r="AU47" i="14"/>
  <c r="AR47" i="14"/>
  <c r="AQ47" i="14"/>
  <c r="AO47" i="14"/>
  <c r="AN47" i="14"/>
  <c r="AM47" i="14"/>
  <c r="AL47" i="14"/>
  <c r="AI47" i="14"/>
  <c r="AH47" i="14"/>
  <c r="AF47" i="14"/>
  <c r="AE47" i="14"/>
  <c r="AD47" i="14"/>
  <c r="AB47" i="14"/>
  <c r="Z47" i="14"/>
  <c r="Y47" i="14"/>
  <c r="W47" i="14"/>
  <c r="V47" i="14"/>
  <c r="U47" i="14"/>
  <c r="T47" i="14"/>
  <c r="R47" i="14"/>
  <c r="Q47" i="14"/>
  <c r="O47" i="14"/>
  <c r="N47" i="14"/>
  <c r="M47" i="14"/>
  <c r="L47" i="14"/>
  <c r="J47" i="14"/>
  <c r="I47" i="14"/>
  <c r="G47" i="14"/>
  <c r="E47" i="14"/>
  <c r="F47" i="14" s="1"/>
  <c r="D47" i="14"/>
  <c r="C47" i="14"/>
  <c r="BH47" i="14" s="1"/>
  <c r="B47" i="14"/>
  <c r="A47" i="14"/>
  <c r="BM46" i="14"/>
  <c r="BD46" i="14"/>
  <c r="BB46" i="14"/>
  <c r="AR46" i="14"/>
  <c r="AN46" i="14"/>
  <c r="AE46" i="14"/>
  <c r="AB46" i="14"/>
  <c r="Q46" i="14"/>
  <c r="O46" i="14"/>
  <c r="G46" i="14"/>
  <c r="D46" i="14"/>
  <c r="C46" i="14"/>
  <c r="BK46" i="14" s="1"/>
  <c r="B46" i="14"/>
  <c r="A46" i="14"/>
  <c r="BL45" i="14"/>
  <c r="BJ45" i="14"/>
  <c r="BI45" i="14"/>
  <c r="BG45" i="14"/>
  <c r="BF45" i="14"/>
  <c r="BE45" i="14"/>
  <c r="BA45" i="14"/>
  <c r="AY45" i="14"/>
  <c r="AX45" i="14"/>
  <c r="AW45" i="14"/>
  <c r="AV45" i="14"/>
  <c r="AT45" i="14"/>
  <c r="AP45" i="14"/>
  <c r="AO45" i="14"/>
  <c r="AN45" i="14"/>
  <c r="AL45" i="14"/>
  <c r="AK45" i="14"/>
  <c r="AI45" i="14"/>
  <c r="AG45" i="14"/>
  <c r="AF45" i="14"/>
  <c r="AD45" i="14"/>
  <c r="AC45" i="14"/>
  <c r="AA45" i="14"/>
  <c r="Z45" i="14"/>
  <c r="Y45" i="14"/>
  <c r="V45" i="14"/>
  <c r="U45" i="14"/>
  <c r="S45" i="14"/>
  <c r="R45" i="14"/>
  <c r="Q45" i="14"/>
  <c r="P45" i="14"/>
  <c r="N45" i="14"/>
  <c r="K45" i="14"/>
  <c r="J45" i="14"/>
  <c r="I45" i="14"/>
  <c r="H45" i="14"/>
  <c r="E45" i="14"/>
  <c r="F45" i="14" s="1"/>
  <c r="D45" i="14"/>
  <c r="C45" i="14"/>
  <c r="BM45" i="14" s="1"/>
  <c r="B45" i="14"/>
  <c r="A45" i="14"/>
  <c r="BA44" i="14"/>
  <c r="AE44" i="14"/>
  <c r="X44" i="14"/>
  <c r="D44" i="14"/>
  <c r="C44" i="14"/>
  <c r="BD44" i="14" s="1"/>
  <c r="B44" i="14"/>
  <c r="A44" i="14"/>
  <c r="BN43" i="14"/>
  <c r="BM43" i="14"/>
  <c r="BK43" i="14"/>
  <c r="BJ43" i="14"/>
  <c r="BI43" i="14"/>
  <c r="BH43" i="14"/>
  <c r="BF43" i="14"/>
  <c r="BE43" i="14"/>
  <c r="BC43" i="14"/>
  <c r="BB43" i="14"/>
  <c r="BA43" i="14"/>
  <c r="AZ43" i="14"/>
  <c r="AX43" i="14"/>
  <c r="AW43" i="14"/>
  <c r="AU43" i="14"/>
  <c r="AT43" i="14"/>
  <c r="AS43" i="14"/>
  <c r="AR43" i="14"/>
  <c r="AP43" i="14"/>
  <c r="AO43" i="14"/>
  <c r="AM43" i="14"/>
  <c r="AL43" i="14"/>
  <c r="AK43" i="14"/>
  <c r="AJ43" i="14"/>
  <c r="AH43" i="14"/>
  <c r="AG43" i="14"/>
  <c r="AE43" i="14"/>
  <c r="AD43" i="14"/>
  <c r="AC43" i="14"/>
  <c r="AB43" i="14"/>
  <c r="Z43" i="14"/>
  <c r="Y43" i="14"/>
  <c r="W43" i="14"/>
  <c r="V43" i="14"/>
  <c r="U43" i="14"/>
  <c r="T43" i="14"/>
  <c r="R43" i="14"/>
  <c r="Q43" i="14"/>
  <c r="O43" i="14"/>
  <c r="N43" i="14"/>
  <c r="M43" i="14"/>
  <c r="L43" i="14"/>
  <c r="J43" i="14"/>
  <c r="I43" i="14"/>
  <c r="G43" i="14"/>
  <c r="E43" i="14"/>
  <c r="F43" i="14" s="1"/>
  <c r="D43" i="14"/>
  <c r="C43" i="14"/>
  <c r="BG43" i="14" s="1"/>
  <c r="B43" i="14"/>
  <c r="A43" i="14"/>
  <c r="BG42" i="14"/>
  <c r="BD42" i="14"/>
  <c r="AV42" i="14"/>
  <c r="AL42" i="14"/>
  <c r="AI42" i="14"/>
  <c r="AA42" i="14"/>
  <c r="P42" i="14"/>
  <c r="N42" i="14"/>
  <c r="D42" i="14"/>
  <c r="C42" i="14"/>
  <c r="BH42" i="14" s="1"/>
  <c r="B42" i="14"/>
  <c r="A42" i="14"/>
  <c r="BN41" i="14"/>
  <c r="BJ41" i="14"/>
  <c r="BG41" i="14"/>
  <c r="BD41" i="14"/>
  <c r="BA41" i="14"/>
  <c r="AY41" i="14"/>
  <c r="AW41" i="14"/>
  <c r="AS41" i="14"/>
  <c r="AO41" i="14"/>
  <c r="AL41" i="14"/>
  <c r="AH41" i="14"/>
  <c r="AF41" i="14"/>
  <c r="AD41" i="14"/>
  <c r="AA41" i="14"/>
  <c r="X41" i="14"/>
  <c r="S41" i="14"/>
  <c r="Q41" i="14"/>
  <c r="M41" i="14"/>
  <c r="J41" i="14"/>
  <c r="I41" i="14"/>
  <c r="D41" i="14"/>
  <c r="C41" i="14"/>
  <c r="B41" i="14"/>
  <c r="A41" i="14"/>
  <c r="BD40" i="14"/>
  <c r="BC40" i="14"/>
  <c r="AS40" i="14"/>
  <c r="AP40" i="14"/>
  <c r="AI40" i="14"/>
  <c r="AH40" i="14"/>
  <c r="X40" i="14"/>
  <c r="T40" i="14"/>
  <c r="M40" i="14"/>
  <c r="L40" i="14"/>
  <c r="D40" i="14"/>
  <c r="C40" i="14"/>
  <c r="BK40" i="14" s="1"/>
  <c r="B40" i="14"/>
  <c r="A40" i="14"/>
  <c r="BN39" i="14"/>
  <c r="BM39" i="14"/>
  <c r="BK39" i="14"/>
  <c r="BJ39" i="14"/>
  <c r="BI39" i="14"/>
  <c r="BH39" i="14"/>
  <c r="BF39" i="14"/>
  <c r="BE39" i="14"/>
  <c r="BC39" i="14"/>
  <c r="BB39" i="14"/>
  <c r="BA39" i="14"/>
  <c r="AZ39" i="14"/>
  <c r="AX39" i="14"/>
  <c r="AW39" i="14"/>
  <c r="AU39" i="14"/>
  <c r="AT39" i="14"/>
  <c r="AS39" i="14"/>
  <c r="AR39" i="14"/>
  <c r="AP39" i="14"/>
  <c r="AO39" i="14"/>
  <c r="AM39" i="14"/>
  <c r="AL39" i="14"/>
  <c r="AK39" i="14"/>
  <c r="AJ39" i="14"/>
  <c r="AH39" i="14"/>
  <c r="AG39" i="14"/>
  <c r="AE39" i="14"/>
  <c r="AD39" i="14"/>
  <c r="AC39" i="14"/>
  <c r="AB39" i="14"/>
  <c r="Z39" i="14"/>
  <c r="Y39" i="14"/>
  <c r="W39" i="14"/>
  <c r="V39" i="14"/>
  <c r="U39" i="14"/>
  <c r="T39" i="14"/>
  <c r="R39" i="14"/>
  <c r="Q39" i="14"/>
  <c r="O39" i="14"/>
  <c r="N39" i="14"/>
  <c r="M39" i="14"/>
  <c r="L39" i="14"/>
  <c r="J39" i="14"/>
  <c r="I39" i="14"/>
  <c r="G39" i="14"/>
  <c r="E39" i="14"/>
  <c r="F39" i="14" s="1"/>
  <c r="D39" i="14"/>
  <c r="C39" i="14"/>
  <c r="BG39" i="14" s="1"/>
  <c r="B39" i="14"/>
  <c r="A39" i="14"/>
  <c r="BM38" i="14"/>
  <c r="BL38" i="14"/>
  <c r="BK38" i="14"/>
  <c r="BJ38" i="14"/>
  <c r="BH38" i="14"/>
  <c r="BG38" i="14"/>
  <c r="BC38" i="14"/>
  <c r="BB38" i="14"/>
  <c r="AZ38" i="14"/>
  <c r="AY38" i="14"/>
  <c r="AW38" i="14"/>
  <c r="AV38" i="14"/>
  <c r="AR38" i="14"/>
  <c r="AQ38" i="14"/>
  <c r="AO38" i="14"/>
  <c r="AN38" i="14"/>
  <c r="AM38" i="14"/>
  <c r="AL38" i="14"/>
  <c r="AG38" i="14"/>
  <c r="AF38" i="14"/>
  <c r="AE38" i="14"/>
  <c r="AD38" i="14"/>
  <c r="AB38" i="14"/>
  <c r="AA38" i="14"/>
  <c r="W38" i="14"/>
  <c r="V38" i="14"/>
  <c r="T38" i="14"/>
  <c r="S38" i="14"/>
  <c r="Q38" i="14"/>
  <c r="P38" i="14"/>
  <c r="L38" i="14"/>
  <c r="K38" i="14"/>
  <c r="I38" i="14"/>
  <c r="H38" i="14"/>
  <c r="G38" i="14"/>
  <c r="D38" i="14"/>
  <c r="C38" i="14"/>
  <c r="B38" i="14"/>
  <c r="A38" i="14"/>
  <c r="BB37" i="14"/>
  <c r="AY37" i="14"/>
  <c r="AG37" i="14"/>
  <c r="AD37" i="14"/>
  <c r="K37" i="14"/>
  <c r="I37" i="14"/>
  <c r="D37" i="14"/>
  <c r="C37" i="14"/>
  <c r="BJ37" i="14" s="1"/>
  <c r="B37" i="14"/>
  <c r="A37" i="14"/>
  <c r="BN36" i="14"/>
  <c r="BI36" i="14"/>
  <c r="BG36" i="14"/>
  <c r="BF36" i="14"/>
  <c r="BC36" i="14"/>
  <c r="AY36" i="14"/>
  <c r="AV36" i="14"/>
  <c r="AU36" i="14"/>
  <c r="AR36" i="14"/>
  <c r="AN36" i="14"/>
  <c r="AK36" i="14"/>
  <c r="AJ36" i="14"/>
  <c r="AH36" i="14"/>
  <c r="AC36" i="14"/>
  <c r="AA36" i="14"/>
  <c r="Z36" i="14"/>
  <c r="W36" i="14"/>
  <c r="S36" i="14"/>
  <c r="P36" i="14"/>
  <c r="O36" i="14"/>
  <c r="L36" i="14"/>
  <c r="H36" i="14"/>
  <c r="E36" i="14"/>
  <c r="F36" i="14" s="1"/>
  <c r="D36" i="14"/>
  <c r="C36" i="14"/>
  <c r="BL36" i="14" s="1"/>
  <c r="B36" i="14"/>
  <c r="A36" i="14"/>
  <c r="BN35" i="14"/>
  <c r="BM35" i="14"/>
  <c r="BK35" i="14"/>
  <c r="BJ35" i="14"/>
  <c r="BI35" i="14"/>
  <c r="BH35" i="14"/>
  <c r="BF35" i="14"/>
  <c r="BE35" i="14"/>
  <c r="BC35" i="14"/>
  <c r="BB35" i="14"/>
  <c r="BA35" i="14"/>
  <c r="AZ35" i="14"/>
  <c r="AX35" i="14"/>
  <c r="AW35" i="14"/>
  <c r="AU35" i="14"/>
  <c r="AT35" i="14"/>
  <c r="AS35" i="14"/>
  <c r="AR35" i="14"/>
  <c r="AP35" i="14"/>
  <c r="AO35" i="14"/>
  <c r="AM35" i="14"/>
  <c r="AL35" i="14"/>
  <c r="AK35" i="14"/>
  <c r="AJ35" i="14"/>
  <c r="AH35" i="14"/>
  <c r="AG35" i="14"/>
  <c r="AE35" i="14"/>
  <c r="AD35" i="14"/>
  <c r="AC35" i="14"/>
  <c r="AB35" i="14"/>
  <c r="Z35" i="14"/>
  <c r="Y35" i="14"/>
  <c r="W35" i="14"/>
  <c r="V35" i="14"/>
  <c r="U35" i="14"/>
  <c r="T35" i="14"/>
  <c r="R35" i="14"/>
  <c r="Q35" i="14"/>
  <c r="O35" i="14"/>
  <c r="N35" i="14"/>
  <c r="M35" i="14"/>
  <c r="L35" i="14"/>
  <c r="J35" i="14"/>
  <c r="I35" i="14"/>
  <c r="G35" i="14"/>
  <c r="E35" i="14"/>
  <c r="F35" i="14" s="1"/>
  <c r="D35" i="14"/>
  <c r="C35" i="14"/>
  <c r="BG35" i="14" s="1"/>
  <c r="B35" i="14"/>
  <c r="A35" i="14"/>
  <c r="BM34" i="14"/>
  <c r="BL34" i="14"/>
  <c r="BK34" i="14"/>
  <c r="BJ34" i="14"/>
  <c r="BE34" i="14"/>
  <c r="BC34" i="14"/>
  <c r="BB34" i="14"/>
  <c r="AZ34" i="14"/>
  <c r="AY34" i="14"/>
  <c r="AU34" i="14"/>
  <c r="AR34" i="14"/>
  <c r="AQ34" i="14"/>
  <c r="AO34" i="14"/>
  <c r="AN34" i="14"/>
  <c r="AJ34" i="14"/>
  <c r="AG34" i="14"/>
  <c r="AF34" i="14"/>
  <c r="AE34" i="14"/>
  <c r="AD34" i="14"/>
  <c r="Y34" i="14"/>
  <c r="W34" i="14"/>
  <c r="V34" i="14"/>
  <c r="T34" i="14"/>
  <c r="S34" i="14"/>
  <c r="O34" i="14"/>
  <c r="L34" i="14"/>
  <c r="K34" i="14"/>
  <c r="I34" i="14"/>
  <c r="H34" i="14"/>
  <c r="D34" i="14"/>
  <c r="C34" i="14"/>
  <c r="B34" i="14"/>
  <c r="A34" i="14"/>
  <c r="BN33" i="14"/>
  <c r="BM33" i="14"/>
  <c r="BJ33" i="14"/>
  <c r="BI33" i="14"/>
  <c r="BG33" i="14"/>
  <c r="BF33" i="14"/>
  <c r="BE33" i="14"/>
  <c r="BD33" i="14"/>
  <c r="BB33" i="14"/>
  <c r="AY33" i="14"/>
  <c r="AX33" i="14"/>
  <c r="AW33" i="14"/>
  <c r="AV33" i="14"/>
  <c r="AT33" i="14"/>
  <c r="AS33" i="14"/>
  <c r="AQ33" i="14"/>
  <c r="AO33" i="14"/>
  <c r="AN33" i="14"/>
  <c r="AL33" i="14"/>
  <c r="AK33" i="14"/>
  <c r="AI33" i="14"/>
  <c r="AH33" i="14"/>
  <c r="AG33" i="14"/>
  <c r="AD33" i="14"/>
  <c r="AC33" i="14"/>
  <c r="AA33" i="14"/>
  <c r="Z33" i="14"/>
  <c r="Y33" i="14"/>
  <c r="X33" i="14"/>
  <c r="V33" i="14"/>
  <c r="S33" i="14"/>
  <c r="R33" i="14"/>
  <c r="Q33" i="14"/>
  <c r="P33" i="14"/>
  <c r="N33" i="14"/>
  <c r="M33" i="14"/>
  <c r="L33" i="14"/>
  <c r="J33" i="14"/>
  <c r="I33" i="14"/>
  <c r="H33" i="14"/>
  <c r="G33" i="14"/>
  <c r="E33" i="14"/>
  <c r="F33" i="14" s="1"/>
  <c r="D33" i="14"/>
  <c r="C33" i="14"/>
  <c r="B33" i="14"/>
  <c r="A33" i="14"/>
  <c r="BJ32" i="14"/>
  <c r="BG32" i="14"/>
  <c r="AV32" i="14"/>
  <c r="AU32" i="14"/>
  <c r="AI32" i="14"/>
  <c r="AG32" i="14"/>
  <c r="W32" i="14"/>
  <c r="V32" i="14"/>
  <c r="I32" i="14"/>
  <c r="H32" i="14"/>
  <c r="D32" i="14"/>
  <c r="C32" i="14"/>
  <c r="BL32" i="14" s="1"/>
  <c r="B32" i="14"/>
  <c r="A32" i="14"/>
  <c r="BN31" i="14"/>
  <c r="BM31" i="14"/>
  <c r="AO31" i="14"/>
  <c r="AA31" i="14"/>
  <c r="Z31" i="14"/>
  <c r="P31" i="14"/>
  <c r="M31" i="14"/>
  <c r="D31" i="14"/>
  <c r="C31" i="14"/>
  <c r="AN31" i="14" s="1"/>
  <c r="B31" i="14"/>
  <c r="A31" i="14"/>
  <c r="BN30" i="14"/>
  <c r="BK30" i="14"/>
  <c r="BI30" i="14"/>
  <c r="BH30" i="14"/>
  <c r="BG30" i="14"/>
  <c r="BF30" i="14"/>
  <c r="BC30" i="14"/>
  <c r="AZ30" i="14"/>
  <c r="AY30" i="14"/>
  <c r="AX30" i="14"/>
  <c r="AU30" i="14"/>
  <c r="AS30" i="14"/>
  <c r="AR30" i="14"/>
  <c r="AQ30" i="14"/>
  <c r="AM30" i="14"/>
  <c r="AK30" i="14"/>
  <c r="AJ30" i="14"/>
  <c r="AI30" i="14"/>
  <c r="AH30" i="14"/>
  <c r="AE30" i="14"/>
  <c r="AC30" i="14"/>
  <c r="AA30" i="14"/>
  <c r="Z30" i="14"/>
  <c r="W30" i="14"/>
  <c r="U30" i="14"/>
  <c r="T30" i="14"/>
  <c r="S30" i="14"/>
  <c r="R30" i="14"/>
  <c r="M30" i="14"/>
  <c r="L30" i="14"/>
  <c r="K30" i="14"/>
  <c r="J30" i="14"/>
  <c r="G30" i="14"/>
  <c r="E30" i="14"/>
  <c r="F30" i="14" s="1"/>
  <c r="D30" i="14"/>
  <c r="C30" i="14"/>
  <c r="B30" i="14"/>
  <c r="A30" i="14"/>
  <c r="BN29" i="14"/>
  <c r="BM29" i="14"/>
  <c r="BL29" i="14"/>
  <c r="BK29" i="14"/>
  <c r="BJ29" i="14"/>
  <c r="BI29" i="14"/>
  <c r="BH29" i="14"/>
  <c r="BF29" i="14"/>
  <c r="BE29" i="14"/>
  <c r="BD29" i="14"/>
  <c r="BC29" i="14"/>
  <c r="BB29" i="14"/>
  <c r="BA29" i="14"/>
  <c r="AZ29" i="14"/>
  <c r="AX29" i="14"/>
  <c r="AW29" i="14"/>
  <c r="AV29" i="14"/>
  <c r="AU29" i="14"/>
  <c r="AT29" i="14"/>
  <c r="AS29" i="14"/>
  <c r="AR29" i="14"/>
  <c r="AP29" i="14"/>
  <c r="AO29" i="14"/>
  <c r="AN29" i="14"/>
  <c r="AM29" i="14"/>
  <c r="AL29" i="14"/>
  <c r="AK29" i="14"/>
  <c r="AJ29" i="14"/>
  <c r="AH29" i="14"/>
  <c r="AG29" i="14"/>
  <c r="AF29" i="14"/>
  <c r="AE29" i="14"/>
  <c r="AD29" i="14"/>
  <c r="AC29" i="14"/>
  <c r="AB29" i="14"/>
  <c r="Z29" i="14"/>
  <c r="Y29" i="14"/>
  <c r="X29" i="14"/>
  <c r="W29" i="14"/>
  <c r="V29" i="14"/>
  <c r="U29" i="14"/>
  <c r="T29" i="14"/>
  <c r="R29" i="14"/>
  <c r="Q29" i="14"/>
  <c r="P29" i="14"/>
  <c r="O29" i="14"/>
  <c r="N29" i="14"/>
  <c r="M29" i="14"/>
  <c r="L29" i="14"/>
  <c r="J29" i="14"/>
  <c r="I29" i="14"/>
  <c r="H29" i="14"/>
  <c r="G29" i="14"/>
  <c r="E29" i="14"/>
  <c r="F29" i="14" s="1"/>
  <c r="D29" i="14"/>
  <c r="C29" i="14"/>
  <c r="BG29" i="14" s="1"/>
  <c r="B29" i="14"/>
  <c r="A29" i="14"/>
  <c r="BM28" i="14"/>
  <c r="BL28" i="14"/>
  <c r="BG28" i="14"/>
  <c r="BE28" i="14"/>
  <c r="BB28" i="14"/>
  <c r="AY28" i="14"/>
  <c r="AU28" i="14"/>
  <c r="AT28" i="14"/>
  <c r="AN28" i="14"/>
  <c r="AM28" i="14"/>
  <c r="AG28" i="14"/>
  <c r="AF28" i="14"/>
  <c r="AA28" i="14"/>
  <c r="Z28" i="14"/>
  <c r="W28" i="14"/>
  <c r="V28" i="14"/>
  <c r="Q28" i="14"/>
  <c r="P28" i="14"/>
  <c r="K28" i="14"/>
  <c r="J28" i="14"/>
  <c r="G28" i="14"/>
  <c r="D28" i="14"/>
  <c r="C28" i="14"/>
  <c r="BD28" i="14" s="1"/>
  <c r="B28" i="14"/>
  <c r="A28" i="14"/>
  <c r="BL27" i="14"/>
  <c r="BI27" i="14"/>
  <c r="AP27" i="14"/>
  <c r="AO27" i="14"/>
  <c r="T27" i="14"/>
  <c r="S27" i="14"/>
  <c r="D27" i="14"/>
  <c r="C27" i="14"/>
  <c r="B27" i="14"/>
  <c r="A27" i="14"/>
  <c r="BN26" i="14"/>
  <c r="BK26" i="14"/>
  <c r="BI26" i="14"/>
  <c r="BH26" i="14"/>
  <c r="BG26" i="14"/>
  <c r="BF26" i="14"/>
  <c r="BB26" i="14"/>
  <c r="BA26" i="14"/>
  <c r="AY26" i="14"/>
  <c r="AX26" i="14"/>
  <c r="AU26" i="14"/>
  <c r="AT26" i="14"/>
  <c r="AR26" i="14"/>
  <c r="AQ26" i="14"/>
  <c r="AM26" i="14"/>
  <c r="AL26" i="14"/>
  <c r="AK26" i="14"/>
  <c r="AJ26" i="14"/>
  <c r="AH26" i="14"/>
  <c r="AE26" i="14"/>
  <c r="AC26" i="14"/>
  <c r="AB26" i="14"/>
  <c r="AA26" i="14"/>
  <c r="Z26" i="14"/>
  <c r="V26" i="14"/>
  <c r="U26" i="14"/>
  <c r="S26" i="14"/>
  <c r="R26" i="14"/>
  <c r="O26" i="14"/>
  <c r="N26" i="14"/>
  <c r="L26" i="14"/>
  <c r="K26" i="14"/>
  <c r="G26" i="14"/>
  <c r="E26" i="14"/>
  <c r="F26" i="14" s="1"/>
  <c r="D26" i="14"/>
  <c r="C26" i="14"/>
  <c r="B26" i="14"/>
  <c r="A26" i="14"/>
  <c r="BN25" i="14"/>
  <c r="BM25" i="14"/>
  <c r="BL25" i="14"/>
  <c r="BK25" i="14"/>
  <c r="BJ25" i="14"/>
  <c r="BI25" i="14"/>
  <c r="BH25" i="14"/>
  <c r="BF25" i="14"/>
  <c r="BE25" i="14"/>
  <c r="BD25" i="14"/>
  <c r="BC25" i="14"/>
  <c r="BB25" i="14"/>
  <c r="BA25" i="14"/>
  <c r="AZ25" i="14"/>
  <c r="AX25" i="14"/>
  <c r="AW25" i="14"/>
  <c r="AV25" i="14"/>
  <c r="AU25" i="14"/>
  <c r="AT25" i="14"/>
  <c r="AS25" i="14"/>
  <c r="AR25" i="14"/>
  <c r="AP25" i="14"/>
  <c r="AO25" i="14"/>
  <c r="AN25" i="14"/>
  <c r="AM25" i="14"/>
  <c r="AL25" i="14"/>
  <c r="AK25" i="14"/>
  <c r="AJ25" i="14"/>
  <c r="AH25" i="14"/>
  <c r="AG25" i="14"/>
  <c r="AF25" i="14"/>
  <c r="AE25" i="14"/>
  <c r="AD25" i="14"/>
  <c r="AC25" i="14"/>
  <c r="AB25" i="14"/>
  <c r="Z25" i="14"/>
  <c r="Y25" i="14"/>
  <c r="X25" i="14"/>
  <c r="W25" i="14"/>
  <c r="V25" i="14"/>
  <c r="U25" i="14"/>
  <c r="T25" i="14"/>
  <c r="R25" i="14"/>
  <c r="Q25" i="14"/>
  <c r="P25" i="14"/>
  <c r="O25" i="14"/>
  <c r="N25" i="14"/>
  <c r="M25" i="14"/>
  <c r="L25" i="14"/>
  <c r="J25" i="14"/>
  <c r="I25" i="14"/>
  <c r="H25" i="14"/>
  <c r="G25" i="14"/>
  <c r="E25" i="14"/>
  <c r="F25" i="14" s="1"/>
  <c r="D25" i="14"/>
  <c r="C25" i="14"/>
  <c r="BG25" i="14" s="1"/>
  <c r="B25" i="14"/>
  <c r="A25" i="14"/>
  <c r="BG24" i="14"/>
  <c r="BF24" i="14"/>
  <c r="BE24" i="14"/>
  <c r="AV24" i="14"/>
  <c r="AU24" i="14"/>
  <c r="AR24" i="14"/>
  <c r="AI24" i="14"/>
  <c r="AH24" i="14"/>
  <c r="AF24" i="14"/>
  <c r="W24" i="14"/>
  <c r="V24" i="14"/>
  <c r="T24" i="14"/>
  <c r="K24" i="14"/>
  <c r="J24" i="14"/>
  <c r="H24" i="14"/>
  <c r="D24" i="14"/>
  <c r="C24" i="14"/>
  <c r="BK24" i="14" s="1"/>
  <c r="B24" i="14"/>
  <c r="A24" i="14"/>
  <c r="BM23" i="14"/>
  <c r="BL23" i="14"/>
  <c r="BI23" i="14"/>
  <c r="BF23" i="14"/>
  <c r="BB23" i="14"/>
  <c r="AZ23" i="14"/>
  <c r="AY23" i="14"/>
  <c r="AV23" i="14"/>
  <c r="AQ23" i="14"/>
  <c r="AP23" i="14"/>
  <c r="AO23" i="14"/>
  <c r="AK23" i="14"/>
  <c r="AG23" i="14"/>
  <c r="AF23" i="14"/>
  <c r="AD23" i="14"/>
  <c r="AA23" i="14"/>
  <c r="V23" i="14"/>
  <c r="U23" i="14"/>
  <c r="T23" i="14"/>
  <c r="P23" i="14"/>
  <c r="L23" i="14"/>
  <c r="K23" i="14"/>
  <c r="J23" i="14"/>
  <c r="E23" i="14"/>
  <c r="F23" i="14" s="1"/>
  <c r="D23" i="14"/>
  <c r="C23" i="14"/>
  <c r="B23" i="14"/>
  <c r="A23" i="14"/>
  <c r="BN22" i="14"/>
  <c r="AI22" i="14"/>
  <c r="AH22" i="14"/>
  <c r="W22" i="14"/>
  <c r="D22" i="14"/>
  <c r="C22" i="14"/>
  <c r="B22" i="14"/>
  <c r="A22" i="14"/>
  <c r="BN21" i="14"/>
  <c r="BM21" i="14"/>
  <c r="BL21" i="14"/>
  <c r="BK21" i="14"/>
  <c r="BJ21" i="14"/>
  <c r="BI21" i="14"/>
  <c r="BH21" i="14"/>
  <c r="BF21" i="14"/>
  <c r="BE21" i="14"/>
  <c r="BD21" i="14"/>
  <c r="BC21" i="14"/>
  <c r="BB21" i="14"/>
  <c r="BA21" i="14"/>
  <c r="AZ21" i="14"/>
  <c r="AX21" i="14"/>
  <c r="AW21" i="14"/>
  <c r="AV21" i="14"/>
  <c r="AU21" i="14"/>
  <c r="AT21" i="14"/>
  <c r="AS21" i="14"/>
  <c r="AR21" i="14"/>
  <c r="AP21" i="14"/>
  <c r="AO21" i="14"/>
  <c r="AN21" i="14"/>
  <c r="AM21" i="14"/>
  <c r="AL21" i="14"/>
  <c r="AK21" i="14"/>
  <c r="AJ21" i="14"/>
  <c r="AH21" i="14"/>
  <c r="AG21" i="14"/>
  <c r="AF21" i="14"/>
  <c r="AE21" i="14"/>
  <c r="AD21" i="14"/>
  <c r="AC21" i="14"/>
  <c r="AB21" i="14"/>
  <c r="Z21" i="14"/>
  <c r="Y21" i="14"/>
  <c r="X21" i="14"/>
  <c r="W21" i="14"/>
  <c r="V21" i="14"/>
  <c r="U21" i="14"/>
  <c r="T21" i="14"/>
  <c r="R21" i="14"/>
  <c r="Q21" i="14"/>
  <c r="P21" i="14"/>
  <c r="O21" i="14"/>
  <c r="N21" i="14"/>
  <c r="M21" i="14"/>
  <c r="L21" i="14"/>
  <c r="J21" i="14"/>
  <c r="I21" i="14"/>
  <c r="H21" i="14"/>
  <c r="G21" i="14"/>
  <c r="E21" i="14"/>
  <c r="F21" i="14" s="1"/>
  <c r="D21" i="14"/>
  <c r="C21" i="14"/>
  <c r="BG21" i="14" s="1"/>
  <c r="B21" i="14"/>
  <c r="A21" i="14"/>
  <c r="BN20" i="14"/>
  <c r="BM20" i="14"/>
  <c r="BL20" i="14"/>
  <c r="BH20" i="14"/>
  <c r="BE20" i="14"/>
  <c r="BD20" i="14"/>
  <c r="BC20" i="14"/>
  <c r="AY20" i="14"/>
  <c r="AV20" i="14"/>
  <c r="AU20" i="14"/>
  <c r="AS20" i="14"/>
  <c r="AP20" i="14"/>
  <c r="AM20" i="14"/>
  <c r="AK20" i="14"/>
  <c r="AJ20" i="14"/>
  <c r="AG20" i="14"/>
  <c r="AC20" i="14"/>
  <c r="AB20" i="14"/>
  <c r="AA20" i="14"/>
  <c r="X20" i="14"/>
  <c r="T20" i="14"/>
  <c r="S20" i="14"/>
  <c r="R20" i="14"/>
  <c r="O20" i="14"/>
  <c r="K20" i="14"/>
  <c r="J20" i="14"/>
  <c r="I20" i="14"/>
  <c r="E20" i="14"/>
  <c r="F20" i="14" s="1"/>
  <c r="D20" i="14"/>
  <c r="C20" i="14"/>
  <c r="B20" i="14"/>
  <c r="A20" i="14"/>
  <c r="AL19" i="14"/>
  <c r="L19" i="14"/>
  <c r="K19" i="14"/>
  <c r="D19" i="14"/>
  <c r="C19" i="14"/>
  <c r="AW19" i="14" s="1"/>
  <c r="B19" i="14"/>
  <c r="A19" i="14"/>
  <c r="BN18" i="14"/>
  <c r="BM18" i="14"/>
  <c r="BK18" i="14"/>
  <c r="BJ18" i="14"/>
  <c r="BI18" i="14"/>
  <c r="BH18" i="14"/>
  <c r="BF18" i="14"/>
  <c r="BE18" i="14"/>
  <c r="BC18" i="14"/>
  <c r="BB18" i="14"/>
  <c r="BA18" i="14"/>
  <c r="AZ18" i="14"/>
  <c r="AX18" i="14"/>
  <c r="AW18" i="14"/>
  <c r="AU18" i="14"/>
  <c r="AT18" i="14"/>
  <c r="AS18" i="14"/>
  <c r="AR18" i="14"/>
  <c r="AP18" i="14"/>
  <c r="AO18" i="14"/>
  <c r="AM18" i="14"/>
  <c r="AL18" i="14"/>
  <c r="AK18" i="14"/>
  <c r="AJ18" i="14"/>
  <c r="AH18" i="14"/>
  <c r="AG18" i="14"/>
  <c r="AE18" i="14"/>
  <c r="AD18" i="14"/>
  <c r="AC18" i="14"/>
  <c r="AB18" i="14"/>
  <c r="Z18" i="14"/>
  <c r="Y18" i="14"/>
  <c r="W18" i="14"/>
  <c r="V18" i="14"/>
  <c r="U18" i="14"/>
  <c r="T18" i="14"/>
  <c r="R18" i="14"/>
  <c r="Q18" i="14"/>
  <c r="O18" i="14"/>
  <c r="N18" i="14"/>
  <c r="M18" i="14"/>
  <c r="L18" i="14"/>
  <c r="J18" i="14"/>
  <c r="I18" i="14"/>
  <c r="G18" i="14"/>
  <c r="E18" i="14"/>
  <c r="F18" i="14" s="1"/>
  <c r="D18" i="14"/>
  <c r="C18" i="14"/>
  <c r="BG18" i="14" s="1"/>
  <c r="B18" i="14"/>
  <c r="A18" i="14"/>
  <c r="BK17" i="14"/>
  <c r="BJ17" i="14"/>
  <c r="BC17" i="14"/>
  <c r="BB17" i="14"/>
  <c r="AU17" i="14"/>
  <c r="AT17" i="14"/>
  <c r="AM17" i="14"/>
  <c r="AL17" i="14"/>
  <c r="AE17" i="14"/>
  <c r="AD17" i="14"/>
  <c r="W17" i="14"/>
  <c r="V17" i="14"/>
  <c r="O17" i="14"/>
  <c r="N17" i="14"/>
  <c r="G17" i="14"/>
  <c r="D17" i="14"/>
  <c r="C17" i="14"/>
  <c r="BI17" i="14" s="1"/>
  <c r="B17" i="14"/>
  <c r="A17" i="14"/>
  <c r="BN16" i="14"/>
  <c r="BM16" i="14"/>
  <c r="BL16" i="14"/>
  <c r="BI16" i="14"/>
  <c r="BF16" i="14"/>
  <c r="BE16" i="14"/>
  <c r="BD16" i="14"/>
  <c r="BA16" i="14"/>
  <c r="AX16" i="14"/>
  <c r="AW16" i="14"/>
  <c r="AV16" i="14"/>
  <c r="AS16" i="14"/>
  <c r="AP16" i="14"/>
  <c r="AO16" i="14"/>
  <c r="AN16" i="14"/>
  <c r="AK16" i="14"/>
  <c r="AH16" i="14"/>
  <c r="AG16" i="14"/>
  <c r="AF16" i="14"/>
  <c r="AC16" i="14"/>
  <c r="Z16" i="14"/>
  <c r="Y16" i="14"/>
  <c r="X16" i="14"/>
  <c r="U16" i="14"/>
  <c r="R16" i="14"/>
  <c r="Q16" i="14"/>
  <c r="P16" i="14"/>
  <c r="M16" i="14"/>
  <c r="J16" i="14"/>
  <c r="I16" i="14"/>
  <c r="H16" i="14"/>
  <c r="E16" i="14"/>
  <c r="F16" i="14" s="1"/>
  <c r="D16" i="14"/>
  <c r="C16" i="14"/>
  <c r="BK16" i="14" s="1"/>
  <c r="B16" i="14"/>
  <c r="A16" i="14"/>
  <c r="BN15" i="14"/>
  <c r="BG15" i="14"/>
  <c r="AY15" i="14"/>
  <c r="AA15" i="14"/>
  <c r="S15" i="14"/>
  <c r="D15" i="14"/>
  <c r="C15" i="14"/>
  <c r="B15" i="14"/>
  <c r="A15" i="14"/>
  <c r="BN14" i="14"/>
  <c r="BM14" i="14"/>
  <c r="BK14" i="14"/>
  <c r="BJ14" i="14"/>
  <c r="BI14" i="14"/>
  <c r="BH14" i="14"/>
  <c r="BF14" i="14"/>
  <c r="BE14" i="14"/>
  <c r="BC14" i="14"/>
  <c r="BB14" i="14"/>
  <c r="BA14" i="14"/>
  <c r="AZ14" i="14"/>
  <c r="AX14" i="14"/>
  <c r="AW14" i="14"/>
  <c r="AU14" i="14"/>
  <c r="AT14" i="14"/>
  <c r="AS14" i="14"/>
  <c r="AR14" i="14"/>
  <c r="AP14" i="14"/>
  <c r="AO14" i="14"/>
  <c r="AM14" i="14"/>
  <c r="AL14" i="14"/>
  <c r="AK14" i="14"/>
  <c r="AJ14" i="14"/>
  <c r="AH14" i="14"/>
  <c r="AG14" i="14"/>
  <c r="AE14" i="14"/>
  <c r="AD14" i="14"/>
  <c r="AC14" i="14"/>
  <c r="AB14" i="14"/>
  <c r="Z14" i="14"/>
  <c r="Y14" i="14"/>
  <c r="W14" i="14"/>
  <c r="V14" i="14"/>
  <c r="U14" i="14"/>
  <c r="T14" i="14"/>
  <c r="R14" i="14"/>
  <c r="Q14" i="14"/>
  <c r="O14" i="14"/>
  <c r="N14" i="14"/>
  <c r="M14" i="14"/>
  <c r="L14" i="14"/>
  <c r="J14" i="14"/>
  <c r="I14" i="14"/>
  <c r="G14" i="14"/>
  <c r="E14" i="14"/>
  <c r="F14" i="14" s="1"/>
  <c r="D14" i="14"/>
  <c r="C14" i="14"/>
  <c r="BG14" i="14" s="1"/>
  <c r="B14" i="14"/>
  <c r="A14" i="14"/>
  <c r="BK13" i="14"/>
  <c r="BJ13" i="14"/>
  <c r="BC13" i="14"/>
  <c r="BB13" i="14"/>
  <c r="AU13" i="14"/>
  <c r="AT13" i="14"/>
  <c r="AM13" i="14"/>
  <c r="AL13" i="14"/>
  <c r="AE13" i="14"/>
  <c r="AD13" i="14"/>
  <c r="W13" i="14"/>
  <c r="V13" i="14"/>
  <c r="O13" i="14"/>
  <c r="N13" i="14"/>
  <c r="G13" i="14"/>
  <c r="D13" i="14"/>
  <c r="C13" i="14"/>
  <c r="BI13" i="14" s="1"/>
  <c r="B13" i="14"/>
  <c r="A13" i="14"/>
  <c r="BN12" i="14"/>
  <c r="BM12" i="14"/>
  <c r="BL12" i="14"/>
  <c r="BI12" i="14"/>
  <c r="BF12" i="14"/>
  <c r="BE12" i="14"/>
  <c r="BD12" i="14"/>
  <c r="BA12" i="14"/>
  <c r="AX12" i="14"/>
  <c r="AW12" i="14"/>
  <c r="AV12" i="14"/>
  <c r="AS12" i="14"/>
  <c r="AP12" i="14"/>
  <c r="AO12" i="14"/>
  <c r="AN12" i="14"/>
  <c r="AK12" i="14"/>
  <c r="AH12" i="14"/>
  <c r="AG12" i="14"/>
  <c r="AF12" i="14"/>
  <c r="AC12" i="14"/>
  <c r="Z12" i="14"/>
  <c r="Y12" i="14"/>
  <c r="X12" i="14"/>
  <c r="U12" i="14"/>
  <c r="R12" i="14"/>
  <c r="Q12" i="14"/>
  <c r="P12" i="14"/>
  <c r="M12" i="14"/>
  <c r="J12" i="14"/>
  <c r="I12" i="14"/>
  <c r="H12" i="14"/>
  <c r="E12" i="14"/>
  <c r="F12" i="14" s="1"/>
  <c r="D12" i="14"/>
  <c r="C12" i="14"/>
  <c r="BK12" i="14" s="1"/>
  <c r="B12" i="14"/>
  <c r="A12" i="14"/>
  <c r="BG11" i="14"/>
  <c r="BF11" i="14"/>
  <c r="AY11" i="14"/>
  <c r="AX11" i="14"/>
  <c r="AQ11" i="14"/>
  <c r="AP11" i="14"/>
  <c r="AI11" i="14"/>
  <c r="AA11" i="14"/>
  <c r="Z11" i="14"/>
  <c r="S11" i="14"/>
  <c r="R11" i="14"/>
  <c r="K11" i="14"/>
  <c r="J11" i="14"/>
  <c r="D11" i="14"/>
  <c r="C11" i="14"/>
  <c r="B11" i="14"/>
  <c r="A11" i="14"/>
  <c r="BN10" i="14"/>
  <c r="BM10" i="14"/>
  <c r="BK10" i="14"/>
  <c r="BJ10" i="14"/>
  <c r="BI10" i="14"/>
  <c r="BH10" i="14"/>
  <c r="BF10" i="14"/>
  <c r="BE10" i="14"/>
  <c r="BC10" i="14"/>
  <c r="BB10" i="14"/>
  <c r="BA10" i="14"/>
  <c r="AZ10" i="14"/>
  <c r="AX10" i="14"/>
  <c r="AW10" i="14"/>
  <c r="AU10" i="14"/>
  <c r="AT10" i="14"/>
  <c r="AS10" i="14"/>
  <c r="AR10" i="14"/>
  <c r="AP10" i="14"/>
  <c r="AO10" i="14"/>
  <c r="AM10" i="14"/>
  <c r="AL10" i="14"/>
  <c r="AK10" i="14"/>
  <c r="AJ10" i="14"/>
  <c r="AH10" i="14"/>
  <c r="AG10" i="14"/>
  <c r="AE10" i="14"/>
  <c r="AD10" i="14"/>
  <c r="AC10" i="14"/>
  <c r="AB10" i="14"/>
  <c r="Z10" i="14"/>
  <c r="Y10" i="14"/>
  <c r="W10" i="14"/>
  <c r="V10" i="14"/>
  <c r="U10" i="14"/>
  <c r="T10" i="14"/>
  <c r="R10" i="14"/>
  <c r="Q10" i="14"/>
  <c r="O10" i="14"/>
  <c r="N10" i="14"/>
  <c r="M10" i="14"/>
  <c r="L10" i="14"/>
  <c r="J10" i="14"/>
  <c r="I10" i="14"/>
  <c r="G10" i="14"/>
  <c r="E10" i="14"/>
  <c r="F10" i="14" s="1"/>
  <c r="D10" i="14"/>
  <c r="C10" i="14"/>
  <c r="BG10" i="14" s="1"/>
  <c r="B10" i="14"/>
  <c r="A10" i="14"/>
  <c r="BK9" i="14"/>
  <c r="BJ9" i="14"/>
  <c r="BC9" i="14"/>
  <c r="BB9" i="14"/>
  <c r="AU9" i="14"/>
  <c r="AT9" i="14"/>
  <c r="AM9" i="14"/>
  <c r="AL9" i="14"/>
  <c r="AE9" i="14"/>
  <c r="AD9" i="14"/>
  <c r="W9" i="14"/>
  <c r="V9" i="14"/>
  <c r="O9" i="14"/>
  <c r="N9" i="14"/>
  <c r="G9" i="14"/>
  <c r="D9" i="14"/>
  <c r="C9" i="14"/>
  <c r="BI9" i="14" s="1"/>
  <c r="B9" i="14"/>
  <c r="A9" i="14"/>
  <c r="BN8" i="14"/>
  <c r="BM8" i="14"/>
  <c r="BL8" i="14"/>
  <c r="BI8" i="14"/>
  <c r="BF8" i="14"/>
  <c r="BE8" i="14"/>
  <c r="BD8" i="14"/>
  <c r="BA8" i="14"/>
  <c r="AX8" i="14"/>
  <c r="AW8" i="14"/>
  <c r="AV8" i="14"/>
  <c r="AS8" i="14"/>
  <c r="AP8" i="14"/>
  <c r="AO8" i="14"/>
  <c r="AN8" i="14"/>
  <c r="AK8" i="14"/>
  <c r="AH8" i="14"/>
  <c r="AG8" i="14"/>
  <c r="AF8" i="14"/>
  <c r="AC8" i="14"/>
  <c r="Z8" i="14"/>
  <c r="Y8" i="14"/>
  <c r="X8" i="14"/>
  <c r="U8" i="14"/>
  <c r="R8" i="14"/>
  <c r="Q8" i="14"/>
  <c r="P8" i="14"/>
  <c r="M8" i="14"/>
  <c r="J8" i="14"/>
  <c r="I8" i="14"/>
  <c r="H8" i="14"/>
  <c r="E8" i="14"/>
  <c r="F8" i="14" s="1"/>
  <c r="D8" i="14"/>
  <c r="C8" i="14"/>
  <c r="BK8" i="14" s="1"/>
  <c r="B8" i="14"/>
  <c r="A8" i="14"/>
  <c r="BG7" i="14"/>
  <c r="AQ7" i="14"/>
  <c r="AP7" i="14"/>
  <c r="AI7" i="14"/>
  <c r="AA7" i="14"/>
  <c r="K7" i="14"/>
  <c r="J7" i="14"/>
  <c r="D7" i="14"/>
  <c r="C7" i="14"/>
  <c r="BF7" i="14" s="1"/>
  <c r="B7" i="14"/>
  <c r="A7" i="14"/>
  <c r="BN6" i="14"/>
  <c r="BM6" i="14"/>
  <c r="BK6" i="14"/>
  <c r="BJ6" i="14"/>
  <c r="BI6" i="14"/>
  <c r="BH6" i="14"/>
  <c r="BF6" i="14"/>
  <c r="BE6" i="14"/>
  <c r="BC6" i="14"/>
  <c r="BB6" i="14"/>
  <c r="BA6" i="14"/>
  <c r="AZ6" i="14"/>
  <c r="AX6" i="14"/>
  <c r="AW6" i="14"/>
  <c r="AU6" i="14"/>
  <c r="AT6" i="14"/>
  <c r="AS6" i="14"/>
  <c r="AR6" i="14"/>
  <c r="AP6" i="14"/>
  <c r="AO6" i="14"/>
  <c r="AM6" i="14"/>
  <c r="AL6" i="14"/>
  <c r="AK6" i="14"/>
  <c r="AJ6" i="14"/>
  <c r="AH6" i="14"/>
  <c r="AG6" i="14"/>
  <c r="AE6" i="14"/>
  <c r="AD6" i="14"/>
  <c r="AC6" i="14"/>
  <c r="AB6" i="14"/>
  <c r="Z6" i="14"/>
  <c r="Y6" i="14"/>
  <c r="W6" i="14"/>
  <c r="V6" i="14"/>
  <c r="U6" i="14"/>
  <c r="T6" i="14"/>
  <c r="R6" i="14"/>
  <c r="Q6" i="14"/>
  <c r="O6" i="14"/>
  <c r="N6" i="14"/>
  <c r="M6" i="14"/>
  <c r="L6" i="14"/>
  <c r="J6" i="14"/>
  <c r="I6" i="14"/>
  <c r="G6" i="14"/>
  <c r="E6" i="14"/>
  <c r="F6" i="14" s="1"/>
  <c r="D6" i="14"/>
  <c r="C6" i="14"/>
  <c r="BG6" i="14" s="1"/>
  <c r="B6" i="14"/>
  <c r="A6" i="14"/>
  <c r="BK5" i="14"/>
  <c r="BJ5" i="14"/>
  <c r="BC5" i="14"/>
  <c r="BB5" i="14"/>
  <c r="AU5" i="14"/>
  <c r="AT5" i="14"/>
  <c r="AM5" i="14"/>
  <c r="AL5" i="14"/>
  <c r="AE5" i="14"/>
  <c r="AD5" i="14"/>
  <c r="W5" i="14"/>
  <c r="V5" i="14"/>
  <c r="O5" i="14"/>
  <c r="N5" i="14"/>
  <c r="G5" i="14"/>
  <c r="D5" i="14"/>
  <c r="C5" i="14"/>
  <c r="BI5" i="14" s="1"/>
  <c r="B5" i="14"/>
  <c r="A5" i="14"/>
  <c r="BN4" i="14"/>
  <c r="BM4" i="14"/>
  <c r="BL4" i="14"/>
  <c r="BI4" i="14"/>
  <c r="BF4" i="14"/>
  <c r="BE4" i="14"/>
  <c r="BD4" i="14"/>
  <c r="BA4" i="14"/>
  <c r="AX4" i="14"/>
  <c r="AW4" i="14"/>
  <c r="AV4" i="14"/>
  <c r="AS4" i="14"/>
  <c r="AP4" i="14"/>
  <c r="AO4" i="14"/>
  <c r="AN4" i="14"/>
  <c r="AK4" i="14"/>
  <c r="AH4" i="14"/>
  <c r="AG4" i="14"/>
  <c r="AF4" i="14"/>
  <c r="AC4" i="14"/>
  <c r="Z4" i="14"/>
  <c r="Y4" i="14"/>
  <c r="X4" i="14"/>
  <c r="U4" i="14"/>
  <c r="R4" i="14"/>
  <c r="Q4" i="14"/>
  <c r="P4" i="14"/>
  <c r="M4" i="14"/>
  <c r="J4" i="14"/>
  <c r="I4" i="14"/>
  <c r="H4" i="14"/>
  <c r="E4" i="14"/>
  <c r="F4" i="14" s="1"/>
  <c r="D4" i="14"/>
  <c r="C4" i="14"/>
  <c r="BK4" i="14" s="1"/>
  <c r="B4" i="14"/>
  <c r="A4" i="14"/>
  <c r="CR2" i="14"/>
  <c r="CQ2" i="14"/>
  <c r="CP2" i="14"/>
  <c r="CO2" i="14"/>
  <c r="CN2" i="14"/>
  <c r="CM2" i="14"/>
  <c r="CL2" i="14"/>
  <c r="CK2" i="14"/>
  <c r="CJ2" i="14"/>
  <c r="CI2" i="14"/>
  <c r="CH2" i="14"/>
  <c r="CG2" i="14"/>
  <c r="CF2" i="14"/>
  <c r="CE2" i="14"/>
  <c r="CD2" i="14"/>
  <c r="CC2" i="14"/>
  <c r="CB2" i="14"/>
  <c r="CA2" i="14"/>
  <c r="BZ2" i="14"/>
  <c r="BY2" i="14"/>
  <c r="BX2" i="14"/>
  <c r="BW2" i="14"/>
  <c r="BV2" i="14"/>
  <c r="BU2" i="14"/>
  <c r="BT2" i="14"/>
  <c r="BS2" i="14"/>
  <c r="BR2" i="14"/>
  <c r="BQ2" i="14"/>
  <c r="BP2" i="14"/>
  <c r="BO2" i="14"/>
  <c r="BN2" i="14"/>
  <c r="BM2" i="14"/>
  <c r="BL2" i="14"/>
  <c r="BK2" i="14"/>
  <c r="BJ2" i="14"/>
  <c r="BI2" i="14"/>
  <c r="BH2" i="14"/>
  <c r="BG2" i="14"/>
  <c r="BF2" i="14"/>
  <c r="BE2" i="14"/>
  <c r="BD2" i="14"/>
  <c r="BC2" i="14"/>
  <c r="BB2" i="14"/>
  <c r="BA2" i="14"/>
  <c r="AZ2" i="14"/>
  <c r="AY2" i="14"/>
  <c r="AX2" i="14"/>
  <c r="AW2" i="14"/>
  <c r="AV2" i="14"/>
  <c r="AU2" i="14"/>
  <c r="AT2" i="14"/>
  <c r="AS2" i="14"/>
  <c r="AR2" i="14"/>
  <c r="AQ2" i="14"/>
  <c r="AP2" i="14"/>
  <c r="AO2" i="14"/>
  <c r="AN2" i="14"/>
  <c r="AM2" i="14"/>
  <c r="AL2" i="14"/>
  <c r="AK2" i="14"/>
  <c r="AJ2" i="14"/>
  <c r="AI2" i="14"/>
  <c r="AH2" i="14"/>
  <c r="AG2" i="14"/>
  <c r="AF2" i="14"/>
  <c r="AE2" i="14"/>
  <c r="AD2" i="14"/>
  <c r="AC2" i="14"/>
  <c r="AB2" i="14"/>
  <c r="AA2" i="14"/>
  <c r="Z2" i="14"/>
  <c r="Y2" i="14"/>
  <c r="X2" i="14"/>
  <c r="W2" i="14"/>
  <c r="V2" i="14"/>
  <c r="U2" i="14"/>
  <c r="T2" i="14"/>
  <c r="S2" i="14"/>
  <c r="R2" i="14"/>
  <c r="Q2" i="14"/>
  <c r="P2" i="14"/>
  <c r="O2" i="14"/>
  <c r="N2" i="14"/>
  <c r="M2" i="14"/>
  <c r="L2" i="14"/>
  <c r="K2" i="14"/>
  <c r="J2" i="14"/>
  <c r="I2" i="14"/>
  <c r="H2" i="14"/>
  <c r="G2" i="14"/>
  <c r="D54" i="13"/>
  <c r="E54" i="13" s="1"/>
  <c r="D53" i="13"/>
  <c r="E53" i="13" s="1"/>
  <c r="B5" i="13"/>
  <c r="B200" i="12"/>
  <c r="A200" i="12"/>
  <c r="B199" i="12"/>
  <c r="A199" i="12"/>
  <c r="B198" i="12"/>
  <c r="A198" i="12"/>
  <c r="B197" i="12"/>
  <c r="A197" i="12"/>
  <c r="B196" i="12"/>
  <c r="A196" i="12"/>
  <c r="B195" i="12"/>
  <c r="A195" i="12"/>
  <c r="B194" i="12"/>
  <c r="A194" i="12"/>
  <c r="B193" i="12"/>
  <c r="A193" i="12"/>
  <c r="B192" i="12"/>
  <c r="A192" i="12"/>
  <c r="B191" i="12"/>
  <c r="A191" i="12"/>
  <c r="B190" i="12"/>
  <c r="A190" i="12"/>
  <c r="B189" i="12"/>
  <c r="A189" i="12"/>
  <c r="B188" i="12"/>
  <c r="A188" i="12"/>
  <c r="B187" i="12"/>
  <c r="A187" i="12"/>
  <c r="B186" i="12"/>
  <c r="A186" i="12"/>
  <c r="B185" i="12"/>
  <c r="A185" i="12"/>
  <c r="B184" i="12"/>
  <c r="A184" i="12"/>
  <c r="B183" i="12"/>
  <c r="A183" i="12"/>
  <c r="B182" i="12"/>
  <c r="A182" i="12"/>
  <c r="B181" i="12"/>
  <c r="A181" i="12"/>
  <c r="B180" i="12"/>
  <c r="A180" i="12"/>
  <c r="B179" i="12"/>
  <c r="A179" i="12"/>
  <c r="B178" i="12"/>
  <c r="A178" i="12"/>
  <c r="B177" i="12"/>
  <c r="A177" i="12"/>
  <c r="B176" i="12"/>
  <c r="A176" i="12"/>
  <c r="B175" i="12"/>
  <c r="A175" i="12"/>
  <c r="B174" i="12"/>
  <c r="A174" i="12"/>
  <c r="B173" i="12"/>
  <c r="A173" i="12"/>
  <c r="B172" i="12"/>
  <c r="A172" i="12"/>
  <c r="B171" i="12"/>
  <c r="A171" i="12"/>
  <c r="B170" i="12"/>
  <c r="A170" i="12"/>
  <c r="B169" i="12"/>
  <c r="A169" i="12"/>
  <c r="B168" i="12"/>
  <c r="A168" i="12"/>
  <c r="B167" i="12"/>
  <c r="A167" i="12"/>
  <c r="B166" i="12"/>
  <c r="A166" i="12"/>
  <c r="B165" i="12"/>
  <c r="A165" i="12"/>
  <c r="B164" i="12"/>
  <c r="A164" i="12"/>
  <c r="B163" i="12"/>
  <c r="A163" i="12"/>
  <c r="B162" i="12"/>
  <c r="A162" i="12"/>
  <c r="B161" i="12"/>
  <c r="A161" i="12"/>
  <c r="B160" i="12"/>
  <c r="A160" i="12"/>
  <c r="B159" i="12"/>
  <c r="A159" i="12"/>
  <c r="B158" i="12"/>
  <c r="A158" i="12"/>
  <c r="B157" i="12"/>
  <c r="A157" i="12"/>
  <c r="B156" i="12"/>
  <c r="A156" i="12"/>
  <c r="B155" i="12"/>
  <c r="A155" i="12"/>
  <c r="B154" i="12"/>
  <c r="A154" i="12"/>
  <c r="B153" i="12"/>
  <c r="A153" i="12"/>
  <c r="B152" i="12"/>
  <c r="A152" i="12"/>
  <c r="B151" i="12"/>
  <c r="A151" i="12"/>
  <c r="B150" i="12"/>
  <c r="A150" i="12"/>
  <c r="B149" i="12"/>
  <c r="A149" i="12"/>
  <c r="B148" i="12"/>
  <c r="A148" i="12"/>
  <c r="B147" i="12"/>
  <c r="A147" i="12"/>
  <c r="B146" i="12"/>
  <c r="A146" i="12"/>
  <c r="B145" i="12"/>
  <c r="A145" i="12"/>
  <c r="B144" i="12"/>
  <c r="A144" i="12"/>
  <c r="B143" i="12"/>
  <c r="A143" i="12"/>
  <c r="B142" i="12"/>
  <c r="A142" i="12"/>
  <c r="B141" i="12"/>
  <c r="A141" i="12"/>
  <c r="B140" i="12"/>
  <c r="A140" i="12"/>
  <c r="B139" i="12"/>
  <c r="A139" i="12"/>
  <c r="B138" i="12"/>
  <c r="A138" i="12"/>
  <c r="B137" i="12"/>
  <c r="A137" i="12"/>
  <c r="B136" i="12"/>
  <c r="A136" i="12"/>
  <c r="B135" i="12"/>
  <c r="A135" i="12"/>
  <c r="B134" i="12"/>
  <c r="A134" i="12"/>
  <c r="B133" i="12"/>
  <c r="A133" i="12"/>
  <c r="B132" i="12"/>
  <c r="A132" i="12"/>
  <c r="B131" i="12"/>
  <c r="A131" i="12"/>
  <c r="B130" i="12"/>
  <c r="A130" i="12"/>
  <c r="B129" i="12"/>
  <c r="A129" i="12"/>
  <c r="B128" i="12"/>
  <c r="A128" i="12"/>
  <c r="B127" i="12"/>
  <c r="A127" i="12"/>
  <c r="B126" i="12"/>
  <c r="A126" i="12"/>
  <c r="B125" i="12"/>
  <c r="A125" i="12"/>
  <c r="B124" i="12"/>
  <c r="A124" i="12"/>
  <c r="B123" i="12"/>
  <c r="A123" i="12"/>
  <c r="B122" i="12"/>
  <c r="A122" i="12"/>
  <c r="B121" i="12"/>
  <c r="A121" i="12"/>
  <c r="B120" i="12"/>
  <c r="A120" i="12"/>
  <c r="B119" i="12"/>
  <c r="A119" i="12"/>
  <c r="B118" i="12"/>
  <c r="A118" i="12"/>
  <c r="B117" i="12"/>
  <c r="A117" i="12"/>
  <c r="B116" i="12"/>
  <c r="A116" i="12"/>
  <c r="B115" i="12"/>
  <c r="A115" i="12"/>
  <c r="B114" i="12"/>
  <c r="A114" i="12"/>
  <c r="B113" i="12"/>
  <c r="A113" i="12"/>
  <c r="B112" i="12"/>
  <c r="A112" i="12"/>
  <c r="B111" i="12"/>
  <c r="A111" i="12"/>
  <c r="B110" i="12"/>
  <c r="A110" i="12"/>
  <c r="B109" i="12"/>
  <c r="A109" i="12"/>
  <c r="B108" i="12"/>
  <c r="A108" i="12"/>
  <c r="B107" i="12"/>
  <c r="A107" i="12"/>
  <c r="B106" i="12"/>
  <c r="A106" i="12"/>
  <c r="B105" i="12"/>
  <c r="A105" i="12"/>
  <c r="B104" i="12"/>
  <c r="A104" i="12"/>
  <c r="B103" i="12"/>
  <c r="A103" i="12"/>
  <c r="B102" i="12"/>
  <c r="A102" i="12"/>
  <c r="B101" i="12"/>
  <c r="A101" i="12"/>
  <c r="B100" i="12"/>
  <c r="A100" i="12"/>
  <c r="B99" i="12"/>
  <c r="A99" i="12"/>
  <c r="B98" i="12"/>
  <c r="A98" i="12"/>
  <c r="B97" i="12"/>
  <c r="A97" i="12"/>
  <c r="B96" i="12"/>
  <c r="A96" i="12"/>
  <c r="B95" i="12"/>
  <c r="A95" i="12"/>
  <c r="B94" i="12"/>
  <c r="A94" i="12"/>
  <c r="B93" i="12"/>
  <c r="A93" i="12"/>
  <c r="B92" i="12"/>
  <c r="A92" i="12"/>
  <c r="B91" i="12"/>
  <c r="A91" i="12"/>
  <c r="B90" i="12"/>
  <c r="A90" i="12"/>
  <c r="B89" i="12"/>
  <c r="A89" i="12"/>
  <c r="B88" i="12"/>
  <c r="A88" i="12"/>
  <c r="B87" i="12"/>
  <c r="A87" i="12"/>
  <c r="B86" i="12"/>
  <c r="A86" i="12"/>
  <c r="B85" i="12"/>
  <c r="A85" i="12"/>
  <c r="B84" i="12"/>
  <c r="A84" i="12"/>
  <c r="B83" i="12"/>
  <c r="A83" i="12"/>
  <c r="B82" i="12"/>
  <c r="A82" i="12"/>
  <c r="B81" i="12"/>
  <c r="A81" i="12"/>
  <c r="B80" i="12"/>
  <c r="A80" i="12"/>
  <c r="B79" i="12"/>
  <c r="A79" i="12"/>
  <c r="B78" i="12"/>
  <c r="A78" i="12"/>
  <c r="B77" i="12"/>
  <c r="A77" i="12"/>
  <c r="B76" i="12"/>
  <c r="A76" i="12"/>
  <c r="B75" i="12"/>
  <c r="A75" i="12"/>
  <c r="B74" i="12"/>
  <c r="A74" i="12"/>
  <c r="B73" i="12"/>
  <c r="A73" i="12"/>
  <c r="B72" i="12"/>
  <c r="A72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3" i="12"/>
  <c r="A63" i="12"/>
  <c r="B62" i="12"/>
  <c r="A62" i="12"/>
  <c r="B61" i="12"/>
  <c r="A61" i="12"/>
  <c r="B60" i="12"/>
  <c r="A60" i="12"/>
  <c r="B59" i="12"/>
  <c r="A59" i="12"/>
  <c r="B58" i="12"/>
  <c r="A58" i="12"/>
  <c r="B57" i="12"/>
  <c r="A57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48" i="12"/>
  <c r="A48" i="12"/>
  <c r="B47" i="12"/>
  <c r="A47" i="12"/>
  <c r="B46" i="12"/>
  <c r="A46" i="12"/>
  <c r="B45" i="12"/>
  <c r="A45" i="12"/>
  <c r="B44" i="12"/>
  <c r="A44" i="12"/>
  <c r="B43" i="12"/>
  <c r="A43" i="12"/>
  <c r="B42" i="12"/>
  <c r="A42" i="12"/>
  <c r="B41" i="12"/>
  <c r="A41" i="12"/>
  <c r="B40" i="12"/>
  <c r="A40" i="12"/>
  <c r="B39" i="12"/>
  <c r="A39" i="12"/>
  <c r="B38" i="12"/>
  <c r="A38" i="12"/>
  <c r="B37" i="12"/>
  <c r="A37" i="12"/>
  <c r="B36" i="12"/>
  <c r="A36" i="12"/>
  <c r="B35" i="12"/>
  <c r="A35" i="12"/>
  <c r="B34" i="12"/>
  <c r="A34" i="12"/>
  <c r="B33" i="12"/>
  <c r="A33" i="12"/>
  <c r="B32" i="12"/>
  <c r="A32" i="12"/>
  <c r="B31" i="12"/>
  <c r="A31" i="12"/>
  <c r="B30" i="12"/>
  <c r="A30" i="12"/>
  <c r="B29" i="12"/>
  <c r="A29" i="12"/>
  <c r="B28" i="12"/>
  <c r="A28" i="12"/>
  <c r="B27" i="12"/>
  <c r="A27" i="12"/>
  <c r="B26" i="12"/>
  <c r="A26" i="12"/>
  <c r="B25" i="12"/>
  <c r="A25" i="12"/>
  <c r="B24" i="12"/>
  <c r="A24" i="12"/>
  <c r="B23" i="12"/>
  <c r="A23" i="12"/>
  <c r="B22" i="12"/>
  <c r="A22" i="12"/>
  <c r="B21" i="12"/>
  <c r="A21" i="12"/>
  <c r="B20" i="12"/>
  <c r="A20" i="12"/>
  <c r="B19" i="12"/>
  <c r="A19" i="12"/>
  <c r="B18" i="12"/>
  <c r="A18" i="12"/>
  <c r="B17" i="12"/>
  <c r="A17" i="12"/>
  <c r="B16" i="12"/>
  <c r="A16" i="12"/>
  <c r="B15" i="12"/>
  <c r="A15" i="12"/>
  <c r="B14" i="12"/>
  <c r="A14" i="12"/>
  <c r="B13" i="12"/>
  <c r="A13" i="12"/>
  <c r="B12" i="12"/>
  <c r="A12" i="12"/>
  <c r="B11" i="12"/>
  <c r="A11" i="12"/>
  <c r="B10" i="12"/>
  <c r="A10" i="12"/>
  <c r="B9" i="12"/>
  <c r="A9" i="12"/>
  <c r="B8" i="12"/>
  <c r="A8" i="12"/>
  <c r="B7" i="12"/>
  <c r="A7" i="12"/>
  <c r="B6" i="12"/>
  <c r="A6" i="12"/>
  <c r="B5" i="12"/>
  <c r="A5" i="12"/>
  <c r="B4" i="12"/>
  <c r="A4" i="12"/>
  <c r="B3" i="12"/>
  <c r="A3" i="12"/>
  <c r="B2" i="12"/>
  <c r="A2" i="12"/>
  <c r="B1" i="12"/>
  <c r="A1" i="12"/>
  <c r="L500" i="11"/>
  <c r="L499" i="11"/>
  <c r="L498" i="11"/>
  <c r="L497" i="11"/>
  <c r="L496" i="11"/>
  <c r="L495" i="11"/>
  <c r="L494" i="11"/>
  <c r="L493" i="11"/>
  <c r="L492" i="11"/>
  <c r="L491" i="11"/>
  <c r="L490" i="11"/>
  <c r="L489" i="11"/>
  <c r="L488" i="11"/>
  <c r="L487" i="11"/>
  <c r="L486" i="11"/>
  <c r="L485" i="11"/>
  <c r="L484" i="11"/>
  <c r="L483" i="11"/>
  <c r="L482" i="11"/>
  <c r="L481" i="11"/>
  <c r="L480" i="11"/>
  <c r="L479" i="11"/>
  <c r="L478" i="11"/>
  <c r="L477" i="11"/>
  <c r="L476" i="11"/>
  <c r="L475" i="11"/>
  <c r="L474" i="11"/>
  <c r="L473" i="11"/>
  <c r="L472" i="11"/>
  <c r="L471" i="11"/>
  <c r="L470" i="11"/>
  <c r="L469" i="11"/>
  <c r="L468" i="11"/>
  <c r="L467" i="11"/>
  <c r="L466" i="11"/>
  <c r="L465" i="11"/>
  <c r="L464" i="11"/>
  <c r="L463" i="11"/>
  <c r="L462" i="11"/>
  <c r="L461" i="11"/>
  <c r="L460" i="11"/>
  <c r="L459" i="11"/>
  <c r="L458" i="11"/>
  <c r="L457" i="11"/>
  <c r="L456" i="11"/>
  <c r="L455" i="11"/>
  <c r="L454" i="11"/>
  <c r="L453" i="11"/>
  <c r="L452" i="11"/>
  <c r="L451" i="11"/>
  <c r="L450" i="11"/>
  <c r="L449" i="11"/>
  <c r="L448" i="11"/>
  <c r="L447" i="11"/>
  <c r="L446" i="11"/>
  <c r="L445" i="11"/>
  <c r="L444" i="11"/>
  <c r="L443" i="11"/>
  <c r="L442" i="11"/>
  <c r="L441" i="11"/>
  <c r="L440" i="11"/>
  <c r="L439" i="11"/>
  <c r="L438" i="11"/>
  <c r="L437" i="11"/>
  <c r="L436" i="11"/>
  <c r="L435" i="11"/>
  <c r="L434" i="11"/>
  <c r="L433" i="11"/>
  <c r="L432" i="11"/>
  <c r="L431" i="11"/>
  <c r="L430" i="11"/>
  <c r="L429" i="11"/>
  <c r="L428" i="11"/>
  <c r="L427" i="11"/>
  <c r="L426" i="11"/>
  <c r="L425" i="11"/>
  <c r="L424" i="11"/>
  <c r="L423" i="11"/>
  <c r="L422" i="11"/>
  <c r="L421" i="11"/>
  <c r="L420" i="11"/>
  <c r="L419" i="11"/>
  <c r="L418" i="11"/>
  <c r="L417" i="11"/>
  <c r="L416" i="11"/>
  <c r="L415" i="11"/>
  <c r="L414" i="11"/>
  <c r="L413" i="11"/>
  <c r="L412" i="11"/>
  <c r="L411" i="11"/>
  <c r="L410" i="11"/>
  <c r="L409" i="11"/>
  <c r="L408" i="11"/>
  <c r="L407" i="11"/>
  <c r="L406" i="11"/>
  <c r="L405" i="11"/>
  <c r="L404" i="11"/>
  <c r="L403" i="11"/>
  <c r="L402" i="11"/>
  <c r="L401" i="11"/>
  <c r="L400" i="11"/>
  <c r="L399" i="11"/>
  <c r="L398" i="11"/>
  <c r="L397" i="11"/>
  <c r="L396" i="11"/>
  <c r="L395" i="11"/>
  <c r="L394" i="11"/>
  <c r="L393" i="11"/>
  <c r="L392" i="11"/>
  <c r="L391" i="11"/>
  <c r="L390" i="11"/>
  <c r="L389" i="11"/>
  <c r="L388" i="11"/>
  <c r="L387" i="11"/>
  <c r="L386" i="11"/>
  <c r="L385" i="11"/>
  <c r="L384" i="11"/>
  <c r="L383" i="11"/>
  <c r="L382" i="11"/>
  <c r="L381" i="11"/>
  <c r="L380" i="11"/>
  <c r="L379" i="11"/>
  <c r="L378" i="11"/>
  <c r="L377" i="11"/>
  <c r="L376" i="11"/>
  <c r="L375" i="11"/>
  <c r="L374" i="11"/>
  <c r="L373" i="11"/>
  <c r="L372" i="11"/>
  <c r="L371" i="11"/>
  <c r="L370" i="11"/>
  <c r="L369" i="11"/>
  <c r="L368" i="11"/>
  <c r="L367" i="11"/>
  <c r="L366" i="11"/>
  <c r="L365" i="11"/>
  <c r="L364" i="11"/>
  <c r="L363" i="11"/>
  <c r="L362" i="11"/>
  <c r="L361" i="11"/>
  <c r="L360" i="11"/>
  <c r="L359" i="11"/>
  <c r="L358" i="11"/>
  <c r="L357" i="11"/>
  <c r="L356" i="11"/>
  <c r="L355" i="11"/>
  <c r="L354" i="11"/>
  <c r="L353" i="11"/>
  <c r="L352" i="11"/>
  <c r="L351" i="11"/>
  <c r="L350" i="11"/>
  <c r="L349" i="11"/>
  <c r="L348" i="11"/>
  <c r="L347" i="11"/>
  <c r="L346" i="11"/>
  <c r="L345" i="11"/>
  <c r="L344" i="11"/>
  <c r="L343" i="11"/>
  <c r="L342" i="11"/>
  <c r="L341" i="11"/>
  <c r="L340" i="11"/>
  <c r="L339" i="11"/>
  <c r="L338" i="11"/>
  <c r="L337" i="11"/>
  <c r="L336" i="11"/>
  <c r="L335" i="11"/>
  <c r="L334" i="11"/>
  <c r="L333" i="11"/>
  <c r="L332" i="11"/>
  <c r="L331" i="11"/>
  <c r="L330" i="11"/>
  <c r="L329" i="11"/>
  <c r="L328" i="11"/>
  <c r="L327" i="11"/>
  <c r="L326" i="11"/>
  <c r="L325" i="11"/>
  <c r="L324" i="11"/>
  <c r="L323" i="11"/>
  <c r="L322" i="11"/>
  <c r="L321" i="11"/>
  <c r="L320" i="11"/>
  <c r="L319" i="11"/>
  <c r="L318" i="11"/>
  <c r="L317" i="11"/>
  <c r="L316" i="11"/>
  <c r="L315" i="11"/>
  <c r="L314" i="11"/>
  <c r="L313" i="11"/>
  <c r="L312" i="11"/>
  <c r="L311" i="11"/>
  <c r="L310" i="11"/>
  <c r="L309" i="11"/>
  <c r="L308" i="11"/>
  <c r="L307" i="11"/>
  <c r="L306" i="11"/>
  <c r="L305" i="11"/>
  <c r="L304" i="11"/>
  <c r="L303" i="11"/>
  <c r="L302" i="11"/>
  <c r="L301" i="11"/>
  <c r="L300" i="11"/>
  <c r="L299" i="11"/>
  <c r="L298" i="11"/>
  <c r="L297" i="11"/>
  <c r="L296" i="11"/>
  <c r="L295" i="11"/>
  <c r="L294" i="11"/>
  <c r="L293" i="11"/>
  <c r="L292" i="11"/>
  <c r="L291" i="11"/>
  <c r="L290" i="11"/>
  <c r="L289" i="11"/>
  <c r="L288" i="11"/>
  <c r="L287" i="11"/>
  <c r="L286" i="11"/>
  <c r="L285" i="11"/>
  <c r="L284" i="11"/>
  <c r="L283" i="11"/>
  <c r="L282" i="11"/>
  <c r="L281" i="11"/>
  <c r="L280" i="11"/>
  <c r="L279" i="11"/>
  <c r="L278" i="11"/>
  <c r="L277" i="11"/>
  <c r="L276" i="11"/>
  <c r="L275" i="11"/>
  <c r="L274" i="11"/>
  <c r="L273" i="11"/>
  <c r="L272" i="11"/>
  <c r="L271" i="11"/>
  <c r="L270" i="11"/>
  <c r="L269" i="11"/>
  <c r="L268" i="11"/>
  <c r="L267" i="11"/>
  <c r="L266" i="11"/>
  <c r="L265" i="11"/>
  <c r="L264" i="11"/>
  <c r="L263" i="11"/>
  <c r="L262" i="11"/>
  <c r="L261" i="11"/>
  <c r="L260" i="11"/>
  <c r="L259" i="11"/>
  <c r="L258" i="11"/>
  <c r="L257" i="11"/>
  <c r="L256" i="11"/>
  <c r="L255" i="11"/>
  <c r="L254" i="11"/>
  <c r="L253" i="11"/>
  <c r="L252" i="11"/>
  <c r="L251" i="11"/>
  <c r="L250" i="11"/>
  <c r="L249" i="11"/>
  <c r="L248" i="11"/>
  <c r="L247" i="11"/>
  <c r="L246" i="11"/>
  <c r="L245" i="11"/>
  <c r="L244" i="11"/>
  <c r="L243" i="11"/>
  <c r="L242" i="11"/>
  <c r="L241" i="11"/>
  <c r="L240" i="11"/>
  <c r="L239" i="11"/>
  <c r="L238" i="11"/>
  <c r="L237" i="11"/>
  <c r="L236" i="11"/>
  <c r="L235" i="11"/>
  <c r="L234" i="11"/>
  <c r="L233" i="11"/>
  <c r="L232" i="11"/>
  <c r="L231" i="11"/>
  <c r="L230" i="11"/>
  <c r="L229" i="11"/>
  <c r="L228" i="11"/>
  <c r="L227" i="11"/>
  <c r="L226" i="11"/>
  <c r="L225" i="11"/>
  <c r="L224" i="11"/>
  <c r="L223" i="11"/>
  <c r="L222" i="11"/>
  <c r="L221" i="11"/>
  <c r="L220" i="11"/>
  <c r="L219" i="11"/>
  <c r="L218" i="11"/>
  <c r="L217" i="11"/>
  <c r="L216" i="11"/>
  <c r="L215" i="11"/>
  <c r="L214" i="11"/>
  <c r="L213" i="11"/>
  <c r="L212" i="11"/>
  <c r="L211" i="11"/>
  <c r="L210" i="11"/>
  <c r="L209" i="11"/>
  <c r="L208" i="11"/>
  <c r="L207" i="11"/>
  <c r="L206" i="11"/>
  <c r="L205" i="11"/>
  <c r="L204" i="11"/>
  <c r="L203" i="11"/>
  <c r="L202" i="11"/>
  <c r="L201" i="11"/>
  <c r="L200" i="11"/>
  <c r="L199" i="11"/>
  <c r="L198" i="11"/>
  <c r="L197" i="11"/>
  <c r="L196" i="11"/>
  <c r="L195" i="11"/>
  <c r="L194" i="11"/>
  <c r="L193" i="11"/>
  <c r="L192" i="11"/>
  <c r="L191" i="11"/>
  <c r="L190" i="11"/>
  <c r="L189" i="11"/>
  <c r="L188" i="11"/>
  <c r="L187" i="11"/>
  <c r="L186" i="11"/>
  <c r="L185" i="11"/>
  <c r="L184" i="11"/>
  <c r="L183" i="11"/>
  <c r="L182" i="11"/>
  <c r="L181" i="11"/>
  <c r="L180" i="11"/>
  <c r="L179" i="11"/>
  <c r="L178" i="11"/>
  <c r="L177" i="11"/>
  <c r="L176" i="11"/>
  <c r="L175" i="11"/>
  <c r="L174" i="11"/>
  <c r="L173" i="11"/>
  <c r="L172" i="11"/>
  <c r="L171" i="11"/>
  <c r="L170" i="11"/>
  <c r="L169" i="11"/>
  <c r="L168" i="11"/>
  <c r="L167" i="11"/>
  <c r="L166" i="11"/>
  <c r="L165" i="11"/>
  <c r="L164" i="11"/>
  <c r="L163" i="11"/>
  <c r="L162" i="11"/>
  <c r="L161" i="11"/>
  <c r="L160" i="11"/>
  <c r="L159" i="11"/>
  <c r="L158" i="11"/>
  <c r="L157" i="11"/>
  <c r="L156" i="11"/>
  <c r="L155" i="11"/>
  <c r="L154" i="11"/>
  <c r="L153" i="11"/>
  <c r="L152" i="11"/>
  <c r="L151" i="11"/>
  <c r="L150" i="11"/>
  <c r="L149" i="11"/>
  <c r="L148" i="11"/>
  <c r="L147" i="11"/>
  <c r="L146" i="11"/>
  <c r="L145" i="11"/>
  <c r="L144" i="11"/>
  <c r="L143" i="11"/>
  <c r="L142" i="11"/>
  <c r="L141" i="11"/>
  <c r="L140" i="11"/>
  <c r="L139" i="11"/>
  <c r="L138" i="11"/>
  <c r="L137" i="11"/>
  <c r="L136" i="11"/>
  <c r="L135" i="11"/>
  <c r="L134" i="11"/>
  <c r="L133" i="11"/>
  <c r="L132" i="11"/>
  <c r="L131" i="11"/>
  <c r="L130" i="11"/>
  <c r="L129" i="11"/>
  <c r="L128" i="11"/>
  <c r="L127" i="11"/>
  <c r="L126" i="11"/>
  <c r="L125" i="11"/>
  <c r="L124" i="11"/>
  <c r="L123" i="11"/>
  <c r="L122" i="11"/>
  <c r="L121" i="11"/>
  <c r="L120" i="11"/>
  <c r="L119" i="11"/>
  <c r="L118" i="11"/>
  <c r="L117" i="11"/>
  <c r="L116" i="11"/>
  <c r="L115" i="11"/>
  <c r="L114" i="11"/>
  <c r="L113" i="11"/>
  <c r="L112" i="11"/>
  <c r="L111" i="11"/>
  <c r="L110" i="11"/>
  <c r="L109" i="11"/>
  <c r="L108" i="11"/>
  <c r="L107" i="11"/>
  <c r="L106" i="11"/>
  <c r="L105" i="11"/>
  <c r="L104" i="11"/>
  <c r="L103" i="11"/>
  <c r="B103" i="11"/>
  <c r="A103" i="11"/>
  <c r="L102" i="11"/>
  <c r="J102" i="11"/>
  <c r="D102" i="11"/>
  <c r="C102" i="11"/>
  <c r="A102" i="11"/>
  <c r="N101" i="11"/>
  <c r="F101" i="11"/>
  <c r="E101" i="11"/>
  <c r="C101" i="11"/>
  <c r="A101" i="11"/>
  <c r="L101" i="11" s="1"/>
  <c r="L100" i="11"/>
  <c r="J100" i="11"/>
  <c r="D100" i="11"/>
  <c r="A100" i="11"/>
  <c r="A99" i="11"/>
  <c r="D98" i="11"/>
  <c r="A98" i="11"/>
  <c r="N97" i="11"/>
  <c r="M97" i="11"/>
  <c r="L97" i="11"/>
  <c r="H97" i="11"/>
  <c r="G97" i="11"/>
  <c r="F97" i="11"/>
  <c r="E97" i="11"/>
  <c r="D97" i="11"/>
  <c r="C97" i="11"/>
  <c r="A97" i="11"/>
  <c r="K97" i="11" s="1"/>
  <c r="L96" i="11"/>
  <c r="C96" i="11"/>
  <c r="A96" i="11"/>
  <c r="O95" i="11"/>
  <c r="M95" i="11"/>
  <c r="K95" i="11"/>
  <c r="J95" i="11"/>
  <c r="BI95" i="11" s="1"/>
  <c r="E95" i="11"/>
  <c r="D95" i="11"/>
  <c r="B95" i="11"/>
  <c r="A95" i="11"/>
  <c r="N95" i="11" s="1"/>
  <c r="J94" i="11"/>
  <c r="BK94" i="11" s="1"/>
  <c r="A94" i="11"/>
  <c r="M94" i="11" s="1"/>
  <c r="A93" i="11"/>
  <c r="O92" i="11"/>
  <c r="N92" i="11"/>
  <c r="M92" i="11"/>
  <c r="L92" i="11"/>
  <c r="K92" i="11"/>
  <c r="E92" i="11"/>
  <c r="D92" i="11"/>
  <c r="C92" i="11"/>
  <c r="B92" i="11"/>
  <c r="A92" i="11"/>
  <c r="J92" i="11" s="1"/>
  <c r="BK92" i="11" s="1"/>
  <c r="N91" i="11"/>
  <c r="A91" i="11"/>
  <c r="A90" i="11"/>
  <c r="N89" i="11"/>
  <c r="M89" i="11"/>
  <c r="L89" i="11"/>
  <c r="E89" i="11"/>
  <c r="D89" i="11"/>
  <c r="C89" i="11"/>
  <c r="A89" i="11"/>
  <c r="K89" i="11" s="1"/>
  <c r="L88" i="11"/>
  <c r="J88" i="11"/>
  <c r="A88" i="11"/>
  <c r="B87" i="11"/>
  <c r="O87" i="11" s="1"/>
  <c r="A87" i="11"/>
  <c r="A86" i="11"/>
  <c r="M85" i="11"/>
  <c r="K85" i="11"/>
  <c r="J85" i="11"/>
  <c r="BG85" i="11" s="1"/>
  <c r="D85" i="11"/>
  <c r="B85" i="11"/>
  <c r="O85" i="11" s="1"/>
  <c r="A85" i="11"/>
  <c r="N84" i="11"/>
  <c r="M84" i="11"/>
  <c r="L84" i="11"/>
  <c r="K84" i="11"/>
  <c r="E84" i="11"/>
  <c r="D84" i="11"/>
  <c r="C84" i="11"/>
  <c r="B84" i="11"/>
  <c r="O84" i="11" s="1"/>
  <c r="A84" i="11"/>
  <c r="J84" i="11" s="1"/>
  <c r="BJ84" i="11" s="1"/>
  <c r="N83" i="11"/>
  <c r="J83" i="11"/>
  <c r="A83" i="11"/>
  <c r="M82" i="11"/>
  <c r="K82" i="11"/>
  <c r="J82" i="11"/>
  <c r="BH82" i="11" s="1"/>
  <c r="H82" i="11"/>
  <c r="E82" i="11"/>
  <c r="D82" i="11"/>
  <c r="B82" i="11"/>
  <c r="O82" i="11" s="1"/>
  <c r="A82" i="11"/>
  <c r="N82" i="11" s="1"/>
  <c r="N81" i="11"/>
  <c r="M81" i="11"/>
  <c r="L81" i="11"/>
  <c r="E81" i="11"/>
  <c r="F81" i="11" s="1"/>
  <c r="D81" i="11"/>
  <c r="C81" i="11"/>
  <c r="A81" i="11"/>
  <c r="K81" i="11" s="1"/>
  <c r="B80" i="11"/>
  <c r="O80" i="11" s="1"/>
  <c r="A80" i="11"/>
  <c r="O79" i="11"/>
  <c r="M79" i="11"/>
  <c r="K79" i="11"/>
  <c r="J79" i="11"/>
  <c r="AQ79" i="11" s="1"/>
  <c r="E79" i="11"/>
  <c r="D79" i="11"/>
  <c r="B79" i="11"/>
  <c r="A79" i="11"/>
  <c r="N79" i="11" s="1"/>
  <c r="A78" i="11"/>
  <c r="M77" i="11"/>
  <c r="L77" i="11"/>
  <c r="K77" i="11"/>
  <c r="A77" i="11"/>
  <c r="O76" i="11"/>
  <c r="N76" i="11"/>
  <c r="M76" i="11"/>
  <c r="L76" i="11"/>
  <c r="K76" i="11"/>
  <c r="G76" i="11"/>
  <c r="E76" i="11"/>
  <c r="H76" i="11" s="1"/>
  <c r="D76" i="11"/>
  <c r="C76" i="11"/>
  <c r="B76" i="11"/>
  <c r="A76" i="11"/>
  <c r="J76" i="11" s="1"/>
  <c r="BL76" i="11" s="1"/>
  <c r="N75" i="11"/>
  <c r="K75" i="11"/>
  <c r="J75" i="11"/>
  <c r="A75" i="11"/>
  <c r="D74" i="11"/>
  <c r="C74" i="11"/>
  <c r="A74" i="11"/>
  <c r="F73" i="11"/>
  <c r="E73" i="11"/>
  <c r="C73" i="11"/>
  <c r="A73" i="11"/>
  <c r="B72" i="11"/>
  <c r="A72" i="11"/>
  <c r="F71" i="11"/>
  <c r="E71" i="11"/>
  <c r="C71" i="11"/>
  <c r="A71" i="11"/>
  <c r="A70" i="11"/>
  <c r="A69" i="11"/>
  <c r="E68" i="11"/>
  <c r="C68" i="11"/>
  <c r="B68" i="11"/>
  <c r="A68" i="11"/>
  <c r="A67" i="11"/>
  <c r="B66" i="11"/>
  <c r="A66" i="11"/>
  <c r="E65" i="11"/>
  <c r="C65" i="11"/>
  <c r="A65" i="11"/>
  <c r="A64" i="11"/>
  <c r="A63" i="11"/>
  <c r="A62" i="11"/>
  <c r="B61" i="11"/>
  <c r="A61" i="11"/>
  <c r="E60" i="11"/>
  <c r="C60" i="11"/>
  <c r="B60" i="11"/>
  <c r="A60" i="11"/>
  <c r="E59" i="11"/>
  <c r="A59" i="11"/>
  <c r="E58" i="11"/>
  <c r="C58" i="11"/>
  <c r="B58" i="11"/>
  <c r="A58" i="11"/>
  <c r="G57" i="11"/>
  <c r="F57" i="11"/>
  <c r="E57" i="11"/>
  <c r="H57" i="11" s="1"/>
  <c r="C57" i="11"/>
  <c r="A57" i="11"/>
  <c r="A56" i="11"/>
  <c r="E55" i="11"/>
  <c r="C55" i="11"/>
  <c r="B55" i="11"/>
  <c r="A55" i="11"/>
  <c r="G54" i="11"/>
  <c r="F54" i="11"/>
  <c r="E54" i="11"/>
  <c r="H54" i="11" s="1"/>
  <c r="A54" i="11"/>
  <c r="G53" i="11"/>
  <c r="E53" i="11"/>
  <c r="H53" i="11" s="1"/>
  <c r="C53" i="11"/>
  <c r="B53" i="11"/>
  <c r="K53" i="11" s="1"/>
  <c r="A53" i="11"/>
  <c r="G52" i="11"/>
  <c r="F52" i="11"/>
  <c r="E52" i="11"/>
  <c r="H52" i="11" s="1"/>
  <c r="B52" i="11"/>
  <c r="A52" i="11"/>
  <c r="A51" i="11"/>
  <c r="E50" i="11"/>
  <c r="C50" i="11"/>
  <c r="A50" i="11"/>
  <c r="C49" i="11"/>
  <c r="A49" i="11"/>
  <c r="C48" i="11"/>
  <c r="B48" i="11"/>
  <c r="K48" i="11" s="1"/>
  <c r="A48" i="11"/>
  <c r="A47" i="11"/>
  <c r="A46" i="11"/>
  <c r="G45" i="11"/>
  <c r="E45" i="11"/>
  <c r="H45" i="11" s="1"/>
  <c r="C45" i="11"/>
  <c r="B45" i="11"/>
  <c r="A45" i="11"/>
  <c r="G44" i="11"/>
  <c r="F44" i="11"/>
  <c r="E44" i="11"/>
  <c r="H44" i="11" s="1"/>
  <c r="B44" i="11"/>
  <c r="A44" i="11"/>
  <c r="A43" i="11"/>
  <c r="H42" i="11"/>
  <c r="E42" i="11"/>
  <c r="C42" i="11"/>
  <c r="A42" i="11"/>
  <c r="C41" i="11"/>
  <c r="A41" i="11"/>
  <c r="B40" i="11"/>
  <c r="A40" i="11"/>
  <c r="A39" i="11"/>
  <c r="A38" i="11"/>
  <c r="G37" i="11"/>
  <c r="E37" i="11"/>
  <c r="H37" i="11" s="1"/>
  <c r="C37" i="11"/>
  <c r="K37" i="11" s="1"/>
  <c r="B37" i="11"/>
  <c r="A37" i="11"/>
  <c r="G36" i="11"/>
  <c r="F36" i="11"/>
  <c r="E36" i="11"/>
  <c r="H36" i="11" s="1"/>
  <c r="B36" i="11"/>
  <c r="A36" i="11"/>
  <c r="A35" i="11"/>
  <c r="E34" i="11"/>
  <c r="C34" i="11"/>
  <c r="A34" i="11"/>
  <c r="C33" i="11"/>
  <c r="A33" i="11"/>
  <c r="A32" i="11"/>
  <c r="A31" i="11"/>
  <c r="A30" i="11"/>
  <c r="K29" i="11"/>
  <c r="G29" i="11"/>
  <c r="E29" i="11"/>
  <c r="H29" i="11" s="1"/>
  <c r="C29" i="11"/>
  <c r="B29" i="11"/>
  <c r="A29" i="11"/>
  <c r="H28" i="11"/>
  <c r="G28" i="11"/>
  <c r="F28" i="11"/>
  <c r="E28" i="11"/>
  <c r="B28" i="11"/>
  <c r="A28" i="11"/>
  <c r="B27" i="11"/>
  <c r="A27" i="11"/>
  <c r="E26" i="11"/>
  <c r="C26" i="11"/>
  <c r="A26" i="11"/>
  <c r="K25" i="11"/>
  <c r="C25" i="11"/>
  <c r="B25" i="11"/>
  <c r="A25" i="11"/>
  <c r="E24" i="11"/>
  <c r="H24" i="11" s="1"/>
  <c r="C24" i="11"/>
  <c r="B24" i="11"/>
  <c r="K24" i="11" s="1"/>
  <c r="A24" i="11"/>
  <c r="A23" i="11"/>
  <c r="E22" i="11"/>
  <c r="C22" i="11"/>
  <c r="B22" i="11"/>
  <c r="A22" i="11"/>
  <c r="A21" i="11"/>
  <c r="B20" i="11"/>
  <c r="A20" i="11"/>
  <c r="E19" i="11"/>
  <c r="A19" i="11"/>
  <c r="A18" i="11"/>
  <c r="K17" i="11"/>
  <c r="E17" i="11"/>
  <c r="H17" i="11" s="1"/>
  <c r="C17" i="11"/>
  <c r="B17" i="11"/>
  <c r="A17" i="11"/>
  <c r="G16" i="11"/>
  <c r="E16" i="11"/>
  <c r="H16" i="11" s="1"/>
  <c r="B16" i="11"/>
  <c r="A16" i="11"/>
  <c r="B15" i="11"/>
  <c r="A15" i="11"/>
  <c r="E14" i="11"/>
  <c r="C14" i="11"/>
  <c r="B14" i="11"/>
  <c r="K14" i="11" s="1"/>
  <c r="A14" i="11"/>
  <c r="A13" i="11"/>
  <c r="C12" i="11"/>
  <c r="A12" i="11"/>
  <c r="F11" i="11"/>
  <c r="E11" i="11"/>
  <c r="A11" i="11"/>
  <c r="A10" i="11"/>
  <c r="E9" i="11"/>
  <c r="A9" i="11"/>
  <c r="A8" i="11"/>
  <c r="E7" i="11"/>
  <c r="H7" i="11" s="1"/>
  <c r="C7" i="11"/>
  <c r="B7" i="11"/>
  <c r="K7" i="11" s="1"/>
  <c r="A7" i="11"/>
  <c r="G6" i="11"/>
  <c r="F6" i="11"/>
  <c r="E6" i="11"/>
  <c r="H6" i="11" s="1"/>
  <c r="B6" i="11"/>
  <c r="A6" i="11"/>
  <c r="A5" i="11"/>
  <c r="E4" i="11"/>
  <c r="C4" i="11"/>
  <c r="B4" i="11"/>
  <c r="A4" i="11"/>
  <c r="E1000" i="10"/>
  <c r="E999" i="10"/>
  <c r="E998" i="10"/>
  <c r="E997" i="10"/>
  <c r="E996" i="10"/>
  <c r="E995" i="10"/>
  <c r="E994" i="10"/>
  <c r="E993" i="10"/>
  <c r="E992" i="10"/>
  <c r="E991" i="10"/>
  <c r="E990" i="10"/>
  <c r="E989" i="10"/>
  <c r="E988" i="10"/>
  <c r="E987" i="10"/>
  <c r="E986" i="10"/>
  <c r="E985" i="10"/>
  <c r="E984" i="10"/>
  <c r="E983" i="10"/>
  <c r="E982" i="10"/>
  <c r="E981" i="10"/>
  <c r="E980" i="10"/>
  <c r="E979" i="10"/>
  <c r="E978" i="10"/>
  <c r="E977" i="10"/>
  <c r="E976" i="10"/>
  <c r="E975" i="10"/>
  <c r="E974" i="10"/>
  <c r="E973" i="10"/>
  <c r="E972" i="10"/>
  <c r="E971" i="10"/>
  <c r="E970" i="10"/>
  <c r="E969" i="10"/>
  <c r="E968" i="10"/>
  <c r="E967" i="10"/>
  <c r="E966" i="10"/>
  <c r="E965" i="10"/>
  <c r="E964" i="10"/>
  <c r="E963" i="10"/>
  <c r="E962" i="10"/>
  <c r="E961" i="10"/>
  <c r="E960" i="10"/>
  <c r="E959" i="10"/>
  <c r="E958" i="10"/>
  <c r="E957" i="10"/>
  <c r="E956" i="10"/>
  <c r="E955" i="10"/>
  <c r="E954" i="10"/>
  <c r="E953" i="10"/>
  <c r="E952" i="10"/>
  <c r="E951" i="10"/>
  <c r="E950" i="10"/>
  <c r="E949" i="10"/>
  <c r="E948" i="10"/>
  <c r="E947" i="10"/>
  <c r="E946" i="10"/>
  <c r="E945" i="10"/>
  <c r="E944" i="10"/>
  <c r="E943" i="10"/>
  <c r="E942" i="10"/>
  <c r="E941" i="10"/>
  <c r="E940" i="10"/>
  <c r="E939" i="10"/>
  <c r="E938" i="10"/>
  <c r="E937" i="10"/>
  <c r="E936" i="10"/>
  <c r="E935" i="10"/>
  <c r="E934" i="10"/>
  <c r="E933" i="10"/>
  <c r="E932" i="10"/>
  <c r="E931" i="10"/>
  <c r="E930" i="10"/>
  <c r="E929" i="10"/>
  <c r="E928" i="10"/>
  <c r="E927" i="10"/>
  <c r="E926" i="10"/>
  <c r="E925" i="10"/>
  <c r="E924" i="10"/>
  <c r="E923" i="10"/>
  <c r="E922" i="10"/>
  <c r="E921" i="10"/>
  <c r="E920" i="10"/>
  <c r="E919" i="10"/>
  <c r="E918" i="10"/>
  <c r="E917" i="10"/>
  <c r="E916" i="10"/>
  <c r="E915" i="10"/>
  <c r="E914" i="10"/>
  <c r="E913" i="10"/>
  <c r="E912" i="10"/>
  <c r="E911" i="10"/>
  <c r="E910" i="10"/>
  <c r="E909" i="10"/>
  <c r="E908" i="10"/>
  <c r="E907" i="10"/>
  <c r="E906" i="10"/>
  <c r="E905" i="10"/>
  <c r="E904" i="10"/>
  <c r="E903" i="10"/>
  <c r="E902" i="10"/>
  <c r="E901" i="10"/>
  <c r="E900" i="10"/>
  <c r="E899" i="10"/>
  <c r="E898" i="10"/>
  <c r="E897" i="10"/>
  <c r="E896" i="10"/>
  <c r="E895" i="10"/>
  <c r="E894" i="10"/>
  <c r="E893" i="10"/>
  <c r="E892" i="10"/>
  <c r="E891" i="10"/>
  <c r="E890" i="10"/>
  <c r="E889" i="10"/>
  <c r="E888" i="10"/>
  <c r="E887" i="10"/>
  <c r="E886" i="10"/>
  <c r="E885" i="10"/>
  <c r="E884" i="10"/>
  <c r="E883" i="10"/>
  <c r="E882" i="10"/>
  <c r="E881" i="10"/>
  <c r="E880" i="10"/>
  <c r="E879" i="10"/>
  <c r="E878" i="10"/>
  <c r="E877" i="10"/>
  <c r="E876" i="10"/>
  <c r="E875" i="10"/>
  <c r="E874" i="10"/>
  <c r="E873" i="10"/>
  <c r="E872" i="10"/>
  <c r="E871" i="10"/>
  <c r="E870" i="10"/>
  <c r="E869" i="10"/>
  <c r="E868" i="10"/>
  <c r="E867" i="10"/>
  <c r="E866" i="10"/>
  <c r="E865" i="10"/>
  <c r="E864" i="10"/>
  <c r="E863" i="10"/>
  <c r="E862" i="10"/>
  <c r="E861" i="10"/>
  <c r="E860" i="10"/>
  <c r="E859" i="10"/>
  <c r="E858" i="10"/>
  <c r="E857" i="10"/>
  <c r="E856" i="10"/>
  <c r="E855" i="10"/>
  <c r="E854" i="10"/>
  <c r="E853" i="10"/>
  <c r="E852" i="10"/>
  <c r="E851" i="10"/>
  <c r="E850" i="10"/>
  <c r="E849" i="10"/>
  <c r="E848" i="10"/>
  <c r="E847" i="10"/>
  <c r="E846" i="10"/>
  <c r="E845" i="10"/>
  <c r="E844" i="10"/>
  <c r="E843" i="10"/>
  <c r="E842" i="10"/>
  <c r="E841" i="10"/>
  <c r="E840" i="10"/>
  <c r="E839" i="10"/>
  <c r="E838" i="10"/>
  <c r="E837" i="10"/>
  <c r="E836" i="10"/>
  <c r="E835" i="10"/>
  <c r="E834" i="10"/>
  <c r="E833" i="10"/>
  <c r="E832" i="10"/>
  <c r="E831" i="10"/>
  <c r="E830" i="10"/>
  <c r="E829" i="10"/>
  <c r="E828" i="10"/>
  <c r="E827" i="10"/>
  <c r="E826" i="10"/>
  <c r="E825" i="10"/>
  <c r="E824" i="10"/>
  <c r="E823" i="10"/>
  <c r="E822" i="10"/>
  <c r="E821" i="10"/>
  <c r="E820" i="10"/>
  <c r="E819" i="10"/>
  <c r="E818" i="10"/>
  <c r="E817" i="10"/>
  <c r="E816" i="10"/>
  <c r="E815" i="10"/>
  <c r="E814" i="10"/>
  <c r="E813" i="10"/>
  <c r="E812" i="10"/>
  <c r="E811" i="10"/>
  <c r="E810" i="10"/>
  <c r="E809" i="10"/>
  <c r="E808" i="10"/>
  <c r="E807" i="10"/>
  <c r="E806" i="10"/>
  <c r="E805" i="10"/>
  <c r="E804" i="10"/>
  <c r="E803" i="10"/>
  <c r="E802" i="10"/>
  <c r="E801" i="10"/>
  <c r="E800" i="10"/>
  <c r="E799" i="10"/>
  <c r="E798" i="10"/>
  <c r="E797" i="10"/>
  <c r="E796" i="10"/>
  <c r="E795" i="10"/>
  <c r="E794" i="10"/>
  <c r="E793" i="10"/>
  <c r="E792" i="10"/>
  <c r="E791" i="10"/>
  <c r="E790" i="10"/>
  <c r="E789" i="10"/>
  <c r="E788" i="10"/>
  <c r="E787" i="10"/>
  <c r="E786" i="10"/>
  <c r="E785" i="10"/>
  <c r="E784" i="10"/>
  <c r="E783" i="10"/>
  <c r="E782" i="10"/>
  <c r="E781" i="10"/>
  <c r="E780" i="10"/>
  <c r="E779" i="10"/>
  <c r="E778" i="10"/>
  <c r="E777" i="10"/>
  <c r="E776" i="10"/>
  <c r="E775" i="10"/>
  <c r="E774" i="10"/>
  <c r="E773" i="10"/>
  <c r="E772" i="10"/>
  <c r="E771" i="10"/>
  <c r="E770" i="10"/>
  <c r="E769" i="10"/>
  <c r="E768" i="10"/>
  <c r="E767" i="10"/>
  <c r="E766" i="10"/>
  <c r="E765" i="10"/>
  <c r="E764" i="10"/>
  <c r="E763" i="10"/>
  <c r="E762" i="10"/>
  <c r="E761" i="10"/>
  <c r="E760" i="10"/>
  <c r="E759" i="10"/>
  <c r="E758" i="10"/>
  <c r="E757" i="10"/>
  <c r="E756" i="10"/>
  <c r="E755" i="10"/>
  <c r="E754" i="10"/>
  <c r="E753" i="10"/>
  <c r="E752" i="10"/>
  <c r="E751" i="10"/>
  <c r="E750" i="10"/>
  <c r="E749" i="10"/>
  <c r="E748" i="10"/>
  <c r="E747" i="10"/>
  <c r="E746" i="10"/>
  <c r="E745" i="10"/>
  <c r="E744" i="10"/>
  <c r="E743" i="10"/>
  <c r="E742" i="10"/>
  <c r="E741" i="10"/>
  <c r="E740" i="10"/>
  <c r="E739" i="10"/>
  <c r="E738" i="10"/>
  <c r="E737" i="10"/>
  <c r="E736" i="10"/>
  <c r="E735" i="10"/>
  <c r="E734" i="10"/>
  <c r="E733" i="10"/>
  <c r="E732" i="10"/>
  <c r="E731" i="10"/>
  <c r="E730" i="10"/>
  <c r="E729" i="10"/>
  <c r="E728" i="10"/>
  <c r="E727" i="10"/>
  <c r="E726" i="10"/>
  <c r="E725" i="10"/>
  <c r="E724" i="10"/>
  <c r="E723" i="10"/>
  <c r="E722" i="10"/>
  <c r="E721" i="10"/>
  <c r="E720" i="10"/>
  <c r="E719" i="10"/>
  <c r="E718" i="10"/>
  <c r="E717" i="10"/>
  <c r="E716" i="10"/>
  <c r="E715" i="10"/>
  <c r="E714" i="10"/>
  <c r="E713" i="10"/>
  <c r="E712" i="10"/>
  <c r="E711" i="10"/>
  <c r="E710" i="10"/>
  <c r="E709" i="10"/>
  <c r="E708" i="10"/>
  <c r="E707" i="10"/>
  <c r="E706" i="10"/>
  <c r="E705" i="10"/>
  <c r="E704" i="10"/>
  <c r="E703" i="10"/>
  <c r="E702" i="10"/>
  <c r="E701" i="10"/>
  <c r="E700" i="10"/>
  <c r="E699" i="10"/>
  <c r="E698" i="10"/>
  <c r="E697" i="10"/>
  <c r="E696" i="10"/>
  <c r="E695" i="10"/>
  <c r="E694" i="10"/>
  <c r="E693" i="10"/>
  <c r="E692" i="10"/>
  <c r="E691" i="10"/>
  <c r="E690" i="10"/>
  <c r="E689" i="10"/>
  <c r="E688" i="10"/>
  <c r="E687" i="10"/>
  <c r="E686" i="10"/>
  <c r="E685" i="10"/>
  <c r="E684" i="10"/>
  <c r="E683" i="10"/>
  <c r="E682" i="10"/>
  <c r="E681" i="10"/>
  <c r="E680" i="10"/>
  <c r="E679" i="10"/>
  <c r="E678" i="10"/>
  <c r="E677" i="10"/>
  <c r="E676" i="10"/>
  <c r="E675" i="10"/>
  <c r="E674" i="10"/>
  <c r="E673" i="10"/>
  <c r="E672" i="10"/>
  <c r="E671" i="10"/>
  <c r="E670" i="10"/>
  <c r="E669" i="10"/>
  <c r="E668" i="10"/>
  <c r="E667" i="10"/>
  <c r="E666" i="10"/>
  <c r="E665" i="10"/>
  <c r="E664" i="10"/>
  <c r="E663" i="10"/>
  <c r="E662" i="10"/>
  <c r="E661" i="10"/>
  <c r="E660" i="10"/>
  <c r="E659" i="10"/>
  <c r="E658" i="10"/>
  <c r="E657" i="10"/>
  <c r="E656" i="10"/>
  <c r="E655" i="10"/>
  <c r="E654" i="10"/>
  <c r="E653" i="10"/>
  <c r="E652" i="10"/>
  <c r="E651" i="10"/>
  <c r="E650" i="10"/>
  <c r="E649" i="10"/>
  <c r="E648" i="10"/>
  <c r="E647" i="10"/>
  <c r="E646" i="10"/>
  <c r="E645" i="10"/>
  <c r="E644" i="10"/>
  <c r="E643" i="10"/>
  <c r="E642" i="10"/>
  <c r="E641" i="10"/>
  <c r="E640" i="10"/>
  <c r="E639" i="10"/>
  <c r="E638" i="10"/>
  <c r="E637" i="10"/>
  <c r="E636" i="10"/>
  <c r="E635" i="10"/>
  <c r="E634" i="10"/>
  <c r="E633" i="10"/>
  <c r="E632" i="10"/>
  <c r="E631" i="10"/>
  <c r="E630" i="10"/>
  <c r="E629" i="10"/>
  <c r="E628" i="10"/>
  <c r="E627" i="10"/>
  <c r="E626" i="10"/>
  <c r="E625" i="10"/>
  <c r="E624" i="10"/>
  <c r="E623" i="10"/>
  <c r="E622" i="10"/>
  <c r="E621" i="10"/>
  <c r="E620" i="10"/>
  <c r="E619" i="10"/>
  <c r="E618" i="10"/>
  <c r="E617" i="10"/>
  <c r="E616" i="10"/>
  <c r="E615" i="10"/>
  <c r="E614" i="10"/>
  <c r="E613" i="10"/>
  <c r="E612" i="10"/>
  <c r="E611" i="10"/>
  <c r="E610" i="10"/>
  <c r="E609" i="10"/>
  <c r="E608" i="10"/>
  <c r="E607" i="10"/>
  <c r="E606" i="10"/>
  <c r="E605" i="10"/>
  <c r="E604" i="10"/>
  <c r="E603" i="10"/>
  <c r="E602" i="10"/>
  <c r="E601" i="10"/>
  <c r="E600" i="10"/>
  <c r="E599" i="10"/>
  <c r="E598" i="10"/>
  <c r="E597" i="10"/>
  <c r="E596" i="10"/>
  <c r="E595" i="10"/>
  <c r="E594" i="10"/>
  <c r="E593" i="10"/>
  <c r="E592" i="10"/>
  <c r="E591" i="10"/>
  <c r="E590" i="10"/>
  <c r="E589" i="10"/>
  <c r="E588" i="10"/>
  <c r="E587" i="10"/>
  <c r="E586" i="10"/>
  <c r="E585" i="10"/>
  <c r="E584" i="10"/>
  <c r="E583" i="10"/>
  <c r="E582" i="10"/>
  <c r="E581" i="10"/>
  <c r="E580" i="10"/>
  <c r="E579" i="10"/>
  <c r="E578" i="10"/>
  <c r="E577" i="10"/>
  <c r="E576" i="10"/>
  <c r="E575" i="10"/>
  <c r="E574" i="10"/>
  <c r="E573" i="10"/>
  <c r="E572" i="10"/>
  <c r="E571" i="10"/>
  <c r="E570" i="10"/>
  <c r="E569" i="10"/>
  <c r="E568" i="10"/>
  <c r="E567" i="10"/>
  <c r="E566" i="10"/>
  <c r="E565" i="10"/>
  <c r="E564" i="10"/>
  <c r="E563" i="10"/>
  <c r="E562" i="10"/>
  <c r="E561" i="10"/>
  <c r="E560" i="10"/>
  <c r="E559" i="10"/>
  <c r="E558" i="10"/>
  <c r="E557" i="10"/>
  <c r="E556" i="10"/>
  <c r="E555" i="10"/>
  <c r="E554" i="10"/>
  <c r="E553" i="10"/>
  <c r="E552" i="10"/>
  <c r="E551" i="10"/>
  <c r="E550" i="10"/>
  <c r="E549" i="10"/>
  <c r="E548" i="10"/>
  <c r="E547" i="10"/>
  <c r="E546" i="10"/>
  <c r="E545" i="10"/>
  <c r="E544" i="10"/>
  <c r="E543" i="10"/>
  <c r="E542" i="10"/>
  <c r="E541" i="10"/>
  <c r="E540" i="10"/>
  <c r="E539" i="10"/>
  <c r="E538" i="10"/>
  <c r="E537" i="10"/>
  <c r="E536" i="10"/>
  <c r="E535" i="10"/>
  <c r="E534" i="10"/>
  <c r="E533" i="10"/>
  <c r="E532" i="10"/>
  <c r="E531" i="10"/>
  <c r="E530" i="10"/>
  <c r="E529" i="10"/>
  <c r="E528" i="10"/>
  <c r="E527" i="10"/>
  <c r="E526" i="10"/>
  <c r="E525" i="10"/>
  <c r="E524" i="10"/>
  <c r="E523" i="10"/>
  <c r="E522" i="10"/>
  <c r="E521" i="10"/>
  <c r="E520" i="10"/>
  <c r="E519" i="10"/>
  <c r="E518" i="10"/>
  <c r="E517" i="10"/>
  <c r="E516" i="10"/>
  <c r="E515" i="10"/>
  <c r="E514" i="10"/>
  <c r="E513" i="10"/>
  <c r="E512" i="10"/>
  <c r="E511" i="10"/>
  <c r="E510" i="10"/>
  <c r="E509" i="10"/>
  <c r="E508" i="10"/>
  <c r="E507" i="10"/>
  <c r="E506" i="10"/>
  <c r="E505" i="10"/>
  <c r="E504" i="10"/>
  <c r="E503" i="10"/>
  <c r="E502" i="10"/>
  <c r="E501" i="10"/>
  <c r="L500" i="10"/>
  <c r="J500" i="10"/>
  <c r="L499" i="10"/>
  <c r="J499" i="10"/>
  <c r="L498" i="10"/>
  <c r="J498" i="10"/>
  <c r="L497" i="10"/>
  <c r="J497" i="10"/>
  <c r="L496" i="10"/>
  <c r="J496" i="10"/>
  <c r="L495" i="10"/>
  <c r="J495" i="10"/>
  <c r="L494" i="10"/>
  <c r="J494" i="10"/>
  <c r="L493" i="10"/>
  <c r="J493" i="10"/>
  <c r="L492" i="10"/>
  <c r="J492" i="10"/>
  <c r="L491" i="10"/>
  <c r="J491" i="10"/>
  <c r="L490" i="10"/>
  <c r="J490" i="10"/>
  <c r="L489" i="10"/>
  <c r="J489" i="10"/>
  <c r="L488" i="10"/>
  <c r="J488" i="10"/>
  <c r="L487" i="10"/>
  <c r="J487" i="10"/>
  <c r="L486" i="10"/>
  <c r="J486" i="10"/>
  <c r="L485" i="10"/>
  <c r="J485" i="10"/>
  <c r="L484" i="10"/>
  <c r="J484" i="10"/>
  <c r="L483" i="10"/>
  <c r="J483" i="10"/>
  <c r="L482" i="10"/>
  <c r="J482" i="10"/>
  <c r="L481" i="10"/>
  <c r="J481" i="10"/>
  <c r="L480" i="10"/>
  <c r="J480" i="10"/>
  <c r="L479" i="10"/>
  <c r="J479" i="10"/>
  <c r="L478" i="10"/>
  <c r="J478" i="10"/>
  <c r="L477" i="10"/>
  <c r="J477" i="10"/>
  <c r="L476" i="10"/>
  <c r="J476" i="10"/>
  <c r="L475" i="10"/>
  <c r="J475" i="10"/>
  <c r="L474" i="10"/>
  <c r="J474" i="10"/>
  <c r="L473" i="10"/>
  <c r="J473" i="10"/>
  <c r="L472" i="10"/>
  <c r="J472" i="10"/>
  <c r="L471" i="10"/>
  <c r="J471" i="10"/>
  <c r="L470" i="10"/>
  <c r="J470" i="10"/>
  <c r="L469" i="10"/>
  <c r="J469" i="10"/>
  <c r="L468" i="10"/>
  <c r="J468" i="10"/>
  <c r="L467" i="10"/>
  <c r="J467" i="10"/>
  <c r="L466" i="10"/>
  <c r="J466" i="10"/>
  <c r="L465" i="10"/>
  <c r="J465" i="10"/>
  <c r="L464" i="10"/>
  <c r="J464" i="10"/>
  <c r="L463" i="10"/>
  <c r="J463" i="10"/>
  <c r="L462" i="10"/>
  <c r="J462" i="10"/>
  <c r="L461" i="10"/>
  <c r="J461" i="10"/>
  <c r="L460" i="10"/>
  <c r="J460" i="10"/>
  <c r="L459" i="10"/>
  <c r="J459" i="10"/>
  <c r="L458" i="10"/>
  <c r="J458" i="10"/>
  <c r="L457" i="10"/>
  <c r="J457" i="10"/>
  <c r="L456" i="10"/>
  <c r="J456" i="10"/>
  <c r="L455" i="10"/>
  <c r="J455" i="10"/>
  <c r="L454" i="10"/>
  <c r="J454" i="10"/>
  <c r="L453" i="10"/>
  <c r="J453" i="10"/>
  <c r="L452" i="10"/>
  <c r="J452" i="10"/>
  <c r="L451" i="10"/>
  <c r="J451" i="10"/>
  <c r="L450" i="10"/>
  <c r="J450" i="10"/>
  <c r="L449" i="10"/>
  <c r="J449" i="10"/>
  <c r="L448" i="10"/>
  <c r="J448" i="10"/>
  <c r="L447" i="10"/>
  <c r="J447" i="10"/>
  <c r="L446" i="10"/>
  <c r="J446" i="10"/>
  <c r="L445" i="10"/>
  <c r="J445" i="10"/>
  <c r="L444" i="10"/>
  <c r="J444" i="10"/>
  <c r="L443" i="10"/>
  <c r="J443" i="10"/>
  <c r="L442" i="10"/>
  <c r="J442" i="10"/>
  <c r="L441" i="10"/>
  <c r="J441" i="10"/>
  <c r="L440" i="10"/>
  <c r="J440" i="10"/>
  <c r="L439" i="10"/>
  <c r="J439" i="10"/>
  <c r="L438" i="10"/>
  <c r="J438" i="10"/>
  <c r="L437" i="10"/>
  <c r="J437" i="10"/>
  <c r="L436" i="10"/>
  <c r="J436" i="10"/>
  <c r="L435" i="10"/>
  <c r="J435" i="10"/>
  <c r="L434" i="10"/>
  <c r="J434" i="10"/>
  <c r="L433" i="10"/>
  <c r="J433" i="10"/>
  <c r="L432" i="10"/>
  <c r="J432" i="10"/>
  <c r="L431" i="10"/>
  <c r="J431" i="10"/>
  <c r="L430" i="10"/>
  <c r="J430" i="10"/>
  <c r="L429" i="10"/>
  <c r="J429" i="10"/>
  <c r="L428" i="10"/>
  <c r="J428" i="10"/>
  <c r="L427" i="10"/>
  <c r="J427" i="10"/>
  <c r="L426" i="10"/>
  <c r="J426" i="10"/>
  <c r="L425" i="10"/>
  <c r="J425" i="10"/>
  <c r="L424" i="10"/>
  <c r="J424" i="10"/>
  <c r="L423" i="10"/>
  <c r="J423" i="10"/>
  <c r="L422" i="10"/>
  <c r="J422" i="10"/>
  <c r="L421" i="10"/>
  <c r="J421" i="10"/>
  <c r="L420" i="10"/>
  <c r="J420" i="10"/>
  <c r="L419" i="10"/>
  <c r="J419" i="10"/>
  <c r="L418" i="10"/>
  <c r="J418" i="10"/>
  <c r="L417" i="10"/>
  <c r="J417" i="10"/>
  <c r="L416" i="10"/>
  <c r="J416" i="10"/>
  <c r="L415" i="10"/>
  <c r="J415" i="10"/>
  <c r="L414" i="10"/>
  <c r="J414" i="10"/>
  <c r="L413" i="10"/>
  <c r="J413" i="10"/>
  <c r="L412" i="10"/>
  <c r="J412" i="10"/>
  <c r="L411" i="10"/>
  <c r="J411" i="10"/>
  <c r="L410" i="10"/>
  <c r="J410" i="10"/>
  <c r="L409" i="10"/>
  <c r="J409" i="10"/>
  <c r="L408" i="10"/>
  <c r="J408" i="10"/>
  <c r="L407" i="10"/>
  <c r="J407" i="10"/>
  <c r="L406" i="10"/>
  <c r="J406" i="10"/>
  <c r="L405" i="10"/>
  <c r="J405" i="10"/>
  <c r="L404" i="10"/>
  <c r="J404" i="10"/>
  <c r="L403" i="10"/>
  <c r="J403" i="10"/>
  <c r="L402" i="10"/>
  <c r="J402" i="10"/>
  <c r="L401" i="10"/>
  <c r="J401" i="10"/>
  <c r="L400" i="10"/>
  <c r="J400" i="10"/>
  <c r="L399" i="10"/>
  <c r="J399" i="10"/>
  <c r="L398" i="10"/>
  <c r="J398" i="10"/>
  <c r="L397" i="10"/>
  <c r="J397" i="10"/>
  <c r="L396" i="10"/>
  <c r="J396" i="10"/>
  <c r="L395" i="10"/>
  <c r="J395" i="10"/>
  <c r="L394" i="10"/>
  <c r="J394" i="10"/>
  <c r="L393" i="10"/>
  <c r="J393" i="10"/>
  <c r="L392" i="10"/>
  <c r="J392" i="10"/>
  <c r="L391" i="10"/>
  <c r="J391" i="10"/>
  <c r="L390" i="10"/>
  <c r="J390" i="10"/>
  <c r="L389" i="10"/>
  <c r="J389" i="10"/>
  <c r="L388" i="10"/>
  <c r="J388" i="10"/>
  <c r="L387" i="10"/>
  <c r="J387" i="10"/>
  <c r="L386" i="10"/>
  <c r="J386" i="10"/>
  <c r="L385" i="10"/>
  <c r="J385" i="10"/>
  <c r="L384" i="10"/>
  <c r="J384" i="10"/>
  <c r="L383" i="10"/>
  <c r="J383" i="10"/>
  <c r="L382" i="10"/>
  <c r="J382" i="10"/>
  <c r="L381" i="10"/>
  <c r="J381" i="10"/>
  <c r="L380" i="10"/>
  <c r="J380" i="10"/>
  <c r="L379" i="10"/>
  <c r="J379" i="10"/>
  <c r="L378" i="10"/>
  <c r="J378" i="10"/>
  <c r="L377" i="10"/>
  <c r="J377" i="10"/>
  <c r="L376" i="10"/>
  <c r="J376" i="10"/>
  <c r="L375" i="10"/>
  <c r="J375" i="10"/>
  <c r="L374" i="10"/>
  <c r="J374" i="10"/>
  <c r="L373" i="10"/>
  <c r="J373" i="10"/>
  <c r="L372" i="10"/>
  <c r="J372" i="10"/>
  <c r="L371" i="10"/>
  <c r="J371" i="10"/>
  <c r="L370" i="10"/>
  <c r="J370" i="10"/>
  <c r="L369" i="10"/>
  <c r="J369" i="10"/>
  <c r="L368" i="10"/>
  <c r="J368" i="10"/>
  <c r="L367" i="10"/>
  <c r="J367" i="10"/>
  <c r="L366" i="10"/>
  <c r="J366" i="10"/>
  <c r="L365" i="10"/>
  <c r="J365" i="10"/>
  <c r="L364" i="10"/>
  <c r="J364" i="10"/>
  <c r="L363" i="10"/>
  <c r="J363" i="10"/>
  <c r="L362" i="10"/>
  <c r="J362" i="10"/>
  <c r="L361" i="10"/>
  <c r="J361" i="10"/>
  <c r="L360" i="10"/>
  <c r="J360" i="10"/>
  <c r="L359" i="10"/>
  <c r="J359" i="10"/>
  <c r="L358" i="10"/>
  <c r="J358" i="10"/>
  <c r="L357" i="10"/>
  <c r="J357" i="10"/>
  <c r="L356" i="10"/>
  <c r="J356" i="10"/>
  <c r="L355" i="10"/>
  <c r="J355" i="10"/>
  <c r="L354" i="10"/>
  <c r="J354" i="10"/>
  <c r="L353" i="10"/>
  <c r="J353" i="10"/>
  <c r="L352" i="10"/>
  <c r="J352" i="10"/>
  <c r="L351" i="10"/>
  <c r="J351" i="10"/>
  <c r="L350" i="10"/>
  <c r="J350" i="10"/>
  <c r="L349" i="10"/>
  <c r="J349" i="10"/>
  <c r="L348" i="10"/>
  <c r="J348" i="10"/>
  <c r="L347" i="10"/>
  <c r="J347" i="10"/>
  <c r="L346" i="10"/>
  <c r="J346" i="10"/>
  <c r="L345" i="10"/>
  <c r="J345" i="10"/>
  <c r="L344" i="10"/>
  <c r="J344" i="10"/>
  <c r="L343" i="10"/>
  <c r="J343" i="10"/>
  <c r="L342" i="10"/>
  <c r="J342" i="10"/>
  <c r="L341" i="10"/>
  <c r="J341" i="10"/>
  <c r="L340" i="10"/>
  <c r="J340" i="10"/>
  <c r="L339" i="10"/>
  <c r="J339" i="10"/>
  <c r="L338" i="10"/>
  <c r="J338" i="10"/>
  <c r="L337" i="10"/>
  <c r="J337" i="10"/>
  <c r="L336" i="10"/>
  <c r="J336" i="10"/>
  <c r="L335" i="10"/>
  <c r="J335" i="10"/>
  <c r="L334" i="10"/>
  <c r="J334" i="10"/>
  <c r="L333" i="10"/>
  <c r="J333" i="10"/>
  <c r="L332" i="10"/>
  <c r="J332" i="10"/>
  <c r="L331" i="10"/>
  <c r="J331" i="10"/>
  <c r="L330" i="10"/>
  <c r="J330" i="10"/>
  <c r="L329" i="10"/>
  <c r="J329" i="10"/>
  <c r="L328" i="10"/>
  <c r="J328" i="10"/>
  <c r="L327" i="10"/>
  <c r="J327" i="10"/>
  <c r="L326" i="10"/>
  <c r="J326" i="10"/>
  <c r="L325" i="10"/>
  <c r="J325" i="10"/>
  <c r="L324" i="10"/>
  <c r="J324" i="10"/>
  <c r="L323" i="10"/>
  <c r="J323" i="10"/>
  <c r="L322" i="10"/>
  <c r="J322" i="10"/>
  <c r="L321" i="10"/>
  <c r="J321" i="10"/>
  <c r="L320" i="10"/>
  <c r="J320" i="10"/>
  <c r="L319" i="10"/>
  <c r="J319" i="10"/>
  <c r="L318" i="10"/>
  <c r="J318" i="10"/>
  <c r="L317" i="10"/>
  <c r="J317" i="10"/>
  <c r="L316" i="10"/>
  <c r="J316" i="10"/>
  <c r="L315" i="10"/>
  <c r="J315" i="10"/>
  <c r="L314" i="10"/>
  <c r="J314" i="10"/>
  <c r="L313" i="10"/>
  <c r="J313" i="10"/>
  <c r="L312" i="10"/>
  <c r="J312" i="10"/>
  <c r="L311" i="10"/>
  <c r="J311" i="10"/>
  <c r="L310" i="10"/>
  <c r="J310" i="10"/>
  <c r="L309" i="10"/>
  <c r="J309" i="10"/>
  <c r="L308" i="10"/>
  <c r="J308" i="10"/>
  <c r="L307" i="10"/>
  <c r="J307" i="10"/>
  <c r="L306" i="10"/>
  <c r="J306" i="10"/>
  <c r="L305" i="10"/>
  <c r="J305" i="10"/>
  <c r="L304" i="10"/>
  <c r="J304" i="10"/>
  <c r="L303" i="10"/>
  <c r="J303" i="10"/>
  <c r="L302" i="10"/>
  <c r="J302" i="10"/>
  <c r="L301" i="10"/>
  <c r="J301" i="10"/>
  <c r="L300" i="10"/>
  <c r="J300" i="10"/>
  <c r="L299" i="10"/>
  <c r="J299" i="10"/>
  <c r="L298" i="10"/>
  <c r="J298" i="10"/>
  <c r="L297" i="10"/>
  <c r="J297" i="10"/>
  <c r="L296" i="10"/>
  <c r="J296" i="10"/>
  <c r="L295" i="10"/>
  <c r="J295" i="10"/>
  <c r="L294" i="10"/>
  <c r="J294" i="10"/>
  <c r="L293" i="10"/>
  <c r="J293" i="10"/>
  <c r="L292" i="10"/>
  <c r="J292" i="10"/>
  <c r="L291" i="10"/>
  <c r="J291" i="10"/>
  <c r="L290" i="10"/>
  <c r="J290" i="10"/>
  <c r="L289" i="10"/>
  <c r="J289" i="10"/>
  <c r="L288" i="10"/>
  <c r="J288" i="10"/>
  <c r="L287" i="10"/>
  <c r="J287" i="10"/>
  <c r="L286" i="10"/>
  <c r="J286" i="10"/>
  <c r="L285" i="10"/>
  <c r="J285" i="10"/>
  <c r="L284" i="10"/>
  <c r="J284" i="10"/>
  <c r="L283" i="10"/>
  <c r="J283" i="10"/>
  <c r="L282" i="10"/>
  <c r="J282" i="10"/>
  <c r="L281" i="10"/>
  <c r="J281" i="10"/>
  <c r="L280" i="10"/>
  <c r="J280" i="10"/>
  <c r="L279" i="10"/>
  <c r="J279" i="10"/>
  <c r="L278" i="10"/>
  <c r="J278" i="10"/>
  <c r="L277" i="10"/>
  <c r="J277" i="10"/>
  <c r="L276" i="10"/>
  <c r="J276" i="10"/>
  <c r="L275" i="10"/>
  <c r="J275" i="10"/>
  <c r="L274" i="10"/>
  <c r="J274" i="10"/>
  <c r="L273" i="10"/>
  <c r="J273" i="10"/>
  <c r="L272" i="10"/>
  <c r="J272" i="10"/>
  <c r="L271" i="10"/>
  <c r="J271" i="10"/>
  <c r="L270" i="10"/>
  <c r="J270" i="10"/>
  <c r="L269" i="10"/>
  <c r="J269" i="10"/>
  <c r="L268" i="10"/>
  <c r="J268" i="10"/>
  <c r="L267" i="10"/>
  <c r="J267" i="10"/>
  <c r="L266" i="10"/>
  <c r="J266" i="10"/>
  <c r="L265" i="10"/>
  <c r="J265" i="10"/>
  <c r="L264" i="10"/>
  <c r="J264" i="10"/>
  <c r="L263" i="10"/>
  <c r="J263" i="10"/>
  <c r="L262" i="10"/>
  <c r="J262" i="10"/>
  <c r="L261" i="10"/>
  <c r="J261" i="10"/>
  <c r="L260" i="10"/>
  <c r="J260" i="10"/>
  <c r="L259" i="10"/>
  <c r="J259" i="10"/>
  <c r="L258" i="10"/>
  <c r="J258" i="10"/>
  <c r="L257" i="10"/>
  <c r="J257" i="10"/>
  <c r="L256" i="10"/>
  <c r="J256" i="10"/>
  <c r="L255" i="10"/>
  <c r="J255" i="10"/>
  <c r="L254" i="10"/>
  <c r="J254" i="10"/>
  <c r="L253" i="10"/>
  <c r="J253" i="10"/>
  <c r="L252" i="10"/>
  <c r="J252" i="10"/>
  <c r="L251" i="10"/>
  <c r="J251" i="10"/>
  <c r="L250" i="10"/>
  <c r="J250" i="10"/>
  <c r="L249" i="10"/>
  <c r="J249" i="10"/>
  <c r="L248" i="10"/>
  <c r="J248" i="10"/>
  <c r="L247" i="10"/>
  <c r="J247" i="10"/>
  <c r="L246" i="10"/>
  <c r="J246" i="10"/>
  <c r="L245" i="10"/>
  <c r="J245" i="10"/>
  <c r="L244" i="10"/>
  <c r="J244" i="10"/>
  <c r="L243" i="10"/>
  <c r="J243" i="10"/>
  <c r="L242" i="10"/>
  <c r="J242" i="10"/>
  <c r="L241" i="10"/>
  <c r="J241" i="10"/>
  <c r="L240" i="10"/>
  <c r="J240" i="10"/>
  <c r="L239" i="10"/>
  <c r="J239" i="10"/>
  <c r="L238" i="10"/>
  <c r="J238" i="10"/>
  <c r="L237" i="10"/>
  <c r="J237" i="10"/>
  <c r="L236" i="10"/>
  <c r="J236" i="10"/>
  <c r="L235" i="10"/>
  <c r="J235" i="10"/>
  <c r="L234" i="10"/>
  <c r="J234" i="10"/>
  <c r="L233" i="10"/>
  <c r="J233" i="10"/>
  <c r="L232" i="10"/>
  <c r="J232" i="10"/>
  <c r="L231" i="10"/>
  <c r="J231" i="10"/>
  <c r="L230" i="10"/>
  <c r="J230" i="10"/>
  <c r="L229" i="10"/>
  <c r="J229" i="10"/>
  <c r="L228" i="10"/>
  <c r="J228" i="10"/>
  <c r="L227" i="10"/>
  <c r="J227" i="10"/>
  <c r="L226" i="10"/>
  <c r="J226" i="10"/>
  <c r="L225" i="10"/>
  <c r="J225" i="10"/>
  <c r="L224" i="10"/>
  <c r="J224" i="10"/>
  <c r="L223" i="10"/>
  <c r="J223" i="10"/>
  <c r="L222" i="10"/>
  <c r="J222" i="10"/>
  <c r="L221" i="10"/>
  <c r="J221" i="10"/>
  <c r="L220" i="10"/>
  <c r="J220" i="10"/>
  <c r="L219" i="10"/>
  <c r="J219" i="10"/>
  <c r="L218" i="10"/>
  <c r="J218" i="10"/>
  <c r="L217" i="10"/>
  <c r="J217" i="10"/>
  <c r="L216" i="10"/>
  <c r="J216" i="10"/>
  <c r="L215" i="10"/>
  <c r="J215" i="10"/>
  <c r="L214" i="10"/>
  <c r="J214" i="10"/>
  <c r="L213" i="10"/>
  <c r="J213" i="10"/>
  <c r="L212" i="10"/>
  <c r="J212" i="10"/>
  <c r="L211" i="10"/>
  <c r="J211" i="10"/>
  <c r="L210" i="10"/>
  <c r="J210" i="10"/>
  <c r="L209" i="10"/>
  <c r="J209" i="10"/>
  <c r="L208" i="10"/>
  <c r="J208" i="10"/>
  <c r="L207" i="10"/>
  <c r="J207" i="10"/>
  <c r="L206" i="10"/>
  <c r="J206" i="10"/>
  <c r="L205" i="10"/>
  <c r="J205" i="10"/>
  <c r="L204" i="10"/>
  <c r="J204" i="10"/>
  <c r="L203" i="10"/>
  <c r="J203" i="10"/>
  <c r="L202" i="10"/>
  <c r="J202" i="10"/>
  <c r="L201" i="10"/>
  <c r="J201" i="10"/>
  <c r="L200" i="10"/>
  <c r="J200" i="10"/>
  <c r="L199" i="10"/>
  <c r="J199" i="10"/>
  <c r="L198" i="10"/>
  <c r="J198" i="10"/>
  <c r="L197" i="10"/>
  <c r="J197" i="10"/>
  <c r="L196" i="10"/>
  <c r="J196" i="10"/>
  <c r="L195" i="10"/>
  <c r="J195" i="10"/>
  <c r="L194" i="10"/>
  <c r="J194" i="10"/>
  <c r="L193" i="10"/>
  <c r="J193" i="10"/>
  <c r="L192" i="10"/>
  <c r="J192" i="10"/>
  <c r="L191" i="10"/>
  <c r="J191" i="10"/>
  <c r="L190" i="10"/>
  <c r="J190" i="10"/>
  <c r="L189" i="10"/>
  <c r="J189" i="10"/>
  <c r="L188" i="10"/>
  <c r="J188" i="10"/>
  <c r="L187" i="10"/>
  <c r="J187" i="10"/>
  <c r="L186" i="10"/>
  <c r="J186" i="10"/>
  <c r="L185" i="10"/>
  <c r="J185" i="10"/>
  <c r="L184" i="10"/>
  <c r="J184" i="10"/>
  <c r="L183" i="10"/>
  <c r="J183" i="10"/>
  <c r="L182" i="10"/>
  <c r="J182" i="10"/>
  <c r="L181" i="10"/>
  <c r="J181" i="10"/>
  <c r="L180" i="10"/>
  <c r="J180" i="10"/>
  <c r="L179" i="10"/>
  <c r="J179" i="10"/>
  <c r="L178" i="10"/>
  <c r="J178" i="10"/>
  <c r="L177" i="10"/>
  <c r="J177" i="10"/>
  <c r="L176" i="10"/>
  <c r="J176" i="10"/>
  <c r="L175" i="10"/>
  <c r="J175" i="10"/>
  <c r="L174" i="10"/>
  <c r="J174" i="10"/>
  <c r="L173" i="10"/>
  <c r="J173" i="10"/>
  <c r="L172" i="10"/>
  <c r="J172" i="10"/>
  <c r="L171" i="10"/>
  <c r="J171" i="10"/>
  <c r="L170" i="10"/>
  <c r="J170" i="10"/>
  <c r="L169" i="10"/>
  <c r="J169" i="10"/>
  <c r="L168" i="10"/>
  <c r="J168" i="10"/>
  <c r="L167" i="10"/>
  <c r="J167" i="10"/>
  <c r="L166" i="10"/>
  <c r="J166" i="10"/>
  <c r="L165" i="10"/>
  <c r="J165" i="10"/>
  <c r="L164" i="10"/>
  <c r="J164" i="10"/>
  <c r="L163" i="10"/>
  <c r="J163" i="10"/>
  <c r="L162" i="10"/>
  <c r="J162" i="10"/>
  <c r="L161" i="10"/>
  <c r="J161" i="10"/>
  <c r="L160" i="10"/>
  <c r="J160" i="10"/>
  <c r="L159" i="10"/>
  <c r="J159" i="10"/>
  <c r="L158" i="10"/>
  <c r="J158" i="10"/>
  <c r="L157" i="10"/>
  <c r="J157" i="10"/>
  <c r="L156" i="10"/>
  <c r="J156" i="10"/>
  <c r="L155" i="10"/>
  <c r="J155" i="10"/>
  <c r="L154" i="10"/>
  <c r="J154" i="10"/>
  <c r="L153" i="10"/>
  <c r="J153" i="10"/>
  <c r="L152" i="10"/>
  <c r="J152" i="10"/>
  <c r="L151" i="10"/>
  <c r="J151" i="10"/>
  <c r="L150" i="10"/>
  <c r="J150" i="10"/>
  <c r="L149" i="10"/>
  <c r="J149" i="10"/>
  <c r="L148" i="10"/>
  <c r="J148" i="10"/>
  <c r="L147" i="10"/>
  <c r="J147" i="10"/>
  <c r="L146" i="10"/>
  <c r="J146" i="10"/>
  <c r="L145" i="10"/>
  <c r="J145" i="10"/>
  <c r="L144" i="10"/>
  <c r="J144" i="10"/>
  <c r="L143" i="10"/>
  <c r="J143" i="10"/>
  <c r="L142" i="10"/>
  <c r="J142" i="10"/>
  <c r="L141" i="10"/>
  <c r="J141" i="10"/>
  <c r="L140" i="10"/>
  <c r="J140" i="10"/>
  <c r="L139" i="10"/>
  <c r="J139" i="10"/>
  <c r="L138" i="10"/>
  <c r="J138" i="10"/>
  <c r="L137" i="10"/>
  <c r="J137" i="10"/>
  <c r="L136" i="10"/>
  <c r="J136" i="10"/>
  <c r="L135" i="10"/>
  <c r="J135" i="10"/>
  <c r="L134" i="10"/>
  <c r="J134" i="10"/>
  <c r="L133" i="10"/>
  <c r="J133" i="10"/>
  <c r="L132" i="10"/>
  <c r="J132" i="10"/>
  <c r="L131" i="10"/>
  <c r="J131" i="10"/>
  <c r="L130" i="10"/>
  <c r="J130" i="10"/>
  <c r="L129" i="10"/>
  <c r="J129" i="10"/>
  <c r="L128" i="10"/>
  <c r="J128" i="10"/>
  <c r="L127" i="10"/>
  <c r="J127" i="10"/>
  <c r="L126" i="10"/>
  <c r="J126" i="10"/>
  <c r="L125" i="10"/>
  <c r="J125" i="10"/>
  <c r="L124" i="10"/>
  <c r="J124" i="10"/>
  <c r="L123" i="10"/>
  <c r="J123" i="10"/>
  <c r="L122" i="10"/>
  <c r="J122" i="10"/>
  <c r="L121" i="10"/>
  <c r="J121" i="10"/>
  <c r="L120" i="10"/>
  <c r="J120" i="10"/>
  <c r="L119" i="10"/>
  <c r="J119" i="10"/>
  <c r="L118" i="10"/>
  <c r="J118" i="10"/>
  <c r="L117" i="10"/>
  <c r="J117" i="10"/>
  <c r="L116" i="10"/>
  <c r="J116" i="10"/>
  <c r="L115" i="10"/>
  <c r="J115" i="10"/>
  <c r="L114" i="10"/>
  <c r="J114" i="10"/>
  <c r="L113" i="10"/>
  <c r="J113" i="10"/>
  <c r="L112" i="10"/>
  <c r="J112" i="10"/>
  <c r="L111" i="10"/>
  <c r="J111" i="10"/>
  <c r="L110" i="10"/>
  <c r="J110" i="10"/>
  <c r="L109" i="10"/>
  <c r="J109" i="10"/>
  <c r="L108" i="10"/>
  <c r="J108" i="10"/>
  <c r="L107" i="10"/>
  <c r="J107" i="10"/>
  <c r="L106" i="10"/>
  <c r="J106" i="10"/>
  <c r="L105" i="10"/>
  <c r="J105" i="10"/>
  <c r="L104" i="10"/>
  <c r="J104" i="10"/>
  <c r="L103" i="10"/>
  <c r="G103" i="10"/>
  <c r="E103" i="10"/>
  <c r="C103" i="10"/>
  <c r="A103" i="10"/>
  <c r="J103" i="10" s="1"/>
  <c r="N102" i="10"/>
  <c r="M102" i="10"/>
  <c r="L102" i="10"/>
  <c r="K102" i="10"/>
  <c r="F102" i="10"/>
  <c r="E102" i="10"/>
  <c r="D102" i="10"/>
  <c r="C102" i="10"/>
  <c r="B102" i="10"/>
  <c r="A102" i="10"/>
  <c r="J102" i="10" s="1"/>
  <c r="N101" i="10"/>
  <c r="K101" i="10"/>
  <c r="J101" i="10"/>
  <c r="B101" i="10"/>
  <c r="A101" i="10"/>
  <c r="N100" i="10"/>
  <c r="C100" i="10"/>
  <c r="A100" i="10"/>
  <c r="N99" i="10"/>
  <c r="J99" i="10"/>
  <c r="E99" i="10"/>
  <c r="D99" i="10"/>
  <c r="C99" i="10"/>
  <c r="A99" i="10"/>
  <c r="L99" i="10" s="1"/>
  <c r="M98" i="10"/>
  <c r="K98" i="10"/>
  <c r="J98" i="10"/>
  <c r="E98" i="10"/>
  <c r="B98" i="10"/>
  <c r="O98" i="10" s="1"/>
  <c r="A98" i="10"/>
  <c r="D98" i="10" s="1"/>
  <c r="N97" i="10"/>
  <c r="L97" i="10"/>
  <c r="B97" i="10"/>
  <c r="O97" i="10" s="1"/>
  <c r="A97" i="10"/>
  <c r="E97" i="10" s="1"/>
  <c r="A96" i="10"/>
  <c r="N95" i="10"/>
  <c r="M95" i="10"/>
  <c r="L95" i="10"/>
  <c r="K95" i="10"/>
  <c r="E95" i="10"/>
  <c r="D95" i="10"/>
  <c r="C95" i="10"/>
  <c r="B95" i="10"/>
  <c r="O95" i="10" s="1"/>
  <c r="A95" i="10"/>
  <c r="J95" i="10" s="1"/>
  <c r="N94" i="10"/>
  <c r="M94" i="10"/>
  <c r="L94" i="10"/>
  <c r="K94" i="10"/>
  <c r="E94" i="10"/>
  <c r="D94" i="10"/>
  <c r="C94" i="10"/>
  <c r="B94" i="10"/>
  <c r="O94" i="10" s="1"/>
  <c r="A94" i="10"/>
  <c r="J94" i="10" s="1"/>
  <c r="A93" i="10"/>
  <c r="A92" i="10"/>
  <c r="J92" i="10" s="1"/>
  <c r="N91" i="10"/>
  <c r="M91" i="10"/>
  <c r="L91" i="10"/>
  <c r="K91" i="10"/>
  <c r="E91" i="10"/>
  <c r="D91" i="10"/>
  <c r="C91" i="10"/>
  <c r="B91" i="10"/>
  <c r="O91" i="10" s="1"/>
  <c r="A91" i="10"/>
  <c r="J91" i="10" s="1"/>
  <c r="N90" i="10"/>
  <c r="M90" i="10"/>
  <c r="L90" i="10"/>
  <c r="K90" i="10"/>
  <c r="E90" i="10"/>
  <c r="D90" i="10"/>
  <c r="C90" i="10"/>
  <c r="B90" i="10"/>
  <c r="O90" i="10" s="1"/>
  <c r="A90" i="10"/>
  <c r="J90" i="10" s="1"/>
  <c r="L89" i="10"/>
  <c r="C89" i="10"/>
  <c r="A89" i="10"/>
  <c r="J89" i="10" s="1"/>
  <c r="J88" i="10"/>
  <c r="A88" i="10"/>
  <c r="N87" i="10"/>
  <c r="M87" i="10"/>
  <c r="L87" i="10"/>
  <c r="K87" i="10"/>
  <c r="E87" i="10"/>
  <c r="D87" i="10"/>
  <c r="C87" i="10"/>
  <c r="B87" i="10"/>
  <c r="O87" i="10" s="1"/>
  <c r="A87" i="10"/>
  <c r="J87" i="10" s="1"/>
  <c r="N86" i="10"/>
  <c r="M86" i="10"/>
  <c r="L86" i="10"/>
  <c r="K86" i="10"/>
  <c r="E86" i="10"/>
  <c r="D86" i="10"/>
  <c r="C86" i="10"/>
  <c r="B86" i="10"/>
  <c r="O86" i="10" s="1"/>
  <c r="A86" i="10"/>
  <c r="J86" i="10" s="1"/>
  <c r="A85" i="10"/>
  <c r="M84" i="10"/>
  <c r="J84" i="10"/>
  <c r="D84" i="10"/>
  <c r="A84" i="10"/>
  <c r="N83" i="10"/>
  <c r="M83" i="10"/>
  <c r="L83" i="10"/>
  <c r="K83" i="10"/>
  <c r="E83" i="10"/>
  <c r="D83" i="10"/>
  <c r="C83" i="10"/>
  <c r="B83" i="10"/>
  <c r="O83" i="10" s="1"/>
  <c r="A83" i="10"/>
  <c r="J83" i="10" s="1"/>
  <c r="N82" i="10"/>
  <c r="M82" i="10"/>
  <c r="L82" i="10"/>
  <c r="K82" i="10"/>
  <c r="H82" i="10"/>
  <c r="E82" i="10"/>
  <c r="D82" i="10"/>
  <c r="C82" i="10"/>
  <c r="B82" i="10"/>
  <c r="O82" i="10" s="1"/>
  <c r="A82" i="10"/>
  <c r="J82" i="10" s="1"/>
  <c r="L81" i="10"/>
  <c r="J81" i="10"/>
  <c r="C81" i="10"/>
  <c r="A81" i="10"/>
  <c r="J80" i="10"/>
  <c r="D80" i="10"/>
  <c r="A80" i="10"/>
  <c r="M80" i="10" s="1"/>
  <c r="N79" i="10"/>
  <c r="M79" i="10"/>
  <c r="L79" i="10"/>
  <c r="K79" i="10"/>
  <c r="G79" i="10"/>
  <c r="E79" i="10"/>
  <c r="D79" i="10"/>
  <c r="C79" i="10"/>
  <c r="B79" i="10"/>
  <c r="O79" i="10" s="1"/>
  <c r="A79" i="10"/>
  <c r="J79" i="10" s="1"/>
  <c r="N78" i="10"/>
  <c r="M78" i="10"/>
  <c r="L78" i="10"/>
  <c r="K78" i="10"/>
  <c r="H78" i="10"/>
  <c r="E78" i="10"/>
  <c r="D78" i="10"/>
  <c r="C78" i="10"/>
  <c r="B78" i="10"/>
  <c r="O78" i="10" s="1"/>
  <c r="A78" i="10"/>
  <c r="J78" i="10" s="1"/>
  <c r="J77" i="10"/>
  <c r="A77" i="10"/>
  <c r="L77" i="10" s="1"/>
  <c r="J76" i="10"/>
  <c r="A76" i="10"/>
  <c r="M76" i="10" s="1"/>
  <c r="N75" i="10"/>
  <c r="M75" i="10"/>
  <c r="L75" i="10"/>
  <c r="K75" i="10"/>
  <c r="E75" i="10"/>
  <c r="H75" i="10" s="1"/>
  <c r="D75" i="10"/>
  <c r="C75" i="10"/>
  <c r="B75" i="10"/>
  <c r="O75" i="10" s="1"/>
  <c r="A75" i="10"/>
  <c r="J75" i="10" s="1"/>
  <c r="C74" i="10"/>
  <c r="A74" i="10"/>
  <c r="K73" i="10"/>
  <c r="C73" i="10"/>
  <c r="B73" i="10"/>
  <c r="A73" i="10"/>
  <c r="A72" i="10"/>
  <c r="K71" i="10"/>
  <c r="E71" i="10"/>
  <c r="H71" i="10" s="1"/>
  <c r="C71" i="10"/>
  <c r="B71" i="10"/>
  <c r="A71" i="10"/>
  <c r="E70" i="10"/>
  <c r="C70" i="10"/>
  <c r="B70" i="10"/>
  <c r="A70" i="10"/>
  <c r="C69" i="10"/>
  <c r="B69" i="10"/>
  <c r="A69" i="10"/>
  <c r="A68" i="10"/>
  <c r="K67" i="10"/>
  <c r="F67" i="10"/>
  <c r="E67" i="10"/>
  <c r="H67" i="10" s="1"/>
  <c r="C67" i="10"/>
  <c r="B67" i="10"/>
  <c r="A67" i="10"/>
  <c r="E66" i="10"/>
  <c r="C66" i="10"/>
  <c r="B66" i="10"/>
  <c r="A66" i="10"/>
  <c r="A65" i="10"/>
  <c r="A64" i="10"/>
  <c r="G63" i="10"/>
  <c r="F63" i="10"/>
  <c r="E63" i="10"/>
  <c r="H63" i="10" s="1"/>
  <c r="C63" i="10"/>
  <c r="B63" i="10"/>
  <c r="K63" i="10" s="1"/>
  <c r="A63" i="10"/>
  <c r="H62" i="10"/>
  <c r="E62" i="10"/>
  <c r="C62" i="10"/>
  <c r="K62" i="10" s="1"/>
  <c r="B62" i="10"/>
  <c r="A62" i="10"/>
  <c r="A61" i="10"/>
  <c r="A60" i="10"/>
  <c r="G59" i="10"/>
  <c r="E59" i="10"/>
  <c r="C59" i="10"/>
  <c r="B59" i="10"/>
  <c r="A59" i="10"/>
  <c r="K58" i="10"/>
  <c r="H58" i="10"/>
  <c r="E58" i="10"/>
  <c r="C58" i="10"/>
  <c r="B58" i="10"/>
  <c r="A58" i="10"/>
  <c r="C57" i="10"/>
  <c r="B57" i="10"/>
  <c r="A57" i="10"/>
  <c r="A56" i="10"/>
  <c r="E55" i="10"/>
  <c r="C55" i="10"/>
  <c r="B55" i="10"/>
  <c r="A55" i="10"/>
  <c r="E54" i="10"/>
  <c r="C54" i="10"/>
  <c r="B54" i="10"/>
  <c r="K54" i="10" s="1"/>
  <c r="A54" i="10"/>
  <c r="C53" i="10"/>
  <c r="B53" i="10"/>
  <c r="A53" i="10"/>
  <c r="K53" i="10" s="1"/>
  <c r="A52" i="10"/>
  <c r="K51" i="10"/>
  <c r="F51" i="10"/>
  <c r="E51" i="10"/>
  <c r="H51" i="10" s="1"/>
  <c r="C51" i="10"/>
  <c r="B51" i="10"/>
  <c r="A51" i="10"/>
  <c r="E50" i="10"/>
  <c r="C50" i="10"/>
  <c r="B50" i="10"/>
  <c r="A50" i="10"/>
  <c r="A49" i="10"/>
  <c r="A48" i="10"/>
  <c r="G47" i="10"/>
  <c r="F47" i="10"/>
  <c r="E47" i="10"/>
  <c r="H47" i="10" s="1"/>
  <c r="C47" i="10"/>
  <c r="B47" i="10"/>
  <c r="K47" i="10" s="1"/>
  <c r="A47" i="10"/>
  <c r="H46" i="10"/>
  <c r="E46" i="10"/>
  <c r="C46" i="10"/>
  <c r="K46" i="10" s="1"/>
  <c r="B46" i="10"/>
  <c r="A46" i="10"/>
  <c r="A45" i="10"/>
  <c r="A44" i="10"/>
  <c r="G43" i="10"/>
  <c r="E43" i="10"/>
  <c r="C43" i="10"/>
  <c r="B43" i="10"/>
  <c r="A43" i="10"/>
  <c r="K42" i="10"/>
  <c r="H42" i="10"/>
  <c r="E42" i="10"/>
  <c r="C42" i="10"/>
  <c r="B42" i="10"/>
  <c r="A42" i="10"/>
  <c r="C41" i="10"/>
  <c r="B41" i="10"/>
  <c r="A41" i="10"/>
  <c r="A40" i="10"/>
  <c r="E39" i="10"/>
  <c r="C39" i="10"/>
  <c r="B39" i="10"/>
  <c r="K39" i="10" s="1"/>
  <c r="A39" i="10"/>
  <c r="E38" i="10"/>
  <c r="C38" i="10"/>
  <c r="B38" i="10"/>
  <c r="K38" i="10" s="1"/>
  <c r="A38" i="10"/>
  <c r="C37" i="10"/>
  <c r="B37" i="10"/>
  <c r="A37" i="10"/>
  <c r="A36" i="10"/>
  <c r="K35" i="10"/>
  <c r="F35" i="10"/>
  <c r="E35" i="10"/>
  <c r="H35" i="10" s="1"/>
  <c r="C35" i="10"/>
  <c r="B35" i="10"/>
  <c r="A35" i="10"/>
  <c r="E34" i="10"/>
  <c r="C34" i="10"/>
  <c r="B34" i="10"/>
  <c r="A34" i="10"/>
  <c r="C33" i="10"/>
  <c r="A33" i="10"/>
  <c r="A32" i="10"/>
  <c r="G31" i="10"/>
  <c r="F31" i="10"/>
  <c r="E31" i="10"/>
  <c r="H31" i="10" s="1"/>
  <c r="C31" i="10"/>
  <c r="B31" i="10"/>
  <c r="K31" i="10" s="1"/>
  <c r="A31" i="10"/>
  <c r="H30" i="10"/>
  <c r="E30" i="10"/>
  <c r="C30" i="10"/>
  <c r="K30" i="10" s="1"/>
  <c r="B30" i="10"/>
  <c r="A30" i="10"/>
  <c r="B29" i="10"/>
  <c r="A29" i="10"/>
  <c r="A28" i="10"/>
  <c r="G27" i="10"/>
  <c r="E27" i="10"/>
  <c r="C27" i="10"/>
  <c r="B27" i="10"/>
  <c r="A27" i="10"/>
  <c r="K26" i="10"/>
  <c r="H26" i="10"/>
  <c r="E26" i="10"/>
  <c r="C26" i="10"/>
  <c r="B26" i="10"/>
  <c r="A26" i="10"/>
  <c r="K25" i="10"/>
  <c r="C25" i="10"/>
  <c r="B25" i="10"/>
  <c r="A25" i="10"/>
  <c r="A24" i="10"/>
  <c r="E23" i="10"/>
  <c r="C23" i="10"/>
  <c r="B23" i="10"/>
  <c r="A23" i="10"/>
  <c r="K22" i="10"/>
  <c r="E22" i="10"/>
  <c r="C22" i="10"/>
  <c r="B22" i="10"/>
  <c r="A22" i="10"/>
  <c r="C21" i="10"/>
  <c r="B21" i="10"/>
  <c r="A21" i="10"/>
  <c r="K21" i="10" s="1"/>
  <c r="A20" i="10"/>
  <c r="K19" i="10"/>
  <c r="F19" i="10"/>
  <c r="E19" i="10"/>
  <c r="H19" i="10" s="1"/>
  <c r="C19" i="10"/>
  <c r="B19" i="10"/>
  <c r="A19" i="10"/>
  <c r="E18" i="10"/>
  <c r="C18" i="10"/>
  <c r="B18" i="10"/>
  <c r="A18" i="10"/>
  <c r="A17" i="10"/>
  <c r="A16" i="10"/>
  <c r="G15" i="10"/>
  <c r="F15" i="10"/>
  <c r="E15" i="10"/>
  <c r="H15" i="10" s="1"/>
  <c r="C15" i="10"/>
  <c r="B15" i="10"/>
  <c r="K15" i="10" s="1"/>
  <c r="A15" i="10"/>
  <c r="H14" i="10"/>
  <c r="E14" i="10"/>
  <c r="C14" i="10"/>
  <c r="K14" i="10" s="1"/>
  <c r="B14" i="10"/>
  <c r="A14" i="10"/>
  <c r="A13" i="10"/>
  <c r="A12" i="10"/>
  <c r="G11" i="10"/>
  <c r="E11" i="10"/>
  <c r="C11" i="10"/>
  <c r="B11" i="10"/>
  <c r="A11" i="10"/>
  <c r="H10" i="10"/>
  <c r="E10" i="10"/>
  <c r="C10" i="10"/>
  <c r="K10" i="10" s="1"/>
  <c r="B10" i="10"/>
  <c r="A10" i="10"/>
  <c r="C9" i="10"/>
  <c r="B9" i="10"/>
  <c r="K9" i="10" s="1"/>
  <c r="A9" i="10"/>
  <c r="A8" i="10"/>
  <c r="K7" i="10"/>
  <c r="G7" i="10"/>
  <c r="E7" i="10"/>
  <c r="C7" i="10"/>
  <c r="B7" i="10"/>
  <c r="A7" i="10"/>
  <c r="K6" i="10"/>
  <c r="E6" i="10"/>
  <c r="C6" i="10"/>
  <c r="B6" i="10"/>
  <c r="A6" i="10"/>
  <c r="C5" i="10"/>
  <c r="B5" i="10"/>
  <c r="A5" i="10"/>
  <c r="K5" i="10" s="1"/>
  <c r="A4" i="10"/>
  <c r="L500" i="9"/>
  <c r="L499" i="9"/>
  <c r="L498" i="9"/>
  <c r="L497" i="9"/>
  <c r="L496" i="9"/>
  <c r="L495" i="9"/>
  <c r="L494" i="9"/>
  <c r="L493" i="9"/>
  <c r="L492" i="9"/>
  <c r="L491" i="9"/>
  <c r="L490" i="9"/>
  <c r="L489" i="9"/>
  <c r="L488" i="9"/>
  <c r="L487" i="9"/>
  <c r="L486" i="9"/>
  <c r="L485" i="9"/>
  <c r="L484" i="9"/>
  <c r="L483" i="9"/>
  <c r="L482" i="9"/>
  <c r="L481" i="9"/>
  <c r="L480" i="9"/>
  <c r="L479" i="9"/>
  <c r="L478" i="9"/>
  <c r="L477" i="9"/>
  <c r="L476" i="9"/>
  <c r="L475" i="9"/>
  <c r="L474" i="9"/>
  <c r="L473" i="9"/>
  <c r="L472" i="9"/>
  <c r="L471" i="9"/>
  <c r="L470" i="9"/>
  <c r="L469" i="9"/>
  <c r="L468" i="9"/>
  <c r="L467" i="9"/>
  <c r="L466" i="9"/>
  <c r="L465" i="9"/>
  <c r="L464" i="9"/>
  <c r="L463" i="9"/>
  <c r="L462" i="9"/>
  <c r="L461" i="9"/>
  <c r="L460" i="9"/>
  <c r="L459" i="9"/>
  <c r="L458" i="9"/>
  <c r="L457" i="9"/>
  <c r="L456" i="9"/>
  <c r="L455" i="9"/>
  <c r="L454" i="9"/>
  <c r="L453" i="9"/>
  <c r="L452" i="9"/>
  <c r="L451" i="9"/>
  <c r="L450" i="9"/>
  <c r="L449" i="9"/>
  <c r="L448" i="9"/>
  <c r="L447" i="9"/>
  <c r="L446" i="9"/>
  <c r="L445" i="9"/>
  <c r="L444" i="9"/>
  <c r="L443" i="9"/>
  <c r="L442" i="9"/>
  <c r="L441" i="9"/>
  <c r="L440" i="9"/>
  <c r="L439" i="9"/>
  <c r="L438" i="9"/>
  <c r="L437" i="9"/>
  <c r="L436" i="9"/>
  <c r="L435" i="9"/>
  <c r="L434" i="9"/>
  <c r="L433" i="9"/>
  <c r="L432" i="9"/>
  <c r="L431" i="9"/>
  <c r="L430" i="9"/>
  <c r="L429" i="9"/>
  <c r="L428" i="9"/>
  <c r="L427" i="9"/>
  <c r="L426" i="9"/>
  <c r="L425" i="9"/>
  <c r="L424" i="9"/>
  <c r="L423" i="9"/>
  <c r="L422" i="9"/>
  <c r="L421" i="9"/>
  <c r="L420" i="9"/>
  <c r="L419" i="9"/>
  <c r="L418" i="9"/>
  <c r="L417" i="9"/>
  <c r="L416" i="9"/>
  <c r="L415" i="9"/>
  <c r="L414" i="9"/>
  <c r="L413" i="9"/>
  <c r="L412" i="9"/>
  <c r="L411" i="9"/>
  <c r="L410" i="9"/>
  <c r="L409" i="9"/>
  <c r="L408" i="9"/>
  <c r="L407" i="9"/>
  <c r="L406" i="9"/>
  <c r="L405" i="9"/>
  <c r="L404" i="9"/>
  <c r="L403" i="9"/>
  <c r="L402" i="9"/>
  <c r="L401" i="9"/>
  <c r="L400" i="9"/>
  <c r="L399" i="9"/>
  <c r="L398" i="9"/>
  <c r="L397" i="9"/>
  <c r="L396" i="9"/>
  <c r="L395" i="9"/>
  <c r="L394" i="9"/>
  <c r="L393" i="9"/>
  <c r="L392" i="9"/>
  <c r="L391" i="9"/>
  <c r="L390" i="9"/>
  <c r="L389" i="9"/>
  <c r="L388" i="9"/>
  <c r="L387" i="9"/>
  <c r="L386" i="9"/>
  <c r="L385" i="9"/>
  <c r="L384" i="9"/>
  <c r="L383" i="9"/>
  <c r="L382" i="9"/>
  <c r="L381" i="9"/>
  <c r="L380" i="9"/>
  <c r="L379" i="9"/>
  <c r="L378" i="9"/>
  <c r="L377" i="9"/>
  <c r="L376" i="9"/>
  <c r="L375" i="9"/>
  <c r="L374" i="9"/>
  <c r="L373" i="9"/>
  <c r="L372" i="9"/>
  <c r="L371" i="9"/>
  <c r="L370" i="9"/>
  <c r="L369" i="9"/>
  <c r="L368" i="9"/>
  <c r="L367" i="9"/>
  <c r="L366" i="9"/>
  <c r="L365" i="9"/>
  <c r="L364" i="9"/>
  <c r="L363" i="9"/>
  <c r="L362" i="9"/>
  <c r="L361" i="9"/>
  <c r="L360" i="9"/>
  <c r="L359" i="9"/>
  <c r="L358" i="9"/>
  <c r="L357" i="9"/>
  <c r="L356" i="9"/>
  <c r="L355" i="9"/>
  <c r="L354" i="9"/>
  <c r="L353" i="9"/>
  <c r="L352" i="9"/>
  <c r="L351" i="9"/>
  <c r="L350" i="9"/>
  <c r="L349" i="9"/>
  <c r="L348" i="9"/>
  <c r="L347" i="9"/>
  <c r="L346" i="9"/>
  <c r="L345" i="9"/>
  <c r="L344" i="9"/>
  <c r="L343" i="9"/>
  <c r="L342" i="9"/>
  <c r="L341" i="9"/>
  <c r="L340" i="9"/>
  <c r="L339" i="9"/>
  <c r="L338" i="9"/>
  <c r="L337" i="9"/>
  <c r="L336" i="9"/>
  <c r="L335" i="9"/>
  <c r="L334" i="9"/>
  <c r="L333" i="9"/>
  <c r="L332" i="9"/>
  <c r="L331" i="9"/>
  <c r="L330" i="9"/>
  <c r="L329" i="9"/>
  <c r="L328" i="9"/>
  <c r="L327" i="9"/>
  <c r="L326" i="9"/>
  <c r="L325" i="9"/>
  <c r="L324" i="9"/>
  <c r="L323" i="9"/>
  <c r="L322" i="9"/>
  <c r="L321" i="9"/>
  <c r="L320" i="9"/>
  <c r="L319" i="9"/>
  <c r="L318" i="9"/>
  <c r="L317" i="9"/>
  <c r="L316" i="9"/>
  <c r="L315" i="9"/>
  <c r="L314" i="9"/>
  <c r="L313" i="9"/>
  <c r="L312" i="9"/>
  <c r="L311" i="9"/>
  <c r="L310" i="9"/>
  <c r="L309" i="9"/>
  <c r="L308" i="9"/>
  <c r="L307" i="9"/>
  <c r="L306" i="9"/>
  <c r="L305" i="9"/>
  <c r="L304" i="9"/>
  <c r="L303" i="9"/>
  <c r="L302" i="9"/>
  <c r="L301" i="9"/>
  <c r="L300" i="9"/>
  <c r="L299" i="9"/>
  <c r="L298" i="9"/>
  <c r="L297" i="9"/>
  <c r="L296" i="9"/>
  <c r="L295" i="9"/>
  <c r="L294" i="9"/>
  <c r="L293" i="9"/>
  <c r="L292" i="9"/>
  <c r="L291" i="9"/>
  <c r="L290" i="9"/>
  <c r="L289" i="9"/>
  <c r="L288" i="9"/>
  <c r="L287" i="9"/>
  <c r="L286" i="9"/>
  <c r="L285" i="9"/>
  <c r="L284" i="9"/>
  <c r="L283" i="9"/>
  <c r="L282" i="9"/>
  <c r="L281" i="9"/>
  <c r="L280" i="9"/>
  <c r="L279" i="9"/>
  <c r="L278" i="9"/>
  <c r="L277" i="9"/>
  <c r="L276" i="9"/>
  <c r="L275" i="9"/>
  <c r="L274" i="9"/>
  <c r="L273" i="9"/>
  <c r="L272" i="9"/>
  <c r="L271" i="9"/>
  <c r="L270" i="9"/>
  <c r="L269" i="9"/>
  <c r="L268" i="9"/>
  <c r="L267" i="9"/>
  <c r="L266" i="9"/>
  <c r="L265" i="9"/>
  <c r="L264" i="9"/>
  <c r="L263" i="9"/>
  <c r="L262" i="9"/>
  <c r="L261" i="9"/>
  <c r="L260" i="9"/>
  <c r="L259" i="9"/>
  <c r="L258" i="9"/>
  <c r="L257" i="9"/>
  <c r="L256" i="9"/>
  <c r="L255" i="9"/>
  <c r="L254" i="9"/>
  <c r="L253" i="9"/>
  <c r="L252" i="9"/>
  <c r="L251" i="9"/>
  <c r="L250" i="9"/>
  <c r="L249" i="9"/>
  <c r="L248" i="9"/>
  <c r="L247" i="9"/>
  <c r="L246" i="9"/>
  <c r="L245" i="9"/>
  <c r="L244" i="9"/>
  <c r="L243" i="9"/>
  <c r="L242" i="9"/>
  <c r="L241" i="9"/>
  <c r="L240" i="9"/>
  <c r="L239" i="9"/>
  <c r="L238" i="9"/>
  <c r="L237" i="9"/>
  <c r="L236" i="9"/>
  <c r="L235" i="9"/>
  <c r="L234" i="9"/>
  <c r="L233" i="9"/>
  <c r="L232" i="9"/>
  <c r="L231" i="9"/>
  <c r="L230" i="9"/>
  <c r="L229" i="9"/>
  <c r="L228" i="9"/>
  <c r="L227" i="9"/>
  <c r="L226" i="9"/>
  <c r="L225" i="9"/>
  <c r="L224" i="9"/>
  <c r="L223" i="9"/>
  <c r="L222" i="9"/>
  <c r="L221" i="9"/>
  <c r="L220" i="9"/>
  <c r="L219" i="9"/>
  <c r="L218" i="9"/>
  <c r="L217" i="9"/>
  <c r="L216" i="9"/>
  <c r="L215" i="9"/>
  <c r="L214" i="9"/>
  <c r="L213" i="9"/>
  <c r="L212" i="9"/>
  <c r="L211" i="9"/>
  <c r="L210" i="9"/>
  <c r="L209" i="9"/>
  <c r="L208" i="9"/>
  <c r="L207" i="9"/>
  <c r="L206" i="9"/>
  <c r="L205" i="9"/>
  <c r="L204" i="9"/>
  <c r="L203" i="9"/>
  <c r="L202" i="9"/>
  <c r="L201" i="9"/>
  <c r="L200" i="9"/>
  <c r="L199" i="9"/>
  <c r="L198" i="9"/>
  <c r="L197" i="9"/>
  <c r="L196" i="9"/>
  <c r="L195" i="9"/>
  <c r="L194" i="9"/>
  <c r="L193" i="9"/>
  <c r="L192" i="9"/>
  <c r="L191" i="9"/>
  <c r="L190" i="9"/>
  <c r="L189" i="9"/>
  <c r="L188" i="9"/>
  <c r="L187" i="9"/>
  <c r="L186" i="9"/>
  <c r="L185" i="9"/>
  <c r="L184" i="9"/>
  <c r="L183" i="9"/>
  <c r="L182" i="9"/>
  <c r="L181" i="9"/>
  <c r="L180" i="9"/>
  <c r="L179" i="9"/>
  <c r="L178" i="9"/>
  <c r="L177" i="9"/>
  <c r="L176" i="9"/>
  <c r="L175" i="9"/>
  <c r="L174" i="9"/>
  <c r="L173" i="9"/>
  <c r="L172" i="9"/>
  <c r="L171" i="9"/>
  <c r="L170" i="9"/>
  <c r="L169" i="9"/>
  <c r="L168" i="9"/>
  <c r="L167" i="9"/>
  <c r="L166" i="9"/>
  <c r="L165" i="9"/>
  <c r="L164" i="9"/>
  <c r="L163" i="9"/>
  <c r="L162" i="9"/>
  <c r="L161" i="9"/>
  <c r="L160" i="9"/>
  <c r="L159" i="9"/>
  <c r="L158" i="9"/>
  <c r="L157" i="9"/>
  <c r="L156" i="9"/>
  <c r="L155" i="9"/>
  <c r="L154" i="9"/>
  <c r="L153" i="9"/>
  <c r="L152" i="9"/>
  <c r="L151" i="9"/>
  <c r="L150" i="9"/>
  <c r="L149" i="9"/>
  <c r="L148" i="9"/>
  <c r="L147" i="9"/>
  <c r="L146" i="9"/>
  <c r="L145" i="9"/>
  <c r="L144" i="9"/>
  <c r="L143" i="9"/>
  <c r="L142" i="9"/>
  <c r="L141" i="9"/>
  <c r="L140" i="9"/>
  <c r="L139" i="9"/>
  <c r="L138" i="9"/>
  <c r="L137" i="9"/>
  <c r="L136" i="9"/>
  <c r="L135" i="9"/>
  <c r="L134" i="9"/>
  <c r="L133" i="9"/>
  <c r="L132" i="9"/>
  <c r="L131" i="9"/>
  <c r="L130" i="9"/>
  <c r="L129" i="9"/>
  <c r="L128" i="9"/>
  <c r="L127" i="9"/>
  <c r="L126" i="9"/>
  <c r="L125" i="9"/>
  <c r="L124" i="9"/>
  <c r="L123" i="9"/>
  <c r="L122" i="9"/>
  <c r="L121" i="9"/>
  <c r="L120" i="9"/>
  <c r="L119" i="9"/>
  <c r="L118" i="9"/>
  <c r="L117" i="9"/>
  <c r="L116" i="9"/>
  <c r="L115" i="9"/>
  <c r="L114" i="9"/>
  <c r="L113" i="9"/>
  <c r="L112" i="9"/>
  <c r="L111" i="9"/>
  <c r="L110" i="9"/>
  <c r="L109" i="9"/>
  <c r="L108" i="9"/>
  <c r="L107" i="9"/>
  <c r="L106" i="9"/>
  <c r="L105" i="9"/>
  <c r="L104" i="9"/>
  <c r="N103" i="9"/>
  <c r="L103" i="9"/>
  <c r="J103" i="9"/>
  <c r="F103" i="9"/>
  <c r="C103" i="9"/>
  <c r="B103" i="9"/>
  <c r="A103" i="9"/>
  <c r="E103" i="9" s="1"/>
  <c r="H103" i="9" s="1"/>
  <c r="N102" i="9"/>
  <c r="M102" i="9"/>
  <c r="L102" i="9"/>
  <c r="K102" i="9"/>
  <c r="G102" i="9"/>
  <c r="F102" i="9"/>
  <c r="E102" i="9"/>
  <c r="H102" i="9" s="1"/>
  <c r="D102" i="9"/>
  <c r="C102" i="9"/>
  <c r="B102" i="9"/>
  <c r="A102" i="9"/>
  <c r="J102" i="9" s="1"/>
  <c r="L101" i="9"/>
  <c r="K101" i="9"/>
  <c r="J101" i="9"/>
  <c r="C101" i="9"/>
  <c r="B101" i="9"/>
  <c r="A101" i="9"/>
  <c r="K100" i="9"/>
  <c r="A100" i="9"/>
  <c r="M99" i="9"/>
  <c r="L99" i="9"/>
  <c r="C99" i="9"/>
  <c r="A99" i="9"/>
  <c r="O98" i="9"/>
  <c r="M98" i="9"/>
  <c r="L98" i="9"/>
  <c r="J98" i="9"/>
  <c r="E98" i="9"/>
  <c r="C98" i="9"/>
  <c r="B98" i="9"/>
  <c r="A98" i="9"/>
  <c r="N98" i="9" s="1"/>
  <c r="D97" i="9"/>
  <c r="A97" i="9"/>
  <c r="L97" i="9" s="1"/>
  <c r="N96" i="9"/>
  <c r="L96" i="9"/>
  <c r="J96" i="9"/>
  <c r="C96" i="9"/>
  <c r="B96" i="9"/>
  <c r="O96" i="9" s="1"/>
  <c r="A96" i="9"/>
  <c r="A95" i="9"/>
  <c r="M94" i="9"/>
  <c r="K94" i="9"/>
  <c r="C94" i="9"/>
  <c r="A94" i="9"/>
  <c r="N93" i="9"/>
  <c r="M93" i="9"/>
  <c r="L93" i="9"/>
  <c r="J93" i="9"/>
  <c r="H93" i="9"/>
  <c r="E93" i="9"/>
  <c r="D93" i="9"/>
  <c r="C93" i="9"/>
  <c r="B93" i="9"/>
  <c r="O93" i="9" s="1"/>
  <c r="A93" i="9"/>
  <c r="K93" i="9" s="1"/>
  <c r="N92" i="9"/>
  <c r="K92" i="9"/>
  <c r="J92" i="9"/>
  <c r="E92" i="9"/>
  <c r="C92" i="9"/>
  <c r="A92" i="9"/>
  <c r="N91" i="9"/>
  <c r="M91" i="9"/>
  <c r="J91" i="9"/>
  <c r="F91" i="9"/>
  <c r="E91" i="9"/>
  <c r="G91" i="9" s="1"/>
  <c r="D91" i="9"/>
  <c r="C91" i="9"/>
  <c r="A91" i="9"/>
  <c r="A90" i="9"/>
  <c r="M89" i="9"/>
  <c r="K89" i="9"/>
  <c r="G89" i="9"/>
  <c r="E89" i="9"/>
  <c r="C89" i="9"/>
  <c r="A89" i="9"/>
  <c r="E88" i="9"/>
  <c r="A88" i="9"/>
  <c r="L87" i="9"/>
  <c r="J87" i="9"/>
  <c r="D87" i="9"/>
  <c r="A87" i="9"/>
  <c r="N87" i="9" s="1"/>
  <c r="J86" i="9"/>
  <c r="E86" i="9"/>
  <c r="A86" i="9"/>
  <c r="L86" i="9" s="1"/>
  <c r="K85" i="9"/>
  <c r="B85" i="9"/>
  <c r="O85" i="9" s="1"/>
  <c r="A85" i="9"/>
  <c r="L85" i="9" s="1"/>
  <c r="L84" i="9"/>
  <c r="K84" i="9"/>
  <c r="J84" i="9"/>
  <c r="C84" i="9"/>
  <c r="B84" i="9"/>
  <c r="O84" i="9" s="1"/>
  <c r="A84" i="9"/>
  <c r="L83" i="9"/>
  <c r="A83" i="9"/>
  <c r="C82" i="9"/>
  <c r="A82" i="9"/>
  <c r="M81" i="9"/>
  <c r="L81" i="9"/>
  <c r="J81" i="9"/>
  <c r="E81" i="9"/>
  <c r="C81" i="9"/>
  <c r="B81" i="9"/>
  <c r="O81" i="9" s="1"/>
  <c r="A81" i="9"/>
  <c r="N81" i="9" s="1"/>
  <c r="H80" i="9"/>
  <c r="E80" i="9"/>
  <c r="A80" i="9"/>
  <c r="L80" i="9" s="1"/>
  <c r="N79" i="9"/>
  <c r="M79" i="9"/>
  <c r="J79" i="9"/>
  <c r="D79" i="9"/>
  <c r="C79" i="9"/>
  <c r="A79" i="9"/>
  <c r="N78" i="9"/>
  <c r="M78" i="9"/>
  <c r="L78" i="9"/>
  <c r="J78" i="9"/>
  <c r="E78" i="9"/>
  <c r="D78" i="9"/>
  <c r="C78" i="9"/>
  <c r="B78" i="9"/>
  <c r="O78" i="9" s="1"/>
  <c r="A78" i="9"/>
  <c r="K78" i="9" s="1"/>
  <c r="N77" i="9"/>
  <c r="D77" i="9"/>
  <c r="A77" i="9"/>
  <c r="N76" i="9"/>
  <c r="L76" i="9"/>
  <c r="J76" i="9"/>
  <c r="F76" i="9"/>
  <c r="E76" i="9"/>
  <c r="G76" i="9" s="1"/>
  <c r="C76" i="9"/>
  <c r="B76" i="9"/>
  <c r="O76" i="9" s="1"/>
  <c r="A76" i="9"/>
  <c r="J75" i="9"/>
  <c r="B75" i="9"/>
  <c r="O75" i="9" s="1"/>
  <c r="A75" i="9"/>
  <c r="L75" i="9" s="1"/>
  <c r="B74" i="9"/>
  <c r="A74" i="9"/>
  <c r="F73" i="9"/>
  <c r="E73" i="9"/>
  <c r="G73" i="9" s="1"/>
  <c r="C73" i="9"/>
  <c r="A73" i="9"/>
  <c r="K72" i="9"/>
  <c r="C72" i="9"/>
  <c r="B72" i="9"/>
  <c r="A72" i="9"/>
  <c r="G71" i="9"/>
  <c r="E71" i="9"/>
  <c r="F71" i="9" s="1"/>
  <c r="B71" i="9"/>
  <c r="A71" i="9"/>
  <c r="H70" i="9"/>
  <c r="F70" i="9"/>
  <c r="E70" i="9"/>
  <c r="G70" i="9" s="1"/>
  <c r="C70" i="9"/>
  <c r="K70" i="9" s="1"/>
  <c r="B70" i="9"/>
  <c r="A70" i="9"/>
  <c r="C69" i="9"/>
  <c r="A69" i="9"/>
  <c r="C68" i="9"/>
  <c r="A68" i="9"/>
  <c r="G67" i="9"/>
  <c r="E67" i="9"/>
  <c r="F67" i="9" s="1"/>
  <c r="B67" i="9"/>
  <c r="A67" i="9"/>
  <c r="K66" i="9"/>
  <c r="H66" i="9"/>
  <c r="G66" i="9"/>
  <c r="F66" i="9"/>
  <c r="E66" i="9"/>
  <c r="C66" i="9"/>
  <c r="B66" i="9"/>
  <c r="A66" i="9"/>
  <c r="A65" i="9"/>
  <c r="A64" i="9"/>
  <c r="B63" i="9"/>
  <c r="A63" i="9"/>
  <c r="G62" i="9"/>
  <c r="F62" i="9"/>
  <c r="E62" i="9"/>
  <c r="H62" i="9" s="1"/>
  <c r="C62" i="9"/>
  <c r="K62" i="9" s="1"/>
  <c r="B62" i="9"/>
  <c r="A62" i="9"/>
  <c r="H61" i="9"/>
  <c r="E61" i="9"/>
  <c r="A61" i="9"/>
  <c r="A60" i="9"/>
  <c r="A59" i="9"/>
  <c r="E58" i="9"/>
  <c r="C58" i="9"/>
  <c r="K58" i="9" s="1"/>
  <c r="B58" i="9"/>
  <c r="A58" i="9"/>
  <c r="A57" i="9"/>
  <c r="B56" i="9"/>
  <c r="A56" i="9"/>
  <c r="G55" i="9"/>
  <c r="E55" i="9"/>
  <c r="F55" i="9" s="1"/>
  <c r="C55" i="9"/>
  <c r="B55" i="9"/>
  <c r="A55" i="9"/>
  <c r="E54" i="9"/>
  <c r="B54" i="9"/>
  <c r="A54" i="9"/>
  <c r="C53" i="9"/>
  <c r="A53" i="9"/>
  <c r="E52" i="9"/>
  <c r="C52" i="9"/>
  <c r="B52" i="9"/>
  <c r="A52" i="9"/>
  <c r="K52" i="9" s="1"/>
  <c r="A51" i="9"/>
  <c r="H50" i="9"/>
  <c r="F50" i="9"/>
  <c r="E50" i="9"/>
  <c r="G50" i="9" s="1"/>
  <c r="C50" i="9"/>
  <c r="B50" i="9"/>
  <c r="A50" i="9"/>
  <c r="A49" i="9"/>
  <c r="A48" i="9"/>
  <c r="E47" i="9"/>
  <c r="F47" i="9" s="1"/>
  <c r="B47" i="9"/>
  <c r="A47" i="9"/>
  <c r="G46" i="9"/>
  <c r="E46" i="9"/>
  <c r="A46" i="9"/>
  <c r="H45" i="9"/>
  <c r="F45" i="9"/>
  <c r="E45" i="9"/>
  <c r="G45" i="9" s="1"/>
  <c r="C45" i="9"/>
  <c r="A45" i="9"/>
  <c r="E44" i="9"/>
  <c r="B44" i="9"/>
  <c r="A44" i="9"/>
  <c r="C43" i="9"/>
  <c r="A43" i="9"/>
  <c r="H42" i="9"/>
  <c r="F42" i="9"/>
  <c r="E42" i="9"/>
  <c r="G42" i="9" s="1"/>
  <c r="B42" i="9"/>
  <c r="A42" i="9"/>
  <c r="A41" i="9"/>
  <c r="F40" i="9"/>
  <c r="E40" i="9"/>
  <c r="H40" i="9" s="1"/>
  <c r="C40" i="9"/>
  <c r="B40" i="9"/>
  <c r="A40" i="9"/>
  <c r="B39" i="9"/>
  <c r="A39" i="9"/>
  <c r="C38" i="9"/>
  <c r="B38" i="9"/>
  <c r="A38" i="9"/>
  <c r="E37" i="9"/>
  <c r="C37" i="9"/>
  <c r="A37" i="9"/>
  <c r="A36" i="9"/>
  <c r="E35" i="9"/>
  <c r="C35" i="9"/>
  <c r="B35" i="9"/>
  <c r="A35" i="9"/>
  <c r="K35" i="9" s="1"/>
  <c r="A34" i="9"/>
  <c r="A33" i="9"/>
  <c r="E33" i="9" s="1"/>
  <c r="B32" i="9"/>
  <c r="A32" i="9"/>
  <c r="H31" i="9"/>
  <c r="E31" i="9"/>
  <c r="G31" i="9" s="1"/>
  <c r="B31" i="9"/>
  <c r="A31" i="9"/>
  <c r="H30" i="9"/>
  <c r="F30" i="9"/>
  <c r="E30" i="9"/>
  <c r="G30" i="9" s="1"/>
  <c r="C30" i="9"/>
  <c r="B30" i="9"/>
  <c r="K30" i="9" s="1"/>
  <c r="A30" i="9"/>
  <c r="A29" i="9"/>
  <c r="B28" i="9"/>
  <c r="A28" i="9"/>
  <c r="H27" i="9"/>
  <c r="E27" i="9"/>
  <c r="G27" i="9" s="1"/>
  <c r="B27" i="9"/>
  <c r="A27" i="9"/>
  <c r="H26" i="9"/>
  <c r="F26" i="9"/>
  <c r="E26" i="9"/>
  <c r="G26" i="9" s="1"/>
  <c r="C26" i="9"/>
  <c r="B26" i="9"/>
  <c r="K26" i="9" s="1"/>
  <c r="A26" i="9"/>
  <c r="A25" i="9"/>
  <c r="B24" i="9"/>
  <c r="A24" i="9"/>
  <c r="H23" i="9"/>
  <c r="E23" i="9"/>
  <c r="G23" i="9" s="1"/>
  <c r="B23" i="9"/>
  <c r="A23" i="9"/>
  <c r="H22" i="9"/>
  <c r="F22" i="9"/>
  <c r="E22" i="9"/>
  <c r="G22" i="9" s="1"/>
  <c r="C22" i="9"/>
  <c r="B22" i="9"/>
  <c r="K22" i="9" s="1"/>
  <c r="A22" i="9"/>
  <c r="A21" i="9"/>
  <c r="B20" i="9"/>
  <c r="A20" i="9"/>
  <c r="H19" i="9"/>
  <c r="E19" i="9"/>
  <c r="G19" i="9" s="1"/>
  <c r="B19" i="9"/>
  <c r="A19" i="9"/>
  <c r="H18" i="9"/>
  <c r="F18" i="9"/>
  <c r="E18" i="9"/>
  <c r="G18" i="9" s="1"/>
  <c r="C18" i="9"/>
  <c r="B18" i="9"/>
  <c r="K18" i="9" s="1"/>
  <c r="A18" i="9"/>
  <c r="A17" i="9"/>
  <c r="B16" i="9"/>
  <c r="A16" i="9"/>
  <c r="H15" i="9"/>
  <c r="E15" i="9"/>
  <c r="G15" i="9" s="1"/>
  <c r="B15" i="9"/>
  <c r="A15" i="9"/>
  <c r="H14" i="9"/>
  <c r="F14" i="9"/>
  <c r="E14" i="9"/>
  <c r="G14" i="9" s="1"/>
  <c r="C14" i="9"/>
  <c r="B14" i="9"/>
  <c r="K14" i="9" s="1"/>
  <c r="A14" i="9"/>
  <c r="A13" i="9"/>
  <c r="B12" i="9"/>
  <c r="A12" i="9"/>
  <c r="H11" i="9"/>
  <c r="E11" i="9"/>
  <c r="G11" i="9" s="1"/>
  <c r="B11" i="9"/>
  <c r="A11" i="9"/>
  <c r="H10" i="9"/>
  <c r="F10" i="9"/>
  <c r="E10" i="9"/>
  <c r="G10" i="9" s="1"/>
  <c r="C10" i="9"/>
  <c r="B10" i="9"/>
  <c r="K10" i="9" s="1"/>
  <c r="A10" i="9"/>
  <c r="A9" i="9"/>
  <c r="B8" i="9"/>
  <c r="A8" i="9"/>
  <c r="H7" i="9"/>
  <c r="E7" i="9"/>
  <c r="G7" i="9" s="1"/>
  <c r="B7" i="9"/>
  <c r="A7" i="9"/>
  <c r="H6" i="9"/>
  <c r="F6" i="9"/>
  <c r="E6" i="9"/>
  <c r="G6" i="9" s="1"/>
  <c r="C6" i="9"/>
  <c r="B6" i="9"/>
  <c r="K6" i="9" s="1"/>
  <c r="A6" i="9"/>
  <c r="A5" i="9"/>
  <c r="B4" i="9"/>
  <c r="A4" i="9"/>
  <c r="L500" i="8"/>
  <c r="L499" i="8"/>
  <c r="L498" i="8"/>
  <c r="L497" i="8"/>
  <c r="L496" i="8"/>
  <c r="L495" i="8"/>
  <c r="L494" i="8"/>
  <c r="L493" i="8"/>
  <c r="L492" i="8"/>
  <c r="L491" i="8"/>
  <c r="L490" i="8"/>
  <c r="L489" i="8"/>
  <c r="L488" i="8"/>
  <c r="L487" i="8"/>
  <c r="L486" i="8"/>
  <c r="L485" i="8"/>
  <c r="L484" i="8"/>
  <c r="L483" i="8"/>
  <c r="L482" i="8"/>
  <c r="L481" i="8"/>
  <c r="L480" i="8"/>
  <c r="L479" i="8"/>
  <c r="L478" i="8"/>
  <c r="L477" i="8"/>
  <c r="L476" i="8"/>
  <c r="L475" i="8"/>
  <c r="L474" i="8"/>
  <c r="L473" i="8"/>
  <c r="L472" i="8"/>
  <c r="L471" i="8"/>
  <c r="L470" i="8"/>
  <c r="L469" i="8"/>
  <c r="L468" i="8"/>
  <c r="L467" i="8"/>
  <c r="L466" i="8"/>
  <c r="L465" i="8"/>
  <c r="L464" i="8"/>
  <c r="L463" i="8"/>
  <c r="L462" i="8"/>
  <c r="L461" i="8"/>
  <c r="L460" i="8"/>
  <c r="L459" i="8"/>
  <c r="L458" i="8"/>
  <c r="L457" i="8"/>
  <c r="L456" i="8"/>
  <c r="L455" i="8"/>
  <c r="L454" i="8"/>
  <c r="L453" i="8"/>
  <c r="L452" i="8"/>
  <c r="L451" i="8"/>
  <c r="L450" i="8"/>
  <c r="L449" i="8"/>
  <c r="L448" i="8"/>
  <c r="L447" i="8"/>
  <c r="L446" i="8"/>
  <c r="L445" i="8"/>
  <c r="L444" i="8"/>
  <c r="L443" i="8"/>
  <c r="L442" i="8"/>
  <c r="L441" i="8"/>
  <c r="L440" i="8"/>
  <c r="L439" i="8"/>
  <c r="L438" i="8"/>
  <c r="L437" i="8"/>
  <c r="L436" i="8"/>
  <c r="L435" i="8"/>
  <c r="L434" i="8"/>
  <c r="L433" i="8"/>
  <c r="L432" i="8"/>
  <c r="L431" i="8"/>
  <c r="L430" i="8"/>
  <c r="L429" i="8"/>
  <c r="L428" i="8"/>
  <c r="L427" i="8"/>
  <c r="L426" i="8"/>
  <c r="L425" i="8"/>
  <c r="L424" i="8"/>
  <c r="L423" i="8"/>
  <c r="L422" i="8"/>
  <c r="L421" i="8"/>
  <c r="L420" i="8"/>
  <c r="L419" i="8"/>
  <c r="L418" i="8"/>
  <c r="L417" i="8"/>
  <c r="L416" i="8"/>
  <c r="L415" i="8"/>
  <c r="L414" i="8"/>
  <c r="L413" i="8"/>
  <c r="L412" i="8"/>
  <c r="L411" i="8"/>
  <c r="L410" i="8"/>
  <c r="L409" i="8"/>
  <c r="L408" i="8"/>
  <c r="L407" i="8"/>
  <c r="L406" i="8"/>
  <c r="L405" i="8"/>
  <c r="L404" i="8"/>
  <c r="L403" i="8"/>
  <c r="L402" i="8"/>
  <c r="L401" i="8"/>
  <c r="L400" i="8"/>
  <c r="L399" i="8"/>
  <c r="L398" i="8"/>
  <c r="L397" i="8"/>
  <c r="L396" i="8"/>
  <c r="L395" i="8"/>
  <c r="L394" i="8"/>
  <c r="L393" i="8"/>
  <c r="L392" i="8"/>
  <c r="L391" i="8"/>
  <c r="L390" i="8"/>
  <c r="L389" i="8"/>
  <c r="L388" i="8"/>
  <c r="L387" i="8"/>
  <c r="L386" i="8"/>
  <c r="L385" i="8"/>
  <c r="L384" i="8"/>
  <c r="L383" i="8"/>
  <c r="L382" i="8"/>
  <c r="L381" i="8"/>
  <c r="L380" i="8"/>
  <c r="L379" i="8"/>
  <c r="L378" i="8"/>
  <c r="L377" i="8"/>
  <c r="L376" i="8"/>
  <c r="L375" i="8"/>
  <c r="L374" i="8"/>
  <c r="L373" i="8"/>
  <c r="L372" i="8"/>
  <c r="L371" i="8"/>
  <c r="L370" i="8"/>
  <c r="L369" i="8"/>
  <c r="L368" i="8"/>
  <c r="L367" i="8"/>
  <c r="L366" i="8"/>
  <c r="L365" i="8"/>
  <c r="L364" i="8"/>
  <c r="L363" i="8"/>
  <c r="L362" i="8"/>
  <c r="L361" i="8"/>
  <c r="L360" i="8"/>
  <c r="L359" i="8"/>
  <c r="L358" i="8"/>
  <c r="L357" i="8"/>
  <c r="L356" i="8"/>
  <c r="L355" i="8"/>
  <c r="L354" i="8"/>
  <c r="L353" i="8"/>
  <c r="L352" i="8"/>
  <c r="L351" i="8"/>
  <c r="L350" i="8"/>
  <c r="L349" i="8"/>
  <c r="L348" i="8"/>
  <c r="L347" i="8"/>
  <c r="L346" i="8"/>
  <c r="L345" i="8"/>
  <c r="L344" i="8"/>
  <c r="L343" i="8"/>
  <c r="L342" i="8"/>
  <c r="L341" i="8"/>
  <c r="L340" i="8"/>
  <c r="L339" i="8"/>
  <c r="L338" i="8"/>
  <c r="L337" i="8"/>
  <c r="L336" i="8"/>
  <c r="L335" i="8"/>
  <c r="L334" i="8"/>
  <c r="L333" i="8"/>
  <c r="L332" i="8"/>
  <c r="L331" i="8"/>
  <c r="L330" i="8"/>
  <c r="L329" i="8"/>
  <c r="L328" i="8"/>
  <c r="L327" i="8"/>
  <c r="L326" i="8"/>
  <c r="L325" i="8"/>
  <c r="L324" i="8"/>
  <c r="L323" i="8"/>
  <c r="L322" i="8"/>
  <c r="L321" i="8"/>
  <c r="L320" i="8"/>
  <c r="L319" i="8"/>
  <c r="L318" i="8"/>
  <c r="L317" i="8"/>
  <c r="L316" i="8"/>
  <c r="L315" i="8"/>
  <c r="L314" i="8"/>
  <c r="L313" i="8"/>
  <c r="L312" i="8"/>
  <c r="L311" i="8"/>
  <c r="L310" i="8"/>
  <c r="L309" i="8"/>
  <c r="L308" i="8"/>
  <c r="L307" i="8"/>
  <c r="L306" i="8"/>
  <c r="L305" i="8"/>
  <c r="L304" i="8"/>
  <c r="L303" i="8"/>
  <c r="L302" i="8"/>
  <c r="L301" i="8"/>
  <c r="L300" i="8"/>
  <c r="L299" i="8"/>
  <c r="L298" i="8"/>
  <c r="L297" i="8"/>
  <c r="L296" i="8"/>
  <c r="L295" i="8"/>
  <c r="L294" i="8"/>
  <c r="L293" i="8"/>
  <c r="L292" i="8"/>
  <c r="L291" i="8"/>
  <c r="L290" i="8"/>
  <c r="L289" i="8"/>
  <c r="L288" i="8"/>
  <c r="L287" i="8"/>
  <c r="L286" i="8"/>
  <c r="L285" i="8"/>
  <c r="L284" i="8"/>
  <c r="L283" i="8"/>
  <c r="L282" i="8"/>
  <c r="L281" i="8"/>
  <c r="L280" i="8"/>
  <c r="L279" i="8"/>
  <c r="L278" i="8"/>
  <c r="L277" i="8"/>
  <c r="L276" i="8"/>
  <c r="L275" i="8"/>
  <c r="L274" i="8"/>
  <c r="L273" i="8"/>
  <c r="L272" i="8"/>
  <c r="L271" i="8"/>
  <c r="L270" i="8"/>
  <c r="L269" i="8"/>
  <c r="L268" i="8"/>
  <c r="L267" i="8"/>
  <c r="L266" i="8"/>
  <c r="L265" i="8"/>
  <c r="L264" i="8"/>
  <c r="L263" i="8"/>
  <c r="L262" i="8"/>
  <c r="L261" i="8"/>
  <c r="L260" i="8"/>
  <c r="L259" i="8"/>
  <c r="L258" i="8"/>
  <c r="L257" i="8"/>
  <c r="L256" i="8"/>
  <c r="L255" i="8"/>
  <c r="L254" i="8"/>
  <c r="L253" i="8"/>
  <c r="L252" i="8"/>
  <c r="L251" i="8"/>
  <c r="L250" i="8"/>
  <c r="L249" i="8"/>
  <c r="L248" i="8"/>
  <c r="L247" i="8"/>
  <c r="L246" i="8"/>
  <c r="L245" i="8"/>
  <c r="L244" i="8"/>
  <c r="L243" i="8"/>
  <c r="L242" i="8"/>
  <c r="L241" i="8"/>
  <c r="L240" i="8"/>
  <c r="L239" i="8"/>
  <c r="L238" i="8"/>
  <c r="L237" i="8"/>
  <c r="L236" i="8"/>
  <c r="L235" i="8"/>
  <c r="L234" i="8"/>
  <c r="L233" i="8"/>
  <c r="L232" i="8"/>
  <c r="L231" i="8"/>
  <c r="L230" i="8"/>
  <c r="L229" i="8"/>
  <c r="L228" i="8"/>
  <c r="L227" i="8"/>
  <c r="L226" i="8"/>
  <c r="L225" i="8"/>
  <c r="L224" i="8"/>
  <c r="L223" i="8"/>
  <c r="L222" i="8"/>
  <c r="L221" i="8"/>
  <c r="L220" i="8"/>
  <c r="L219" i="8"/>
  <c r="L218" i="8"/>
  <c r="L217" i="8"/>
  <c r="L216" i="8"/>
  <c r="L215" i="8"/>
  <c r="L214" i="8"/>
  <c r="L213" i="8"/>
  <c r="L212" i="8"/>
  <c r="L211" i="8"/>
  <c r="L210" i="8"/>
  <c r="L209" i="8"/>
  <c r="L208" i="8"/>
  <c r="L207" i="8"/>
  <c r="L206" i="8"/>
  <c r="L205" i="8"/>
  <c r="L204" i="8"/>
  <c r="L203" i="8"/>
  <c r="L202" i="8"/>
  <c r="L201" i="8"/>
  <c r="L200" i="8"/>
  <c r="L199" i="8"/>
  <c r="L198" i="8"/>
  <c r="L197" i="8"/>
  <c r="L196" i="8"/>
  <c r="L195" i="8"/>
  <c r="L194" i="8"/>
  <c r="L193" i="8"/>
  <c r="L192" i="8"/>
  <c r="L191" i="8"/>
  <c r="L190" i="8"/>
  <c r="L189" i="8"/>
  <c r="L188" i="8"/>
  <c r="L187" i="8"/>
  <c r="L186" i="8"/>
  <c r="L185" i="8"/>
  <c r="L184" i="8"/>
  <c r="L183" i="8"/>
  <c r="L182" i="8"/>
  <c r="L181" i="8"/>
  <c r="L180" i="8"/>
  <c r="L179" i="8"/>
  <c r="L178" i="8"/>
  <c r="L177" i="8"/>
  <c r="L176" i="8"/>
  <c r="L175" i="8"/>
  <c r="L174" i="8"/>
  <c r="L173" i="8"/>
  <c r="L172" i="8"/>
  <c r="L171" i="8"/>
  <c r="L170" i="8"/>
  <c r="L169" i="8"/>
  <c r="L168" i="8"/>
  <c r="L167" i="8"/>
  <c r="L166" i="8"/>
  <c r="L165" i="8"/>
  <c r="L164" i="8"/>
  <c r="L163" i="8"/>
  <c r="L162" i="8"/>
  <c r="L161" i="8"/>
  <c r="L160" i="8"/>
  <c r="L159" i="8"/>
  <c r="L158" i="8"/>
  <c r="L157" i="8"/>
  <c r="L156" i="8"/>
  <c r="L155" i="8"/>
  <c r="L154" i="8"/>
  <c r="L153" i="8"/>
  <c r="L152" i="8"/>
  <c r="L151" i="8"/>
  <c r="L150" i="8"/>
  <c r="L149" i="8"/>
  <c r="L148" i="8"/>
  <c r="L147" i="8"/>
  <c r="L146" i="8"/>
  <c r="L145" i="8"/>
  <c r="L144" i="8"/>
  <c r="L143" i="8"/>
  <c r="L142" i="8"/>
  <c r="L141" i="8"/>
  <c r="L140" i="8"/>
  <c r="L139" i="8"/>
  <c r="L138" i="8"/>
  <c r="L137" i="8"/>
  <c r="L136" i="8"/>
  <c r="L135" i="8"/>
  <c r="L134" i="8"/>
  <c r="L133" i="8"/>
  <c r="L132" i="8"/>
  <c r="L131" i="8"/>
  <c r="L130" i="8"/>
  <c r="L129" i="8"/>
  <c r="L128" i="8"/>
  <c r="L127" i="8"/>
  <c r="L126" i="8"/>
  <c r="L125" i="8"/>
  <c r="L124" i="8"/>
  <c r="L123" i="8"/>
  <c r="L122" i="8"/>
  <c r="L121" i="8"/>
  <c r="L120" i="8"/>
  <c r="L119" i="8"/>
  <c r="L118" i="8"/>
  <c r="L117" i="8"/>
  <c r="L116" i="8"/>
  <c r="L115" i="8"/>
  <c r="L114" i="8"/>
  <c r="L113" i="8"/>
  <c r="L112" i="8"/>
  <c r="L111" i="8"/>
  <c r="L110" i="8"/>
  <c r="L109" i="8"/>
  <c r="L108" i="8"/>
  <c r="L107" i="8"/>
  <c r="L106" i="8"/>
  <c r="L105" i="8"/>
  <c r="L104" i="8"/>
  <c r="M103" i="8"/>
  <c r="D103" i="8"/>
  <c r="A103" i="8"/>
  <c r="L103" i="8" s="1"/>
  <c r="L102" i="8"/>
  <c r="J102" i="8"/>
  <c r="C102" i="8"/>
  <c r="A102" i="8"/>
  <c r="N101" i="8"/>
  <c r="L101" i="8"/>
  <c r="K101" i="8"/>
  <c r="H101" i="8"/>
  <c r="F101" i="8"/>
  <c r="E101" i="8"/>
  <c r="G101" i="8" s="1"/>
  <c r="C101" i="8"/>
  <c r="B101" i="8"/>
  <c r="A101" i="8"/>
  <c r="M101" i="8" s="1"/>
  <c r="M100" i="8"/>
  <c r="D100" i="8"/>
  <c r="A100" i="8"/>
  <c r="L100" i="8" s="1"/>
  <c r="M99" i="8"/>
  <c r="K99" i="8"/>
  <c r="D99" i="8"/>
  <c r="B99" i="8"/>
  <c r="O99" i="8" s="1"/>
  <c r="A99" i="8"/>
  <c r="J99" i="8" s="1"/>
  <c r="N98" i="8"/>
  <c r="M98" i="8"/>
  <c r="K98" i="8"/>
  <c r="H98" i="8"/>
  <c r="E98" i="8"/>
  <c r="D98" i="8"/>
  <c r="B98" i="8"/>
  <c r="O98" i="8" s="1"/>
  <c r="A98" i="8"/>
  <c r="L98" i="8" s="1"/>
  <c r="O97" i="8"/>
  <c r="N97" i="8"/>
  <c r="L97" i="8"/>
  <c r="K97" i="8"/>
  <c r="H97" i="8"/>
  <c r="F97" i="8"/>
  <c r="E97" i="8"/>
  <c r="G97" i="8" s="1"/>
  <c r="C97" i="8"/>
  <c r="B97" i="8"/>
  <c r="A97" i="8"/>
  <c r="M97" i="8" s="1"/>
  <c r="M96" i="8"/>
  <c r="J96" i="8"/>
  <c r="D96" i="8"/>
  <c r="A96" i="8"/>
  <c r="M95" i="8"/>
  <c r="K95" i="8"/>
  <c r="D95" i="8"/>
  <c r="B95" i="8"/>
  <c r="O95" i="8" s="1"/>
  <c r="A95" i="8"/>
  <c r="J95" i="8" s="1"/>
  <c r="N94" i="8"/>
  <c r="M94" i="8"/>
  <c r="K94" i="8"/>
  <c r="E94" i="8"/>
  <c r="D94" i="8"/>
  <c r="B94" i="8"/>
  <c r="O94" i="8" s="1"/>
  <c r="A94" i="8"/>
  <c r="L94" i="8" s="1"/>
  <c r="O93" i="8"/>
  <c r="N93" i="8"/>
  <c r="L93" i="8"/>
  <c r="K93" i="8"/>
  <c r="H93" i="8"/>
  <c r="F93" i="8"/>
  <c r="E93" i="8"/>
  <c r="G93" i="8" s="1"/>
  <c r="C93" i="8"/>
  <c r="B93" i="8"/>
  <c r="A93" i="8"/>
  <c r="M93" i="8" s="1"/>
  <c r="M92" i="8"/>
  <c r="J92" i="8"/>
  <c r="A92" i="8"/>
  <c r="M91" i="8"/>
  <c r="K91" i="8"/>
  <c r="D91" i="8"/>
  <c r="B91" i="8"/>
  <c r="O91" i="8" s="1"/>
  <c r="A91" i="8"/>
  <c r="J91" i="8" s="1"/>
  <c r="N90" i="8"/>
  <c r="M90" i="8"/>
  <c r="K90" i="8"/>
  <c r="E90" i="8"/>
  <c r="D90" i="8"/>
  <c r="B90" i="8"/>
  <c r="O90" i="8" s="1"/>
  <c r="A90" i="8"/>
  <c r="L90" i="8" s="1"/>
  <c r="O89" i="8"/>
  <c r="N89" i="8"/>
  <c r="L89" i="8"/>
  <c r="K89" i="8"/>
  <c r="H89" i="8"/>
  <c r="F89" i="8"/>
  <c r="E89" i="8"/>
  <c r="G89" i="8" s="1"/>
  <c r="C89" i="8"/>
  <c r="B89" i="8"/>
  <c r="A89" i="8"/>
  <c r="M89" i="8" s="1"/>
  <c r="M88" i="8"/>
  <c r="J88" i="8"/>
  <c r="D88" i="8"/>
  <c r="A88" i="8"/>
  <c r="M87" i="8"/>
  <c r="K87" i="8"/>
  <c r="D87" i="8"/>
  <c r="B87" i="8"/>
  <c r="O87" i="8" s="1"/>
  <c r="A87" i="8"/>
  <c r="J87" i="8" s="1"/>
  <c r="N86" i="8"/>
  <c r="M86" i="8"/>
  <c r="K86" i="8"/>
  <c r="E86" i="8"/>
  <c r="D86" i="8"/>
  <c r="B86" i="8"/>
  <c r="O86" i="8" s="1"/>
  <c r="A86" i="8"/>
  <c r="L86" i="8" s="1"/>
  <c r="O85" i="8"/>
  <c r="N85" i="8"/>
  <c r="L85" i="8"/>
  <c r="K85" i="8"/>
  <c r="H85" i="8"/>
  <c r="F85" i="8"/>
  <c r="E85" i="8"/>
  <c r="G85" i="8" s="1"/>
  <c r="C85" i="8"/>
  <c r="B85" i="8"/>
  <c r="A85" i="8"/>
  <c r="M85" i="8" s="1"/>
  <c r="D84" i="8"/>
  <c r="A84" i="8"/>
  <c r="M83" i="8"/>
  <c r="K83" i="8"/>
  <c r="D83" i="8"/>
  <c r="B83" i="8"/>
  <c r="O83" i="8" s="1"/>
  <c r="A83" i="8"/>
  <c r="J83" i="8" s="1"/>
  <c r="N82" i="8"/>
  <c r="M82" i="8"/>
  <c r="K82" i="8"/>
  <c r="H82" i="8"/>
  <c r="E82" i="8"/>
  <c r="D82" i="8"/>
  <c r="B82" i="8"/>
  <c r="O82" i="8" s="1"/>
  <c r="A82" i="8"/>
  <c r="L82" i="8" s="1"/>
  <c r="O81" i="8"/>
  <c r="N81" i="8"/>
  <c r="L81" i="8"/>
  <c r="K81" i="8"/>
  <c r="H81" i="8"/>
  <c r="F81" i="8"/>
  <c r="E81" i="8"/>
  <c r="G81" i="8" s="1"/>
  <c r="C81" i="8"/>
  <c r="B81" i="8"/>
  <c r="A81" i="8"/>
  <c r="M81" i="8" s="1"/>
  <c r="D80" i="8"/>
  <c r="A80" i="8"/>
  <c r="M79" i="8"/>
  <c r="K79" i="8"/>
  <c r="D79" i="8"/>
  <c r="B79" i="8"/>
  <c r="O79" i="8" s="1"/>
  <c r="A79" i="8"/>
  <c r="J79" i="8" s="1"/>
  <c r="N78" i="8"/>
  <c r="M78" i="8"/>
  <c r="K78" i="8"/>
  <c r="E78" i="8"/>
  <c r="D78" i="8"/>
  <c r="B78" i="8"/>
  <c r="O78" i="8" s="1"/>
  <c r="A78" i="8"/>
  <c r="L78" i="8" s="1"/>
  <c r="O77" i="8"/>
  <c r="N77" i="8"/>
  <c r="L77" i="8"/>
  <c r="K77" i="8"/>
  <c r="H77" i="8"/>
  <c r="F77" i="8"/>
  <c r="E77" i="8"/>
  <c r="G77" i="8" s="1"/>
  <c r="C77" i="8"/>
  <c r="B77" i="8"/>
  <c r="A77" i="8"/>
  <c r="M77" i="8" s="1"/>
  <c r="M76" i="8"/>
  <c r="J76" i="8"/>
  <c r="A76" i="8"/>
  <c r="M75" i="8"/>
  <c r="K75" i="8"/>
  <c r="D75" i="8"/>
  <c r="B75" i="8"/>
  <c r="O75" i="8" s="1"/>
  <c r="A75" i="8"/>
  <c r="J75" i="8" s="1"/>
  <c r="A74" i="8"/>
  <c r="H73" i="8"/>
  <c r="F73" i="8"/>
  <c r="E73" i="8"/>
  <c r="G73" i="8" s="1"/>
  <c r="C73" i="8"/>
  <c r="B73" i="8"/>
  <c r="A73" i="8"/>
  <c r="A72" i="8"/>
  <c r="B71" i="8"/>
  <c r="A71" i="8"/>
  <c r="H70" i="8"/>
  <c r="E70" i="8"/>
  <c r="B70" i="8"/>
  <c r="A70" i="8"/>
  <c r="H69" i="8"/>
  <c r="F69" i="8"/>
  <c r="E69" i="8"/>
  <c r="G69" i="8" s="1"/>
  <c r="C69" i="8"/>
  <c r="B69" i="8"/>
  <c r="A69" i="8"/>
  <c r="A68" i="8"/>
  <c r="B67" i="8"/>
  <c r="A67" i="8"/>
  <c r="E66" i="8"/>
  <c r="B66" i="8"/>
  <c r="A66" i="8"/>
  <c r="H65" i="8"/>
  <c r="F65" i="8"/>
  <c r="E65" i="8"/>
  <c r="G65" i="8" s="1"/>
  <c r="C65" i="8"/>
  <c r="B65" i="8"/>
  <c r="K65" i="8" s="1"/>
  <c r="A65" i="8"/>
  <c r="A64" i="8"/>
  <c r="B63" i="8"/>
  <c r="A63" i="8"/>
  <c r="E62" i="8"/>
  <c r="B62" i="8"/>
  <c r="A62" i="8"/>
  <c r="E61" i="8"/>
  <c r="C61" i="8"/>
  <c r="B61" i="8"/>
  <c r="K61" i="8" s="1"/>
  <c r="A61" i="8"/>
  <c r="C60" i="8"/>
  <c r="A60" i="8"/>
  <c r="A59" i="8"/>
  <c r="E58" i="8"/>
  <c r="F58" i="8" s="1"/>
  <c r="B58" i="8"/>
  <c r="A58" i="8"/>
  <c r="E57" i="8"/>
  <c r="G57" i="8" s="1"/>
  <c r="C57" i="8"/>
  <c r="B57" i="8"/>
  <c r="A57" i="8"/>
  <c r="D56" i="8"/>
  <c r="A56" i="8"/>
  <c r="B55" i="8"/>
  <c r="A55" i="8"/>
  <c r="E54" i="8"/>
  <c r="F54" i="8" s="1"/>
  <c r="B54" i="8"/>
  <c r="A54" i="8"/>
  <c r="E53" i="8"/>
  <c r="G53" i="8" s="1"/>
  <c r="C53" i="8"/>
  <c r="B53" i="8"/>
  <c r="K53" i="8" s="1"/>
  <c r="A53" i="8"/>
  <c r="C52" i="8"/>
  <c r="A52" i="8"/>
  <c r="A51" i="8"/>
  <c r="E50" i="8"/>
  <c r="F50" i="8" s="1"/>
  <c r="B50" i="8"/>
  <c r="A50" i="8"/>
  <c r="E49" i="8"/>
  <c r="G49" i="8" s="1"/>
  <c r="C49" i="8"/>
  <c r="B49" i="8"/>
  <c r="K49" i="8" s="1"/>
  <c r="A49" i="8"/>
  <c r="A48" i="8"/>
  <c r="A47" i="8"/>
  <c r="H46" i="8"/>
  <c r="G46" i="8"/>
  <c r="E46" i="8"/>
  <c r="F46" i="8" s="1"/>
  <c r="B46" i="8"/>
  <c r="A46" i="8"/>
  <c r="H45" i="8"/>
  <c r="F45" i="8"/>
  <c r="E45" i="8"/>
  <c r="G45" i="8" s="1"/>
  <c r="C45" i="8"/>
  <c r="B45" i="8"/>
  <c r="K45" i="8" s="1"/>
  <c r="A45" i="8"/>
  <c r="A44" i="8"/>
  <c r="A43" i="8"/>
  <c r="H42" i="8"/>
  <c r="G42" i="8"/>
  <c r="E42" i="8"/>
  <c r="F42" i="8" s="1"/>
  <c r="B42" i="8"/>
  <c r="A42" i="8"/>
  <c r="H41" i="8"/>
  <c r="F41" i="8"/>
  <c r="E41" i="8"/>
  <c r="G41" i="8" s="1"/>
  <c r="C41" i="8"/>
  <c r="B41" i="8"/>
  <c r="K41" i="8" s="1"/>
  <c r="A41" i="8"/>
  <c r="A40" i="8"/>
  <c r="A39" i="8"/>
  <c r="G38" i="8"/>
  <c r="E38" i="8"/>
  <c r="F38" i="8" s="1"/>
  <c r="B38" i="8"/>
  <c r="A38" i="8"/>
  <c r="H37" i="8"/>
  <c r="F37" i="8"/>
  <c r="E37" i="8"/>
  <c r="C37" i="8"/>
  <c r="B37" i="8"/>
  <c r="A37" i="8"/>
  <c r="A36" i="8"/>
  <c r="D35" i="8"/>
  <c r="B35" i="8"/>
  <c r="A35" i="8"/>
  <c r="E34" i="8"/>
  <c r="B34" i="8"/>
  <c r="A34" i="8"/>
  <c r="E33" i="8"/>
  <c r="C33" i="8"/>
  <c r="B33" i="8"/>
  <c r="A33" i="8"/>
  <c r="C32" i="8"/>
  <c r="A32" i="8"/>
  <c r="B31" i="8"/>
  <c r="A31" i="8"/>
  <c r="E30" i="8"/>
  <c r="B30" i="8"/>
  <c r="A30" i="8"/>
  <c r="E29" i="8"/>
  <c r="C29" i="8"/>
  <c r="B29" i="8"/>
  <c r="A29" i="8"/>
  <c r="C28" i="8"/>
  <c r="A28" i="8"/>
  <c r="B27" i="8"/>
  <c r="A27" i="8"/>
  <c r="E26" i="8"/>
  <c r="F26" i="8" s="1"/>
  <c r="B26" i="8"/>
  <c r="A26" i="8"/>
  <c r="E25" i="8"/>
  <c r="G25" i="8" s="1"/>
  <c r="C25" i="8"/>
  <c r="B25" i="8"/>
  <c r="A25" i="8"/>
  <c r="A24" i="8"/>
  <c r="A23" i="8"/>
  <c r="E22" i="8"/>
  <c r="F22" i="8" s="1"/>
  <c r="B22" i="8"/>
  <c r="A22" i="8"/>
  <c r="E21" i="8"/>
  <c r="G21" i="8" s="1"/>
  <c r="C21" i="8"/>
  <c r="B21" i="8"/>
  <c r="K21" i="8" s="1"/>
  <c r="A21" i="8"/>
  <c r="A20" i="8"/>
  <c r="A19" i="8"/>
  <c r="E18" i="8"/>
  <c r="F18" i="8" s="1"/>
  <c r="B18" i="8"/>
  <c r="A18" i="8"/>
  <c r="E17" i="8"/>
  <c r="G17" i="8" s="1"/>
  <c r="C17" i="8"/>
  <c r="B17" i="8"/>
  <c r="A17" i="8"/>
  <c r="D16" i="8"/>
  <c r="A16" i="8"/>
  <c r="B15" i="8"/>
  <c r="A15" i="8"/>
  <c r="H14" i="8"/>
  <c r="G14" i="8"/>
  <c r="E14" i="8"/>
  <c r="F14" i="8" s="1"/>
  <c r="B14" i="8"/>
  <c r="A14" i="8"/>
  <c r="H13" i="8"/>
  <c r="F13" i="8"/>
  <c r="E13" i="8"/>
  <c r="G13" i="8" s="1"/>
  <c r="C13" i="8"/>
  <c r="B13" i="8"/>
  <c r="K13" i="8" s="1"/>
  <c r="A13" i="8"/>
  <c r="A12" i="8"/>
  <c r="A11" i="8"/>
  <c r="G10" i="8"/>
  <c r="E10" i="8"/>
  <c r="F10" i="8" s="1"/>
  <c r="B10" i="8"/>
  <c r="A10" i="8"/>
  <c r="E9" i="8"/>
  <c r="C9" i="8"/>
  <c r="K9" i="8" s="1"/>
  <c r="B9" i="8"/>
  <c r="A9" i="8"/>
  <c r="A8" i="8"/>
  <c r="A7" i="8"/>
  <c r="H6" i="8"/>
  <c r="G6" i="8"/>
  <c r="E6" i="8"/>
  <c r="F6" i="8" s="1"/>
  <c r="B6" i="8"/>
  <c r="A6" i="8"/>
  <c r="E5" i="8"/>
  <c r="C5" i="8"/>
  <c r="B5" i="8"/>
  <c r="K5" i="8" s="1"/>
  <c r="A5" i="8"/>
  <c r="A4" i="8"/>
  <c r="L500" i="7"/>
  <c r="L499" i="7"/>
  <c r="L498" i="7"/>
  <c r="L497" i="7"/>
  <c r="L496" i="7"/>
  <c r="L495" i="7"/>
  <c r="L494" i="7"/>
  <c r="L493" i="7"/>
  <c r="L492" i="7"/>
  <c r="L491" i="7"/>
  <c r="L490" i="7"/>
  <c r="L489" i="7"/>
  <c r="L488" i="7"/>
  <c r="L487" i="7"/>
  <c r="L486" i="7"/>
  <c r="L485" i="7"/>
  <c r="L484" i="7"/>
  <c r="L483" i="7"/>
  <c r="L482" i="7"/>
  <c r="L481" i="7"/>
  <c r="L480" i="7"/>
  <c r="L479" i="7"/>
  <c r="L478" i="7"/>
  <c r="L477" i="7"/>
  <c r="L476" i="7"/>
  <c r="L475" i="7"/>
  <c r="L474" i="7"/>
  <c r="L473" i="7"/>
  <c r="L472" i="7"/>
  <c r="L471" i="7"/>
  <c r="L470" i="7"/>
  <c r="L469" i="7"/>
  <c r="L468" i="7"/>
  <c r="L467" i="7"/>
  <c r="L466" i="7"/>
  <c r="L465" i="7"/>
  <c r="L464" i="7"/>
  <c r="L463" i="7"/>
  <c r="L462" i="7"/>
  <c r="L461" i="7"/>
  <c r="L460" i="7"/>
  <c r="L459" i="7"/>
  <c r="L458" i="7"/>
  <c r="L457" i="7"/>
  <c r="L456" i="7"/>
  <c r="L455" i="7"/>
  <c r="L454" i="7"/>
  <c r="L453" i="7"/>
  <c r="L452" i="7"/>
  <c r="L451" i="7"/>
  <c r="L450" i="7"/>
  <c r="L449" i="7"/>
  <c r="L448" i="7"/>
  <c r="L447" i="7"/>
  <c r="L446" i="7"/>
  <c r="L445" i="7"/>
  <c r="L444" i="7"/>
  <c r="L443" i="7"/>
  <c r="L442" i="7"/>
  <c r="L441" i="7"/>
  <c r="L440" i="7"/>
  <c r="L439" i="7"/>
  <c r="L438" i="7"/>
  <c r="L437" i="7"/>
  <c r="L436" i="7"/>
  <c r="L435" i="7"/>
  <c r="L434" i="7"/>
  <c r="L433" i="7"/>
  <c r="L432" i="7"/>
  <c r="L431" i="7"/>
  <c r="L430" i="7"/>
  <c r="L429" i="7"/>
  <c r="L428" i="7"/>
  <c r="L427" i="7"/>
  <c r="L426" i="7"/>
  <c r="L425" i="7"/>
  <c r="L424" i="7"/>
  <c r="L423" i="7"/>
  <c r="L422" i="7"/>
  <c r="L421" i="7"/>
  <c r="L420" i="7"/>
  <c r="L419" i="7"/>
  <c r="L418" i="7"/>
  <c r="L417" i="7"/>
  <c r="L416" i="7"/>
  <c r="L415" i="7"/>
  <c r="L414" i="7"/>
  <c r="L413" i="7"/>
  <c r="L412" i="7"/>
  <c r="L411" i="7"/>
  <c r="L410" i="7"/>
  <c r="L409" i="7"/>
  <c r="L408" i="7"/>
  <c r="L407" i="7"/>
  <c r="L406" i="7"/>
  <c r="L405" i="7"/>
  <c r="L404" i="7"/>
  <c r="L403" i="7"/>
  <c r="L402" i="7"/>
  <c r="L401" i="7"/>
  <c r="L400" i="7"/>
  <c r="L399" i="7"/>
  <c r="L398" i="7"/>
  <c r="L397" i="7"/>
  <c r="L396" i="7"/>
  <c r="L395" i="7"/>
  <c r="L394" i="7"/>
  <c r="L393" i="7"/>
  <c r="L392" i="7"/>
  <c r="L391" i="7"/>
  <c r="L390" i="7"/>
  <c r="L389" i="7"/>
  <c r="L388" i="7"/>
  <c r="L387" i="7"/>
  <c r="L386" i="7"/>
  <c r="L385" i="7"/>
  <c r="L384" i="7"/>
  <c r="L383" i="7"/>
  <c r="L382" i="7"/>
  <c r="L381" i="7"/>
  <c r="L380" i="7"/>
  <c r="L379" i="7"/>
  <c r="L378" i="7"/>
  <c r="L377" i="7"/>
  <c r="L376" i="7"/>
  <c r="L375" i="7"/>
  <c r="L374" i="7"/>
  <c r="L373" i="7"/>
  <c r="L372" i="7"/>
  <c r="L371" i="7"/>
  <c r="L370" i="7"/>
  <c r="L369" i="7"/>
  <c r="L368" i="7"/>
  <c r="L367" i="7"/>
  <c r="L366" i="7"/>
  <c r="L365" i="7"/>
  <c r="L364" i="7"/>
  <c r="L363" i="7"/>
  <c r="L362" i="7"/>
  <c r="L361" i="7"/>
  <c r="L360" i="7"/>
  <c r="L359" i="7"/>
  <c r="L358" i="7"/>
  <c r="L357" i="7"/>
  <c r="L356" i="7"/>
  <c r="L355" i="7"/>
  <c r="L354" i="7"/>
  <c r="L353" i="7"/>
  <c r="L352" i="7"/>
  <c r="L351" i="7"/>
  <c r="L350" i="7"/>
  <c r="L349" i="7"/>
  <c r="L348" i="7"/>
  <c r="L347" i="7"/>
  <c r="L346" i="7"/>
  <c r="L345" i="7"/>
  <c r="L344" i="7"/>
  <c r="L343" i="7"/>
  <c r="L342" i="7"/>
  <c r="L341" i="7"/>
  <c r="L340" i="7"/>
  <c r="L339" i="7"/>
  <c r="L338" i="7"/>
  <c r="L337" i="7"/>
  <c r="L336" i="7"/>
  <c r="L335" i="7"/>
  <c r="L334" i="7"/>
  <c r="L333" i="7"/>
  <c r="L332" i="7"/>
  <c r="L331" i="7"/>
  <c r="L330" i="7"/>
  <c r="L329" i="7"/>
  <c r="L328" i="7"/>
  <c r="L327" i="7"/>
  <c r="L326" i="7"/>
  <c r="L325" i="7"/>
  <c r="L324" i="7"/>
  <c r="L323" i="7"/>
  <c r="L322" i="7"/>
  <c r="L321" i="7"/>
  <c r="L320" i="7"/>
  <c r="L319" i="7"/>
  <c r="L318" i="7"/>
  <c r="L317" i="7"/>
  <c r="L316" i="7"/>
  <c r="L315" i="7"/>
  <c r="L314" i="7"/>
  <c r="L313" i="7"/>
  <c r="L312" i="7"/>
  <c r="L311" i="7"/>
  <c r="L310" i="7"/>
  <c r="L309" i="7"/>
  <c r="L308" i="7"/>
  <c r="L307" i="7"/>
  <c r="L306" i="7"/>
  <c r="L305" i="7"/>
  <c r="L304" i="7"/>
  <c r="L303" i="7"/>
  <c r="L302" i="7"/>
  <c r="L301" i="7"/>
  <c r="L300" i="7"/>
  <c r="L299" i="7"/>
  <c r="L298" i="7"/>
  <c r="L297" i="7"/>
  <c r="L296" i="7"/>
  <c r="L295" i="7"/>
  <c r="L294" i="7"/>
  <c r="L293" i="7"/>
  <c r="L292" i="7"/>
  <c r="L291" i="7"/>
  <c r="L290" i="7"/>
  <c r="L289" i="7"/>
  <c r="L288" i="7"/>
  <c r="L287" i="7"/>
  <c r="L286" i="7"/>
  <c r="L285" i="7"/>
  <c r="L284" i="7"/>
  <c r="L283" i="7"/>
  <c r="L282" i="7"/>
  <c r="L281" i="7"/>
  <c r="L280" i="7"/>
  <c r="L279" i="7"/>
  <c r="L278" i="7"/>
  <c r="L277" i="7"/>
  <c r="L276" i="7"/>
  <c r="L275" i="7"/>
  <c r="L274" i="7"/>
  <c r="L273" i="7"/>
  <c r="L272" i="7"/>
  <c r="L271" i="7"/>
  <c r="L270" i="7"/>
  <c r="L269" i="7"/>
  <c r="L268" i="7"/>
  <c r="L267" i="7"/>
  <c r="L266" i="7"/>
  <c r="L265" i="7"/>
  <c r="L264" i="7"/>
  <c r="L263" i="7"/>
  <c r="L262" i="7"/>
  <c r="L261" i="7"/>
  <c r="L260" i="7"/>
  <c r="L259" i="7"/>
  <c r="L258" i="7"/>
  <c r="L257" i="7"/>
  <c r="L256" i="7"/>
  <c r="L255" i="7"/>
  <c r="L254" i="7"/>
  <c r="L253" i="7"/>
  <c r="L252" i="7"/>
  <c r="L251" i="7"/>
  <c r="L250" i="7"/>
  <c r="L249" i="7"/>
  <c r="L248" i="7"/>
  <c r="L247" i="7"/>
  <c r="L246" i="7"/>
  <c r="L245" i="7"/>
  <c r="L244" i="7"/>
  <c r="L243" i="7"/>
  <c r="L242" i="7"/>
  <c r="L241" i="7"/>
  <c r="L240" i="7"/>
  <c r="L239" i="7"/>
  <c r="L238" i="7"/>
  <c r="L237" i="7"/>
  <c r="L236" i="7"/>
  <c r="L235" i="7"/>
  <c r="L234" i="7"/>
  <c r="L233" i="7"/>
  <c r="L232" i="7"/>
  <c r="L231" i="7"/>
  <c r="L230" i="7"/>
  <c r="L229" i="7"/>
  <c r="L228" i="7"/>
  <c r="L227" i="7"/>
  <c r="L226" i="7"/>
  <c r="L225" i="7"/>
  <c r="L224" i="7"/>
  <c r="L223" i="7"/>
  <c r="L222" i="7"/>
  <c r="L221" i="7"/>
  <c r="L220" i="7"/>
  <c r="L219" i="7"/>
  <c r="L218" i="7"/>
  <c r="L217" i="7"/>
  <c r="L216" i="7"/>
  <c r="L215" i="7"/>
  <c r="L214" i="7"/>
  <c r="L213" i="7"/>
  <c r="L212" i="7"/>
  <c r="L211" i="7"/>
  <c r="L210" i="7"/>
  <c r="L209" i="7"/>
  <c r="L208" i="7"/>
  <c r="L207" i="7"/>
  <c r="L206" i="7"/>
  <c r="L205" i="7"/>
  <c r="L204" i="7"/>
  <c r="L203" i="7"/>
  <c r="L202" i="7"/>
  <c r="L201" i="7"/>
  <c r="L200" i="7"/>
  <c r="L199" i="7"/>
  <c r="L198" i="7"/>
  <c r="L197" i="7"/>
  <c r="L196" i="7"/>
  <c r="L195" i="7"/>
  <c r="L194" i="7"/>
  <c r="L193" i="7"/>
  <c r="L192" i="7"/>
  <c r="L191" i="7"/>
  <c r="L190" i="7"/>
  <c r="L189" i="7"/>
  <c r="L188" i="7"/>
  <c r="L187" i="7"/>
  <c r="L186" i="7"/>
  <c r="L185" i="7"/>
  <c r="L184" i="7"/>
  <c r="L183" i="7"/>
  <c r="L182" i="7"/>
  <c r="L181" i="7"/>
  <c r="L180" i="7"/>
  <c r="L179" i="7"/>
  <c r="L178" i="7"/>
  <c r="L177" i="7"/>
  <c r="L176" i="7"/>
  <c r="L175" i="7"/>
  <c r="L174" i="7"/>
  <c r="L173" i="7"/>
  <c r="L172" i="7"/>
  <c r="L171" i="7"/>
  <c r="L170" i="7"/>
  <c r="L169" i="7"/>
  <c r="L168" i="7"/>
  <c r="L167" i="7"/>
  <c r="L166" i="7"/>
  <c r="L165" i="7"/>
  <c r="L164" i="7"/>
  <c r="L163" i="7"/>
  <c r="L162" i="7"/>
  <c r="L161" i="7"/>
  <c r="L160" i="7"/>
  <c r="L159" i="7"/>
  <c r="L158" i="7"/>
  <c r="L157" i="7"/>
  <c r="L156" i="7"/>
  <c r="L155" i="7"/>
  <c r="L154" i="7"/>
  <c r="L153" i="7"/>
  <c r="L152" i="7"/>
  <c r="L151" i="7"/>
  <c r="L150" i="7"/>
  <c r="L149" i="7"/>
  <c r="L148" i="7"/>
  <c r="L147" i="7"/>
  <c r="L146" i="7"/>
  <c r="L145" i="7"/>
  <c r="L144" i="7"/>
  <c r="L143" i="7"/>
  <c r="L142" i="7"/>
  <c r="L141" i="7"/>
  <c r="L140" i="7"/>
  <c r="L139" i="7"/>
  <c r="L138" i="7"/>
  <c r="L137" i="7"/>
  <c r="L136" i="7"/>
  <c r="L135" i="7"/>
  <c r="L134" i="7"/>
  <c r="L133" i="7"/>
  <c r="L132" i="7"/>
  <c r="L131" i="7"/>
  <c r="L130" i="7"/>
  <c r="L129" i="7"/>
  <c r="L128" i="7"/>
  <c r="L127" i="7"/>
  <c r="L126" i="7"/>
  <c r="L125" i="7"/>
  <c r="L124" i="7"/>
  <c r="L123" i="7"/>
  <c r="L122" i="7"/>
  <c r="L121" i="7"/>
  <c r="L120" i="7"/>
  <c r="L119" i="7"/>
  <c r="L118" i="7"/>
  <c r="L117" i="7"/>
  <c r="L116" i="7"/>
  <c r="L115" i="7"/>
  <c r="L114" i="7"/>
  <c r="L113" i="7"/>
  <c r="L112" i="7"/>
  <c r="L111" i="7"/>
  <c r="L110" i="7"/>
  <c r="L109" i="7"/>
  <c r="L108" i="7"/>
  <c r="L107" i="7"/>
  <c r="L106" i="7"/>
  <c r="L105" i="7"/>
  <c r="L104" i="7"/>
  <c r="N103" i="7"/>
  <c r="L103" i="7"/>
  <c r="K103" i="7"/>
  <c r="E103" i="7"/>
  <c r="C103" i="7"/>
  <c r="B103" i="7"/>
  <c r="A103" i="7"/>
  <c r="M103" i="7" s="1"/>
  <c r="N102" i="7"/>
  <c r="M102" i="7"/>
  <c r="L102" i="7"/>
  <c r="K102" i="7"/>
  <c r="H102" i="7"/>
  <c r="E102" i="7"/>
  <c r="F102" i="7" s="1"/>
  <c r="D102" i="7"/>
  <c r="C102" i="7"/>
  <c r="B102" i="7"/>
  <c r="A102" i="7"/>
  <c r="J102" i="7" s="1"/>
  <c r="N101" i="7"/>
  <c r="M101" i="7"/>
  <c r="K101" i="7"/>
  <c r="G101" i="7"/>
  <c r="E101" i="7"/>
  <c r="F101" i="7" s="1"/>
  <c r="D101" i="7"/>
  <c r="B101" i="7"/>
  <c r="A101" i="7"/>
  <c r="L101" i="7" s="1"/>
  <c r="N100" i="7"/>
  <c r="L100" i="7"/>
  <c r="K100" i="7"/>
  <c r="H100" i="7"/>
  <c r="F100" i="7"/>
  <c r="E100" i="7"/>
  <c r="G100" i="7" s="1"/>
  <c r="C100" i="7"/>
  <c r="B100" i="7"/>
  <c r="O100" i="7" s="1"/>
  <c r="A100" i="7"/>
  <c r="M100" i="7" s="1"/>
  <c r="M99" i="7"/>
  <c r="C99" i="7"/>
  <c r="A99" i="7"/>
  <c r="A98" i="7"/>
  <c r="N97" i="7"/>
  <c r="M97" i="7"/>
  <c r="K97" i="7"/>
  <c r="G97" i="7"/>
  <c r="E97" i="7"/>
  <c r="D97" i="7"/>
  <c r="B97" i="7"/>
  <c r="O97" i="7" s="1"/>
  <c r="A97" i="7"/>
  <c r="L97" i="7" s="1"/>
  <c r="N96" i="7"/>
  <c r="L96" i="7"/>
  <c r="K96" i="7"/>
  <c r="H96" i="7"/>
  <c r="F96" i="7"/>
  <c r="E96" i="7"/>
  <c r="G96" i="7" s="1"/>
  <c r="C96" i="7"/>
  <c r="B96" i="7"/>
  <c r="O96" i="7" s="1"/>
  <c r="A96" i="7"/>
  <c r="M96" i="7" s="1"/>
  <c r="M95" i="7"/>
  <c r="L95" i="7"/>
  <c r="J95" i="7"/>
  <c r="D95" i="7"/>
  <c r="C95" i="7"/>
  <c r="A95" i="7"/>
  <c r="M94" i="7"/>
  <c r="A94" i="7"/>
  <c r="N93" i="7"/>
  <c r="M93" i="7"/>
  <c r="K93" i="7"/>
  <c r="H93" i="7"/>
  <c r="G93" i="7"/>
  <c r="E93" i="7"/>
  <c r="F93" i="7" s="1"/>
  <c r="D93" i="7"/>
  <c r="B93" i="7"/>
  <c r="O93" i="7" s="1"/>
  <c r="A93" i="7"/>
  <c r="L93" i="7" s="1"/>
  <c r="N92" i="7"/>
  <c r="L92" i="7"/>
  <c r="K92" i="7"/>
  <c r="E92" i="7"/>
  <c r="C92" i="7"/>
  <c r="B92" i="7"/>
  <c r="O92" i="7" s="1"/>
  <c r="A92" i="7"/>
  <c r="M92" i="7" s="1"/>
  <c r="M91" i="7"/>
  <c r="C91" i="7"/>
  <c r="A91" i="7"/>
  <c r="A90" i="7"/>
  <c r="N89" i="7"/>
  <c r="M89" i="7"/>
  <c r="K89" i="7"/>
  <c r="H89" i="7"/>
  <c r="G89" i="7"/>
  <c r="E89" i="7"/>
  <c r="F89" i="7" s="1"/>
  <c r="D89" i="7"/>
  <c r="B89" i="7"/>
  <c r="O89" i="7" s="1"/>
  <c r="A89" i="7"/>
  <c r="L89" i="7" s="1"/>
  <c r="N88" i="7"/>
  <c r="L88" i="7"/>
  <c r="K88" i="7"/>
  <c r="H88" i="7"/>
  <c r="F88" i="7"/>
  <c r="E88" i="7"/>
  <c r="G88" i="7" s="1"/>
  <c r="C88" i="7"/>
  <c r="B88" i="7"/>
  <c r="O88" i="7" s="1"/>
  <c r="A88" i="7"/>
  <c r="M88" i="7" s="1"/>
  <c r="A87" i="7"/>
  <c r="K86" i="7"/>
  <c r="A86" i="7"/>
  <c r="N85" i="7"/>
  <c r="M85" i="7"/>
  <c r="K85" i="7"/>
  <c r="E85" i="7"/>
  <c r="D85" i="7"/>
  <c r="B85" i="7"/>
  <c r="O85" i="7" s="1"/>
  <c r="A85" i="7"/>
  <c r="L85" i="7" s="1"/>
  <c r="N84" i="7"/>
  <c r="L84" i="7"/>
  <c r="K84" i="7"/>
  <c r="H84" i="7"/>
  <c r="F84" i="7"/>
  <c r="E84" i="7"/>
  <c r="G84" i="7" s="1"/>
  <c r="C84" i="7"/>
  <c r="B84" i="7"/>
  <c r="O84" i="7" s="1"/>
  <c r="A84" i="7"/>
  <c r="M84" i="7" s="1"/>
  <c r="L83" i="7"/>
  <c r="J83" i="7"/>
  <c r="D83" i="7"/>
  <c r="C83" i="7"/>
  <c r="A83" i="7"/>
  <c r="M83" i="7" s="1"/>
  <c r="M82" i="7"/>
  <c r="K82" i="7"/>
  <c r="J82" i="7"/>
  <c r="D82" i="7"/>
  <c r="B82" i="7"/>
  <c r="O82" i="7" s="1"/>
  <c r="A82" i="7"/>
  <c r="N81" i="7"/>
  <c r="M81" i="7"/>
  <c r="K81" i="7"/>
  <c r="H81" i="7"/>
  <c r="G81" i="7"/>
  <c r="E81" i="7"/>
  <c r="F81" i="7" s="1"/>
  <c r="D81" i="7"/>
  <c r="B81" i="7"/>
  <c r="O81" i="7" s="1"/>
  <c r="A81" i="7"/>
  <c r="L81" i="7" s="1"/>
  <c r="N80" i="7"/>
  <c r="L80" i="7"/>
  <c r="K80" i="7"/>
  <c r="H80" i="7"/>
  <c r="F80" i="7"/>
  <c r="E80" i="7"/>
  <c r="G80" i="7" s="1"/>
  <c r="C80" i="7"/>
  <c r="B80" i="7"/>
  <c r="O80" i="7" s="1"/>
  <c r="A80" i="7"/>
  <c r="M80" i="7" s="1"/>
  <c r="M79" i="7"/>
  <c r="L79" i="7"/>
  <c r="D79" i="7"/>
  <c r="C79" i="7"/>
  <c r="A79" i="7"/>
  <c r="A78" i="7"/>
  <c r="N77" i="7"/>
  <c r="J77" i="7"/>
  <c r="H77" i="7"/>
  <c r="G77" i="7"/>
  <c r="E77" i="7"/>
  <c r="F77" i="7" s="1"/>
  <c r="D77" i="7"/>
  <c r="B77" i="7"/>
  <c r="O77" i="7" s="1"/>
  <c r="A77" i="7"/>
  <c r="K77" i="7" s="1"/>
  <c r="N76" i="7"/>
  <c r="L76" i="7"/>
  <c r="K76" i="7"/>
  <c r="H76" i="7"/>
  <c r="G76" i="7"/>
  <c r="F76" i="7"/>
  <c r="E76" i="7"/>
  <c r="C76" i="7"/>
  <c r="B76" i="7"/>
  <c r="O76" i="7" s="1"/>
  <c r="A76" i="7"/>
  <c r="M76" i="7" s="1"/>
  <c r="E75" i="7"/>
  <c r="F75" i="7" s="1"/>
  <c r="A75" i="7"/>
  <c r="D74" i="7"/>
  <c r="C74" i="7"/>
  <c r="A74" i="7"/>
  <c r="B73" i="7"/>
  <c r="A73" i="7"/>
  <c r="E72" i="7"/>
  <c r="C72" i="7"/>
  <c r="B72" i="7"/>
  <c r="K72" i="7" s="1"/>
  <c r="A72" i="7"/>
  <c r="F71" i="7"/>
  <c r="E71" i="7"/>
  <c r="G71" i="7" s="1"/>
  <c r="C71" i="7"/>
  <c r="A71" i="7"/>
  <c r="A70" i="7"/>
  <c r="B69" i="7"/>
  <c r="A69" i="7"/>
  <c r="H68" i="7"/>
  <c r="G68" i="7"/>
  <c r="F68" i="7"/>
  <c r="E68" i="7"/>
  <c r="C68" i="7"/>
  <c r="K68" i="7" s="1"/>
  <c r="B68" i="7"/>
  <c r="A68" i="7"/>
  <c r="A67" i="7"/>
  <c r="D66" i="7"/>
  <c r="A66" i="7"/>
  <c r="E65" i="7"/>
  <c r="B65" i="7"/>
  <c r="A65" i="7"/>
  <c r="K64" i="7"/>
  <c r="H64" i="7"/>
  <c r="G64" i="7"/>
  <c r="F64" i="7"/>
  <c r="E64" i="7"/>
  <c r="C64" i="7"/>
  <c r="B64" i="7"/>
  <c r="A64" i="7"/>
  <c r="A63" i="7"/>
  <c r="A62" i="7"/>
  <c r="B61" i="7"/>
  <c r="A61" i="7"/>
  <c r="F60" i="7"/>
  <c r="E60" i="7"/>
  <c r="H60" i="7" s="1"/>
  <c r="C60" i="7"/>
  <c r="B60" i="7"/>
  <c r="A60" i="7"/>
  <c r="H59" i="7"/>
  <c r="F59" i="7"/>
  <c r="E59" i="7"/>
  <c r="G59" i="7" s="1"/>
  <c r="A59" i="7"/>
  <c r="A58" i="7"/>
  <c r="A57" i="7"/>
  <c r="K56" i="7"/>
  <c r="G56" i="7"/>
  <c r="F56" i="7"/>
  <c r="E56" i="7"/>
  <c r="C56" i="7"/>
  <c r="B56" i="7"/>
  <c r="A56" i="7"/>
  <c r="C55" i="7"/>
  <c r="A55" i="7"/>
  <c r="E55" i="7" s="1"/>
  <c r="C54" i="7"/>
  <c r="B54" i="7"/>
  <c r="A54" i="7"/>
  <c r="G53" i="7"/>
  <c r="E53" i="7"/>
  <c r="A53" i="7"/>
  <c r="E52" i="7"/>
  <c r="C52" i="7"/>
  <c r="K52" i="7" s="1"/>
  <c r="B52" i="7"/>
  <c r="A52" i="7"/>
  <c r="E51" i="7"/>
  <c r="F51" i="7" s="1"/>
  <c r="C51" i="7"/>
  <c r="A51" i="7"/>
  <c r="A50" i="7"/>
  <c r="E49" i="7"/>
  <c r="A49" i="7"/>
  <c r="G48" i="7"/>
  <c r="F48" i="7"/>
  <c r="E48" i="7"/>
  <c r="H48" i="7" s="1"/>
  <c r="C48" i="7"/>
  <c r="B48" i="7"/>
  <c r="K48" i="7" s="1"/>
  <c r="A48" i="7"/>
  <c r="C47" i="7"/>
  <c r="A47" i="7"/>
  <c r="C46" i="7"/>
  <c r="K46" i="7" s="1"/>
  <c r="B46" i="7"/>
  <c r="A46" i="7"/>
  <c r="H45" i="7"/>
  <c r="E45" i="7"/>
  <c r="F45" i="7" s="1"/>
  <c r="B45" i="7"/>
  <c r="A45" i="7"/>
  <c r="K44" i="7"/>
  <c r="H44" i="7"/>
  <c r="G44" i="7"/>
  <c r="F44" i="7"/>
  <c r="E44" i="7"/>
  <c r="C44" i="7"/>
  <c r="B44" i="7"/>
  <c r="A44" i="7"/>
  <c r="A43" i="7"/>
  <c r="C42" i="7"/>
  <c r="K42" i="7" s="1"/>
  <c r="B42" i="7"/>
  <c r="A42" i="7"/>
  <c r="B41" i="7"/>
  <c r="A41" i="7"/>
  <c r="E40" i="7"/>
  <c r="C40" i="7"/>
  <c r="K40" i="7" s="1"/>
  <c r="B40" i="7"/>
  <c r="A40" i="7"/>
  <c r="F39" i="7"/>
  <c r="E39" i="7"/>
  <c r="C39" i="7"/>
  <c r="A39" i="7"/>
  <c r="B38" i="7"/>
  <c r="A38" i="7"/>
  <c r="B37" i="7"/>
  <c r="A37" i="7"/>
  <c r="H36" i="7"/>
  <c r="G36" i="7"/>
  <c r="E36" i="7"/>
  <c r="F36" i="7" s="1"/>
  <c r="C36" i="7"/>
  <c r="K36" i="7" s="1"/>
  <c r="B36" i="7"/>
  <c r="A36" i="7"/>
  <c r="C35" i="7"/>
  <c r="A35" i="7"/>
  <c r="A34" i="7"/>
  <c r="G33" i="7"/>
  <c r="E33" i="7"/>
  <c r="B33" i="7"/>
  <c r="A33" i="7"/>
  <c r="H32" i="7"/>
  <c r="G32" i="7"/>
  <c r="F32" i="7"/>
  <c r="E32" i="7"/>
  <c r="C32" i="7"/>
  <c r="K32" i="7" s="1"/>
  <c r="B32" i="7"/>
  <c r="A32" i="7"/>
  <c r="E31" i="7"/>
  <c r="F31" i="7" s="1"/>
  <c r="A31" i="7"/>
  <c r="A30" i="7"/>
  <c r="A29" i="7"/>
  <c r="E28" i="7"/>
  <c r="C28" i="7"/>
  <c r="B28" i="7"/>
  <c r="K28" i="7" s="1"/>
  <c r="A28" i="7"/>
  <c r="A27" i="7"/>
  <c r="A26" i="7"/>
  <c r="A25" i="7"/>
  <c r="K24" i="7"/>
  <c r="G24" i="7"/>
  <c r="F24" i="7"/>
  <c r="E24" i="7"/>
  <c r="H24" i="7" s="1"/>
  <c r="C24" i="7"/>
  <c r="B24" i="7"/>
  <c r="A24" i="7"/>
  <c r="C23" i="7"/>
  <c r="A23" i="7"/>
  <c r="C22" i="7"/>
  <c r="B22" i="7"/>
  <c r="A22" i="7"/>
  <c r="G21" i="7"/>
  <c r="E21" i="7"/>
  <c r="A21" i="7"/>
  <c r="E20" i="7"/>
  <c r="C20" i="7"/>
  <c r="B20" i="7"/>
  <c r="K20" i="7" s="1"/>
  <c r="A20" i="7"/>
  <c r="E19" i="7"/>
  <c r="F19" i="7" s="1"/>
  <c r="C19" i="7"/>
  <c r="A19" i="7"/>
  <c r="A18" i="7"/>
  <c r="E17" i="7"/>
  <c r="A17" i="7"/>
  <c r="G16" i="7"/>
  <c r="F16" i="7"/>
  <c r="E16" i="7"/>
  <c r="H16" i="7" s="1"/>
  <c r="C16" i="7"/>
  <c r="B16" i="7"/>
  <c r="K16" i="7" s="1"/>
  <c r="A16" i="7"/>
  <c r="C15" i="7"/>
  <c r="A15" i="7"/>
  <c r="C14" i="7"/>
  <c r="K14" i="7" s="1"/>
  <c r="B14" i="7"/>
  <c r="A14" i="7"/>
  <c r="H13" i="7"/>
  <c r="G13" i="7"/>
  <c r="E13" i="7"/>
  <c r="F13" i="7" s="1"/>
  <c r="B13" i="7"/>
  <c r="O13" i="7" s="1"/>
  <c r="A13" i="7"/>
  <c r="K12" i="7"/>
  <c r="H12" i="7"/>
  <c r="G12" i="7"/>
  <c r="F12" i="7"/>
  <c r="E12" i="7"/>
  <c r="C12" i="7"/>
  <c r="B12" i="7"/>
  <c r="A12" i="7"/>
  <c r="A11" i="7"/>
  <c r="C10" i="7"/>
  <c r="K10" i="7" s="1"/>
  <c r="B10" i="7"/>
  <c r="A10" i="7"/>
  <c r="B9" i="7"/>
  <c r="A9" i="7"/>
  <c r="E8" i="7"/>
  <c r="C8" i="7"/>
  <c r="B8" i="7"/>
  <c r="K8" i="7" s="1"/>
  <c r="A8" i="7"/>
  <c r="E7" i="7"/>
  <c r="C7" i="7"/>
  <c r="A7" i="7"/>
  <c r="B6" i="7"/>
  <c r="A6" i="7"/>
  <c r="A5" i="7"/>
  <c r="H4" i="7"/>
  <c r="G4" i="7"/>
  <c r="F4" i="7"/>
  <c r="E4" i="7"/>
  <c r="C4" i="7"/>
  <c r="K4" i="7" s="1"/>
  <c r="B4" i="7"/>
  <c r="A4" i="7"/>
  <c r="L500" i="6"/>
  <c r="L499" i="6"/>
  <c r="L498" i="6"/>
  <c r="L497" i="6"/>
  <c r="L496" i="6"/>
  <c r="L495" i="6"/>
  <c r="L494" i="6"/>
  <c r="L493" i="6"/>
  <c r="L492" i="6"/>
  <c r="L491" i="6"/>
  <c r="L490" i="6"/>
  <c r="L489" i="6"/>
  <c r="L488" i="6"/>
  <c r="L487" i="6"/>
  <c r="L486" i="6"/>
  <c r="L485" i="6"/>
  <c r="L484" i="6"/>
  <c r="L483" i="6"/>
  <c r="L482" i="6"/>
  <c r="L481" i="6"/>
  <c r="L480" i="6"/>
  <c r="L479" i="6"/>
  <c r="L478" i="6"/>
  <c r="L477" i="6"/>
  <c r="L476" i="6"/>
  <c r="L475" i="6"/>
  <c r="L474" i="6"/>
  <c r="L473" i="6"/>
  <c r="L472" i="6"/>
  <c r="L471" i="6"/>
  <c r="L470" i="6"/>
  <c r="L469" i="6"/>
  <c r="L468" i="6"/>
  <c r="L467" i="6"/>
  <c r="L466" i="6"/>
  <c r="L465" i="6"/>
  <c r="L464" i="6"/>
  <c r="L463" i="6"/>
  <c r="L462" i="6"/>
  <c r="L461" i="6"/>
  <c r="L460" i="6"/>
  <c r="L459" i="6"/>
  <c r="L458" i="6"/>
  <c r="L457" i="6"/>
  <c r="L456" i="6"/>
  <c r="L455" i="6"/>
  <c r="L454" i="6"/>
  <c r="L453" i="6"/>
  <c r="L452" i="6"/>
  <c r="L451" i="6"/>
  <c r="L450" i="6"/>
  <c r="L449" i="6"/>
  <c r="L448" i="6"/>
  <c r="L447" i="6"/>
  <c r="L446" i="6"/>
  <c r="L445" i="6"/>
  <c r="L444" i="6"/>
  <c r="L443" i="6"/>
  <c r="L442" i="6"/>
  <c r="L441" i="6"/>
  <c r="L440" i="6"/>
  <c r="L439" i="6"/>
  <c r="L438" i="6"/>
  <c r="L437" i="6"/>
  <c r="L436" i="6"/>
  <c r="L435" i="6"/>
  <c r="L434" i="6"/>
  <c r="L433" i="6"/>
  <c r="L432" i="6"/>
  <c r="L431" i="6"/>
  <c r="L430" i="6"/>
  <c r="L429" i="6"/>
  <c r="L428" i="6"/>
  <c r="L427" i="6"/>
  <c r="L426" i="6"/>
  <c r="L425" i="6"/>
  <c r="L424" i="6"/>
  <c r="L423" i="6"/>
  <c r="L422" i="6"/>
  <c r="L421" i="6"/>
  <c r="L420" i="6"/>
  <c r="L419" i="6"/>
  <c r="L418" i="6"/>
  <c r="L417" i="6"/>
  <c r="L416" i="6"/>
  <c r="L415" i="6"/>
  <c r="L414" i="6"/>
  <c r="L413" i="6"/>
  <c r="L412" i="6"/>
  <c r="L411" i="6"/>
  <c r="L410" i="6"/>
  <c r="L409" i="6"/>
  <c r="L408" i="6"/>
  <c r="L407" i="6"/>
  <c r="L406" i="6"/>
  <c r="L405" i="6"/>
  <c r="L404" i="6"/>
  <c r="L403" i="6"/>
  <c r="L402" i="6"/>
  <c r="L401" i="6"/>
  <c r="L400" i="6"/>
  <c r="L399" i="6"/>
  <c r="L398" i="6"/>
  <c r="L397" i="6"/>
  <c r="L396" i="6"/>
  <c r="L395" i="6"/>
  <c r="L394" i="6"/>
  <c r="L393" i="6"/>
  <c r="L392" i="6"/>
  <c r="L391" i="6"/>
  <c r="L390" i="6"/>
  <c r="L389" i="6"/>
  <c r="L388" i="6"/>
  <c r="L387" i="6"/>
  <c r="L386" i="6"/>
  <c r="L385" i="6"/>
  <c r="L384" i="6"/>
  <c r="L383" i="6"/>
  <c r="L382" i="6"/>
  <c r="L381" i="6"/>
  <c r="L380" i="6"/>
  <c r="L379" i="6"/>
  <c r="L378" i="6"/>
  <c r="L377" i="6"/>
  <c r="L376" i="6"/>
  <c r="L375" i="6"/>
  <c r="L374" i="6"/>
  <c r="L373" i="6"/>
  <c r="L372" i="6"/>
  <c r="L371" i="6"/>
  <c r="L370" i="6"/>
  <c r="L369" i="6"/>
  <c r="L368" i="6"/>
  <c r="L367" i="6"/>
  <c r="L366" i="6"/>
  <c r="L365" i="6"/>
  <c r="L364" i="6"/>
  <c r="L363" i="6"/>
  <c r="L362" i="6"/>
  <c r="L361" i="6"/>
  <c r="L360" i="6"/>
  <c r="L359" i="6"/>
  <c r="L358" i="6"/>
  <c r="L357" i="6"/>
  <c r="L356" i="6"/>
  <c r="L355" i="6"/>
  <c r="L354" i="6"/>
  <c r="L353" i="6"/>
  <c r="L352" i="6"/>
  <c r="L351" i="6"/>
  <c r="L350" i="6"/>
  <c r="L349" i="6"/>
  <c r="L348" i="6"/>
  <c r="L347" i="6"/>
  <c r="L346" i="6"/>
  <c r="L345" i="6"/>
  <c r="L344" i="6"/>
  <c r="L343" i="6"/>
  <c r="L342" i="6"/>
  <c r="L341" i="6"/>
  <c r="L340" i="6"/>
  <c r="L339" i="6"/>
  <c r="L338" i="6"/>
  <c r="L337" i="6"/>
  <c r="L336" i="6"/>
  <c r="L335" i="6"/>
  <c r="L334" i="6"/>
  <c r="L333" i="6"/>
  <c r="L332" i="6"/>
  <c r="L331" i="6"/>
  <c r="L330" i="6"/>
  <c r="L329" i="6"/>
  <c r="L328" i="6"/>
  <c r="L327" i="6"/>
  <c r="L326" i="6"/>
  <c r="L325" i="6"/>
  <c r="L324" i="6"/>
  <c r="L323" i="6"/>
  <c r="L322" i="6"/>
  <c r="L321" i="6"/>
  <c r="L320" i="6"/>
  <c r="L319" i="6"/>
  <c r="L318" i="6"/>
  <c r="L317" i="6"/>
  <c r="L316" i="6"/>
  <c r="L315" i="6"/>
  <c r="L314" i="6"/>
  <c r="L313" i="6"/>
  <c r="L312" i="6"/>
  <c r="L311" i="6"/>
  <c r="L310" i="6"/>
  <c r="L309" i="6"/>
  <c r="L308" i="6"/>
  <c r="L307" i="6"/>
  <c r="L306" i="6"/>
  <c r="L305" i="6"/>
  <c r="L304" i="6"/>
  <c r="L303" i="6"/>
  <c r="L302" i="6"/>
  <c r="L301" i="6"/>
  <c r="L300" i="6"/>
  <c r="L299" i="6"/>
  <c r="L298" i="6"/>
  <c r="L297" i="6"/>
  <c r="L296" i="6"/>
  <c r="L295" i="6"/>
  <c r="L294" i="6"/>
  <c r="L293" i="6"/>
  <c r="L292" i="6"/>
  <c r="L291" i="6"/>
  <c r="L290" i="6"/>
  <c r="L289" i="6"/>
  <c r="L288" i="6"/>
  <c r="L287" i="6"/>
  <c r="L286" i="6"/>
  <c r="L285" i="6"/>
  <c r="L284" i="6"/>
  <c r="L283" i="6"/>
  <c r="L282" i="6"/>
  <c r="L281" i="6"/>
  <c r="L280" i="6"/>
  <c r="L279" i="6"/>
  <c r="L278" i="6"/>
  <c r="L277" i="6"/>
  <c r="L276" i="6"/>
  <c r="L275" i="6"/>
  <c r="L274" i="6"/>
  <c r="L273" i="6"/>
  <c r="L272" i="6"/>
  <c r="L271" i="6"/>
  <c r="L270" i="6"/>
  <c r="L269" i="6"/>
  <c r="L268" i="6"/>
  <c r="L267" i="6"/>
  <c r="L266" i="6"/>
  <c r="L265" i="6"/>
  <c r="L264" i="6"/>
  <c r="L263" i="6"/>
  <c r="L262" i="6"/>
  <c r="L261" i="6"/>
  <c r="L260" i="6"/>
  <c r="L259" i="6"/>
  <c r="L258" i="6"/>
  <c r="L257" i="6"/>
  <c r="L256" i="6"/>
  <c r="L255" i="6"/>
  <c r="L254" i="6"/>
  <c r="L253" i="6"/>
  <c r="L252" i="6"/>
  <c r="L251" i="6"/>
  <c r="L250" i="6"/>
  <c r="L249" i="6"/>
  <c r="L248" i="6"/>
  <c r="L247" i="6"/>
  <c r="L246" i="6"/>
  <c r="L245" i="6"/>
  <c r="L244" i="6"/>
  <c r="L243" i="6"/>
  <c r="L242" i="6"/>
  <c r="L241" i="6"/>
  <c r="L240" i="6"/>
  <c r="L239" i="6"/>
  <c r="L238" i="6"/>
  <c r="L237" i="6"/>
  <c r="L236" i="6"/>
  <c r="L235" i="6"/>
  <c r="L234" i="6"/>
  <c r="L233" i="6"/>
  <c r="L232" i="6"/>
  <c r="L231" i="6"/>
  <c r="L230" i="6"/>
  <c r="L229" i="6"/>
  <c r="L228" i="6"/>
  <c r="L227" i="6"/>
  <c r="L226" i="6"/>
  <c r="L225" i="6"/>
  <c r="L224" i="6"/>
  <c r="L223" i="6"/>
  <c r="L222" i="6"/>
  <c r="L221" i="6"/>
  <c r="L220" i="6"/>
  <c r="L219" i="6"/>
  <c r="L218" i="6"/>
  <c r="L217" i="6"/>
  <c r="L216" i="6"/>
  <c r="L215" i="6"/>
  <c r="L214" i="6"/>
  <c r="L213" i="6"/>
  <c r="L212" i="6"/>
  <c r="L211" i="6"/>
  <c r="L210" i="6"/>
  <c r="L209" i="6"/>
  <c r="L208" i="6"/>
  <c r="L207" i="6"/>
  <c r="L206" i="6"/>
  <c r="L205" i="6"/>
  <c r="L204" i="6"/>
  <c r="L203" i="6"/>
  <c r="L202" i="6"/>
  <c r="L201" i="6"/>
  <c r="L200" i="6"/>
  <c r="L199" i="6"/>
  <c r="L198" i="6"/>
  <c r="L197" i="6"/>
  <c r="L196" i="6"/>
  <c r="L195" i="6"/>
  <c r="L194" i="6"/>
  <c r="L193" i="6"/>
  <c r="L192" i="6"/>
  <c r="L191" i="6"/>
  <c r="L190" i="6"/>
  <c r="L189" i="6"/>
  <c r="L188" i="6"/>
  <c r="L187" i="6"/>
  <c r="L186" i="6"/>
  <c r="L185" i="6"/>
  <c r="L184" i="6"/>
  <c r="L183" i="6"/>
  <c r="L182" i="6"/>
  <c r="L181" i="6"/>
  <c r="L180" i="6"/>
  <c r="L179" i="6"/>
  <c r="L178" i="6"/>
  <c r="L177" i="6"/>
  <c r="L176" i="6"/>
  <c r="L175" i="6"/>
  <c r="L174" i="6"/>
  <c r="L173" i="6"/>
  <c r="L172" i="6"/>
  <c r="L171" i="6"/>
  <c r="L170" i="6"/>
  <c r="L169" i="6"/>
  <c r="L168" i="6"/>
  <c r="L167" i="6"/>
  <c r="L166" i="6"/>
  <c r="L165" i="6"/>
  <c r="L164" i="6"/>
  <c r="L163" i="6"/>
  <c r="L162" i="6"/>
  <c r="L161" i="6"/>
  <c r="L160" i="6"/>
  <c r="L159" i="6"/>
  <c r="L158" i="6"/>
  <c r="L157" i="6"/>
  <c r="L156" i="6"/>
  <c r="L155" i="6"/>
  <c r="L154" i="6"/>
  <c r="L153" i="6"/>
  <c r="L152" i="6"/>
  <c r="L151" i="6"/>
  <c r="L150" i="6"/>
  <c r="L149" i="6"/>
  <c r="L148" i="6"/>
  <c r="L147" i="6"/>
  <c r="L146" i="6"/>
  <c r="L145" i="6"/>
  <c r="L144" i="6"/>
  <c r="L143" i="6"/>
  <c r="L142" i="6"/>
  <c r="L141" i="6"/>
  <c r="L140" i="6"/>
  <c r="L139" i="6"/>
  <c r="L138" i="6"/>
  <c r="L137" i="6"/>
  <c r="L136" i="6"/>
  <c r="L135" i="6"/>
  <c r="L134" i="6"/>
  <c r="L133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3" i="6"/>
  <c r="L112" i="6"/>
  <c r="L111" i="6"/>
  <c r="L110" i="6"/>
  <c r="L109" i="6"/>
  <c r="L108" i="6"/>
  <c r="L107" i="6"/>
  <c r="L106" i="6"/>
  <c r="L105" i="6"/>
  <c r="L104" i="6"/>
  <c r="A103" i="6"/>
  <c r="N102" i="6"/>
  <c r="M102" i="6"/>
  <c r="L102" i="6"/>
  <c r="K102" i="6"/>
  <c r="G102" i="6"/>
  <c r="F102" i="6"/>
  <c r="E102" i="6"/>
  <c r="H102" i="6" s="1"/>
  <c r="D102" i="6"/>
  <c r="C102" i="6"/>
  <c r="B102" i="6"/>
  <c r="A102" i="6"/>
  <c r="J102" i="6" s="1"/>
  <c r="A101" i="6"/>
  <c r="M101" i="6" s="1"/>
  <c r="K100" i="6"/>
  <c r="J100" i="6"/>
  <c r="E100" i="6"/>
  <c r="B100" i="6"/>
  <c r="O100" i="6" s="1"/>
  <c r="A100" i="6"/>
  <c r="O99" i="6"/>
  <c r="N99" i="6"/>
  <c r="M99" i="6"/>
  <c r="L99" i="6"/>
  <c r="K99" i="6"/>
  <c r="H99" i="6"/>
  <c r="E99" i="6"/>
  <c r="D99" i="6"/>
  <c r="C99" i="6"/>
  <c r="B99" i="6"/>
  <c r="A99" i="6"/>
  <c r="J99" i="6" s="1"/>
  <c r="A98" i="6"/>
  <c r="M97" i="6"/>
  <c r="K97" i="6"/>
  <c r="J97" i="6"/>
  <c r="D97" i="6"/>
  <c r="C97" i="6"/>
  <c r="B97" i="6"/>
  <c r="O97" i="6" s="1"/>
  <c r="A97" i="6"/>
  <c r="N96" i="6"/>
  <c r="A96" i="6"/>
  <c r="O95" i="6"/>
  <c r="N95" i="6"/>
  <c r="M95" i="6"/>
  <c r="L95" i="6"/>
  <c r="K95" i="6"/>
  <c r="E95" i="6"/>
  <c r="D95" i="6"/>
  <c r="C95" i="6"/>
  <c r="B95" i="6"/>
  <c r="A95" i="6"/>
  <c r="J95" i="6" s="1"/>
  <c r="M94" i="6"/>
  <c r="L94" i="6"/>
  <c r="E94" i="6"/>
  <c r="B94" i="6"/>
  <c r="O94" i="6" s="1"/>
  <c r="A94" i="6"/>
  <c r="M93" i="6"/>
  <c r="K93" i="6"/>
  <c r="J93" i="6"/>
  <c r="D93" i="6"/>
  <c r="C93" i="6"/>
  <c r="B93" i="6"/>
  <c r="O93" i="6" s="1"/>
  <c r="A93" i="6"/>
  <c r="N92" i="6"/>
  <c r="B92" i="6"/>
  <c r="O92" i="6" s="1"/>
  <c r="A92" i="6"/>
  <c r="O91" i="6"/>
  <c r="N91" i="6"/>
  <c r="M91" i="6"/>
  <c r="L91" i="6"/>
  <c r="K91" i="6"/>
  <c r="H91" i="6"/>
  <c r="G91" i="6"/>
  <c r="F91" i="6"/>
  <c r="E91" i="6"/>
  <c r="D91" i="6"/>
  <c r="C91" i="6"/>
  <c r="B91" i="6"/>
  <c r="A91" i="6"/>
  <c r="J91" i="6" s="1"/>
  <c r="N90" i="6"/>
  <c r="M90" i="6"/>
  <c r="K90" i="6"/>
  <c r="J90" i="6"/>
  <c r="F90" i="6"/>
  <c r="E90" i="6"/>
  <c r="D90" i="6"/>
  <c r="C90" i="6"/>
  <c r="B90" i="6"/>
  <c r="O90" i="6" s="1"/>
  <c r="A90" i="6"/>
  <c r="L90" i="6" s="1"/>
  <c r="K89" i="6"/>
  <c r="A89" i="6"/>
  <c r="O88" i="6"/>
  <c r="J88" i="6"/>
  <c r="H88" i="6"/>
  <c r="E88" i="6"/>
  <c r="B88" i="6"/>
  <c r="A88" i="6"/>
  <c r="K88" i="6" s="1"/>
  <c r="O87" i="6"/>
  <c r="N87" i="6"/>
  <c r="M87" i="6"/>
  <c r="L87" i="6"/>
  <c r="K87" i="6"/>
  <c r="H87" i="6"/>
  <c r="G87" i="6"/>
  <c r="F87" i="6"/>
  <c r="E87" i="6"/>
  <c r="D87" i="6"/>
  <c r="C87" i="6"/>
  <c r="B87" i="6"/>
  <c r="A87" i="6"/>
  <c r="J87" i="6" s="1"/>
  <c r="O86" i="6"/>
  <c r="N86" i="6"/>
  <c r="M86" i="6"/>
  <c r="K86" i="6"/>
  <c r="J86" i="6"/>
  <c r="E86" i="6"/>
  <c r="D86" i="6"/>
  <c r="C86" i="6"/>
  <c r="B86" i="6"/>
  <c r="A86" i="6"/>
  <c r="L86" i="6" s="1"/>
  <c r="M85" i="6"/>
  <c r="B85" i="6"/>
  <c r="O85" i="6" s="1"/>
  <c r="A85" i="6"/>
  <c r="L85" i="6" s="1"/>
  <c r="K84" i="6"/>
  <c r="J84" i="6"/>
  <c r="F84" i="6"/>
  <c r="E84" i="6"/>
  <c r="A84" i="6"/>
  <c r="O83" i="6"/>
  <c r="N83" i="6"/>
  <c r="M83" i="6"/>
  <c r="L83" i="6"/>
  <c r="K83" i="6"/>
  <c r="H83" i="6"/>
  <c r="E83" i="6"/>
  <c r="D83" i="6"/>
  <c r="C83" i="6"/>
  <c r="B83" i="6"/>
  <c r="A83" i="6"/>
  <c r="J83" i="6" s="1"/>
  <c r="A82" i="6"/>
  <c r="M81" i="6"/>
  <c r="J81" i="6"/>
  <c r="C81" i="6"/>
  <c r="B81" i="6"/>
  <c r="O81" i="6" s="1"/>
  <c r="A81" i="6"/>
  <c r="K81" i="6" s="1"/>
  <c r="N80" i="6"/>
  <c r="K80" i="6"/>
  <c r="A80" i="6"/>
  <c r="O79" i="6"/>
  <c r="N79" i="6"/>
  <c r="M79" i="6"/>
  <c r="L79" i="6"/>
  <c r="K79" i="6"/>
  <c r="F79" i="6"/>
  <c r="E79" i="6"/>
  <c r="D79" i="6"/>
  <c r="C79" i="6"/>
  <c r="B79" i="6"/>
  <c r="A79" i="6"/>
  <c r="J79" i="6" s="1"/>
  <c r="L78" i="6"/>
  <c r="A78" i="6"/>
  <c r="M78" i="6" s="1"/>
  <c r="K77" i="6"/>
  <c r="J77" i="6"/>
  <c r="D77" i="6"/>
  <c r="C77" i="6"/>
  <c r="A77" i="6"/>
  <c r="A76" i="6"/>
  <c r="O75" i="6"/>
  <c r="N75" i="6"/>
  <c r="M75" i="6"/>
  <c r="L75" i="6"/>
  <c r="K75" i="6"/>
  <c r="G75" i="6"/>
  <c r="F75" i="6"/>
  <c r="E75" i="6"/>
  <c r="H75" i="6" s="1"/>
  <c r="D75" i="6"/>
  <c r="C75" i="6"/>
  <c r="B75" i="6"/>
  <c r="A75" i="6"/>
  <c r="J75" i="6" s="1"/>
  <c r="B74" i="6"/>
  <c r="A74" i="6"/>
  <c r="A73" i="6"/>
  <c r="O72" i="6"/>
  <c r="H72" i="6"/>
  <c r="E72" i="6"/>
  <c r="B72" i="6"/>
  <c r="A72" i="6"/>
  <c r="H71" i="6"/>
  <c r="G71" i="6"/>
  <c r="F71" i="6"/>
  <c r="E71" i="6"/>
  <c r="C71" i="6"/>
  <c r="B71" i="6"/>
  <c r="K71" i="6" s="1"/>
  <c r="A71" i="6"/>
  <c r="F70" i="6"/>
  <c r="E70" i="6"/>
  <c r="C70" i="6"/>
  <c r="B70" i="6"/>
  <c r="A70" i="6"/>
  <c r="A69" i="6"/>
  <c r="E68" i="6"/>
  <c r="B68" i="6"/>
  <c r="O68" i="6" s="1"/>
  <c r="A68" i="6"/>
  <c r="G67" i="6"/>
  <c r="F67" i="6"/>
  <c r="E67" i="6"/>
  <c r="H67" i="6" s="1"/>
  <c r="C67" i="6"/>
  <c r="B67" i="6"/>
  <c r="K67" i="6" s="1"/>
  <c r="A67" i="6"/>
  <c r="C66" i="6"/>
  <c r="B66" i="6"/>
  <c r="A66" i="6"/>
  <c r="E66" i="6" s="1"/>
  <c r="A65" i="6"/>
  <c r="E64" i="6"/>
  <c r="H64" i="6" s="1"/>
  <c r="B64" i="6"/>
  <c r="O64" i="6" s="1"/>
  <c r="A64" i="6"/>
  <c r="H63" i="6"/>
  <c r="G63" i="6"/>
  <c r="F63" i="6"/>
  <c r="E63" i="6"/>
  <c r="C63" i="6"/>
  <c r="B63" i="6"/>
  <c r="A63" i="6"/>
  <c r="F62" i="6"/>
  <c r="E62" i="6"/>
  <c r="C62" i="6"/>
  <c r="B62" i="6"/>
  <c r="A62" i="6"/>
  <c r="A61" i="6"/>
  <c r="E60" i="6"/>
  <c r="B60" i="6"/>
  <c r="A60" i="6"/>
  <c r="G59" i="6"/>
  <c r="F59" i="6"/>
  <c r="E59" i="6"/>
  <c r="H59" i="6" s="1"/>
  <c r="C59" i="6"/>
  <c r="B59" i="6"/>
  <c r="A59" i="6"/>
  <c r="F58" i="6"/>
  <c r="C58" i="6"/>
  <c r="B58" i="6"/>
  <c r="A58" i="6"/>
  <c r="E58" i="6" s="1"/>
  <c r="A57" i="6"/>
  <c r="E56" i="6"/>
  <c r="F56" i="6" s="1"/>
  <c r="B56" i="6"/>
  <c r="A56" i="6"/>
  <c r="H55" i="6"/>
  <c r="G55" i="6"/>
  <c r="F55" i="6"/>
  <c r="E55" i="6"/>
  <c r="C55" i="6"/>
  <c r="B55" i="6"/>
  <c r="K55" i="6" s="1"/>
  <c r="A55" i="6"/>
  <c r="F54" i="6"/>
  <c r="E54" i="6"/>
  <c r="C54" i="6"/>
  <c r="B54" i="6"/>
  <c r="A54" i="6"/>
  <c r="A53" i="6"/>
  <c r="E52" i="6"/>
  <c r="B52" i="6"/>
  <c r="O52" i="6" s="1"/>
  <c r="A52" i="6"/>
  <c r="G51" i="6"/>
  <c r="E51" i="6"/>
  <c r="C51" i="6"/>
  <c r="B51" i="6"/>
  <c r="K51" i="6" s="1"/>
  <c r="A51" i="6"/>
  <c r="C50" i="6"/>
  <c r="B50" i="6"/>
  <c r="A50" i="6"/>
  <c r="A49" i="6"/>
  <c r="C49" i="6" s="1"/>
  <c r="O48" i="6"/>
  <c r="E48" i="6"/>
  <c r="F48" i="6" s="1"/>
  <c r="B48" i="6"/>
  <c r="A48" i="6"/>
  <c r="G47" i="6"/>
  <c r="F47" i="6"/>
  <c r="E47" i="6"/>
  <c r="H47" i="6" s="1"/>
  <c r="C47" i="6"/>
  <c r="B47" i="6"/>
  <c r="K47" i="6" s="1"/>
  <c r="A47" i="6"/>
  <c r="E46" i="6"/>
  <c r="C46" i="6"/>
  <c r="B46" i="6"/>
  <c r="A46" i="6"/>
  <c r="A45" i="6"/>
  <c r="A44" i="6"/>
  <c r="G43" i="6"/>
  <c r="F43" i="6"/>
  <c r="E43" i="6"/>
  <c r="C43" i="6"/>
  <c r="B43" i="6"/>
  <c r="K43" i="6" s="1"/>
  <c r="A43" i="6"/>
  <c r="A42" i="6"/>
  <c r="D41" i="6"/>
  <c r="C41" i="6"/>
  <c r="A41" i="6"/>
  <c r="E40" i="6"/>
  <c r="F40" i="6" s="1"/>
  <c r="B40" i="6"/>
  <c r="O40" i="6" s="1"/>
  <c r="A40" i="6"/>
  <c r="G39" i="6"/>
  <c r="F39" i="6"/>
  <c r="E39" i="6"/>
  <c r="H39" i="6" s="1"/>
  <c r="C39" i="6"/>
  <c r="B39" i="6"/>
  <c r="A39" i="6"/>
  <c r="E38" i="6"/>
  <c r="C38" i="6"/>
  <c r="B38" i="6"/>
  <c r="A38" i="6"/>
  <c r="A37" i="6"/>
  <c r="A36" i="6"/>
  <c r="E35" i="6"/>
  <c r="C35" i="6"/>
  <c r="B35" i="6"/>
  <c r="K35" i="6" s="1"/>
  <c r="A35" i="6"/>
  <c r="A34" i="6"/>
  <c r="C33" i="6"/>
  <c r="A33" i="6"/>
  <c r="H32" i="6"/>
  <c r="G32" i="6"/>
  <c r="E32" i="6"/>
  <c r="F32" i="6" s="1"/>
  <c r="B32" i="6"/>
  <c r="O32" i="6" s="1"/>
  <c r="A32" i="6"/>
  <c r="G31" i="6"/>
  <c r="F31" i="6"/>
  <c r="E31" i="6"/>
  <c r="H31" i="6" s="1"/>
  <c r="C31" i="6"/>
  <c r="B31" i="6"/>
  <c r="K31" i="6" s="1"/>
  <c r="A31" i="6"/>
  <c r="F30" i="6"/>
  <c r="E30" i="6"/>
  <c r="C30" i="6"/>
  <c r="B30" i="6"/>
  <c r="A30" i="6"/>
  <c r="A29" i="6"/>
  <c r="E28" i="6"/>
  <c r="O28" i="6" s="1"/>
  <c r="B28" i="6"/>
  <c r="A28" i="6"/>
  <c r="E27" i="6"/>
  <c r="C27" i="6"/>
  <c r="B27" i="6"/>
  <c r="A27" i="6"/>
  <c r="C26" i="6"/>
  <c r="B26" i="6"/>
  <c r="A26" i="6"/>
  <c r="A25" i="6"/>
  <c r="D25" i="6" s="1"/>
  <c r="H24" i="6"/>
  <c r="G24" i="6"/>
  <c r="E24" i="6"/>
  <c r="F24" i="6" s="1"/>
  <c r="B24" i="6"/>
  <c r="A24" i="6"/>
  <c r="G23" i="6"/>
  <c r="F23" i="6"/>
  <c r="E23" i="6"/>
  <c r="H23" i="6" s="1"/>
  <c r="C23" i="6"/>
  <c r="B23" i="6"/>
  <c r="K23" i="6" s="1"/>
  <c r="A23" i="6"/>
  <c r="F22" i="6"/>
  <c r="E22" i="6"/>
  <c r="C22" i="6"/>
  <c r="B22" i="6"/>
  <c r="A22" i="6"/>
  <c r="A21" i="6"/>
  <c r="O20" i="6"/>
  <c r="E20" i="6"/>
  <c r="B20" i="6"/>
  <c r="A20" i="6"/>
  <c r="G19" i="6"/>
  <c r="F19" i="6"/>
  <c r="E19" i="6"/>
  <c r="C19" i="6"/>
  <c r="B19" i="6"/>
  <c r="K19" i="6" s="1"/>
  <c r="A19" i="6"/>
  <c r="C18" i="6"/>
  <c r="B18" i="6"/>
  <c r="A18" i="6"/>
  <c r="A17" i="6"/>
  <c r="E16" i="6"/>
  <c r="F16" i="6" s="1"/>
  <c r="B16" i="6"/>
  <c r="A16" i="6"/>
  <c r="G15" i="6"/>
  <c r="F15" i="6"/>
  <c r="E15" i="6"/>
  <c r="H15" i="6" s="1"/>
  <c r="C15" i="6"/>
  <c r="B15" i="6"/>
  <c r="A15" i="6"/>
  <c r="E14" i="6"/>
  <c r="F14" i="6" s="1"/>
  <c r="C14" i="6"/>
  <c r="B14" i="6"/>
  <c r="A14" i="6"/>
  <c r="D13" i="6"/>
  <c r="A13" i="6"/>
  <c r="A12" i="6"/>
  <c r="G11" i="6"/>
  <c r="F11" i="6"/>
  <c r="E11" i="6"/>
  <c r="C11" i="6"/>
  <c r="B11" i="6"/>
  <c r="K11" i="6" s="1"/>
  <c r="A11" i="6"/>
  <c r="A10" i="6"/>
  <c r="A9" i="6"/>
  <c r="E8" i="6"/>
  <c r="F8" i="6" s="1"/>
  <c r="B8" i="6"/>
  <c r="A8" i="6"/>
  <c r="G7" i="6"/>
  <c r="F7" i="6"/>
  <c r="E7" i="6"/>
  <c r="H7" i="6" s="1"/>
  <c r="C7" i="6"/>
  <c r="B7" i="6"/>
  <c r="A7" i="6"/>
  <c r="E6" i="6"/>
  <c r="C6" i="6"/>
  <c r="B6" i="6"/>
  <c r="A6" i="6"/>
  <c r="A5" i="6"/>
  <c r="A4" i="6"/>
  <c r="L500" i="5"/>
  <c r="L499" i="5"/>
  <c r="L498" i="5"/>
  <c r="L497" i="5"/>
  <c r="L496" i="5"/>
  <c r="L495" i="5"/>
  <c r="L494" i="5"/>
  <c r="L493" i="5"/>
  <c r="L492" i="5"/>
  <c r="L491" i="5"/>
  <c r="L490" i="5"/>
  <c r="L489" i="5"/>
  <c r="L488" i="5"/>
  <c r="L487" i="5"/>
  <c r="L486" i="5"/>
  <c r="L485" i="5"/>
  <c r="L484" i="5"/>
  <c r="L483" i="5"/>
  <c r="L482" i="5"/>
  <c r="L481" i="5"/>
  <c r="L480" i="5"/>
  <c r="L479" i="5"/>
  <c r="L478" i="5"/>
  <c r="L477" i="5"/>
  <c r="L476" i="5"/>
  <c r="L475" i="5"/>
  <c r="L474" i="5"/>
  <c r="L473" i="5"/>
  <c r="L472" i="5"/>
  <c r="L471" i="5"/>
  <c r="L470" i="5"/>
  <c r="L469" i="5"/>
  <c r="L468" i="5"/>
  <c r="L467" i="5"/>
  <c r="L466" i="5"/>
  <c r="L465" i="5"/>
  <c r="L464" i="5"/>
  <c r="L463" i="5"/>
  <c r="L462" i="5"/>
  <c r="L461" i="5"/>
  <c r="L460" i="5"/>
  <c r="L459" i="5"/>
  <c r="L458" i="5"/>
  <c r="L457" i="5"/>
  <c r="L456" i="5"/>
  <c r="L455" i="5"/>
  <c r="L454" i="5"/>
  <c r="L453" i="5"/>
  <c r="L452" i="5"/>
  <c r="L451" i="5"/>
  <c r="L450" i="5"/>
  <c r="L449" i="5"/>
  <c r="L448" i="5"/>
  <c r="L447" i="5"/>
  <c r="L446" i="5"/>
  <c r="L445" i="5"/>
  <c r="L444" i="5"/>
  <c r="L443" i="5"/>
  <c r="L442" i="5"/>
  <c r="L441" i="5"/>
  <c r="L440" i="5"/>
  <c r="L439" i="5"/>
  <c r="L438" i="5"/>
  <c r="L437" i="5"/>
  <c r="L436" i="5"/>
  <c r="L435" i="5"/>
  <c r="L434" i="5"/>
  <c r="L433" i="5"/>
  <c r="L432" i="5"/>
  <c r="L431" i="5"/>
  <c r="L430" i="5"/>
  <c r="L429" i="5"/>
  <c r="L428" i="5"/>
  <c r="L427" i="5"/>
  <c r="L426" i="5"/>
  <c r="L425" i="5"/>
  <c r="L424" i="5"/>
  <c r="L423" i="5"/>
  <c r="L422" i="5"/>
  <c r="L421" i="5"/>
  <c r="L420" i="5"/>
  <c r="L419" i="5"/>
  <c r="L418" i="5"/>
  <c r="L417" i="5"/>
  <c r="L416" i="5"/>
  <c r="L415" i="5"/>
  <c r="L414" i="5"/>
  <c r="L413" i="5"/>
  <c r="L412" i="5"/>
  <c r="L411" i="5"/>
  <c r="L410" i="5"/>
  <c r="L409" i="5"/>
  <c r="L408" i="5"/>
  <c r="L407" i="5"/>
  <c r="L406" i="5"/>
  <c r="L405" i="5"/>
  <c r="L404" i="5"/>
  <c r="L403" i="5"/>
  <c r="L402" i="5"/>
  <c r="L401" i="5"/>
  <c r="L400" i="5"/>
  <c r="L399" i="5"/>
  <c r="L398" i="5"/>
  <c r="L397" i="5"/>
  <c r="L396" i="5"/>
  <c r="L395" i="5"/>
  <c r="L394" i="5"/>
  <c r="L393" i="5"/>
  <c r="L392" i="5"/>
  <c r="L391" i="5"/>
  <c r="L390" i="5"/>
  <c r="L389" i="5"/>
  <c r="L388" i="5"/>
  <c r="L387" i="5"/>
  <c r="L386" i="5"/>
  <c r="L385" i="5"/>
  <c r="L384" i="5"/>
  <c r="L383" i="5"/>
  <c r="L382" i="5"/>
  <c r="L381" i="5"/>
  <c r="L380" i="5"/>
  <c r="L379" i="5"/>
  <c r="L378" i="5"/>
  <c r="L377" i="5"/>
  <c r="L376" i="5"/>
  <c r="L375" i="5"/>
  <c r="L374" i="5"/>
  <c r="L373" i="5"/>
  <c r="L372" i="5"/>
  <c r="L371" i="5"/>
  <c r="L370" i="5"/>
  <c r="L369" i="5"/>
  <c r="L368" i="5"/>
  <c r="L367" i="5"/>
  <c r="L366" i="5"/>
  <c r="L365" i="5"/>
  <c r="L364" i="5"/>
  <c r="L363" i="5"/>
  <c r="L362" i="5"/>
  <c r="L361" i="5"/>
  <c r="L360" i="5"/>
  <c r="L359" i="5"/>
  <c r="L358" i="5"/>
  <c r="L357" i="5"/>
  <c r="L356" i="5"/>
  <c r="L355" i="5"/>
  <c r="L354" i="5"/>
  <c r="L353" i="5"/>
  <c r="L352" i="5"/>
  <c r="L351" i="5"/>
  <c r="L350" i="5"/>
  <c r="L349" i="5"/>
  <c r="L348" i="5"/>
  <c r="L347" i="5"/>
  <c r="L346" i="5"/>
  <c r="L345" i="5"/>
  <c r="L344" i="5"/>
  <c r="L343" i="5"/>
  <c r="L342" i="5"/>
  <c r="L341" i="5"/>
  <c r="L340" i="5"/>
  <c r="L339" i="5"/>
  <c r="L338" i="5"/>
  <c r="L337" i="5"/>
  <c r="L336" i="5"/>
  <c r="L335" i="5"/>
  <c r="L334" i="5"/>
  <c r="L333" i="5"/>
  <c r="L332" i="5"/>
  <c r="L331" i="5"/>
  <c r="L330" i="5"/>
  <c r="L329" i="5"/>
  <c r="L328" i="5"/>
  <c r="L327" i="5"/>
  <c r="L326" i="5"/>
  <c r="L325" i="5"/>
  <c r="L324" i="5"/>
  <c r="L323" i="5"/>
  <c r="L322" i="5"/>
  <c r="L321" i="5"/>
  <c r="L320" i="5"/>
  <c r="L319" i="5"/>
  <c r="L318" i="5"/>
  <c r="L317" i="5"/>
  <c r="L316" i="5"/>
  <c r="L315" i="5"/>
  <c r="L314" i="5"/>
  <c r="L313" i="5"/>
  <c r="L312" i="5"/>
  <c r="L311" i="5"/>
  <c r="L310" i="5"/>
  <c r="L309" i="5"/>
  <c r="L308" i="5"/>
  <c r="L307" i="5"/>
  <c r="L306" i="5"/>
  <c r="L305" i="5"/>
  <c r="L304" i="5"/>
  <c r="L303" i="5"/>
  <c r="L302" i="5"/>
  <c r="L301" i="5"/>
  <c r="L300" i="5"/>
  <c r="L299" i="5"/>
  <c r="L298" i="5"/>
  <c r="L297" i="5"/>
  <c r="L296" i="5"/>
  <c r="L295" i="5"/>
  <c r="L294" i="5"/>
  <c r="L293" i="5"/>
  <c r="L292" i="5"/>
  <c r="L291" i="5"/>
  <c r="L290" i="5"/>
  <c r="L289" i="5"/>
  <c r="L288" i="5"/>
  <c r="L287" i="5"/>
  <c r="L286" i="5"/>
  <c r="L285" i="5"/>
  <c r="L284" i="5"/>
  <c r="L283" i="5"/>
  <c r="L282" i="5"/>
  <c r="L281" i="5"/>
  <c r="L280" i="5"/>
  <c r="L279" i="5"/>
  <c r="L278" i="5"/>
  <c r="L277" i="5"/>
  <c r="L276" i="5"/>
  <c r="L275" i="5"/>
  <c r="L274" i="5"/>
  <c r="L273" i="5"/>
  <c r="L272" i="5"/>
  <c r="L271" i="5"/>
  <c r="L270" i="5"/>
  <c r="L269" i="5"/>
  <c r="L268" i="5"/>
  <c r="L267" i="5"/>
  <c r="L266" i="5"/>
  <c r="L265" i="5"/>
  <c r="L264" i="5"/>
  <c r="L263" i="5"/>
  <c r="L262" i="5"/>
  <c r="L261" i="5"/>
  <c r="L260" i="5"/>
  <c r="L259" i="5"/>
  <c r="L258" i="5"/>
  <c r="L257" i="5"/>
  <c r="L256" i="5"/>
  <c r="L255" i="5"/>
  <c r="L254" i="5"/>
  <c r="L253" i="5"/>
  <c r="L252" i="5"/>
  <c r="L251" i="5"/>
  <c r="L250" i="5"/>
  <c r="L249" i="5"/>
  <c r="L248" i="5"/>
  <c r="L247" i="5"/>
  <c r="L246" i="5"/>
  <c r="L245" i="5"/>
  <c r="L244" i="5"/>
  <c r="L243" i="5"/>
  <c r="L242" i="5"/>
  <c r="L241" i="5"/>
  <c r="L240" i="5"/>
  <c r="L239" i="5"/>
  <c r="L238" i="5"/>
  <c r="L237" i="5"/>
  <c r="L236" i="5"/>
  <c r="L235" i="5"/>
  <c r="L234" i="5"/>
  <c r="L233" i="5"/>
  <c r="L232" i="5"/>
  <c r="L231" i="5"/>
  <c r="L230" i="5"/>
  <c r="L229" i="5"/>
  <c r="L228" i="5"/>
  <c r="L227" i="5"/>
  <c r="L226" i="5"/>
  <c r="L225" i="5"/>
  <c r="L224" i="5"/>
  <c r="L223" i="5"/>
  <c r="L222" i="5"/>
  <c r="L221" i="5"/>
  <c r="L220" i="5"/>
  <c r="L219" i="5"/>
  <c r="L218" i="5"/>
  <c r="L217" i="5"/>
  <c r="L216" i="5"/>
  <c r="L215" i="5"/>
  <c r="L214" i="5"/>
  <c r="L213" i="5"/>
  <c r="L212" i="5"/>
  <c r="L211" i="5"/>
  <c r="L210" i="5"/>
  <c r="L209" i="5"/>
  <c r="L208" i="5"/>
  <c r="L207" i="5"/>
  <c r="L206" i="5"/>
  <c r="L205" i="5"/>
  <c r="L204" i="5"/>
  <c r="L203" i="5"/>
  <c r="L202" i="5"/>
  <c r="L201" i="5"/>
  <c r="L200" i="5"/>
  <c r="L199" i="5"/>
  <c r="L198" i="5"/>
  <c r="L197" i="5"/>
  <c r="L196" i="5"/>
  <c r="L195" i="5"/>
  <c r="L194" i="5"/>
  <c r="L193" i="5"/>
  <c r="L192" i="5"/>
  <c r="L191" i="5"/>
  <c r="L190" i="5"/>
  <c r="L189" i="5"/>
  <c r="L188" i="5"/>
  <c r="L187" i="5"/>
  <c r="L186" i="5"/>
  <c r="L185" i="5"/>
  <c r="L184" i="5"/>
  <c r="L183" i="5"/>
  <c r="L182" i="5"/>
  <c r="L181" i="5"/>
  <c r="L180" i="5"/>
  <c r="L179" i="5"/>
  <c r="L178" i="5"/>
  <c r="L177" i="5"/>
  <c r="L176" i="5"/>
  <c r="L175" i="5"/>
  <c r="L174" i="5"/>
  <c r="L173" i="5"/>
  <c r="L172" i="5"/>
  <c r="L171" i="5"/>
  <c r="L170" i="5"/>
  <c r="L169" i="5"/>
  <c r="L168" i="5"/>
  <c r="L167" i="5"/>
  <c r="L166" i="5"/>
  <c r="L165" i="5"/>
  <c r="L164" i="5"/>
  <c r="L163" i="5"/>
  <c r="L162" i="5"/>
  <c r="L161" i="5"/>
  <c r="L160" i="5"/>
  <c r="L159" i="5"/>
  <c r="L158" i="5"/>
  <c r="L157" i="5"/>
  <c r="L156" i="5"/>
  <c r="L155" i="5"/>
  <c r="L154" i="5"/>
  <c r="L153" i="5"/>
  <c r="L152" i="5"/>
  <c r="L151" i="5"/>
  <c r="L150" i="5"/>
  <c r="L149" i="5"/>
  <c r="L148" i="5"/>
  <c r="L147" i="5"/>
  <c r="L146" i="5"/>
  <c r="L145" i="5"/>
  <c r="L144" i="5"/>
  <c r="L143" i="5"/>
  <c r="L142" i="5"/>
  <c r="L141" i="5"/>
  <c r="L140" i="5"/>
  <c r="L139" i="5"/>
  <c r="L138" i="5"/>
  <c r="L137" i="5"/>
  <c r="L136" i="5"/>
  <c r="L135" i="5"/>
  <c r="L134" i="5"/>
  <c r="L133" i="5"/>
  <c r="L132" i="5"/>
  <c r="L131" i="5"/>
  <c r="L130" i="5"/>
  <c r="L129" i="5"/>
  <c r="L128" i="5"/>
  <c r="L127" i="5"/>
  <c r="L126" i="5"/>
  <c r="L125" i="5"/>
  <c r="L124" i="5"/>
  <c r="L123" i="5"/>
  <c r="L122" i="5"/>
  <c r="L121" i="5"/>
  <c r="L120" i="5"/>
  <c r="L119" i="5"/>
  <c r="L118" i="5"/>
  <c r="L117" i="5"/>
  <c r="L116" i="5"/>
  <c r="L115" i="5"/>
  <c r="L114" i="5"/>
  <c r="L113" i="5"/>
  <c r="L112" i="5"/>
  <c r="L111" i="5"/>
  <c r="L110" i="5"/>
  <c r="L109" i="5"/>
  <c r="L108" i="5"/>
  <c r="L107" i="5"/>
  <c r="L106" i="5"/>
  <c r="L105" i="5"/>
  <c r="L104" i="5"/>
  <c r="A103" i="5"/>
  <c r="N102" i="5"/>
  <c r="E102" i="5"/>
  <c r="A102" i="5"/>
  <c r="N101" i="5"/>
  <c r="K101" i="5"/>
  <c r="J101" i="5"/>
  <c r="E101" i="5"/>
  <c r="D101" i="5"/>
  <c r="A101" i="5"/>
  <c r="M100" i="5"/>
  <c r="K100" i="5"/>
  <c r="J100" i="5"/>
  <c r="D100" i="5"/>
  <c r="C100" i="5"/>
  <c r="A100" i="5"/>
  <c r="K99" i="5"/>
  <c r="J99" i="5"/>
  <c r="A99" i="5"/>
  <c r="N98" i="5"/>
  <c r="M98" i="5"/>
  <c r="L98" i="5"/>
  <c r="K98" i="5"/>
  <c r="E98" i="5"/>
  <c r="D98" i="5"/>
  <c r="C98" i="5"/>
  <c r="B98" i="5"/>
  <c r="O98" i="5" s="1"/>
  <c r="A98" i="5"/>
  <c r="J98" i="5" s="1"/>
  <c r="M97" i="5"/>
  <c r="A97" i="5"/>
  <c r="M96" i="5"/>
  <c r="L96" i="5"/>
  <c r="J96" i="5"/>
  <c r="C96" i="5"/>
  <c r="B96" i="5"/>
  <c r="O96" i="5" s="1"/>
  <c r="A96" i="5"/>
  <c r="D96" i="5" s="1"/>
  <c r="A95" i="5"/>
  <c r="D95" i="5" s="1"/>
  <c r="N94" i="5"/>
  <c r="M94" i="5"/>
  <c r="L94" i="5"/>
  <c r="K94" i="5"/>
  <c r="H94" i="5"/>
  <c r="G94" i="5"/>
  <c r="F94" i="5"/>
  <c r="E94" i="5"/>
  <c r="D94" i="5"/>
  <c r="C94" i="5"/>
  <c r="B94" i="5"/>
  <c r="O94" i="5" s="1"/>
  <c r="A94" i="5"/>
  <c r="J94" i="5" s="1"/>
  <c r="N93" i="5"/>
  <c r="M93" i="5"/>
  <c r="K93" i="5"/>
  <c r="J93" i="5"/>
  <c r="D93" i="5"/>
  <c r="C93" i="5"/>
  <c r="A93" i="5"/>
  <c r="K92" i="5"/>
  <c r="J92" i="5"/>
  <c r="A92" i="5"/>
  <c r="K91" i="5"/>
  <c r="J91" i="5"/>
  <c r="A91" i="5"/>
  <c r="N91" i="5" s="1"/>
  <c r="N90" i="5"/>
  <c r="M90" i="5"/>
  <c r="L90" i="5"/>
  <c r="K90" i="5"/>
  <c r="E90" i="5"/>
  <c r="G90" i="5" s="1"/>
  <c r="D90" i="5"/>
  <c r="C90" i="5"/>
  <c r="B90" i="5"/>
  <c r="O90" i="5" s="1"/>
  <c r="A90" i="5"/>
  <c r="J90" i="5" s="1"/>
  <c r="M89" i="5"/>
  <c r="L89" i="5"/>
  <c r="J89" i="5"/>
  <c r="E89" i="5"/>
  <c r="G89" i="5" s="1"/>
  <c r="C89" i="5"/>
  <c r="B89" i="5"/>
  <c r="O89" i="5" s="1"/>
  <c r="A89" i="5"/>
  <c r="K89" i="5" s="1"/>
  <c r="M88" i="5"/>
  <c r="L88" i="5"/>
  <c r="C88" i="5"/>
  <c r="B88" i="5"/>
  <c r="O88" i="5" s="1"/>
  <c r="A88" i="5"/>
  <c r="K88" i="5" s="1"/>
  <c r="N87" i="5"/>
  <c r="M87" i="5"/>
  <c r="J87" i="5"/>
  <c r="G87" i="5"/>
  <c r="F87" i="5"/>
  <c r="D87" i="5"/>
  <c r="B87" i="5"/>
  <c r="O87" i="5" s="1"/>
  <c r="A87" i="5"/>
  <c r="E87" i="5" s="1"/>
  <c r="H87" i="5" s="1"/>
  <c r="N86" i="5"/>
  <c r="M86" i="5"/>
  <c r="L86" i="5"/>
  <c r="K86" i="5"/>
  <c r="H86" i="5"/>
  <c r="G86" i="5"/>
  <c r="E86" i="5"/>
  <c r="F86" i="5" s="1"/>
  <c r="D86" i="5"/>
  <c r="C86" i="5"/>
  <c r="B86" i="5"/>
  <c r="O86" i="5" s="1"/>
  <c r="A86" i="5"/>
  <c r="J86" i="5" s="1"/>
  <c r="N85" i="5"/>
  <c r="E85" i="5"/>
  <c r="A85" i="5"/>
  <c r="M84" i="5"/>
  <c r="D84" i="5"/>
  <c r="A84" i="5"/>
  <c r="K83" i="5"/>
  <c r="J83" i="5"/>
  <c r="E83" i="5"/>
  <c r="G83" i="5" s="1"/>
  <c r="A83" i="5"/>
  <c r="N82" i="5"/>
  <c r="M82" i="5"/>
  <c r="L82" i="5"/>
  <c r="K82" i="5"/>
  <c r="E82" i="5"/>
  <c r="D82" i="5"/>
  <c r="C82" i="5"/>
  <c r="B82" i="5"/>
  <c r="O82" i="5" s="1"/>
  <c r="A82" i="5"/>
  <c r="J82" i="5" s="1"/>
  <c r="A81" i="5"/>
  <c r="C81" i="5" s="1"/>
  <c r="M80" i="5"/>
  <c r="L80" i="5"/>
  <c r="J80" i="5"/>
  <c r="C80" i="5"/>
  <c r="B80" i="5"/>
  <c r="O80" i="5" s="1"/>
  <c r="A80" i="5"/>
  <c r="D80" i="5" s="1"/>
  <c r="M79" i="5"/>
  <c r="K79" i="5"/>
  <c r="D79" i="5"/>
  <c r="B79" i="5"/>
  <c r="O79" i="5" s="1"/>
  <c r="A79" i="5"/>
  <c r="N79" i="5" s="1"/>
  <c r="N78" i="5"/>
  <c r="M78" i="5"/>
  <c r="L78" i="5"/>
  <c r="K78" i="5"/>
  <c r="H78" i="5"/>
  <c r="G78" i="5"/>
  <c r="F78" i="5"/>
  <c r="E78" i="5"/>
  <c r="D78" i="5"/>
  <c r="C78" i="5"/>
  <c r="B78" i="5"/>
  <c r="O78" i="5" s="1"/>
  <c r="A78" i="5"/>
  <c r="J78" i="5" s="1"/>
  <c r="N77" i="5"/>
  <c r="M77" i="5"/>
  <c r="E77" i="5"/>
  <c r="D77" i="5"/>
  <c r="A77" i="5"/>
  <c r="K76" i="5"/>
  <c r="J76" i="5"/>
  <c r="D76" i="5"/>
  <c r="A76" i="5"/>
  <c r="N75" i="5"/>
  <c r="K75" i="5"/>
  <c r="J75" i="5"/>
  <c r="E75" i="5"/>
  <c r="D75" i="5"/>
  <c r="A75" i="5"/>
  <c r="A74" i="5"/>
  <c r="E73" i="5"/>
  <c r="G73" i="5" s="1"/>
  <c r="C73" i="5"/>
  <c r="B73" i="5"/>
  <c r="O73" i="5" s="1"/>
  <c r="A73" i="5"/>
  <c r="C72" i="5"/>
  <c r="B72" i="5"/>
  <c r="A72" i="5"/>
  <c r="K72" i="5" s="1"/>
  <c r="G71" i="5"/>
  <c r="F71" i="5"/>
  <c r="D71" i="5"/>
  <c r="B71" i="5"/>
  <c r="A71" i="5"/>
  <c r="E71" i="5" s="1"/>
  <c r="H71" i="5" s="1"/>
  <c r="H70" i="5"/>
  <c r="G70" i="5"/>
  <c r="E70" i="5"/>
  <c r="F70" i="5" s="1"/>
  <c r="C70" i="5"/>
  <c r="B70" i="5"/>
  <c r="A70" i="5"/>
  <c r="A69" i="5"/>
  <c r="A68" i="5"/>
  <c r="A67" i="5"/>
  <c r="K66" i="5"/>
  <c r="F66" i="5"/>
  <c r="E66" i="5"/>
  <c r="C66" i="5"/>
  <c r="B66" i="5"/>
  <c r="O66" i="5" s="1"/>
  <c r="A66" i="5"/>
  <c r="K65" i="5"/>
  <c r="C65" i="5"/>
  <c r="B65" i="5"/>
  <c r="A65" i="5"/>
  <c r="H64" i="5"/>
  <c r="G64" i="5"/>
  <c r="C64" i="5"/>
  <c r="A64" i="5"/>
  <c r="E64" i="5" s="1"/>
  <c r="F64" i="5" s="1"/>
  <c r="A63" i="5"/>
  <c r="H62" i="5"/>
  <c r="G62" i="5"/>
  <c r="E62" i="5"/>
  <c r="F62" i="5" s="1"/>
  <c r="C62" i="5"/>
  <c r="B62" i="5"/>
  <c r="O62" i="5" s="1"/>
  <c r="A62" i="5"/>
  <c r="E61" i="5"/>
  <c r="G61" i="5" s="1"/>
  <c r="B61" i="5"/>
  <c r="O61" i="5" s="1"/>
  <c r="A61" i="5"/>
  <c r="C60" i="5"/>
  <c r="A60" i="5"/>
  <c r="B59" i="5"/>
  <c r="A59" i="5"/>
  <c r="K58" i="5"/>
  <c r="H58" i="5"/>
  <c r="G58" i="5"/>
  <c r="E58" i="5"/>
  <c r="F58" i="5" s="1"/>
  <c r="C58" i="5"/>
  <c r="B58" i="5"/>
  <c r="A58" i="5"/>
  <c r="O57" i="5"/>
  <c r="H57" i="5"/>
  <c r="E57" i="5"/>
  <c r="G57" i="5" s="1"/>
  <c r="C57" i="5"/>
  <c r="B57" i="5"/>
  <c r="A57" i="5"/>
  <c r="K57" i="5" s="1"/>
  <c r="A56" i="5"/>
  <c r="E55" i="5"/>
  <c r="H55" i="5" s="1"/>
  <c r="A55" i="5"/>
  <c r="H54" i="5"/>
  <c r="G54" i="5"/>
  <c r="E54" i="5"/>
  <c r="F54" i="5" s="1"/>
  <c r="C54" i="5"/>
  <c r="B54" i="5"/>
  <c r="O54" i="5" s="1"/>
  <c r="A54" i="5"/>
  <c r="B53" i="5"/>
  <c r="A53" i="5"/>
  <c r="A52" i="5"/>
  <c r="G51" i="5"/>
  <c r="E51" i="5"/>
  <c r="H51" i="5" s="1"/>
  <c r="D51" i="5"/>
  <c r="B51" i="5"/>
  <c r="O51" i="5" s="1"/>
  <c r="A51" i="5"/>
  <c r="E50" i="5"/>
  <c r="F50" i="5" s="1"/>
  <c r="C50" i="5"/>
  <c r="B50" i="5"/>
  <c r="K50" i="5" s="1"/>
  <c r="A50" i="5"/>
  <c r="A49" i="5"/>
  <c r="C48" i="5"/>
  <c r="A48" i="5"/>
  <c r="B47" i="5"/>
  <c r="A47" i="5"/>
  <c r="K46" i="5"/>
  <c r="E46" i="5"/>
  <c r="F46" i="5" s="1"/>
  <c r="C46" i="5"/>
  <c r="B46" i="5"/>
  <c r="A46" i="5"/>
  <c r="O45" i="5"/>
  <c r="E45" i="5"/>
  <c r="G45" i="5" s="1"/>
  <c r="C45" i="5"/>
  <c r="K45" i="5" s="1"/>
  <c r="B45" i="5"/>
  <c r="A45" i="5"/>
  <c r="C44" i="5"/>
  <c r="A44" i="5"/>
  <c r="A43" i="5"/>
  <c r="H42" i="5"/>
  <c r="E42" i="5"/>
  <c r="F42" i="5" s="1"/>
  <c r="D42" i="5"/>
  <c r="C42" i="5"/>
  <c r="K42" i="5" s="1"/>
  <c r="L42" i="5" s="1"/>
  <c r="B42" i="5"/>
  <c r="A42" i="5"/>
  <c r="C41" i="5"/>
  <c r="B41" i="5"/>
  <c r="K41" i="5" s="1"/>
  <c r="A41" i="5"/>
  <c r="A40" i="5"/>
  <c r="O39" i="5"/>
  <c r="E39" i="5"/>
  <c r="H39" i="5" s="1"/>
  <c r="D39" i="5"/>
  <c r="B39" i="5"/>
  <c r="A39" i="5"/>
  <c r="H38" i="5"/>
  <c r="G38" i="5"/>
  <c r="E38" i="5"/>
  <c r="F38" i="5" s="1"/>
  <c r="C38" i="5"/>
  <c r="B38" i="5"/>
  <c r="K38" i="5" s="1"/>
  <c r="A38" i="5"/>
  <c r="A37" i="5"/>
  <c r="C36" i="5"/>
  <c r="A36" i="5"/>
  <c r="B35" i="5"/>
  <c r="A35" i="5"/>
  <c r="G34" i="5"/>
  <c r="E34" i="5"/>
  <c r="F34" i="5" s="1"/>
  <c r="C34" i="5"/>
  <c r="B34" i="5"/>
  <c r="A34" i="5"/>
  <c r="E33" i="5"/>
  <c r="G33" i="5" s="1"/>
  <c r="A33" i="5"/>
  <c r="C32" i="5"/>
  <c r="A32" i="5"/>
  <c r="A31" i="5"/>
  <c r="E31" i="5" s="1"/>
  <c r="K30" i="5"/>
  <c r="E30" i="5"/>
  <c r="F30" i="5" s="1"/>
  <c r="D30" i="5"/>
  <c r="L30" i="5" s="1"/>
  <c r="C30" i="5"/>
  <c r="B30" i="5"/>
  <c r="A30" i="5"/>
  <c r="E29" i="5"/>
  <c r="G29" i="5" s="1"/>
  <c r="C29" i="5"/>
  <c r="A29" i="5"/>
  <c r="A28" i="5"/>
  <c r="E27" i="5"/>
  <c r="H27" i="5" s="1"/>
  <c r="A27" i="5"/>
  <c r="K26" i="5"/>
  <c r="H26" i="5"/>
  <c r="G26" i="5"/>
  <c r="E26" i="5"/>
  <c r="F26" i="5" s="1"/>
  <c r="C26" i="5"/>
  <c r="B26" i="5"/>
  <c r="A26" i="5"/>
  <c r="H25" i="5"/>
  <c r="E25" i="5"/>
  <c r="G25" i="5" s="1"/>
  <c r="C25" i="5"/>
  <c r="B25" i="5"/>
  <c r="O25" i="5" s="1"/>
  <c r="A25" i="5"/>
  <c r="K25" i="5" s="1"/>
  <c r="A24" i="5"/>
  <c r="A23" i="5"/>
  <c r="E22" i="5"/>
  <c r="H22" i="5" s="1"/>
  <c r="B22" i="5"/>
  <c r="A22" i="5"/>
  <c r="H21" i="5"/>
  <c r="G21" i="5"/>
  <c r="E21" i="5"/>
  <c r="F21" i="5" s="1"/>
  <c r="C21" i="5"/>
  <c r="B21" i="5"/>
  <c r="K21" i="5" s="1"/>
  <c r="A21" i="5"/>
  <c r="A20" i="5"/>
  <c r="C19" i="5"/>
  <c r="A19" i="5"/>
  <c r="E18" i="5"/>
  <c r="H18" i="5" s="1"/>
  <c r="B18" i="5"/>
  <c r="A18" i="5"/>
  <c r="H17" i="5"/>
  <c r="G17" i="5"/>
  <c r="E17" i="5"/>
  <c r="F17" i="5" s="1"/>
  <c r="C17" i="5"/>
  <c r="B17" i="5"/>
  <c r="K17" i="5" s="1"/>
  <c r="A17" i="5"/>
  <c r="A16" i="5"/>
  <c r="C15" i="5"/>
  <c r="A15" i="5"/>
  <c r="E14" i="5"/>
  <c r="H14" i="5" s="1"/>
  <c r="B14" i="5"/>
  <c r="A14" i="5"/>
  <c r="H13" i="5"/>
  <c r="G13" i="5"/>
  <c r="E13" i="5"/>
  <c r="F13" i="5" s="1"/>
  <c r="C13" i="5"/>
  <c r="B13" i="5"/>
  <c r="K13" i="5" s="1"/>
  <c r="A13" i="5"/>
  <c r="A12" i="5"/>
  <c r="C11" i="5"/>
  <c r="A11" i="5"/>
  <c r="E10" i="5"/>
  <c r="H10" i="5" s="1"/>
  <c r="B10" i="5"/>
  <c r="A10" i="5"/>
  <c r="H9" i="5"/>
  <c r="G9" i="5"/>
  <c r="E9" i="5"/>
  <c r="F9" i="5" s="1"/>
  <c r="C9" i="5"/>
  <c r="B9" i="5"/>
  <c r="K9" i="5" s="1"/>
  <c r="A9" i="5"/>
  <c r="A8" i="5"/>
  <c r="C7" i="5"/>
  <c r="A7" i="5"/>
  <c r="E6" i="5"/>
  <c r="H6" i="5" s="1"/>
  <c r="B6" i="5"/>
  <c r="A6" i="5"/>
  <c r="H5" i="5"/>
  <c r="G5" i="5"/>
  <c r="E5" i="5"/>
  <c r="F5" i="5" s="1"/>
  <c r="C5" i="5"/>
  <c r="B5" i="5"/>
  <c r="K5" i="5" s="1"/>
  <c r="A5" i="5"/>
  <c r="A4" i="5"/>
  <c r="L500" i="4"/>
  <c r="L499" i="4"/>
  <c r="L498" i="4"/>
  <c r="L497" i="4"/>
  <c r="L496" i="4"/>
  <c r="L495" i="4"/>
  <c r="L494" i="4"/>
  <c r="L493" i="4"/>
  <c r="L492" i="4"/>
  <c r="L491" i="4"/>
  <c r="L490" i="4"/>
  <c r="L489" i="4"/>
  <c r="L488" i="4"/>
  <c r="L487" i="4"/>
  <c r="L486" i="4"/>
  <c r="L485" i="4"/>
  <c r="L484" i="4"/>
  <c r="L483" i="4"/>
  <c r="L482" i="4"/>
  <c r="L481" i="4"/>
  <c r="L480" i="4"/>
  <c r="L479" i="4"/>
  <c r="L478" i="4"/>
  <c r="L477" i="4"/>
  <c r="L476" i="4"/>
  <c r="L475" i="4"/>
  <c r="L474" i="4"/>
  <c r="L473" i="4"/>
  <c r="L472" i="4"/>
  <c r="L471" i="4"/>
  <c r="L470" i="4"/>
  <c r="L469" i="4"/>
  <c r="L468" i="4"/>
  <c r="L467" i="4"/>
  <c r="L466" i="4"/>
  <c r="L465" i="4"/>
  <c r="L464" i="4"/>
  <c r="L463" i="4"/>
  <c r="L462" i="4"/>
  <c r="L461" i="4"/>
  <c r="L460" i="4"/>
  <c r="L459" i="4"/>
  <c r="L458" i="4"/>
  <c r="L457" i="4"/>
  <c r="L456" i="4"/>
  <c r="L455" i="4"/>
  <c r="L454" i="4"/>
  <c r="L453" i="4"/>
  <c r="L452" i="4"/>
  <c r="L451" i="4"/>
  <c r="L450" i="4"/>
  <c r="L449" i="4"/>
  <c r="L448" i="4"/>
  <c r="L447" i="4"/>
  <c r="L446" i="4"/>
  <c r="L445" i="4"/>
  <c r="L444" i="4"/>
  <c r="L443" i="4"/>
  <c r="L442" i="4"/>
  <c r="L441" i="4"/>
  <c r="L440" i="4"/>
  <c r="L439" i="4"/>
  <c r="L438" i="4"/>
  <c r="L437" i="4"/>
  <c r="L436" i="4"/>
  <c r="L435" i="4"/>
  <c r="L434" i="4"/>
  <c r="L433" i="4"/>
  <c r="L432" i="4"/>
  <c r="L431" i="4"/>
  <c r="L430" i="4"/>
  <c r="L429" i="4"/>
  <c r="L428" i="4"/>
  <c r="L427" i="4"/>
  <c r="L426" i="4"/>
  <c r="L425" i="4"/>
  <c r="L424" i="4"/>
  <c r="L423" i="4"/>
  <c r="L422" i="4"/>
  <c r="L421" i="4"/>
  <c r="L420" i="4"/>
  <c r="L419" i="4"/>
  <c r="L418" i="4"/>
  <c r="L417" i="4"/>
  <c r="L416" i="4"/>
  <c r="L415" i="4"/>
  <c r="L414" i="4"/>
  <c r="L413" i="4"/>
  <c r="L412" i="4"/>
  <c r="L411" i="4"/>
  <c r="L410" i="4"/>
  <c r="L409" i="4"/>
  <c r="L408" i="4"/>
  <c r="L407" i="4"/>
  <c r="L406" i="4"/>
  <c r="L405" i="4"/>
  <c r="L404" i="4"/>
  <c r="L403" i="4"/>
  <c r="L402" i="4"/>
  <c r="L401" i="4"/>
  <c r="L400" i="4"/>
  <c r="L399" i="4"/>
  <c r="L398" i="4"/>
  <c r="L397" i="4"/>
  <c r="L396" i="4"/>
  <c r="L395" i="4"/>
  <c r="L394" i="4"/>
  <c r="L393" i="4"/>
  <c r="L392" i="4"/>
  <c r="L391" i="4"/>
  <c r="L390" i="4"/>
  <c r="L389" i="4"/>
  <c r="L388" i="4"/>
  <c r="L387" i="4"/>
  <c r="L386" i="4"/>
  <c r="L385" i="4"/>
  <c r="L384" i="4"/>
  <c r="L383" i="4"/>
  <c r="L382" i="4"/>
  <c r="L381" i="4"/>
  <c r="L380" i="4"/>
  <c r="L379" i="4"/>
  <c r="L378" i="4"/>
  <c r="L377" i="4"/>
  <c r="L376" i="4"/>
  <c r="L375" i="4"/>
  <c r="L374" i="4"/>
  <c r="L373" i="4"/>
  <c r="L372" i="4"/>
  <c r="L371" i="4"/>
  <c r="L370" i="4"/>
  <c r="L369" i="4"/>
  <c r="L368" i="4"/>
  <c r="L367" i="4"/>
  <c r="L366" i="4"/>
  <c r="L365" i="4"/>
  <c r="L364" i="4"/>
  <c r="L363" i="4"/>
  <c r="L362" i="4"/>
  <c r="L361" i="4"/>
  <c r="L360" i="4"/>
  <c r="L359" i="4"/>
  <c r="L358" i="4"/>
  <c r="L357" i="4"/>
  <c r="L356" i="4"/>
  <c r="L355" i="4"/>
  <c r="L354" i="4"/>
  <c r="L353" i="4"/>
  <c r="L352" i="4"/>
  <c r="L351" i="4"/>
  <c r="L350" i="4"/>
  <c r="L349" i="4"/>
  <c r="L348" i="4"/>
  <c r="L347" i="4"/>
  <c r="L346" i="4"/>
  <c r="L345" i="4"/>
  <c r="L344" i="4"/>
  <c r="L343" i="4"/>
  <c r="L342" i="4"/>
  <c r="L341" i="4"/>
  <c r="L340" i="4"/>
  <c r="L339" i="4"/>
  <c r="L338" i="4"/>
  <c r="L337" i="4"/>
  <c r="L336" i="4"/>
  <c r="L335" i="4"/>
  <c r="L334" i="4"/>
  <c r="L333" i="4"/>
  <c r="L332" i="4"/>
  <c r="L331" i="4"/>
  <c r="L330" i="4"/>
  <c r="L329" i="4"/>
  <c r="L328" i="4"/>
  <c r="L327" i="4"/>
  <c r="L326" i="4"/>
  <c r="L325" i="4"/>
  <c r="L324" i="4"/>
  <c r="L323" i="4"/>
  <c r="L322" i="4"/>
  <c r="L321" i="4"/>
  <c r="L320" i="4"/>
  <c r="L319" i="4"/>
  <c r="L318" i="4"/>
  <c r="L317" i="4"/>
  <c r="L316" i="4"/>
  <c r="L315" i="4"/>
  <c r="L314" i="4"/>
  <c r="L313" i="4"/>
  <c r="L312" i="4"/>
  <c r="L311" i="4"/>
  <c r="L310" i="4"/>
  <c r="L309" i="4"/>
  <c r="L308" i="4"/>
  <c r="L307" i="4"/>
  <c r="L306" i="4"/>
  <c r="L305" i="4"/>
  <c r="L304" i="4"/>
  <c r="L303" i="4"/>
  <c r="L302" i="4"/>
  <c r="L301" i="4"/>
  <c r="L300" i="4"/>
  <c r="L299" i="4"/>
  <c r="L298" i="4"/>
  <c r="L297" i="4"/>
  <c r="L296" i="4"/>
  <c r="L295" i="4"/>
  <c r="L294" i="4"/>
  <c r="L293" i="4"/>
  <c r="L292" i="4"/>
  <c r="L291" i="4"/>
  <c r="L290" i="4"/>
  <c r="L289" i="4"/>
  <c r="L288" i="4"/>
  <c r="L287" i="4"/>
  <c r="L286" i="4"/>
  <c r="L285" i="4"/>
  <c r="L284" i="4"/>
  <c r="L283" i="4"/>
  <c r="L282" i="4"/>
  <c r="L281" i="4"/>
  <c r="L280" i="4"/>
  <c r="L279" i="4"/>
  <c r="L278" i="4"/>
  <c r="L277" i="4"/>
  <c r="L276" i="4"/>
  <c r="L275" i="4"/>
  <c r="L274" i="4"/>
  <c r="L273" i="4"/>
  <c r="L272" i="4"/>
  <c r="L271" i="4"/>
  <c r="L270" i="4"/>
  <c r="L269" i="4"/>
  <c r="L268" i="4"/>
  <c r="L267" i="4"/>
  <c r="L266" i="4"/>
  <c r="L265" i="4"/>
  <c r="L264" i="4"/>
  <c r="L263" i="4"/>
  <c r="L262" i="4"/>
  <c r="L261" i="4"/>
  <c r="L260" i="4"/>
  <c r="L259" i="4"/>
  <c r="L258" i="4"/>
  <c r="L257" i="4"/>
  <c r="L256" i="4"/>
  <c r="L255" i="4"/>
  <c r="L254" i="4"/>
  <c r="L253" i="4"/>
  <c r="L252" i="4"/>
  <c r="L251" i="4"/>
  <c r="L250" i="4"/>
  <c r="L249" i="4"/>
  <c r="L248" i="4"/>
  <c r="L247" i="4"/>
  <c r="L246" i="4"/>
  <c r="L245" i="4"/>
  <c r="L244" i="4"/>
  <c r="L243" i="4"/>
  <c r="L242" i="4"/>
  <c r="L241" i="4"/>
  <c r="L240" i="4"/>
  <c r="L239" i="4"/>
  <c r="L238" i="4"/>
  <c r="L237" i="4"/>
  <c r="L236" i="4"/>
  <c r="L235" i="4"/>
  <c r="L234" i="4"/>
  <c r="L233" i="4"/>
  <c r="L232" i="4"/>
  <c r="L231" i="4"/>
  <c r="L230" i="4"/>
  <c r="L229" i="4"/>
  <c r="L228" i="4"/>
  <c r="L227" i="4"/>
  <c r="L226" i="4"/>
  <c r="L225" i="4"/>
  <c r="L224" i="4"/>
  <c r="L223" i="4"/>
  <c r="L222" i="4"/>
  <c r="L221" i="4"/>
  <c r="L220" i="4"/>
  <c r="L219" i="4"/>
  <c r="L218" i="4"/>
  <c r="L217" i="4"/>
  <c r="L216" i="4"/>
  <c r="L215" i="4"/>
  <c r="L214" i="4"/>
  <c r="L213" i="4"/>
  <c r="L212" i="4"/>
  <c r="L211" i="4"/>
  <c r="L210" i="4"/>
  <c r="L209" i="4"/>
  <c r="L208" i="4"/>
  <c r="L207" i="4"/>
  <c r="L206" i="4"/>
  <c r="L205" i="4"/>
  <c r="L204" i="4"/>
  <c r="L203" i="4"/>
  <c r="L202" i="4"/>
  <c r="L201" i="4"/>
  <c r="L200" i="4"/>
  <c r="L199" i="4"/>
  <c r="L198" i="4"/>
  <c r="L197" i="4"/>
  <c r="L196" i="4"/>
  <c r="L195" i="4"/>
  <c r="L194" i="4"/>
  <c r="L193" i="4"/>
  <c r="L192" i="4"/>
  <c r="L191" i="4"/>
  <c r="L190" i="4"/>
  <c r="L189" i="4"/>
  <c r="L188" i="4"/>
  <c r="L187" i="4"/>
  <c r="L186" i="4"/>
  <c r="L185" i="4"/>
  <c r="L184" i="4"/>
  <c r="L183" i="4"/>
  <c r="L182" i="4"/>
  <c r="L181" i="4"/>
  <c r="L180" i="4"/>
  <c r="L179" i="4"/>
  <c r="L178" i="4"/>
  <c r="L177" i="4"/>
  <c r="L176" i="4"/>
  <c r="L175" i="4"/>
  <c r="L174" i="4"/>
  <c r="L173" i="4"/>
  <c r="L172" i="4"/>
  <c r="L171" i="4"/>
  <c r="L170" i="4"/>
  <c r="L169" i="4"/>
  <c r="L168" i="4"/>
  <c r="L167" i="4"/>
  <c r="L166" i="4"/>
  <c r="L165" i="4"/>
  <c r="L164" i="4"/>
  <c r="L163" i="4"/>
  <c r="L162" i="4"/>
  <c r="L161" i="4"/>
  <c r="L160" i="4"/>
  <c r="L159" i="4"/>
  <c r="L158" i="4"/>
  <c r="L157" i="4"/>
  <c r="L156" i="4"/>
  <c r="L155" i="4"/>
  <c r="L154" i="4"/>
  <c r="L153" i="4"/>
  <c r="L152" i="4"/>
  <c r="L151" i="4"/>
  <c r="L150" i="4"/>
  <c r="L149" i="4"/>
  <c r="L148" i="4"/>
  <c r="L147" i="4"/>
  <c r="L146" i="4"/>
  <c r="L145" i="4"/>
  <c r="L144" i="4"/>
  <c r="L143" i="4"/>
  <c r="L142" i="4"/>
  <c r="L141" i="4"/>
  <c r="L140" i="4"/>
  <c r="L139" i="4"/>
  <c r="L138" i="4"/>
  <c r="L137" i="4"/>
  <c r="L136" i="4"/>
  <c r="L135" i="4"/>
  <c r="L134" i="4"/>
  <c r="L133" i="4"/>
  <c r="L132" i="4"/>
  <c r="L131" i="4"/>
  <c r="L130" i="4"/>
  <c r="L129" i="4"/>
  <c r="L128" i="4"/>
  <c r="L127" i="4"/>
  <c r="L126" i="4"/>
  <c r="L125" i="4"/>
  <c r="L124" i="4"/>
  <c r="L123" i="4"/>
  <c r="L122" i="4"/>
  <c r="L121" i="4"/>
  <c r="L120" i="4"/>
  <c r="L119" i="4"/>
  <c r="L118" i="4"/>
  <c r="L117" i="4"/>
  <c r="L116" i="4"/>
  <c r="L115" i="4"/>
  <c r="L114" i="4"/>
  <c r="L113" i="4"/>
  <c r="L112" i="4"/>
  <c r="L111" i="4"/>
  <c r="L110" i="4"/>
  <c r="L109" i="4"/>
  <c r="L108" i="4"/>
  <c r="L107" i="4"/>
  <c r="L106" i="4"/>
  <c r="L105" i="4"/>
  <c r="L104" i="4"/>
  <c r="N103" i="4"/>
  <c r="M103" i="4"/>
  <c r="L103" i="4"/>
  <c r="K103" i="4"/>
  <c r="H103" i="4"/>
  <c r="G103" i="4"/>
  <c r="E103" i="4"/>
  <c r="F103" i="4" s="1"/>
  <c r="D103" i="4"/>
  <c r="C103" i="4"/>
  <c r="B103" i="4"/>
  <c r="A103" i="4"/>
  <c r="J103" i="4" s="1"/>
  <c r="A102" i="4"/>
  <c r="N102" i="4" s="1"/>
  <c r="N101" i="4"/>
  <c r="K101" i="4"/>
  <c r="E101" i="4"/>
  <c r="H101" i="4" s="1"/>
  <c r="B101" i="4"/>
  <c r="A101" i="4"/>
  <c r="M101" i="4" s="1"/>
  <c r="N100" i="4"/>
  <c r="M100" i="4"/>
  <c r="L100" i="4"/>
  <c r="K100" i="4"/>
  <c r="H100" i="4"/>
  <c r="G100" i="4"/>
  <c r="E100" i="4"/>
  <c r="F100" i="4" s="1"/>
  <c r="D100" i="4"/>
  <c r="C100" i="4"/>
  <c r="B100" i="4"/>
  <c r="O100" i="4" s="1"/>
  <c r="A100" i="4"/>
  <c r="J100" i="4" s="1"/>
  <c r="A99" i="4"/>
  <c r="N99" i="4" s="1"/>
  <c r="M98" i="4"/>
  <c r="L98" i="4"/>
  <c r="D98" i="4"/>
  <c r="C98" i="4"/>
  <c r="A98" i="4"/>
  <c r="N98" i="4" s="1"/>
  <c r="O97" i="4"/>
  <c r="N97" i="4"/>
  <c r="K97" i="4"/>
  <c r="E97" i="4"/>
  <c r="H97" i="4" s="1"/>
  <c r="B97" i="4"/>
  <c r="A97" i="4"/>
  <c r="M97" i="4" s="1"/>
  <c r="N96" i="4"/>
  <c r="M96" i="4"/>
  <c r="L96" i="4"/>
  <c r="K96" i="4"/>
  <c r="H96" i="4"/>
  <c r="G96" i="4"/>
  <c r="E96" i="4"/>
  <c r="F96" i="4" s="1"/>
  <c r="D96" i="4"/>
  <c r="C96" i="4"/>
  <c r="B96" i="4"/>
  <c r="O96" i="4" s="1"/>
  <c r="A96" i="4"/>
  <c r="J96" i="4" s="1"/>
  <c r="A95" i="4"/>
  <c r="N95" i="4" s="1"/>
  <c r="M94" i="4"/>
  <c r="L94" i="4"/>
  <c r="D94" i="4"/>
  <c r="C94" i="4"/>
  <c r="A94" i="4"/>
  <c r="N94" i="4" s="1"/>
  <c r="O93" i="4"/>
  <c r="N93" i="4"/>
  <c r="K93" i="4"/>
  <c r="E93" i="4"/>
  <c r="H93" i="4" s="1"/>
  <c r="B93" i="4"/>
  <c r="A93" i="4"/>
  <c r="M93" i="4" s="1"/>
  <c r="N92" i="4"/>
  <c r="M92" i="4"/>
  <c r="L92" i="4"/>
  <c r="K92" i="4"/>
  <c r="H92" i="4"/>
  <c r="G92" i="4"/>
  <c r="E92" i="4"/>
  <c r="F92" i="4" s="1"/>
  <c r="D92" i="4"/>
  <c r="C92" i="4"/>
  <c r="B92" i="4"/>
  <c r="O92" i="4" s="1"/>
  <c r="A92" i="4"/>
  <c r="J92" i="4" s="1"/>
  <c r="A91" i="4"/>
  <c r="N91" i="4" s="1"/>
  <c r="M90" i="4"/>
  <c r="L90" i="4"/>
  <c r="D90" i="4"/>
  <c r="C90" i="4"/>
  <c r="A90" i="4"/>
  <c r="N90" i="4" s="1"/>
  <c r="O89" i="4"/>
  <c r="N89" i="4"/>
  <c r="K89" i="4"/>
  <c r="E89" i="4"/>
  <c r="H89" i="4" s="1"/>
  <c r="B89" i="4"/>
  <c r="A89" i="4"/>
  <c r="M89" i="4" s="1"/>
  <c r="N88" i="4"/>
  <c r="M88" i="4"/>
  <c r="L88" i="4"/>
  <c r="K88" i="4"/>
  <c r="H88" i="4"/>
  <c r="G88" i="4"/>
  <c r="E88" i="4"/>
  <c r="F88" i="4" s="1"/>
  <c r="D88" i="4"/>
  <c r="C88" i="4"/>
  <c r="B88" i="4"/>
  <c r="O88" i="4" s="1"/>
  <c r="A88" i="4"/>
  <c r="J88" i="4" s="1"/>
  <c r="A87" i="4"/>
  <c r="J87" i="4" s="1"/>
  <c r="M86" i="4"/>
  <c r="L86" i="4"/>
  <c r="D86" i="4"/>
  <c r="C86" i="4"/>
  <c r="A86" i="4"/>
  <c r="N86" i="4" s="1"/>
  <c r="O85" i="4"/>
  <c r="N85" i="4"/>
  <c r="K85" i="4"/>
  <c r="E85" i="4"/>
  <c r="H85" i="4" s="1"/>
  <c r="B85" i="4"/>
  <c r="A85" i="4"/>
  <c r="M85" i="4" s="1"/>
  <c r="N84" i="4"/>
  <c r="M84" i="4"/>
  <c r="L84" i="4"/>
  <c r="K84" i="4"/>
  <c r="H84" i="4"/>
  <c r="G84" i="4"/>
  <c r="E84" i="4"/>
  <c r="F84" i="4" s="1"/>
  <c r="D84" i="4"/>
  <c r="C84" i="4"/>
  <c r="B84" i="4"/>
  <c r="O84" i="4" s="1"/>
  <c r="A84" i="4"/>
  <c r="J84" i="4" s="1"/>
  <c r="A83" i="4"/>
  <c r="N83" i="4" s="1"/>
  <c r="M82" i="4"/>
  <c r="L82" i="4"/>
  <c r="D82" i="4"/>
  <c r="C82" i="4"/>
  <c r="A82" i="4"/>
  <c r="N82" i="4" s="1"/>
  <c r="O81" i="4"/>
  <c r="N81" i="4"/>
  <c r="K81" i="4"/>
  <c r="E81" i="4"/>
  <c r="H81" i="4" s="1"/>
  <c r="B81" i="4"/>
  <c r="A81" i="4"/>
  <c r="M81" i="4" s="1"/>
  <c r="N80" i="4"/>
  <c r="M80" i="4"/>
  <c r="L80" i="4"/>
  <c r="K80" i="4"/>
  <c r="H80" i="4"/>
  <c r="G80" i="4"/>
  <c r="E80" i="4"/>
  <c r="F80" i="4" s="1"/>
  <c r="D80" i="4"/>
  <c r="C80" i="4"/>
  <c r="B80" i="4"/>
  <c r="O80" i="4" s="1"/>
  <c r="A80" i="4"/>
  <c r="J80" i="4" s="1"/>
  <c r="A79" i="4"/>
  <c r="N79" i="4" s="1"/>
  <c r="M78" i="4"/>
  <c r="L78" i="4"/>
  <c r="D78" i="4"/>
  <c r="C78" i="4"/>
  <c r="A78" i="4"/>
  <c r="N78" i="4" s="1"/>
  <c r="O77" i="4"/>
  <c r="N77" i="4"/>
  <c r="K77" i="4"/>
  <c r="E77" i="4"/>
  <c r="H77" i="4" s="1"/>
  <c r="B77" i="4"/>
  <c r="A77" i="4"/>
  <c r="M77" i="4" s="1"/>
  <c r="N76" i="4"/>
  <c r="M76" i="4"/>
  <c r="L76" i="4"/>
  <c r="K76" i="4"/>
  <c r="H76" i="4"/>
  <c r="G76" i="4"/>
  <c r="E76" i="4"/>
  <c r="F76" i="4" s="1"/>
  <c r="D76" i="4"/>
  <c r="C76" i="4"/>
  <c r="B76" i="4"/>
  <c r="O76" i="4" s="1"/>
  <c r="A76" i="4"/>
  <c r="J76" i="4" s="1"/>
  <c r="A75" i="4"/>
  <c r="J75" i="4" s="1"/>
  <c r="A74" i="4"/>
  <c r="E73" i="4"/>
  <c r="H73" i="4" s="1"/>
  <c r="B73" i="4"/>
  <c r="A73" i="4"/>
  <c r="H72" i="4"/>
  <c r="G72" i="4"/>
  <c r="E72" i="4"/>
  <c r="F72" i="4" s="1"/>
  <c r="C72" i="4"/>
  <c r="B72" i="4"/>
  <c r="K72" i="4" s="1"/>
  <c r="A72" i="4"/>
  <c r="A71" i="4"/>
  <c r="C70" i="4"/>
  <c r="A70" i="4"/>
  <c r="E69" i="4"/>
  <c r="H69" i="4" s="1"/>
  <c r="B69" i="4"/>
  <c r="A69" i="4"/>
  <c r="H68" i="4"/>
  <c r="G68" i="4"/>
  <c r="E68" i="4"/>
  <c r="F68" i="4" s="1"/>
  <c r="C68" i="4"/>
  <c r="B68" i="4"/>
  <c r="K68" i="4" s="1"/>
  <c r="A68" i="4"/>
  <c r="A67" i="4"/>
  <c r="C66" i="4"/>
  <c r="A66" i="4"/>
  <c r="E65" i="4"/>
  <c r="H65" i="4" s="1"/>
  <c r="B65" i="4"/>
  <c r="A65" i="4"/>
  <c r="H64" i="4"/>
  <c r="G64" i="4"/>
  <c r="E64" i="4"/>
  <c r="F64" i="4" s="1"/>
  <c r="C64" i="4"/>
  <c r="B64" i="4"/>
  <c r="K64" i="4" s="1"/>
  <c r="A64" i="4"/>
  <c r="A63" i="4"/>
  <c r="C62" i="4"/>
  <c r="A62" i="4"/>
  <c r="E61" i="4"/>
  <c r="H61" i="4" s="1"/>
  <c r="B61" i="4"/>
  <c r="A61" i="4"/>
  <c r="H60" i="4"/>
  <c r="G60" i="4"/>
  <c r="E60" i="4"/>
  <c r="F60" i="4" s="1"/>
  <c r="C60" i="4"/>
  <c r="B60" i="4"/>
  <c r="K60" i="4" s="1"/>
  <c r="A60" i="4"/>
  <c r="A59" i="4"/>
  <c r="C58" i="4"/>
  <c r="A58" i="4"/>
  <c r="E57" i="4"/>
  <c r="H57" i="4" s="1"/>
  <c r="B57" i="4"/>
  <c r="A57" i="4"/>
  <c r="H56" i="4"/>
  <c r="G56" i="4"/>
  <c r="E56" i="4"/>
  <c r="F56" i="4" s="1"/>
  <c r="C56" i="4"/>
  <c r="B56" i="4"/>
  <c r="K56" i="4" s="1"/>
  <c r="A56" i="4"/>
  <c r="A55" i="4"/>
  <c r="C54" i="4"/>
  <c r="A54" i="4"/>
  <c r="E53" i="4"/>
  <c r="H53" i="4" s="1"/>
  <c r="B53" i="4"/>
  <c r="A53" i="4"/>
  <c r="H52" i="4"/>
  <c r="G52" i="4"/>
  <c r="E52" i="4"/>
  <c r="F52" i="4" s="1"/>
  <c r="C52" i="4"/>
  <c r="B52" i="4"/>
  <c r="K52" i="4" s="1"/>
  <c r="A52" i="4"/>
  <c r="A51" i="4"/>
  <c r="C50" i="4"/>
  <c r="A50" i="4"/>
  <c r="E49" i="4"/>
  <c r="H49" i="4" s="1"/>
  <c r="B49" i="4"/>
  <c r="A49" i="4"/>
  <c r="H48" i="4"/>
  <c r="G48" i="4"/>
  <c r="E48" i="4"/>
  <c r="F48" i="4" s="1"/>
  <c r="C48" i="4"/>
  <c r="B48" i="4"/>
  <c r="K48" i="4" s="1"/>
  <c r="A48" i="4"/>
  <c r="A47" i="4"/>
  <c r="C46" i="4"/>
  <c r="A46" i="4"/>
  <c r="E45" i="4"/>
  <c r="H45" i="4" s="1"/>
  <c r="B45" i="4"/>
  <c r="A45" i="4"/>
  <c r="H44" i="4"/>
  <c r="G44" i="4"/>
  <c r="E44" i="4"/>
  <c r="F44" i="4" s="1"/>
  <c r="C44" i="4"/>
  <c r="B44" i="4"/>
  <c r="K44" i="4" s="1"/>
  <c r="A44" i="4"/>
  <c r="A43" i="4"/>
  <c r="C42" i="4"/>
  <c r="A42" i="4"/>
  <c r="E41" i="4"/>
  <c r="H41" i="4" s="1"/>
  <c r="B41" i="4"/>
  <c r="A41" i="4"/>
  <c r="H40" i="4"/>
  <c r="G40" i="4"/>
  <c r="E40" i="4"/>
  <c r="F40" i="4" s="1"/>
  <c r="C40" i="4"/>
  <c r="B40" i="4"/>
  <c r="K40" i="4" s="1"/>
  <c r="A40" i="4"/>
  <c r="A39" i="4"/>
  <c r="C38" i="4"/>
  <c r="A38" i="4"/>
  <c r="E37" i="4"/>
  <c r="H37" i="4" s="1"/>
  <c r="B37" i="4"/>
  <c r="A37" i="4"/>
  <c r="H36" i="4"/>
  <c r="G36" i="4"/>
  <c r="E36" i="4"/>
  <c r="F36" i="4" s="1"/>
  <c r="C36" i="4"/>
  <c r="B36" i="4"/>
  <c r="K36" i="4" s="1"/>
  <c r="A36" i="4"/>
  <c r="A35" i="4"/>
  <c r="C34" i="4"/>
  <c r="A34" i="4"/>
  <c r="E33" i="4"/>
  <c r="H33" i="4" s="1"/>
  <c r="B33" i="4"/>
  <c r="A33" i="4"/>
  <c r="H32" i="4"/>
  <c r="G32" i="4"/>
  <c r="E32" i="4"/>
  <c r="F32" i="4" s="1"/>
  <c r="C32" i="4"/>
  <c r="B32" i="4"/>
  <c r="K32" i="4" s="1"/>
  <c r="A32" i="4"/>
  <c r="A31" i="4"/>
  <c r="C30" i="4"/>
  <c r="A30" i="4"/>
  <c r="E29" i="4"/>
  <c r="H29" i="4" s="1"/>
  <c r="B29" i="4"/>
  <c r="A29" i="4"/>
  <c r="H28" i="4"/>
  <c r="G28" i="4"/>
  <c r="E28" i="4"/>
  <c r="F28" i="4" s="1"/>
  <c r="C28" i="4"/>
  <c r="B28" i="4"/>
  <c r="K28" i="4" s="1"/>
  <c r="A28" i="4"/>
  <c r="A27" i="4"/>
  <c r="C26" i="4"/>
  <c r="A26" i="4"/>
  <c r="E25" i="4"/>
  <c r="H25" i="4" s="1"/>
  <c r="B25" i="4"/>
  <c r="A25" i="4"/>
  <c r="H24" i="4"/>
  <c r="G24" i="4"/>
  <c r="E24" i="4"/>
  <c r="F24" i="4" s="1"/>
  <c r="C24" i="4"/>
  <c r="B24" i="4"/>
  <c r="K24" i="4" s="1"/>
  <c r="A24" i="4"/>
  <c r="A23" i="4"/>
  <c r="C22" i="4"/>
  <c r="A22" i="4"/>
  <c r="E21" i="4"/>
  <c r="H21" i="4" s="1"/>
  <c r="B21" i="4"/>
  <c r="A21" i="4"/>
  <c r="H20" i="4"/>
  <c r="G20" i="4"/>
  <c r="E20" i="4"/>
  <c r="F20" i="4" s="1"/>
  <c r="C20" i="4"/>
  <c r="B20" i="4"/>
  <c r="K20" i="4" s="1"/>
  <c r="L20" i="4" s="1"/>
  <c r="A20" i="4"/>
  <c r="A19" i="4"/>
  <c r="C18" i="4"/>
  <c r="A18" i="4"/>
  <c r="E17" i="4"/>
  <c r="H17" i="4" s="1"/>
  <c r="B17" i="4"/>
  <c r="A17" i="4"/>
  <c r="H16" i="4"/>
  <c r="G16" i="4"/>
  <c r="E16" i="4"/>
  <c r="F16" i="4" s="1"/>
  <c r="C16" i="4"/>
  <c r="B16" i="4"/>
  <c r="K16" i="4" s="1"/>
  <c r="A16" i="4"/>
  <c r="A15" i="4"/>
  <c r="C14" i="4"/>
  <c r="A14" i="4"/>
  <c r="E13" i="4"/>
  <c r="H13" i="4" s="1"/>
  <c r="B13" i="4"/>
  <c r="A13" i="4"/>
  <c r="H12" i="4"/>
  <c r="G12" i="4"/>
  <c r="E12" i="4"/>
  <c r="F12" i="4" s="1"/>
  <c r="C12" i="4"/>
  <c r="B12" i="4"/>
  <c r="K12" i="4" s="1"/>
  <c r="A12" i="4"/>
  <c r="A11" i="4"/>
  <c r="C10" i="4"/>
  <c r="A10" i="4"/>
  <c r="E9" i="4"/>
  <c r="H9" i="4" s="1"/>
  <c r="B9" i="4"/>
  <c r="A9" i="4"/>
  <c r="H8" i="4"/>
  <c r="G8" i="4"/>
  <c r="E8" i="4"/>
  <c r="F8" i="4" s="1"/>
  <c r="C8" i="4"/>
  <c r="B8" i="4"/>
  <c r="K8" i="4" s="1"/>
  <c r="A8" i="4"/>
  <c r="A7" i="4"/>
  <c r="C6" i="4"/>
  <c r="A6" i="4"/>
  <c r="E5" i="4"/>
  <c r="H5" i="4" s="1"/>
  <c r="B5" i="4"/>
  <c r="A5" i="4"/>
  <c r="H4" i="4"/>
  <c r="G4" i="4"/>
  <c r="E4" i="4"/>
  <c r="F4" i="4" s="1"/>
  <c r="C4" i="4"/>
  <c r="B4" i="4"/>
  <c r="K4" i="4" s="1"/>
  <c r="L4" i="4" s="1"/>
  <c r="A4" i="4"/>
  <c r="J86" i="2"/>
  <c r="J85" i="2"/>
  <c r="J84" i="2"/>
  <c r="J83" i="2"/>
  <c r="O6" i="11" s="1"/>
  <c r="J82" i="2"/>
  <c r="J81" i="2"/>
  <c r="J80" i="2"/>
  <c r="J79" i="2"/>
  <c r="O67" i="10" s="1"/>
  <c r="J78" i="2"/>
  <c r="J77" i="2"/>
  <c r="J76" i="2"/>
  <c r="J75" i="2"/>
  <c r="O63" i="10" s="1"/>
  <c r="J74" i="2"/>
  <c r="J73" i="2"/>
  <c r="J72" i="2"/>
  <c r="J71" i="2"/>
  <c r="J70" i="2"/>
  <c r="O22" i="9" s="1"/>
  <c r="J69" i="2"/>
  <c r="J68" i="2"/>
  <c r="O10" i="9" s="1"/>
  <c r="J67" i="2"/>
  <c r="J66" i="2"/>
  <c r="J65" i="2"/>
  <c r="O26" i="9" s="1"/>
  <c r="J64" i="2"/>
  <c r="O30" i="9" s="1"/>
  <c r="J63" i="2"/>
  <c r="J62" i="2"/>
  <c r="J61" i="2"/>
  <c r="O65" i="8" s="1"/>
  <c r="J60" i="2"/>
  <c r="J59" i="2"/>
  <c r="J58" i="2"/>
  <c r="O25" i="8" s="1"/>
  <c r="J57" i="2"/>
  <c r="J56" i="2"/>
  <c r="O69" i="8" s="1"/>
  <c r="J55" i="2"/>
  <c r="O17" i="8" s="1"/>
  <c r="J54" i="2"/>
  <c r="O13" i="8" s="1"/>
  <c r="J53" i="2"/>
  <c r="O73" i="8" s="1"/>
  <c r="J52" i="2"/>
  <c r="O53" i="8" s="1"/>
  <c r="J51" i="2"/>
  <c r="O45" i="8" s="1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O36" i="7" s="1"/>
  <c r="J36" i="2"/>
  <c r="J35" i="2"/>
  <c r="O60" i="7" s="1"/>
  <c r="J34" i="2"/>
  <c r="J33" i="2"/>
  <c r="J32" i="2"/>
  <c r="J31" i="2"/>
  <c r="J30" i="2"/>
  <c r="J29" i="2"/>
  <c r="J28" i="2"/>
  <c r="O28" i="7" s="1"/>
  <c r="J27" i="2"/>
  <c r="J26" i="2"/>
  <c r="J25" i="2"/>
  <c r="J24" i="2"/>
  <c r="J23" i="2"/>
  <c r="J22" i="2"/>
  <c r="J21" i="2"/>
  <c r="O68" i="7" s="1"/>
  <c r="J20" i="2"/>
  <c r="O64" i="7" s="1"/>
  <c r="J19" i="2"/>
  <c r="O47" i="6" s="1"/>
  <c r="J18" i="2"/>
  <c r="O8" i="6" s="1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H8" i="1"/>
  <c r="D8" i="27" s="1"/>
  <c r="G8" i="1"/>
  <c r="F8" i="1"/>
  <c r="B8" i="1"/>
  <c r="B8" i="27" s="1"/>
  <c r="H7" i="1"/>
  <c r="D7" i="27" s="1"/>
  <c r="B7" i="1"/>
  <c r="B7" i="27" s="1"/>
  <c r="I6" i="1"/>
  <c r="E6" i="27" s="1"/>
  <c r="H6" i="1"/>
  <c r="D6" i="27" s="1"/>
  <c r="B6" i="1"/>
  <c r="B6" i="27" s="1"/>
  <c r="H5" i="1"/>
  <c r="D5" i="27" s="1"/>
  <c r="G5" i="1"/>
  <c r="F5" i="1"/>
  <c r="B5" i="1"/>
  <c r="B5" i="27" s="1"/>
  <c r="I4" i="1"/>
  <c r="E4" i="27" s="1"/>
  <c r="H4" i="1"/>
  <c r="D4" i="27" s="1"/>
  <c r="B4" i="1"/>
  <c r="B4" i="27" s="1"/>
  <c r="J3" i="1"/>
  <c r="D1000" i="3"/>
  <c r="D999" i="3"/>
  <c r="D998" i="3"/>
  <c r="D997" i="3"/>
  <c r="D996" i="3"/>
  <c r="D995" i="3"/>
  <c r="D994" i="3"/>
  <c r="D993" i="3"/>
  <c r="D992" i="3"/>
  <c r="D991" i="3"/>
  <c r="D990" i="3"/>
  <c r="D989" i="3"/>
  <c r="D988" i="3"/>
  <c r="D987" i="3"/>
  <c r="D986" i="3"/>
  <c r="D985" i="3"/>
  <c r="D984" i="3"/>
  <c r="D983" i="3"/>
  <c r="D982" i="3"/>
  <c r="D981" i="3"/>
  <c r="D980" i="3"/>
  <c r="D979" i="3"/>
  <c r="D978" i="3"/>
  <c r="D977" i="3"/>
  <c r="D976" i="3"/>
  <c r="D975" i="3"/>
  <c r="D974" i="3"/>
  <c r="D973" i="3"/>
  <c r="D972" i="3"/>
  <c r="D971" i="3"/>
  <c r="D970" i="3"/>
  <c r="D969" i="3"/>
  <c r="D968" i="3"/>
  <c r="D967" i="3"/>
  <c r="D966" i="3"/>
  <c r="D965" i="3"/>
  <c r="D964" i="3"/>
  <c r="D963" i="3"/>
  <c r="D962" i="3"/>
  <c r="D961" i="3"/>
  <c r="D960" i="3"/>
  <c r="D959" i="3"/>
  <c r="D958" i="3"/>
  <c r="D957" i="3"/>
  <c r="D956" i="3"/>
  <c r="D955" i="3"/>
  <c r="D954" i="3"/>
  <c r="D953" i="3"/>
  <c r="D952" i="3"/>
  <c r="D951" i="3"/>
  <c r="D950" i="3"/>
  <c r="D949" i="3"/>
  <c r="D948" i="3"/>
  <c r="D947" i="3"/>
  <c r="D946" i="3"/>
  <c r="D945" i="3"/>
  <c r="D944" i="3"/>
  <c r="D943" i="3"/>
  <c r="D942" i="3"/>
  <c r="D941" i="3"/>
  <c r="D940" i="3"/>
  <c r="D939" i="3"/>
  <c r="D938" i="3"/>
  <c r="D937" i="3"/>
  <c r="D936" i="3"/>
  <c r="D935" i="3"/>
  <c r="D934" i="3"/>
  <c r="D933" i="3"/>
  <c r="D932" i="3"/>
  <c r="D931" i="3"/>
  <c r="D930" i="3"/>
  <c r="D929" i="3"/>
  <c r="D928" i="3"/>
  <c r="D927" i="3"/>
  <c r="D926" i="3"/>
  <c r="D925" i="3"/>
  <c r="D924" i="3"/>
  <c r="D923" i="3"/>
  <c r="D922" i="3"/>
  <c r="D921" i="3"/>
  <c r="D920" i="3"/>
  <c r="D919" i="3"/>
  <c r="D918" i="3"/>
  <c r="D917" i="3"/>
  <c r="D916" i="3"/>
  <c r="D915" i="3"/>
  <c r="D914" i="3"/>
  <c r="D913" i="3"/>
  <c r="D912" i="3"/>
  <c r="D911" i="3"/>
  <c r="D910" i="3"/>
  <c r="D909" i="3"/>
  <c r="D908" i="3"/>
  <c r="D907" i="3"/>
  <c r="D906" i="3"/>
  <c r="D905" i="3"/>
  <c r="D904" i="3"/>
  <c r="D903" i="3"/>
  <c r="D902" i="3"/>
  <c r="D901" i="3"/>
  <c r="D900" i="3"/>
  <c r="D899" i="3"/>
  <c r="D898" i="3"/>
  <c r="D897" i="3"/>
  <c r="D896" i="3"/>
  <c r="D895" i="3"/>
  <c r="D894" i="3"/>
  <c r="D893" i="3"/>
  <c r="D892" i="3"/>
  <c r="D891" i="3"/>
  <c r="D890" i="3"/>
  <c r="D889" i="3"/>
  <c r="D888" i="3"/>
  <c r="D887" i="3"/>
  <c r="D886" i="3"/>
  <c r="D885" i="3"/>
  <c r="D884" i="3"/>
  <c r="D883" i="3"/>
  <c r="D882" i="3"/>
  <c r="D881" i="3"/>
  <c r="D880" i="3"/>
  <c r="D879" i="3"/>
  <c r="D878" i="3"/>
  <c r="D877" i="3"/>
  <c r="D876" i="3"/>
  <c r="D875" i="3"/>
  <c r="D874" i="3"/>
  <c r="D873" i="3"/>
  <c r="D872" i="3"/>
  <c r="D871" i="3"/>
  <c r="D870" i="3"/>
  <c r="D869" i="3"/>
  <c r="D868" i="3"/>
  <c r="D867" i="3"/>
  <c r="D866" i="3"/>
  <c r="D865" i="3"/>
  <c r="D864" i="3"/>
  <c r="D863" i="3"/>
  <c r="D862" i="3"/>
  <c r="D861" i="3"/>
  <c r="D860" i="3"/>
  <c r="D859" i="3"/>
  <c r="D858" i="3"/>
  <c r="D857" i="3"/>
  <c r="D856" i="3"/>
  <c r="D855" i="3"/>
  <c r="D854" i="3"/>
  <c r="D853" i="3"/>
  <c r="D852" i="3"/>
  <c r="D851" i="3"/>
  <c r="D850" i="3"/>
  <c r="D849" i="3"/>
  <c r="D848" i="3"/>
  <c r="D847" i="3"/>
  <c r="D846" i="3"/>
  <c r="D845" i="3"/>
  <c r="D844" i="3"/>
  <c r="D843" i="3"/>
  <c r="D842" i="3"/>
  <c r="D841" i="3"/>
  <c r="D840" i="3"/>
  <c r="D839" i="3"/>
  <c r="D838" i="3"/>
  <c r="D837" i="3"/>
  <c r="D836" i="3"/>
  <c r="D835" i="3"/>
  <c r="D834" i="3"/>
  <c r="D833" i="3"/>
  <c r="D832" i="3"/>
  <c r="D831" i="3"/>
  <c r="D830" i="3"/>
  <c r="D829" i="3"/>
  <c r="D828" i="3"/>
  <c r="D827" i="3"/>
  <c r="D826" i="3"/>
  <c r="D825" i="3"/>
  <c r="D824" i="3"/>
  <c r="D823" i="3"/>
  <c r="D822" i="3"/>
  <c r="D821" i="3"/>
  <c r="D820" i="3"/>
  <c r="D819" i="3"/>
  <c r="D818" i="3"/>
  <c r="D817" i="3"/>
  <c r="D816" i="3"/>
  <c r="D815" i="3"/>
  <c r="D814" i="3"/>
  <c r="D813" i="3"/>
  <c r="D812" i="3"/>
  <c r="D811" i="3"/>
  <c r="D810" i="3"/>
  <c r="D809" i="3"/>
  <c r="D808" i="3"/>
  <c r="D807" i="3"/>
  <c r="D806" i="3"/>
  <c r="D805" i="3"/>
  <c r="D804" i="3"/>
  <c r="D803" i="3"/>
  <c r="D802" i="3"/>
  <c r="D801" i="3"/>
  <c r="D800" i="3"/>
  <c r="D799" i="3"/>
  <c r="D798" i="3"/>
  <c r="D797" i="3"/>
  <c r="D796" i="3"/>
  <c r="D795" i="3"/>
  <c r="D794" i="3"/>
  <c r="D793" i="3"/>
  <c r="D792" i="3"/>
  <c r="D791" i="3"/>
  <c r="D790" i="3"/>
  <c r="D789" i="3"/>
  <c r="D788" i="3"/>
  <c r="D787" i="3"/>
  <c r="D786" i="3"/>
  <c r="D785" i="3"/>
  <c r="D784" i="3"/>
  <c r="D783" i="3"/>
  <c r="D782" i="3"/>
  <c r="D781" i="3"/>
  <c r="D780" i="3"/>
  <c r="D779" i="3"/>
  <c r="D778" i="3"/>
  <c r="D777" i="3"/>
  <c r="D776" i="3"/>
  <c r="D775" i="3"/>
  <c r="D774" i="3"/>
  <c r="D773" i="3"/>
  <c r="D772" i="3"/>
  <c r="D771" i="3"/>
  <c r="D770" i="3"/>
  <c r="D769" i="3"/>
  <c r="D768" i="3"/>
  <c r="D767" i="3"/>
  <c r="D766" i="3"/>
  <c r="D765" i="3"/>
  <c r="D764" i="3"/>
  <c r="D763" i="3"/>
  <c r="D762" i="3"/>
  <c r="D761" i="3"/>
  <c r="D760" i="3"/>
  <c r="D759" i="3"/>
  <c r="D758" i="3"/>
  <c r="D757" i="3"/>
  <c r="D756" i="3"/>
  <c r="D755" i="3"/>
  <c r="D754" i="3"/>
  <c r="D753" i="3"/>
  <c r="D752" i="3"/>
  <c r="D751" i="3"/>
  <c r="D750" i="3"/>
  <c r="D749" i="3"/>
  <c r="D748" i="3"/>
  <c r="D747" i="3"/>
  <c r="D746" i="3"/>
  <c r="D745" i="3"/>
  <c r="D744" i="3"/>
  <c r="D743" i="3"/>
  <c r="D742" i="3"/>
  <c r="D741" i="3"/>
  <c r="D740" i="3"/>
  <c r="D739" i="3"/>
  <c r="D738" i="3"/>
  <c r="D737" i="3"/>
  <c r="D736" i="3"/>
  <c r="D735" i="3"/>
  <c r="D734" i="3"/>
  <c r="D733" i="3"/>
  <c r="D732" i="3"/>
  <c r="D731" i="3"/>
  <c r="D730" i="3"/>
  <c r="D729" i="3"/>
  <c r="D728" i="3"/>
  <c r="D727" i="3"/>
  <c r="D726" i="3"/>
  <c r="D725" i="3"/>
  <c r="D724" i="3"/>
  <c r="D723" i="3"/>
  <c r="D722" i="3"/>
  <c r="D721" i="3"/>
  <c r="D720" i="3"/>
  <c r="D719" i="3"/>
  <c r="D718" i="3"/>
  <c r="D717" i="3"/>
  <c r="D716" i="3"/>
  <c r="D715" i="3"/>
  <c r="D714" i="3"/>
  <c r="D713" i="3"/>
  <c r="D712" i="3"/>
  <c r="D711" i="3"/>
  <c r="D710" i="3"/>
  <c r="D709" i="3"/>
  <c r="D708" i="3"/>
  <c r="D707" i="3"/>
  <c r="D706" i="3"/>
  <c r="D705" i="3"/>
  <c r="D704" i="3"/>
  <c r="D703" i="3"/>
  <c r="D702" i="3"/>
  <c r="D701" i="3"/>
  <c r="D700" i="3"/>
  <c r="D699" i="3"/>
  <c r="D698" i="3"/>
  <c r="D697" i="3"/>
  <c r="D696" i="3"/>
  <c r="D695" i="3"/>
  <c r="D694" i="3"/>
  <c r="D693" i="3"/>
  <c r="D692" i="3"/>
  <c r="D691" i="3"/>
  <c r="D690" i="3"/>
  <c r="D689" i="3"/>
  <c r="D688" i="3"/>
  <c r="D687" i="3"/>
  <c r="D686" i="3"/>
  <c r="D685" i="3"/>
  <c r="D684" i="3"/>
  <c r="D683" i="3"/>
  <c r="D682" i="3"/>
  <c r="D681" i="3"/>
  <c r="D680" i="3"/>
  <c r="D679" i="3"/>
  <c r="D678" i="3"/>
  <c r="D677" i="3"/>
  <c r="D676" i="3"/>
  <c r="D675" i="3"/>
  <c r="D674" i="3"/>
  <c r="D673" i="3"/>
  <c r="D672" i="3"/>
  <c r="D671" i="3"/>
  <c r="D670" i="3"/>
  <c r="D669" i="3"/>
  <c r="D668" i="3"/>
  <c r="D667" i="3"/>
  <c r="D666" i="3"/>
  <c r="D665" i="3"/>
  <c r="D664" i="3"/>
  <c r="D663" i="3"/>
  <c r="D662" i="3"/>
  <c r="D661" i="3"/>
  <c r="D660" i="3"/>
  <c r="D659" i="3"/>
  <c r="D658" i="3"/>
  <c r="D657" i="3"/>
  <c r="D656" i="3"/>
  <c r="D655" i="3"/>
  <c r="D654" i="3"/>
  <c r="D653" i="3"/>
  <c r="D652" i="3"/>
  <c r="D651" i="3"/>
  <c r="D650" i="3"/>
  <c r="D649" i="3"/>
  <c r="D648" i="3"/>
  <c r="D647" i="3"/>
  <c r="D646" i="3"/>
  <c r="D645" i="3"/>
  <c r="D644" i="3"/>
  <c r="D643" i="3"/>
  <c r="D642" i="3"/>
  <c r="D641" i="3"/>
  <c r="D640" i="3"/>
  <c r="D639" i="3"/>
  <c r="D638" i="3"/>
  <c r="D637" i="3"/>
  <c r="D636" i="3"/>
  <c r="D635" i="3"/>
  <c r="D634" i="3"/>
  <c r="D633" i="3"/>
  <c r="D632" i="3"/>
  <c r="D631" i="3"/>
  <c r="D630" i="3"/>
  <c r="D629" i="3"/>
  <c r="D628" i="3"/>
  <c r="D627" i="3"/>
  <c r="D626" i="3"/>
  <c r="D625" i="3"/>
  <c r="D624" i="3"/>
  <c r="D623" i="3"/>
  <c r="D622" i="3"/>
  <c r="D621" i="3"/>
  <c r="D620" i="3"/>
  <c r="D619" i="3"/>
  <c r="D618" i="3"/>
  <c r="D617" i="3"/>
  <c r="D616" i="3"/>
  <c r="D615" i="3"/>
  <c r="D614" i="3"/>
  <c r="D613" i="3"/>
  <c r="D612" i="3"/>
  <c r="D611" i="3"/>
  <c r="D610" i="3"/>
  <c r="D609" i="3"/>
  <c r="D608" i="3"/>
  <c r="D607" i="3"/>
  <c r="D606" i="3"/>
  <c r="D605" i="3"/>
  <c r="D604" i="3"/>
  <c r="D603" i="3"/>
  <c r="D602" i="3"/>
  <c r="D601" i="3"/>
  <c r="D600" i="3"/>
  <c r="D599" i="3"/>
  <c r="D598" i="3"/>
  <c r="D597" i="3"/>
  <c r="D596" i="3"/>
  <c r="D595" i="3"/>
  <c r="D594" i="3"/>
  <c r="D593" i="3"/>
  <c r="D592" i="3"/>
  <c r="D591" i="3"/>
  <c r="D590" i="3"/>
  <c r="D589" i="3"/>
  <c r="D588" i="3"/>
  <c r="D587" i="3"/>
  <c r="D586" i="3"/>
  <c r="D585" i="3"/>
  <c r="D584" i="3"/>
  <c r="D583" i="3"/>
  <c r="D582" i="3"/>
  <c r="D581" i="3"/>
  <c r="D580" i="3"/>
  <c r="D579" i="3"/>
  <c r="D578" i="3"/>
  <c r="D577" i="3"/>
  <c r="D576" i="3"/>
  <c r="D575" i="3"/>
  <c r="D574" i="3"/>
  <c r="D573" i="3"/>
  <c r="D572" i="3"/>
  <c r="D571" i="3"/>
  <c r="D570" i="3"/>
  <c r="D569" i="3"/>
  <c r="D568" i="3"/>
  <c r="D567" i="3"/>
  <c r="D566" i="3"/>
  <c r="D565" i="3"/>
  <c r="D564" i="3"/>
  <c r="D563" i="3"/>
  <c r="D562" i="3"/>
  <c r="D561" i="3"/>
  <c r="D560" i="3"/>
  <c r="D559" i="3"/>
  <c r="D558" i="3"/>
  <c r="D557" i="3"/>
  <c r="D556" i="3"/>
  <c r="D555" i="3"/>
  <c r="D554" i="3"/>
  <c r="D553" i="3"/>
  <c r="D552" i="3"/>
  <c r="D551" i="3"/>
  <c r="D550" i="3"/>
  <c r="D549" i="3"/>
  <c r="D548" i="3"/>
  <c r="D547" i="3"/>
  <c r="D546" i="3"/>
  <c r="D545" i="3"/>
  <c r="D544" i="3"/>
  <c r="D543" i="3"/>
  <c r="D542" i="3"/>
  <c r="D541" i="3"/>
  <c r="D540" i="3"/>
  <c r="D539" i="3"/>
  <c r="D538" i="3"/>
  <c r="D537" i="3"/>
  <c r="D536" i="3"/>
  <c r="D535" i="3"/>
  <c r="D534" i="3"/>
  <c r="D533" i="3"/>
  <c r="D532" i="3"/>
  <c r="D531" i="3"/>
  <c r="D530" i="3"/>
  <c r="D529" i="3"/>
  <c r="D528" i="3"/>
  <c r="D527" i="3"/>
  <c r="D526" i="3"/>
  <c r="D525" i="3"/>
  <c r="D524" i="3"/>
  <c r="D523" i="3"/>
  <c r="D522" i="3"/>
  <c r="D521" i="3"/>
  <c r="D520" i="3"/>
  <c r="D519" i="3"/>
  <c r="D518" i="3"/>
  <c r="D517" i="3"/>
  <c r="D516" i="3"/>
  <c r="D515" i="3"/>
  <c r="D514" i="3"/>
  <c r="D513" i="3"/>
  <c r="D512" i="3"/>
  <c r="D511" i="3"/>
  <c r="D510" i="3"/>
  <c r="D509" i="3"/>
  <c r="D508" i="3"/>
  <c r="D507" i="3"/>
  <c r="D506" i="3"/>
  <c r="D505" i="3"/>
  <c r="D504" i="3"/>
  <c r="D503" i="3"/>
  <c r="D502" i="3"/>
  <c r="D501" i="3"/>
  <c r="G500" i="3"/>
  <c r="F500" i="3"/>
  <c r="D500" i="3"/>
  <c r="G499" i="3"/>
  <c r="F499" i="3"/>
  <c r="D499" i="3"/>
  <c r="G498" i="3"/>
  <c r="F498" i="3"/>
  <c r="D498" i="3"/>
  <c r="G497" i="3"/>
  <c r="F497" i="3"/>
  <c r="D497" i="3"/>
  <c r="G496" i="3"/>
  <c r="F496" i="3"/>
  <c r="D496" i="3"/>
  <c r="G495" i="3"/>
  <c r="F495" i="3"/>
  <c r="D495" i="3"/>
  <c r="G494" i="3"/>
  <c r="F494" i="3"/>
  <c r="D494" i="3"/>
  <c r="G493" i="3"/>
  <c r="F493" i="3"/>
  <c r="D493" i="3"/>
  <c r="G492" i="3"/>
  <c r="F492" i="3"/>
  <c r="D492" i="3"/>
  <c r="G491" i="3"/>
  <c r="F491" i="3"/>
  <c r="D491" i="3"/>
  <c r="G490" i="3"/>
  <c r="F490" i="3"/>
  <c r="D490" i="3"/>
  <c r="G489" i="3"/>
  <c r="F489" i="3"/>
  <c r="D489" i="3"/>
  <c r="G488" i="3"/>
  <c r="F488" i="3"/>
  <c r="D488" i="3"/>
  <c r="G487" i="3"/>
  <c r="F487" i="3"/>
  <c r="D487" i="3"/>
  <c r="G486" i="3"/>
  <c r="F486" i="3"/>
  <c r="D486" i="3"/>
  <c r="G485" i="3"/>
  <c r="F485" i="3"/>
  <c r="D485" i="3"/>
  <c r="G484" i="3"/>
  <c r="F484" i="3"/>
  <c r="D484" i="3"/>
  <c r="G483" i="3"/>
  <c r="F483" i="3"/>
  <c r="D483" i="3"/>
  <c r="G482" i="3"/>
  <c r="F482" i="3"/>
  <c r="D482" i="3"/>
  <c r="G481" i="3"/>
  <c r="F481" i="3"/>
  <c r="D481" i="3"/>
  <c r="G480" i="3"/>
  <c r="F480" i="3"/>
  <c r="D480" i="3"/>
  <c r="G479" i="3"/>
  <c r="F479" i="3"/>
  <c r="D479" i="3"/>
  <c r="G478" i="3"/>
  <c r="F478" i="3"/>
  <c r="D478" i="3"/>
  <c r="G477" i="3"/>
  <c r="F477" i="3"/>
  <c r="D477" i="3"/>
  <c r="G476" i="3"/>
  <c r="F476" i="3"/>
  <c r="D476" i="3"/>
  <c r="G475" i="3"/>
  <c r="F475" i="3"/>
  <c r="D475" i="3"/>
  <c r="G474" i="3"/>
  <c r="F474" i="3"/>
  <c r="D474" i="3"/>
  <c r="G473" i="3"/>
  <c r="F473" i="3"/>
  <c r="D473" i="3"/>
  <c r="G472" i="3"/>
  <c r="F472" i="3"/>
  <c r="D472" i="3"/>
  <c r="G471" i="3"/>
  <c r="F471" i="3"/>
  <c r="D471" i="3"/>
  <c r="G470" i="3"/>
  <c r="F470" i="3"/>
  <c r="D470" i="3"/>
  <c r="G469" i="3"/>
  <c r="F469" i="3"/>
  <c r="D469" i="3"/>
  <c r="G468" i="3"/>
  <c r="F468" i="3"/>
  <c r="D468" i="3"/>
  <c r="G467" i="3"/>
  <c r="F467" i="3"/>
  <c r="D467" i="3"/>
  <c r="G466" i="3"/>
  <c r="F466" i="3"/>
  <c r="D466" i="3"/>
  <c r="G465" i="3"/>
  <c r="F465" i="3"/>
  <c r="D465" i="3"/>
  <c r="G464" i="3"/>
  <c r="F464" i="3"/>
  <c r="D464" i="3"/>
  <c r="G463" i="3"/>
  <c r="F463" i="3"/>
  <c r="D463" i="3"/>
  <c r="G462" i="3"/>
  <c r="F462" i="3"/>
  <c r="D462" i="3"/>
  <c r="G461" i="3"/>
  <c r="F461" i="3"/>
  <c r="D461" i="3"/>
  <c r="G460" i="3"/>
  <c r="F460" i="3"/>
  <c r="D460" i="3"/>
  <c r="G459" i="3"/>
  <c r="F459" i="3"/>
  <c r="D459" i="3"/>
  <c r="G458" i="3"/>
  <c r="F458" i="3"/>
  <c r="D458" i="3"/>
  <c r="G457" i="3"/>
  <c r="F457" i="3"/>
  <c r="D457" i="3"/>
  <c r="G456" i="3"/>
  <c r="F456" i="3"/>
  <c r="D456" i="3"/>
  <c r="G455" i="3"/>
  <c r="F455" i="3"/>
  <c r="D455" i="3"/>
  <c r="G454" i="3"/>
  <c r="F454" i="3"/>
  <c r="D454" i="3"/>
  <c r="G453" i="3"/>
  <c r="F453" i="3"/>
  <c r="D453" i="3"/>
  <c r="G452" i="3"/>
  <c r="F452" i="3"/>
  <c r="D452" i="3"/>
  <c r="G451" i="3"/>
  <c r="F451" i="3"/>
  <c r="D451" i="3"/>
  <c r="G450" i="3"/>
  <c r="F450" i="3"/>
  <c r="D450" i="3"/>
  <c r="G449" i="3"/>
  <c r="F449" i="3"/>
  <c r="D449" i="3"/>
  <c r="G448" i="3"/>
  <c r="F448" i="3"/>
  <c r="D448" i="3"/>
  <c r="G447" i="3"/>
  <c r="F447" i="3"/>
  <c r="D447" i="3"/>
  <c r="G446" i="3"/>
  <c r="F446" i="3"/>
  <c r="D446" i="3"/>
  <c r="G445" i="3"/>
  <c r="F445" i="3"/>
  <c r="D445" i="3"/>
  <c r="G444" i="3"/>
  <c r="F444" i="3"/>
  <c r="D444" i="3"/>
  <c r="G443" i="3"/>
  <c r="F443" i="3"/>
  <c r="D443" i="3"/>
  <c r="G442" i="3"/>
  <c r="F442" i="3"/>
  <c r="D442" i="3"/>
  <c r="G441" i="3"/>
  <c r="F441" i="3"/>
  <c r="D441" i="3"/>
  <c r="G440" i="3"/>
  <c r="F440" i="3"/>
  <c r="D440" i="3"/>
  <c r="G439" i="3"/>
  <c r="F439" i="3"/>
  <c r="D439" i="3"/>
  <c r="G438" i="3"/>
  <c r="F438" i="3"/>
  <c r="D438" i="3"/>
  <c r="G437" i="3"/>
  <c r="F437" i="3"/>
  <c r="D437" i="3"/>
  <c r="G436" i="3"/>
  <c r="F436" i="3"/>
  <c r="D436" i="3"/>
  <c r="G435" i="3"/>
  <c r="F435" i="3"/>
  <c r="D435" i="3"/>
  <c r="G434" i="3"/>
  <c r="F434" i="3"/>
  <c r="D434" i="3"/>
  <c r="G433" i="3"/>
  <c r="F433" i="3"/>
  <c r="D433" i="3"/>
  <c r="G432" i="3"/>
  <c r="F432" i="3"/>
  <c r="D432" i="3"/>
  <c r="G431" i="3"/>
  <c r="F431" i="3"/>
  <c r="D431" i="3"/>
  <c r="G430" i="3"/>
  <c r="F430" i="3"/>
  <c r="D430" i="3"/>
  <c r="G429" i="3"/>
  <c r="F429" i="3"/>
  <c r="D429" i="3"/>
  <c r="G428" i="3"/>
  <c r="F428" i="3"/>
  <c r="D428" i="3"/>
  <c r="G427" i="3"/>
  <c r="F427" i="3"/>
  <c r="D427" i="3"/>
  <c r="G426" i="3"/>
  <c r="F426" i="3"/>
  <c r="D426" i="3"/>
  <c r="G425" i="3"/>
  <c r="F425" i="3"/>
  <c r="D425" i="3"/>
  <c r="G424" i="3"/>
  <c r="F424" i="3"/>
  <c r="D424" i="3"/>
  <c r="G423" i="3"/>
  <c r="F423" i="3"/>
  <c r="D423" i="3"/>
  <c r="G422" i="3"/>
  <c r="F422" i="3"/>
  <c r="D422" i="3"/>
  <c r="G421" i="3"/>
  <c r="F421" i="3"/>
  <c r="D421" i="3"/>
  <c r="G420" i="3"/>
  <c r="F420" i="3"/>
  <c r="D420" i="3"/>
  <c r="G419" i="3"/>
  <c r="F419" i="3"/>
  <c r="D419" i="3"/>
  <c r="G418" i="3"/>
  <c r="F418" i="3"/>
  <c r="D418" i="3"/>
  <c r="G417" i="3"/>
  <c r="F417" i="3"/>
  <c r="D417" i="3"/>
  <c r="G416" i="3"/>
  <c r="F416" i="3"/>
  <c r="D416" i="3"/>
  <c r="G415" i="3"/>
  <c r="F415" i="3"/>
  <c r="D415" i="3"/>
  <c r="G414" i="3"/>
  <c r="F414" i="3"/>
  <c r="D414" i="3"/>
  <c r="G413" i="3"/>
  <c r="F413" i="3"/>
  <c r="D413" i="3"/>
  <c r="G412" i="3"/>
  <c r="F412" i="3"/>
  <c r="D412" i="3"/>
  <c r="G411" i="3"/>
  <c r="F411" i="3"/>
  <c r="D411" i="3"/>
  <c r="G410" i="3"/>
  <c r="F410" i="3"/>
  <c r="D410" i="3"/>
  <c r="G409" i="3"/>
  <c r="F409" i="3"/>
  <c r="D409" i="3"/>
  <c r="G408" i="3"/>
  <c r="F408" i="3"/>
  <c r="D408" i="3"/>
  <c r="G407" i="3"/>
  <c r="F407" i="3"/>
  <c r="D407" i="3"/>
  <c r="G406" i="3"/>
  <c r="F406" i="3"/>
  <c r="D406" i="3"/>
  <c r="G405" i="3"/>
  <c r="F405" i="3"/>
  <c r="D405" i="3"/>
  <c r="G404" i="3"/>
  <c r="F404" i="3"/>
  <c r="D404" i="3"/>
  <c r="G403" i="3"/>
  <c r="F403" i="3"/>
  <c r="D403" i="3"/>
  <c r="G402" i="3"/>
  <c r="F402" i="3"/>
  <c r="D402" i="3"/>
  <c r="G401" i="3"/>
  <c r="F401" i="3"/>
  <c r="D401" i="3"/>
  <c r="G400" i="3"/>
  <c r="F400" i="3"/>
  <c r="D400" i="3"/>
  <c r="G399" i="3"/>
  <c r="F399" i="3"/>
  <c r="D399" i="3"/>
  <c r="G398" i="3"/>
  <c r="F398" i="3"/>
  <c r="D398" i="3"/>
  <c r="G397" i="3"/>
  <c r="F397" i="3"/>
  <c r="D397" i="3"/>
  <c r="G396" i="3"/>
  <c r="F396" i="3"/>
  <c r="D396" i="3"/>
  <c r="G395" i="3"/>
  <c r="F395" i="3"/>
  <c r="D395" i="3"/>
  <c r="G394" i="3"/>
  <c r="F394" i="3"/>
  <c r="D394" i="3"/>
  <c r="G393" i="3"/>
  <c r="F393" i="3"/>
  <c r="D393" i="3"/>
  <c r="G392" i="3"/>
  <c r="F392" i="3"/>
  <c r="D392" i="3"/>
  <c r="G391" i="3"/>
  <c r="F391" i="3"/>
  <c r="D391" i="3"/>
  <c r="G390" i="3"/>
  <c r="F390" i="3"/>
  <c r="D390" i="3"/>
  <c r="G389" i="3"/>
  <c r="F389" i="3"/>
  <c r="D389" i="3"/>
  <c r="G388" i="3"/>
  <c r="F388" i="3"/>
  <c r="D388" i="3"/>
  <c r="G387" i="3"/>
  <c r="F387" i="3"/>
  <c r="D387" i="3"/>
  <c r="G386" i="3"/>
  <c r="F386" i="3"/>
  <c r="D386" i="3"/>
  <c r="G385" i="3"/>
  <c r="F385" i="3"/>
  <c r="D385" i="3"/>
  <c r="G384" i="3"/>
  <c r="F384" i="3"/>
  <c r="D384" i="3"/>
  <c r="G383" i="3"/>
  <c r="F383" i="3"/>
  <c r="D383" i="3"/>
  <c r="G382" i="3"/>
  <c r="F382" i="3"/>
  <c r="D382" i="3"/>
  <c r="G381" i="3"/>
  <c r="F381" i="3"/>
  <c r="D381" i="3"/>
  <c r="G380" i="3"/>
  <c r="F380" i="3"/>
  <c r="D380" i="3"/>
  <c r="G379" i="3"/>
  <c r="F379" i="3"/>
  <c r="D379" i="3"/>
  <c r="G378" i="3"/>
  <c r="F378" i="3"/>
  <c r="D378" i="3"/>
  <c r="G377" i="3"/>
  <c r="F377" i="3"/>
  <c r="D377" i="3"/>
  <c r="G376" i="3"/>
  <c r="F376" i="3"/>
  <c r="D376" i="3"/>
  <c r="G375" i="3"/>
  <c r="F375" i="3"/>
  <c r="D375" i="3"/>
  <c r="G374" i="3"/>
  <c r="F374" i="3"/>
  <c r="D374" i="3"/>
  <c r="G373" i="3"/>
  <c r="F373" i="3"/>
  <c r="D373" i="3"/>
  <c r="G372" i="3"/>
  <c r="F372" i="3"/>
  <c r="D372" i="3"/>
  <c r="G371" i="3"/>
  <c r="F371" i="3"/>
  <c r="D371" i="3"/>
  <c r="G370" i="3"/>
  <c r="F370" i="3"/>
  <c r="D370" i="3"/>
  <c r="G369" i="3"/>
  <c r="F369" i="3"/>
  <c r="D369" i="3"/>
  <c r="G368" i="3"/>
  <c r="F368" i="3"/>
  <c r="D368" i="3"/>
  <c r="G367" i="3"/>
  <c r="F367" i="3"/>
  <c r="D367" i="3"/>
  <c r="G366" i="3"/>
  <c r="F366" i="3"/>
  <c r="D366" i="3"/>
  <c r="G365" i="3"/>
  <c r="F365" i="3"/>
  <c r="D365" i="3"/>
  <c r="G364" i="3"/>
  <c r="F364" i="3"/>
  <c r="D364" i="3"/>
  <c r="G363" i="3"/>
  <c r="F363" i="3"/>
  <c r="D363" i="3"/>
  <c r="G362" i="3"/>
  <c r="F362" i="3"/>
  <c r="D362" i="3"/>
  <c r="G361" i="3"/>
  <c r="F361" i="3"/>
  <c r="D361" i="3"/>
  <c r="G360" i="3"/>
  <c r="F360" i="3"/>
  <c r="D360" i="3"/>
  <c r="G359" i="3"/>
  <c r="F359" i="3"/>
  <c r="D359" i="3"/>
  <c r="G358" i="3"/>
  <c r="F358" i="3"/>
  <c r="D358" i="3"/>
  <c r="G357" i="3"/>
  <c r="F357" i="3"/>
  <c r="D357" i="3"/>
  <c r="G356" i="3"/>
  <c r="F356" i="3"/>
  <c r="D356" i="3"/>
  <c r="G355" i="3"/>
  <c r="F355" i="3"/>
  <c r="D355" i="3"/>
  <c r="G354" i="3"/>
  <c r="F354" i="3"/>
  <c r="D354" i="3"/>
  <c r="G353" i="3"/>
  <c r="F353" i="3"/>
  <c r="D353" i="3"/>
  <c r="G352" i="3"/>
  <c r="F352" i="3"/>
  <c r="D352" i="3"/>
  <c r="G351" i="3"/>
  <c r="F351" i="3"/>
  <c r="D351" i="3"/>
  <c r="G350" i="3"/>
  <c r="F350" i="3"/>
  <c r="D350" i="3"/>
  <c r="G349" i="3"/>
  <c r="F349" i="3"/>
  <c r="D349" i="3"/>
  <c r="G348" i="3"/>
  <c r="F348" i="3"/>
  <c r="D348" i="3"/>
  <c r="G347" i="3"/>
  <c r="F347" i="3"/>
  <c r="D347" i="3"/>
  <c r="G346" i="3"/>
  <c r="F346" i="3"/>
  <c r="D346" i="3"/>
  <c r="G345" i="3"/>
  <c r="F345" i="3"/>
  <c r="D345" i="3"/>
  <c r="G344" i="3"/>
  <c r="F344" i="3"/>
  <c r="D344" i="3"/>
  <c r="G343" i="3"/>
  <c r="F343" i="3"/>
  <c r="D343" i="3"/>
  <c r="G342" i="3"/>
  <c r="F342" i="3"/>
  <c r="D342" i="3"/>
  <c r="G341" i="3"/>
  <c r="F341" i="3"/>
  <c r="D341" i="3"/>
  <c r="G340" i="3"/>
  <c r="F340" i="3"/>
  <c r="D340" i="3"/>
  <c r="G339" i="3"/>
  <c r="F339" i="3"/>
  <c r="D339" i="3"/>
  <c r="G338" i="3"/>
  <c r="F338" i="3"/>
  <c r="D338" i="3"/>
  <c r="G337" i="3"/>
  <c r="F337" i="3"/>
  <c r="D337" i="3"/>
  <c r="G336" i="3"/>
  <c r="F336" i="3"/>
  <c r="D336" i="3"/>
  <c r="G335" i="3"/>
  <c r="F335" i="3"/>
  <c r="D335" i="3"/>
  <c r="G334" i="3"/>
  <c r="F334" i="3"/>
  <c r="D334" i="3"/>
  <c r="G333" i="3"/>
  <c r="F333" i="3"/>
  <c r="D333" i="3"/>
  <c r="G332" i="3"/>
  <c r="F332" i="3"/>
  <c r="D332" i="3"/>
  <c r="G331" i="3"/>
  <c r="F331" i="3"/>
  <c r="D331" i="3"/>
  <c r="G330" i="3"/>
  <c r="F330" i="3"/>
  <c r="D330" i="3"/>
  <c r="G329" i="3"/>
  <c r="F329" i="3"/>
  <c r="D329" i="3"/>
  <c r="G328" i="3"/>
  <c r="F328" i="3"/>
  <c r="D328" i="3"/>
  <c r="G327" i="3"/>
  <c r="F327" i="3"/>
  <c r="D327" i="3"/>
  <c r="G326" i="3"/>
  <c r="F326" i="3"/>
  <c r="D326" i="3"/>
  <c r="G325" i="3"/>
  <c r="F325" i="3"/>
  <c r="D325" i="3"/>
  <c r="G324" i="3"/>
  <c r="F324" i="3"/>
  <c r="D324" i="3"/>
  <c r="G323" i="3"/>
  <c r="F323" i="3"/>
  <c r="D323" i="3"/>
  <c r="G322" i="3"/>
  <c r="F322" i="3"/>
  <c r="D322" i="3"/>
  <c r="G321" i="3"/>
  <c r="F321" i="3"/>
  <c r="D321" i="3"/>
  <c r="G320" i="3"/>
  <c r="F320" i="3"/>
  <c r="D320" i="3"/>
  <c r="G319" i="3"/>
  <c r="F319" i="3"/>
  <c r="D319" i="3"/>
  <c r="G318" i="3"/>
  <c r="F318" i="3"/>
  <c r="D318" i="3"/>
  <c r="G317" i="3"/>
  <c r="F317" i="3"/>
  <c r="D317" i="3"/>
  <c r="G316" i="3"/>
  <c r="F316" i="3"/>
  <c r="D316" i="3"/>
  <c r="G315" i="3"/>
  <c r="F315" i="3"/>
  <c r="D315" i="3"/>
  <c r="G314" i="3"/>
  <c r="F314" i="3"/>
  <c r="D314" i="3"/>
  <c r="G313" i="3"/>
  <c r="F313" i="3"/>
  <c r="D313" i="3"/>
  <c r="G312" i="3"/>
  <c r="F312" i="3"/>
  <c r="D312" i="3"/>
  <c r="G311" i="3"/>
  <c r="F311" i="3"/>
  <c r="D311" i="3"/>
  <c r="G310" i="3"/>
  <c r="F310" i="3"/>
  <c r="D310" i="3"/>
  <c r="G309" i="3"/>
  <c r="F309" i="3"/>
  <c r="D309" i="3"/>
  <c r="G308" i="3"/>
  <c r="F308" i="3"/>
  <c r="D308" i="3"/>
  <c r="G307" i="3"/>
  <c r="F307" i="3"/>
  <c r="D307" i="3"/>
  <c r="G306" i="3"/>
  <c r="F306" i="3"/>
  <c r="D306" i="3"/>
  <c r="G305" i="3"/>
  <c r="F305" i="3"/>
  <c r="D305" i="3"/>
  <c r="G304" i="3"/>
  <c r="F304" i="3"/>
  <c r="D304" i="3"/>
  <c r="G303" i="3"/>
  <c r="F303" i="3"/>
  <c r="D303" i="3"/>
  <c r="G302" i="3"/>
  <c r="F302" i="3"/>
  <c r="D302" i="3"/>
  <c r="G301" i="3"/>
  <c r="F301" i="3"/>
  <c r="D301" i="3"/>
  <c r="G300" i="3"/>
  <c r="F300" i="3"/>
  <c r="D300" i="3"/>
  <c r="G299" i="3"/>
  <c r="F299" i="3"/>
  <c r="D299" i="3"/>
  <c r="G298" i="3"/>
  <c r="F298" i="3"/>
  <c r="D298" i="3"/>
  <c r="G297" i="3"/>
  <c r="F297" i="3"/>
  <c r="D297" i="3"/>
  <c r="G296" i="3"/>
  <c r="F296" i="3"/>
  <c r="D296" i="3"/>
  <c r="G295" i="3"/>
  <c r="F295" i="3"/>
  <c r="D295" i="3"/>
  <c r="G294" i="3"/>
  <c r="F294" i="3"/>
  <c r="D294" i="3"/>
  <c r="G293" i="3"/>
  <c r="F293" i="3"/>
  <c r="D293" i="3"/>
  <c r="G292" i="3"/>
  <c r="F292" i="3"/>
  <c r="D292" i="3"/>
  <c r="G291" i="3"/>
  <c r="F291" i="3"/>
  <c r="D291" i="3"/>
  <c r="G290" i="3"/>
  <c r="F290" i="3"/>
  <c r="D290" i="3"/>
  <c r="G289" i="3"/>
  <c r="F289" i="3"/>
  <c r="D289" i="3"/>
  <c r="G288" i="3"/>
  <c r="F288" i="3"/>
  <c r="D288" i="3"/>
  <c r="G287" i="3"/>
  <c r="F287" i="3"/>
  <c r="D287" i="3"/>
  <c r="G286" i="3"/>
  <c r="F286" i="3"/>
  <c r="D286" i="3"/>
  <c r="G285" i="3"/>
  <c r="F285" i="3"/>
  <c r="D285" i="3"/>
  <c r="G284" i="3"/>
  <c r="F284" i="3"/>
  <c r="D284" i="3"/>
  <c r="G283" i="3"/>
  <c r="F283" i="3"/>
  <c r="D283" i="3"/>
  <c r="G282" i="3"/>
  <c r="F282" i="3"/>
  <c r="D282" i="3"/>
  <c r="G281" i="3"/>
  <c r="F281" i="3"/>
  <c r="D281" i="3"/>
  <c r="G280" i="3"/>
  <c r="F280" i="3"/>
  <c r="D280" i="3"/>
  <c r="G279" i="3"/>
  <c r="F279" i="3"/>
  <c r="D279" i="3"/>
  <c r="G278" i="3"/>
  <c r="F278" i="3"/>
  <c r="D278" i="3"/>
  <c r="G277" i="3"/>
  <c r="F277" i="3"/>
  <c r="D277" i="3"/>
  <c r="G276" i="3"/>
  <c r="F276" i="3"/>
  <c r="D276" i="3"/>
  <c r="G275" i="3"/>
  <c r="F275" i="3"/>
  <c r="D275" i="3"/>
  <c r="G274" i="3"/>
  <c r="F274" i="3"/>
  <c r="D274" i="3"/>
  <c r="G273" i="3"/>
  <c r="F273" i="3"/>
  <c r="D273" i="3"/>
  <c r="G272" i="3"/>
  <c r="F272" i="3"/>
  <c r="D272" i="3"/>
  <c r="G271" i="3"/>
  <c r="F271" i="3"/>
  <c r="D271" i="3"/>
  <c r="G270" i="3"/>
  <c r="F270" i="3"/>
  <c r="D270" i="3"/>
  <c r="G269" i="3"/>
  <c r="F269" i="3"/>
  <c r="D269" i="3"/>
  <c r="G268" i="3"/>
  <c r="F268" i="3"/>
  <c r="D268" i="3"/>
  <c r="G267" i="3"/>
  <c r="F267" i="3"/>
  <c r="D267" i="3"/>
  <c r="G266" i="3"/>
  <c r="F266" i="3"/>
  <c r="D266" i="3"/>
  <c r="G265" i="3"/>
  <c r="F265" i="3"/>
  <c r="D265" i="3"/>
  <c r="G264" i="3"/>
  <c r="F264" i="3"/>
  <c r="D264" i="3"/>
  <c r="G263" i="3"/>
  <c r="F263" i="3"/>
  <c r="D263" i="3"/>
  <c r="G262" i="3"/>
  <c r="F262" i="3"/>
  <c r="D262" i="3"/>
  <c r="G261" i="3"/>
  <c r="F261" i="3"/>
  <c r="D261" i="3"/>
  <c r="G260" i="3"/>
  <c r="F260" i="3"/>
  <c r="D260" i="3"/>
  <c r="G259" i="3"/>
  <c r="F259" i="3"/>
  <c r="D259" i="3"/>
  <c r="G258" i="3"/>
  <c r="F258" i="3"/>
  <c r="D258" i="3"/>
  <c r="G257" i="3"/>
  <c r="F257" i="3"/>
  <c r="D257" i="3"/>
  <c r="G256" i="3"/>
  <c r="F256" i="3"/>
  <c r="D256" i="3"/>
  <c r="G255" i="3"/>
  <c r="F255" i="3"/>
  <c r="D255" i="3"/>
  <c r="G254" i="3"/>
  <c r="F254" i="3"/>
  <c r="D254" i="3"/>
  <c r="G253" i="3"/>
  <c r="F253" i="3"/>
  <c r="D253" i="3"/>
  <c r="G252" i="3"/>
  <c r="F252" i="3"/>
  <c r="D252" i="3"/>
  <c r="G251" i="3"/>
  <c r="F251" i="3"/>
  <c r="D251" i="3"/>
  <c r="G250" i="3"/>
  <c r="F250" i="3"/>
  <c r="D250" i="3"/>
  <c r="G249" i="3"/>
  <c r="F249" i="3"/>
  <c r="D249" i="3"/>
  <c r="G248" i="3"/>
  <c r="F248" i="3"/>
  <c r="D248" i="3"/>
  <c r="G247" i="3"/>
  <c r="F247" i="3"/>
  <c r="D247" i="3"/>
  <c r="G246" i="3"/>
  <c r="F246" i="3"/>
  <c r="D246" i="3"/>
  <c r="G245" i="3"/>
  <c r="F245" i="3"/>
  <c r="D245" i="3"/>
  <c r="G244" i="3"/>
  <c r="F244" i="3"/>
  <c r="D244" i="3"/>
  <c r="G243" i="3"/>
  <c r="F243" i="3"/>
  <c r="D243" i="3"/>
  <c r="G242" i="3"/>
  <c r="F242" i="3"/>
  <c r="D242" i="3"/>
  <c r="G241" i="3"/>
  <c r="F241" i="3"/>
  <c r="D241" i="3"/>
  <c r="G240" i="3"/>
  <c r="F240" i="3"/>
  <c r="D240" i="3"/>
  <c r="G239" i="3"/>
  <c r="F239" i="3"/>
  <c r="D239" i="3"/>
  <c r="G238" i="3"/>
  <c r="F238" i="3"/>
  <c r="D238" i="3"/>
  <c r="G237" i="3"/>
  <c r="F237" i="3"/>
  <c r="D237" i="3"/>
  <c r="G236" i="3"/>
  <c r="F236" i="3"/>
  <c r="D236" i="3"/>
  <c r="G235" i="3"/>
  <c r="F235" i="3"/>
  <c r="D235" i="3"/>
  <c r="G234" i="3"/>
  <c r="F234" i="3"/>
  <c r="D234" i="3"/>
  <c r="G233" i="3"/>
  <c r="F233" i="3"/>
  <c r="D233" i="3"/>
  <c r="G232" i="3"/>
  <c r="F232" i="3"/>
  <c r="D232" i="3"/>
  <c r="G231" i="3"/>
  <c r="F231" i="3"/>
  <c r="D231" i="3"/>
  <c r="G230" i="3"/>
  <c r="F230" i="3"/>
  <c r="D230" i="3"/>
  <c r="G229" i="3"/>
  <c r="F229" i="3"/>
  <c r="D229" i="3"/>
  <c r="G228" i="3"/>
  <c r="F228" i="3"/>
  <c r="D228" i="3"/>
  <c r="G227" i="3"/>
  <c r="F227" i="3"/>
  <c r="D227" i="3"/>
  <c r="G226" i="3"/>
  <c r="F226" i="3"/>
  <c r="D226" i="3"/>
  <c r="G225" i="3"/>
  <c r="F225" i="3"/>
  <c r="D225" i="3"/>
  <c r="G224" i="3"/>
  <c r="F224" i="3"/>
  <c r="D224" i="3"/>
  <c r="G223" i="3"/>
  <c r="F223" i="3"/>
  <c r="D223" i="3"/>
  <c r="G222" i="3"/>
  <c r="F222" i="3"/>
  <c r="D222" i="3"/>
  <c r="G221" i="3"/>
  <c r="F221" i="3"/>
  <c r="D221" i="3"/>
  <c r="G220" i="3"/>
  <c r="F220" i="3"/>
  <c r="D220" i="3"/>
  <c r="G219" i="3"/>
  <c r="F219" i="3"/>
  <c r="D219" i="3"/>
  <c r="G218" i="3"/>
  <c r="F218" i="3"/>
  <c r="D218" i="3"/>
  <c r="G217" i="3"/>
  <c r="F217" i="3"/>
  <c r="D217" i="3"/>
  <c r="G216" i="3"/>
  <c r="F216" i="3"/>
  <c r="D216" i="3"/>
  <c r="G215" i="3"/>
  <c r="F215" i="3"/>
  <c r="D215" i="3"/>
  <c r="G214" i="3"/>
  <c r="F214" i="3"/>
  <c r="D214" i="3"/>
  <c r="G213" i="3"/>
  <c r="F213" i="3"/>
  <c r="D213" i="3"/>
  <c r="G212" i="3"/>
  <c r="F212" i="3"/>
  <c r="D212" i="3"/>
  <c r="G211" i="3"/>
  <c r="F211" i="3"/>
  <c r="D211" i="3"/>
  <c r="G210" i="3"/>
  <c r="F210" i="3"/>
  <c r="D210" i="3"/>
  <c r="G209" i="3"/>
  <c r="F209" i="3"/>
  <c r="D209" i="3"/>
  <c r="G208" i="3"/>
  <c r="F208" i="3"/>
  <c r="D208" i="3"/>
  <c r="G207" i="3"/>
  <c r="F207" i="3"/>
  <c r="D207" i="3"/>
  <c r="G206" i="3"/>
  <c r="F206" i="3"/>
  <c r="D206" i="3"/>
  <c r="G205" i="3"/>
  <c r="F205" i="3"/>
  <c r="D205" i="3"/>
  <c r="G204" i="3"/>
  <c r="F204" i="3"/>
  <c r="D204" i="3"/>
  <c r="G203" i="3"/>
  <c r="F203" i="3"/>
  <c r="D203" i="3"/>
  <c r="G202" i="3"/>
  <c r="F202" i="3"/>
  <c r="D202" i="3"/>
  <c r="G201" i="3"/>
  <c r="F201" i="3"/>
  <c r="D201" i="3"/>
  <c r="G200" i="3"/>
  <c r="F200" i="3"/>
  <c r="D200" i="3"/>
  <c r="G199" i="3"/>
  <c r="F199" i="3"/>
  <c r="D199" i="3"/>
  <c r="G198" i="3"/>
  <c r="F198" i="3"/>
  <c r="D198" i="3"/>
  <c r="G197" i="3"/>
  <c r="F197" i="3"/>
  <c r="D197" i="3"/>
  <c r="G196" i="3"/>
  <c r="F196" i="3"/>
  <c r="D196" i="3"/>
  <c r="G195" i="3"/>
  <c r="F195" i="3"/>
  <c r="D195" i="3"/>
  <c r="G194" i="3"/>
  <c r="F194" i="3"/>
  <c r="D194" i="3"/>
  <c r="G193" i="3"/>
  <c r="F193" i="3"/>
  <c r="D193" i="3"/>
  <c r="G192" i="3"/>
  <c r="F192" i="3"/>
  <c r="D192" i="3"/>
  <c r="G191" i="3"/>
  <c r="F191" i="3"/>
  <c r="D191" i="3"/>
  <c r="G190" i="3"/>
  <c r="F190" i="3"/>
  <c r="D190" i="3"/>
  <c r="G189" i="3"/>
  <c r="F189" i="3"/>
  <c r="D189" i="3"/>
  <c r="G188" i="3"/>
  <c r="F188" i="3"/>
  <c r="D188" i="3"/>
  <c r="G187" i="3"/>
  <c r="F187" i="3"/>
  <c r="D187" i="3"/>
  <c r="G186" i="3"/>
  <c r="F186" i="3"/>
  <c r="D186" i="3"/>
  <c r="G185" i="3"/>
  <c r="F185" i="3"/>
  <c r="D185" i="3"/>
  <c r="G184" i="3"/>
  <c r="F184" i="3"/>
  <c r="D184" i="3"/>
  <c r="G183" i="3"/>
  <c r="F183" i="3"/>
  <c r="D183" i="3"/>
  <c r="G182" i="3"/>
  <c r="F182" i="3"/>
  <c r="D182" i="3"/>
  <c r="G181" i="3"/>
  <c r="F181" i="3"/>
  <c r="D181" i="3"/>
  <c r="G180" i="3"/>
  <c r="F180" i="3"/>
  <c r="D180" i="3"/>
  <c r="G179" i="3"/>
  <c r="F179" i="3"/>
  <c r="D179" i="3"/>
  <c r="G178" i="3"/>
  <c r="F178" i="3"/>
  <c r="D178" i="3"/>
  <c r="G177" i="3"/>
  <c r="F177" i="3"/>
  <c r="D177" i="3"/>
  <c r="G176" i="3"/>
  <c r="F176" i="3"/>
  <c r="D176" i="3"/>
  <c r="G175" i="3"/>
  <c r="F175" i="3"/>
  <c r="D175" i="3"/>
  <c r="G174" i="3"/>
  <c r="F174" i="3"/>
  <c r="D174" i="3"/>
  <c r="G173" i="3"/>
  <c r="F173" i="3"/>
  <c r="D173" i="3"/>
  <c r="G172" i="3"/>
  <c r="F172" i="3"/>
  <c r="D172" i="3"/>
  <c r="G171" i="3"/>
  <c r="F171" i="3"/>
  <c r="D171" i="3"/>
  <c r="G170" i="3"/>
  <c r="F170" i="3"/>
  <c r="D170" i="3"/>
  <c r="G169" i="3"/>
  <c r="F169" i="3"/>
  <c r="D169" i="3"/>
  <c r="G168" i="3"/>
  <c r="F168" i="3"/>
  <c r="D168" i="3"/>
  <c r="G167" i="3"/>
  <c r="F167" i="3"/>
  <c r="D167" i="3"/>
  <c r="G166" i="3"/>
  <c r="F166" i="3"/>
  <c r="D166" i="3"/>
  <c r="G165" i="3"/>
  <c r="F165" i="3"/>
  <c r="D165" i="3"/>
  <c r="G164" i="3"/>
  <c r="F164" i="3"/>
  <c r="D164" i="3"/>
  <c r="G163" i="3"/>
  <c r="F163" i="3"/>
  <c r="D163" i="3"/>
  <c r="G162" i="3"/>
  <c r="F162" i="3"/>
  <c r="D162" i="3"/>
  <c r="G161" i="3"/>
  <c r="F161" i="3"/>
  <c r="D161" i="3"/>
  <c r="G160" i="3"/>
  <c r="F160" i="3"/>
  <c r="D160" i="3"/>
  <c r="G159" i="3"/>
  <c r="F159" i="3"/>
  <c r="D159" i="3"/>
  <c r="G158" i="3"/>
  <c r="F158" i="3"/>
  <c r="D158" i="3"/>
  <c r="G157" i="3"/>
  <c r="F157" i="3"/>
  <c r="D157" i="3"/>
  <c r="G156" i="3"/>
  <c r="F156" i="3"/>
  <c r="D156" i="3"/>
  <c r="G155" i="3"/>
  <c r="F155" i="3"/>
  <c r="D155" i="3"/>
  <c r="G154" i="3"/>
  <c r="F154" i="3"/>
  <c r="D154" i="3"/>
  <c r="G153" i="3"/>
  <c r="F153" i="3"/>
  <c r="D153" i="3"/>
  <c r="G152" i="3"/>
  <c r="F152" i="3"/>
  <c r="D152" i="3"/>
  <c r="G151" i="3"/>
  <c r="F151" i="3"/>
  <c r="D151" i="3"/>
  <c r="G150" i="3"/>
  <c r="F150" i="3"/>
  <c r="D150" i="3"/>
  <c r="G149" i="3"/>
  <c r="F149" i="3"/>
  <c r="D149" i="3"/>
  <c r="G148" i="3"/>
  <c r="F148" i="3"/>
  <c r="D148" i="3"/>
  <c r="G147" i="3"/>
  <c r="F147" i="3"/>
  <c r="D147" i="3"/>
  <c r="G146" i="3"/>
  <c r="F146" i="3"/>
  <c r="D146" i="3"/>
  <c r="G145" i="3"/>
  <c r="F145" i="3"/>
  <c r="D145" i="3"/>
  <c r="G144" i="3"/>
  <c r="F144" i="3"/>
  <c r="D144" i="3"/>
  <c r="G143" i="3"/>
  <c r="F143" i="3"/>
  <c r="D143" i="3"/>
  <c r="G142" i="3"/>
  <c r="F142" i="3"/>
  <c r="D142" i="3"/>
  <c r="G141" i="3"/>
  <c r="F141" i="3"/>
  <c r="D141" i="3"/>
  <c r="G140" i="3"/>
  <c r="F140" i="3"/>
  <c r="D140" i="3"/>
  <c r="G139" i="3"/>
  <c r="F139" i="3"/>
  <c r="D139" i="3"/>
  <c r="G138" i="3"/>
  <c r="F138" i="3"/>
  <c r="D138" i="3"/>
  <c r="G137" i="3"/>
  <c r="F137" i="3"/>
  <c r="D137" i="3"/>
  <c r="G136" i="3"/>
  <c r="F136" i="3"/>
  <c r="D136" i="3"/>
  <c r="G135" i="3"/>
  <c r="F135" i="3"/>
  <c r="D135" i="3"/>
  <c r="G134" i="3"/>
  <c r="F134" i="3"/>
  <c r="D134" i="3"/>
  <c r="G133" i="3"/>
  <c r="F133" i="3"/>
  <c r="D133" i="3"/>
  <c r="G132" i="3"/>
  <c r="F132" i="3"/>
  <c r="D132" i="3"/>
  <c r="G131" i="3"/>
  <c r="F131" i="3"/>
  <c r="D131" i="3"/>
  <c r="G130" i="3"/>
  <c r="F130" i="3"/>
  <c r="D130" i="3"/>
  <c r="G129" i="3"/>
  <c r="F129" i="3"/>
  <c r="D129" i="3"/>
  <c r="G128" i="3"/>
  <c r="F128" i="3"/>
  <c r="D128" i="3"/>
  <c r="G127" i="3"/>
  <c r="F127" i="3"/>
  <c r="D127" i="3"/>
  <c r="G126" i="3"/>
  <c r="F126" i="3"/>
  <c r="D126" i="3"/>
  <c r="G125" i="3"/>
  <c r="F125" i="3"/>
  <c r="D125" i="3"/>
  <c r="G124" i="3"/>
  <c r="F124" i="3"/>
  <c r="D124" i="3"/>
  <c r="G123" i="3"/>
  <c r="F123" i="3"/>
  <c r="D123" i="3"/>
  <c r="G122" i="3"/>
  <c r="F122" i="3"/>
  <c r="D122" i="3"/>
  <c r="G121" i="3"/>
  <c r="F121" i="3"/>
  <c r="D121" i="3"/>
  <c r="G120" i="3"/>
  <c r="F120" i="3"/>
  <c r="D120" i="3"/>
  <c r="G119" i="3"/>
  <c r="F119" i="3"/>
  <c r="D119" i="3"/>
  <c r="G118" i="3"/>
  <c r="F118" i="3"/>
  <c r="D118" i="3"/>
  <c r="G117" i="3"/>
  <c r="F117" i="3"/>
  <c r="D117" i="3"/>
  <c r="G116" i="3"/>
  <c r="F116" i="3"/>
  <c r="D116" i="3"/>
  <c r="G115" i="3"/>
  <c r="F115" i="3"/>
  <c r="D115" i="3"/>
  <c r="G114" i="3"/>
  <c r="F114" i="3"/>
  <c r="D114" i="3"/>
  <c r="G113" i="3"/>
  <c r="F113" i="3"/>
  <c r="D113" i="3"/>
  <c r="G112" i="3"/>
  <c r="F112" i="3"/>
  <c r="D112" i="3"/>
  <c r="G111" i="3"/>
  <c r="F111" i="3"/>
  <c r="D111" i="3"/>
  <c r="G110" i="3"/>
  <c r="F110" i="3"/>
  <c r="D110" i="3"/>
  <c r="G109" i="3"/>
  <c r="F109" i="3"/>
  <c r="D109" i="3"/>
  <c r="G108" i="3"/>
  <c r="F108" i="3"/>
  <c r="D108" i="3"/>
  <c r="G107" i="3"/>
  <c r="F107" i="3"/>
  <c r="D107" i="3"/>
  <c r="G106" i="3"/>
  <c r="F106" i="3"/>
  <c r="D106" i="3"/>
  <c r="G105" i="3"/>
  <c r="F105" i="3"/>
  <c r="D105" i="3"/>
  <c r="G104" i="3"/>
  <c r="F104" i="3"/>
  <c r="D104" i="3"/>
  <c r="H103" i="3"/>
  <c r="H102" i="3"/>
  <c r="H101" i="3"/>
  <c r="H100" i="3"/>
  <c r="H99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H81" i="3"/>
  <c r="H80" i="3"/>
  <c r="H79" i="3"/>
  <c r="H78" i="3"/>
  <c r="H77" i="3"/>
  <c r="H76" i="3"/>
  <c r="H75" i="3"/>
  <c r="D73" i="3"/>
  <c r="D72" i="3"/>
  <c r="D72" i="4" s="1"/>
  <c r="D71" i="3"/>
  <c r="D70" i="3"/>
  <c r="D69" i="3"/>
  <c r="D68" i="3"/>
  <c r="D68" i="4" s="1"/>
  <c r="D67" i="3"/>
  <c r="D66" i="3"/>
  <c r="D66" i="4" s="1"/>
  <c r="D65" i="3"/>
  <c r="D64" i="3"/>
  <c r="D64" i="4" s="1"/>
  <c r="D63" i="3"/>
  <c r="D63" i="8" s="1"/>
  <c r="D62" i="3"/>
  <c r="D61" i="3"/>
  <c r="D60" i="3"/>
  <c r="D60" i="4" s="1"/>
  <c r="D59" i="3"/>
  <c r="D58" i="3"/>
  <c r="D58" i="4" s="1"/>
  <c r="D57" i="3"/>
  <c r="D56" i="3"/>
  <c r="D56" i="4" s="1"/>
  <c r="D55" i="3"/>
  <c r="D55" i="5" s="1"/>
  <c r="D54" i="3"/>
  <c r="D53" i="3"/>
  <c r="D52" i="3"/>
  <c r="D51" i="3"/>
  <c r="D50" i="3"/>
  <c r="D50" i="4" s="1"/>
  <c r="D49" i="3"/>
  <c r="D48" i="3"/>
  <c r="D48" i="4" s="1"/>
  <c r="D47" i="3"/>
  <c r="D46" i="3"/>
  <c r="D45" i="3"/>
  <c r="D45" i="6" s="1"/>
  <c r="D44" i="3"/>
  <c r="D43" i="3"/>
  <c r="D42" i="3"/>
  <c r="D42" i="4" s="1"/>
  <c r="D41" i="3"/>
  <c r="D40" i="3"/>
  <c r="D40" i="4" s="1"/>
  <c r="D39" i="3"/>
  <c r="D38" i="3"/>
  <c r="D37" i="3"/>
  <c r="D36" i="3"/>
  <c r="D36" i="5" s="1"/>
  <c r="D35" i="3"/>
  <c r="D35" i="7" s="1"/>
  <c r="D34" i="3"/>
  <c r="D34" i="4" s="1"/>
  <c r="D33" i="3"/>
  <c r="D33" i="6" s="1"/>
  <c r="D32" i="3"/>
  <c r="D32" i="5" s="1"/>
  <c r="D31" i="3"/>
  <c r="D30" i="3"/>
  <c r="D29" i="3"/>
  <c r="D28" i="3"/>
  <c r="D28" i="4" s="1"/>
  <c r="D27" i="3"/>
  <c r="D26" i="3"/>
  <c r="D26" i="5" s="1"/>
  <c r="D25" i="3"/>
  <c r="D24" i="3"/>
  <c r="D24" i="4" s="1"/>
  <c r="D23" i="3"/>
  <c r="D22" i="3"/>
  <c r="D22" i="7" s="1"/>
  <c r="D21" i="3"/>
  <c r="D21" i="5" s="1"/>
  <c r="D20" i="3"/>
  <c r="D20" i="4" s="1"/>
  <c r="D19" i="3"/>
  <c r="D18" i="3"/>
  <c r="D18" i="4" s="1"/>
  <c r="D17" i="3"/>
  <c r="D16" i="3"/>
  <c r="D16" i="4" s="1"/>
  <c r="D15" i="3"/>
  <c r="D15" i="5" s="1"/>
  <c r="D14" i="3"/>
  <c r="D13" i="3"/>
  <c r="D13" i="5" s="1"/>
  <c r="D12" i="3"/>
  <c r="D12" i="8" s="1"/>
  <c r="D11" i="3"/>
  <c r="D10" i="3"/>
  <c r="D10" i="4" s="1"/>
  <c r="D9" i="3"/>
  <c r="D9" i="5" s="1"/>
  <c r="D8" i="3"/>
  <c r="D8" i="4" s="1"/>
  <c r="D7" i="3"/>
  <c r="D7" i="5" s="1"/>
  <c r="D6" i="3"/>
  <c r="D5" i="3"/>
  <c r="D5" i="5" s="1"/>
  <c r="D4" i="3"/>
  <c r="D4" i="4" s="1"/>
  <c r="J4" i="4"/>
  <c r="BG82" i="11" l="1"/>
  <c r="AD92" i="11"/>
  <c r="AX79" i="11"/>
  <c r="B74" i="5"/>
  <c r="C74" i="9"/>
  <c r="K74" i="9" s="1"/>
  <c r="AZ92" i="11"/>
  <c r="C74" i="5"/>
  <c r="K74" i="5" s="1"/>
  <c r="E74" i="9"/>
  <c r="C74" i="4"/>
  <c r="K74" i="4" s="1"/>
  <c r="L74" i="4" s="1"/>
  <c r="D74" i="5"/>
  <c r="U85" i="11"/>
  <c r="D74" i="4"/>
  <c r="E74" i="5"/>
  <c r="E74" i="6"/>
  <c r="B74" i="7"/>
  <c r="B74" i="10"/>
  <c r="K74" i="10" s="1"/>
  <c r="L74" i="10" s="1"/>
  <c r="AN85" i="11"/>
  <c r="AA95" i="11"/>
  <c r="C74" i="6"/>
  <c r="B74" i="8"/>
  <c r="D74" i="10"/>
  <c r="AQ95" i="11"/>
  <c r="D74" i="8"/>
  <c r="AA82" i="11"/>
  <c r="AB92" i="11"/>
  <c r="AL84" i="11"/>
  <c r="R85" i="11"/>
  <c r="W79" i="11"/>
  <c r="BI82" i="11"/>
  <c r="BH84" i="11"/>
  <c r="S85" i="11"/>
  <c r="U95" i="11"/>
  <c r="Y82" i="11"/>
  <c r="AO85" i="11"/>
  <c r="AV92" i="11"/>
  <c r="AU95" i="11"/>
  <c r="AQ85" i="11"/>
  <c r="BK95" i="11"/>
  <c r="AB82" i="11"/>
  <c r="X84" i="11"/>
  <c r="BH85" i="11"/>
  <c r="AQ82" i="11"/>
  <c r="AJ84" i="11"/>
  <c r="BO85" i="11"/>
  <c r="AA79" i="11"/>
  <c r="AE79" i="11"/>
  <c r="BA79" i="11"/>
  <c r="AJ92" i="11"/>
  <c r="BD92" i="11"/>
  <c r="AN94" i="11"/>
  <c r="AB95" i="11"/>
  <c r="AX95" i="11"/>
  <c r="BK79" i="11"/>
  <c r="AI79" i="11"/>
  <c r="BC79" i="11"/>
  <c r="AO82" i="11"/>
  <c r="AN84" i="11"/>
  <c r="Y85" i="11"/>
  <c r="AX85" i="11"/>
  <c r="AK92" i="11"/>
  <c r="BG92" i="11"/>
  <c r="AO94" i="11"/>
  <c r="AC95" i="11"/>
  <c r="AY95" i="11"/>
  <c r="V76" i="11"/>
  <c r="R79" i="11"/>
  <c r="AL79" i="11"/>
  <c r="BH79" i="11"/>
  <c r="AS82" i="11"/>
  <c r="T84" i="11"/>
  <c r="BA84" i="11"/>
  <c r="AG85" i="11"/>
  <c r="BA85" i="11"/>
  <c r="T92" i="11"/>
  <c r="AN92" i="11"/>
  <c r="BJ92" i="11"/>
  <c r="BL94" i="11"/>
  <c r="AK95" i="11"/>
  <c r="BG95" i="11"/>
  <c r="AY79" i="11"/>
  <c r="AK79" i="11"/>
  <c r="BG79" i="11"/>
  <c r="AQ84" i="11"/>
  <c r="AA85" i="11"/>
  <c r="AY85" i="11"/>
  <c r="P92" i="11"/>
  <c r="AL92" i="11"/>
  <c r="BH92" i="11"/>
  <c r="BO95" i="11"/>
  <c r="AE95" i="11"/>
  <c r="BA95" i="11"/>
  <c r="X76" i="11"/>
  <c r="S79" i="11"/>
  <c r="AM79" i="11"/>
  <c r="BO79" i="11"/>
  <c r="U84" i="11"/>
  <c r="BB84" i="11"/>
  <c r="BM85" i="11"/>
  <c r="AI85" i="11"/>
  <c r="BE85" i="11"/>
  <c r="X92" i="11"/>
  <c r="AT92" i="11"/>
  <c r="BP92" i="11"/>
  <c r="R95" i="11"/>
  <c r="AL95" i="11"/>
  <c r="BH95" i="11"/>
  <c r="AL76" i="11"/>
  <c r="U79" i="11"/>
  <c r="BE82" i="11"/>
  <c r="V84" i="11"/>
  <c r="BD84" i="11"/>
  <c r="Q85" i="11"/>
  <c r="AK85" i="11"/>
  <c r="AA92" i="11"/>
  <c r="AU92" i="11"/>
  <c r="S95" i="11"/>
  <c r="AM95" i="11"/>
  <c r="G4" i="22"/>
  <c r="E4" i="3"/>
  <c r="L5" i="5"/>
  <c r="L13" i="5"/>
  <c r="L21" i="5"/>
  <c r="L28" i="4"/>
  <c r="L60" i="4"/>
  <c r="L68" i="4"/>
  <c r="L50" i="5"/>
  <c r="H31" i="5"/>
  <c r="G31" i="5"/>
  <c r="F31" i="5"/>
  <c r="K17" i="4"/>
  <c r="L17" i="4" s="1"/>
  <c r="L9" i="5"/>
  <c r="L72" i="5"/>
  <c r="K33" i="4"/>
  <c r="L33" i="4" s="1"/>
  <c r="L8" i="4"/>
  <c r="L16" i="4"/>
  <c r="L24" i="4"/>
  <c r="L40" i="4"/>
  <c r="L48" i="4"/>
  <c r="L56" i="4"/>
  <c r="L64" i="4"/>
  <c r="L72" i="4"/>
  <c r="L26" i="5"/>
  <c r="K33" i="5"/>
  <c r="L33" i="5" s="1"/>
  <c r="K37" i="6"/>
  <c r="L37" i="6" s="1"/>
  <c r="D51" i="26"/>
  <c r="G51" i="26"/>
  <c r="D52" i="10"/>
  <c r="D52" i="9"/>
  <c r="K87" i="7"/>
  <c r="B87" i="7"/>
  <c r="O87" i="7" s="1"/>
  <c r="N87" i="7"/>
  <c r="E87" i="7"/>
  <c r="D87" i="7"/>
  <c r="L87" i="7"/>
  <c r="J87" i="7"/>
  <c r="F30" i="8"/>
  <c r="H30" i="8"/>
  <c r="G30" i="8"/>
  <c r="D16" i="26"/>
  <c r="G16" i="26"/>
  <c r="D17" i="11"/>
  <c r="D17" i="9"/>
  <c r="O31" i="10"/>
  <c r="O15" i="10"/>
  <c r="O19" i="10"/>
  <c r="F9" i="4"/>
  <c r="D12" i="4"/>
  <c r="L12" i="4" s="1"/>
  <c r="F13" i="4"/>
  <c r="O17" i="4"/>
  <c r="B23" i="4"/>
  <c r="O23" i="4" s="1"/>
  <c r="F29" i="4"/>
  <c r="D36" i="4"/>
  <c r="L36" i="4" s="1"/>
  <c r="O45" i="4"/>
  <c r="O49" i="4"/>
  <c r="D52" i="4"/>
  <c r="L52" i="4" s="1"/>
  <c r="F53" i="4"/>
  <c r="O57" i="4"/>
  <c r="B59" i="4"/>
  <c r="K59" i="4" s="1"/>
  <c r="L59" i="4" s="1"/>
  <c r="O61" i="4"/>
  <c r="B63" i="4"/>
  <c r="F65" i="4"/>
  <c r="O69" i="4"/>
  <c r="O73" i="4"/>
  <c r="B75" i="4"/>
  <c r="O75" i="4" s="1"/>
  <c r="F77" i="4"/>
  <c r="K79" i="4"/>
  <c r="F81" i="4"/>
  <c r="B83" i="4"/>
  <c r="O83" i="4" s="1"/>
  <c r="K83" i="4"/>
  <c r="F85" i="4"/>
  <c r="K87" i="4"/>
  <c r="F89" i="4"/>
  <c r="F93" i="4"/>
  <c r="J102" i="4"/>
  <c r="O6" i="5"/>
  <c r="F18" i="5"/>
  <c r="F22" i="5"/>
  <c r="B31" i="5"/>
  <c r="O31" i="5" s="1"/>
  <c r="F33" i="5"/>
  <c r="D48" i="5"/>
  <c r="G50" i="5"/>
  <c r="C63" i="5"/>
  <c r="L11" i="6"/>
  <c r="G16" i="6"/>
  <c r="K22" i="6"/>
  <c r="O22" i="6"/>
  <c r="C25" i="6"/>
  <c r="H27" i="6"/>
  <c r="O27" i="6"/>
  <c r="H28" i="6"/>
  <c r="E34" i="6"/>
  <c r="D34" i="6"/>
  <c r="D36" i="6"/>
  <c r="C36" i="6"/>
  <c r="D37" i="6"/>
  <c r="H38" i="6"/>
  <c r="G38" i="6"/>
  <c r="G52" i="6"/>
  <c r="F52" i="6"/>
  <c r="G56" i="6"/>
  <c r="D61" i="6"/>
  <c r="H66" i="6"/>
  <c r="G66" i="6"/>
  <c r="N82" i="6"/>
  <c r="C82" i="6"/>
  <c r="M82" i="6"/>
  <c r="B82" i="6"/>
  <c r="O82" i="6" s="1"/>
  <c r="J82" i="6"/>
  <c r="J98" i="6"/>
  <c r="N98" i="6"/>
  <c r="C98" i="6"/>
  <c r="M98" i="6"/>
  <c r="B98" i="6"/>
  <c r="O98" i="6" s="1"/>
  <c r="B101" i="6"/>
  <c r="M103" i="6"/>
  <c r="D103" i="6"/>
  <c r="L103" i="6"/>
  <c r="C103" i="6"/>
  <c r="J103" i="6"/>
  <c r="E103" i="6"/>
  <c r="B103" i="6"/>
  <c r="B11" i="7"/>
  <c r="E11" i="7"/>
  <c r="D11" i="7"/>
  <c r="D13" i="7"/>
  <c r="O45" i="7"/>
  <c r="E70" i="7"/>
  <c r="D70" i="7"/>
  <c r="C70" i="7"/>
  <c r="C87" i="7"/>
  <c r="G103" i="7"/>
  <c r="H103" i="7"/>
  <c r="F103" i="7"/>
  <c r="O26" i="8"/>
  <c r="K26" i="8"/>
  <c r="E59" i="8"/>
  <c r="C59" i="8"/>
  <c r="K59" i="8"/>
  <c r="L59" i="8" s="1"/>
  <c r="D59" i="8"/>
  <c r="B59" i="8"/>
  <c r="O62" i="8"/>
  <c r="L52" i="9"/>
  <c r="D43" i="26"/>
  <c r="G43" i="26"/>
  <c r="D44" i="9"/>
  <c r="G5" i="27"/>
  <c r="P8" i="27"/>
  <c r="G8" i="27"/>
  <c r="J95" i="4"/>
  <c r="G19" i="7"/>
  <c r="H19" i="7"/>
  <c r="G51" i="7"/>
  <c r="H51" i="7"/>
  <c r="D28" i="8"/>
  <c r="D24" i="26"/>
  <c r="G24" i="26"/>
  <c r="D25" i="9"/>
  <c r="F4" i="1"/>
  <c r="F5" i="4"/>
  <c r="B7" i="4"/>
  <c r="B11" i="4"/>
  <c r="F17" i="4"/>
  <c r="B19" i="4"/>
  <c r="K19" i="4" s="1"/>
  <c r="L19" i="4" s="1"/>
  <c r="O21" i="4"/>
  <c r="F25" i="4"/>
  <c r="O29" i="4"/>
  <c r="B31" i="4"/>
  <c r="F33" i="4"/>
  <c r="O37" i="4"/>
  <c r="B39" i="4"/>
  <c r="O41" i="4"/>
  <c r="D44" i="4"/>
  <c r="L44" i="4" s="1"/>
  <c r="F45" i="4"/>
  <c r="B47" i="4"/>
  <c r="F49" i="4"/>
  <c r="B51" i="4"/>
  <c r="K51" i="4" s="1"/>
  <c r="L51" i="4" s="1"/>
  <c r="O53" i="4"/>
  <c r="B55" i="4"/>
  <c r="K55" i="4" s="1"/>
  <c r="L55" i="4" s="1"/>
  <c r="F57" i="4"/>
  <c r="F61" i="4"/>
  <c r="O65" i="4"/>
  <c r="B67" i="4"/>
  <c r="K67" i="4"/>
  <c r="L67" i="4" s="1"/>
  <c r="F69" i="4"/>
  <c r="B71" i="4"/>
  <c r="K71" i="4" s="1"/>
  <c r="L71" i="4" s="1"/>
  <c r="F73" i="4"/>
  <c r="K75" i="4"/>
  <c r="B79" i="4"/>
  <c r="O79" i="4" s="1"/>
  <c r="B87" i="4"/>
  <c r="O87" i="4" s="1"/>
  <c r="B91" i="4"/>
  <c r="O91" i="4" s="1"/>
  <c r="K91" i="4"/>
  <c r="F97" i="4"/>
  <c r="B99" i="4"/>
  <c r="O99" i="4" s="1"/>
  <c r="K99" i="4"/>
  <c r="B4" i="5"/>
  <c r="O4" i="5" s="1"/>
  <c r="F6" i="5"/>
  <c r="O10" i="5"/>
  <c r="B12" i="5"/>
  <c r="K12" i="5" s="1"/>
  <c r="L12" i="5" s="1"/>
  <c r="O14" i="5"/>
  <c r="B16" i="5"/>
  <c r="O34" i="5"/>
  <c r="B37" i="5"/>
  <c r="O37" i="5" s="1"/>
  <c r="B40" i="5"/>
  <c r="O40" i="5" s="1"/>
  <c r="E40" i="5"/>
  <c r="C43" i="5"/>
  <c r="B81" i="5"/>
  <c r="O81" i="5" s="1"/>
  <c r="B95" i="5"/>
  <c r="O95" i="5" s="1"/>
  <c r="E97" i="5"/>
  <c r="N97" i="5"/>
  <c r="D97" i="5"/>
  <c r="J97" i="5"/>
  <c r="N103" i="5"/>
  <c r="E103" i="5"/>
  <c r="D103" i="5"/>
  <c r="C103" i="5"/>
  <c r="J103" i="5"/>
  <c r="G5" i="26"/>
  <c r="D5" i="26"/>
  <c r="D6" i="11"/>
  <c r="D6" i="10"/>
  <c r="L6" i="10" s="1"/>
  <c r="D6" i="8"/>
  <c r="G53" i="26"/>
  <c r="D53" i="26"/>
  <c r="D54" i="8"/>
  <c r="D54" i="10"/>
  <c r="D54" i="6"/>
  <c r="G61" i="26"/>
  <c r="D61" i="26"/>
  <c r="D62" i="10"/>
  <c r="L62" i="10" s="1"/>
  <c r="D62" i="8"/>
  <c r="D62" i="7"/>
  <c r="D62" i="6"/>
  <c r="G69" i="26"/>
  <c r="D69" i="26"/>
  <c r="D70" i="8"/>
  <c r="D70" i="10"/>
  <c r="D70" i="6"/>
  <c r="G4" i="1"/>
  <c r="I5" i="1"/>
  <c r="E5" i="27" s="1"/>
  <c r="F7" i="1"/>
  <c r="I8" i="1"/>
  <c r="E8" i="27" s="1"/>
  <c r="G5" i="4"/>
  <c r="C7" i="4"/>
  <c r="G9" i="4"/>
  <c r="C11" i="4"/>
  <c r="G13" i="4"/>
  <c r="C15" i="4"/>
  <c r="G17" i="4"/>
  <c r="C19" i="4"/>
  <c r="G21" i="4"/>
  <c r="C23" i="4"/>
  <c r="G25" i="4"/>
  <c r="C27" i="4"/>
  <c r="G29" i="4"/>
  <c r="C31" i="4"/>
  <c r="K31" i="4" s="1"/>
  <c r="L31" i="4" s="1"/>
  <c r="G33" i="4"/>
  <c r="C35" i="4"/>
  <c r="G37" i="4"/>
  <c r="C39" i="4"/>
  <c r="K39" i="4" s="1"/>
  <c r="L39" i="4" s="1"/>
  <c r="G41" i="4"/>
  <c r="C43" i="4"/>
  <c r="G45" i="4"/>
  <c r="C47" i="4"/>
  <c r="G49" i="4"/>
  <c r="C51" i="4"/>
  <c r="G53" i="4"/>
  <c r="C55" i="4"/>
  <c r="G57" i="4"/>
  <c r="C59" i="4"/>
  <c r="G61" i="4"/>
  <c r="C63" i="4"/>
  <c r="K63" i="4" s="1"/>
  <c r="L63" i="4" s="1"/>
  <c r="G65" i="4"/>
  <c r="C67" i="4"/>
  <c r="G69" i="4"/>
  <c r="C71" i="4"/>
  <c r="G73" i="4"/>
  <c r="C75" i="4"/>
  <c r="L75" i="4"/>
  <c r="G77" i="4"/>
  <c r="J78" i="4"/>
  <c r="C79" i="4"/>
  <c r="L79" i="4"/>
  <c r="G81" i="4"/>
  <c r="J82" i="4"/>
  <c r="C83" i="4"/>
  <c r="L83" i="4"/>
  <c r="G85" i="4"/>
  <c r="J86" i="4"/>
  <c r="C87" i="4"/>
  <c r="L87" i="4"/>
  <c r="G89" i="4"/>
  <c r="J90" i="4"/>
  <c r="C91" i="4"/>
  <c r="L91" i="4"/>
  <c r="G93" i="4"/>
  <c r="J94" i="4"/>
  <c r="C95" i="4"/>
  <c r="L95" i="4"/>
  <c r="G97" i="4"/>
  <c r="J98" i="4"/>
  <c r="C99" i="4"/>
  <c r="L99" i="4"/>
  <c r="G101" i="4"/>
  <c r="B102" i="4"/>
  <c r="K102" i="4"/>
  <c r="C4" i="5"/>
  <c r="G6" i="5"/>
  <c r="C8" i="5"/>
  <c r="G10" i="5"/>
  <c r="C12" i="5"/>
  <c r="G14" i="5"/>
  <c r="C16" i="5"/>
  <c r="G18" i="5"/>
  <c r="C20" i="5"/>
  <c r="G22" i="5"/>
  <c r="B23" i="5"/>
  <c r="G27" i="5"/>
  <c r="D28" i="5"/>
  <c r="D29" i="5"/>
  <c r="G30" i="5"/>
  <c r="D31" i="5"/>
  <c r="H33" i="5"/>
  <c r="C37" i="5"/>
  <c r="F39" i="5"/>
  <c r="C40" i="5"/>
  <c r="B43" i="5"/>
  <c r="F45" i="5"/>
  <c r="O46" i="5"/>
  <c r="B49" i="5"/>
  <c r="H50" i="5"/>
  <c r="B52" i="5"/>
  <c r="E52" i="5"/>
  <c r="D54" i="5"/>
  <c r="C55" i="5"/>
  <c r="O58" i="5"/>
  <c r="H61" i="5"/>
  <c r="D62" i="5"/>
  <c r="B63" i="5"/>
  <c r="F73" i="5"/>
  <c r="L77" i="5"/>
  <c r="B77" i="5"/>
  <c r="O77" i="5" s="1"/>
  <c r="N84" i="5"/>
  <c r="E84" i="5"/>
  <c r="L84" i="5"/>
  <c r="B84" i="5"/>
  <c r="O84" i="5" s="1"/>
  <c r="M85" i="5"/>
  <c r="C85" i="5"/>
  <c r="L85" i="5"/>
  <c r="B85" i="5"/>
  <c r="O85" i="5" s="1"/>
  <c r="F89" i="5"/>
  <c r="B97" i="5"/>
  <c r="O97" i="5" s="1"/>
  <c r="K102" i="5"/>
  <c r="B102" i="5"/>
  <c r="M102" i="5"/>
  <c r="C102" i="5"/>
  <c r="B103" i="5"/>
  <c r="L6" i="6"/>
  <c r="E9" i="6"/>
  <c r="B9" i="6"/>
  <c r="C10" i="6"/>
  <c r="E12" i="6"/>
  <c r="H16" i="6"/>
  <c r="E21" i="6"/>
  <c r="C21" i="6"/>
  <c r="B21" i="6"/>
  <c r="F27" i="6"/>
  <c r="B34" i="6"/>
  <c r="O34" i="6" s="1"/>
  <c r="B36" i="6"/>
  <c r="K36" i="6" s="1"/>
  <c r="L36" i="6" s="1"/>
  <c r="F38" i="6"/>
  <c r="G40" i="6"/>
  <c r="K46" i="6"/>
  <c r="L46" i="6" s="1"/>
  <c r="O46" i="6"/>
  <c r="H51" i="6"/>
  <c r="O51" i="6"/>
  <c r="H52" i="6"/>
  <c r="H56" i="6"/>
  <c r="O66" i="6"/>
  <c r="G68" i="6"/>
  <c r="F68" i="6"/>
  <c r="E73" i="6"/>
  <c r="C73" i="6"/>
  <c r="B73" i="6"/>
  <c r="M76" i="6"/>
  <c r="D76" i="6"/>
  <c r="L76" i="6"/>
  <c r="C76" i="6"/>
  <c r="E76" i="6"/>
  <c r="K76" i="6"/>
  <c r="J76" i="6"/>
  <c r="D82" i="6"/>
  <c r="N89" i="6"/>
  <c r="E89" i="6"/>
  <c r="C89" i="6"/>
  <c r="M89" i="6"/>
  <c r="B89" i="6"/>
  <c r="O89" i="6" s="1"/>
  <c r="J89" i="6"/>
  <c r="D98" i="6"/>
  <c r="C5" i="7"/>
  <c r="E5" i="7"/>
  <c r="D5" i="7"/>
  <c r="C11" i="7"/>
  <c r="K11" i="7" s="1"/>
  <c r="L11" i="7" s="1"/>
  <c r="E18" i="7"/>
  <c r="D18" i="7"/>
  <c r="C18" i="7"/>
  <c r="K18" i="7"/>
  <c r="L18" i="7" s="1"/>
  <c r="B18" i="7"/>
  <c r="C25" i="7"/>
  <c r="K25" i="7"/>
  <c r="L25" i="7" s="1"/>
  <c r="D25" i="7"/>
  <c r="B25" i="7"/>
  <c r="H28" i="7"/>
  <c r="G28" i="7"/>
  <c r="E34" i="7"/>
  <c r="C34" i="7"/>
  <c r="B34" i="7"/>
  <c r="B43" i="7"/>
  <c r="O43" i="7" s="1"/>
  <c r="E43" i="7"/>
  <c r="D43" i="7"/>
  <c r="D45" i="7"/>
  <c r="E50" i="7"/>
  <c r="D50" i="7"/>
  <c r="C50" i="7"/>
  <c r="B50" i="7"/>
  <c r="K50" i="7" s="1"/>
  <c r="L50" i="7" s="1"/>
  <c r="D54" i="7"/>
  <c r="C57" i="7"/>
  <c r="D57" i="7"/>
  <c r="B57" i="7"/>
  <c r="B70" i="7"/>
  <c r="O70" i="7" s="1"/>
  <c r="F85" i="7"/>
  <c r="H85" i="7"/>
  <c r="G85" i="7"/>
  <c r="M87" i="7"/>
  <c r="N94" i="7"/>
  <c r="E94" i="7"/>
  <c r="L94" i="7"/>
  <c r="C94" i="7"/>
  <c r="D94" i="7"/>
  <c r="B94" i="7"/>
  <c r="O94" i="7" s="1"/>
  <c r="K94" i="7"/>
  <c r="J94" i="7"/>
  <c r="B4" i="8"/>
  <c r="E4" i="8"/>
  <c r="D4" i="8"/>
  <c r="C4" i="8"/>
  <c r="K4" i="8" s="1"/>
  <c r="L4" i="8" s="1"/>
  <c r="B24" i="8"/>
  <c r="O24" i="8" s="1"/>
  <c r="E24" i="8"/>
  <c r="D24" i="8"/>
  <c r="G33" i="8"/>
  <c r="O33" i="8"/>
  <c r="H33" i="8"/>
  <c r="F33" i="8"/>
  <c r="E51" i="8"/>
  <c r="C51" i="8"/>
  <c r="K51" i="8"/>
  <c r="L51" i="8" s="1"/>
  <c r="D51" i="8"/>
  <c r="B51" i="8"/>
  <c r="O51" i="8" s="1"/>
  <c r="C72" i="8"/>
  <c r="K72" i="8"/>
  <c r="L72" i="8" s="1"/>
  <c r="B72" i="8"/>
  <c r="E72" i="8"/>
  <c r="L14" i="9"/>
  <c r="B57" i="9"/>
  <c r="O57" i="9" s="1"/>
  <c r="E57" i="9"/>
  <c r="D57" i="9"/>
  <c r="C57" i="9"/>
  <c r="D58" i="10"/>
  <c r="D3" i="26"/>
  <c r="G3" i="26"/>
  <c r="D4" i="11"/>
  <c r="D4" i="10"/>
  <c r="D4" i="9"/>
  <c r="D67" i="26"/>
  <c r="G67" i="26"/>
  <c r="D68" i="11"/>
  <c r="D68" i="10"/>
  <c r="D68" i="8"/>
  <c r="O63" i="6"/>
  <c r="O7" i="6"/>
  <c r="J91" i="4"/>
  <c r="L95" i="5"/>
  <c r="C95" i="5"/>
  <c r="E95" i="5"/>
  <c r="J95" i="5"/>
  <c r="E25" i="6"/>
  <c r="B25" i="6"/>
  <c r="O25" i="6" s="1"/>
  <c r="G64" i="6"/>
  <c r="F64" i="6"/>
  <c r="D8" i="26"/>
  <c r="G8" i="26"/>
  <c r="D9" i="11"/>
  <c r="D9" i="8"/>
  <c r="D9" i="9"/>
  <c r="D48" i="26"/>
  <c r="G48" i="26"/>
  <c r="D72" i="26"/>
  <c r="G72" i="26"/>
  <c r="D73" i="11"/>
  <c r="D73" i="9"/>
  <c r="O41" i="8"/>
  <c r="O49" i="8"/>
  <c r="O5" i="4"/>
  <c r="K7" i="4"/>
  <c r="L7" i="4" s="1"/>
  <c r="O9" i="4"/>
  <c r="K11" i="4"/>
  <c r="L11" i="4" s="1"/>
  <c r="O13" i="4"/>
  <c r="B15" i="4"/>
  <c r="K15" i="4" s="1"/>
  <c r="L15" i="4" s="1"/>
  <c r="F21" i="4"/>
  <c r="O25" i="4"/>
  <c r="B27" i="4"/>
  <c r="O27" i="4" s="1"/>
  <c r="D32" i="4"/>
  <c r="L32" i="4" s="1"/>
  <c r="O33" i="4"/>
  <c r="B35" i="4"/>
  <c r="K35" i="4" s="1"/>
  <c r="L35" i="4" s="1"/>
  <c r="F37" i="4"/>
  <c r="F41" i="4"/>
  <c r="B43" i="4"/>
  <c r="B95" i="4"/>
  <c r="O95" i="4" s="1"/>
  <c r="K95" i="4"/>
  <c r="F101" i="4"/>
  <c r="B8" i="5"/>
  <c r="K8" i="5"/>
  <c r="L8" i="5" s="1"/>
  <c r="F10" i="5"/>
  <c r="F14" i="5"/>
  <c r="D17" i="5"/>
  <c r="L17" i="5" s="1"/>
  <c r="O18" i="5"/>
  <c r="B20" i="5"/>
  <c r="K20" i="5"/>
  <c r="L20" i="5" s="1"/>
  <c r="F27" i="5"/>
  <c r="C28" i="5"/>
  <c r="D49" i="5"/>
  <c r="F61" i="5"/>
  <c r="B10" i="6"/>
  <c r="B12" i="6"/>
  <c r="E49" i="6"/>
  <c r="B49" i="6"/>
  <c r="G13" i="26"/>
  <c r="D13" i="26"/>
  <c r="D14" i="11"/>
  <c r="D14" i="10"/>
  <c r="D14" i="8"/>
  <c r="G21" i="26"/>
  <c r="D21" i="26"/>
  <c r="D22" i="11"/>
  <c r="D22" i="10"/>
  <c r="D22" i="8"/>
  <c r="G29" i="26"/>
  <c r="D29" i="26"/>
  <c r="D30" i="10"/>
  <c r="L30" i="10" s="1"/>
  <c r="D30" i="8"/>
  <c r="G37" i="26"/>
  <c r="D37" i="26"/>
  <c r="D38" i="10"/>
  <c r="D38" i="8"/>
  <c r="G45" i="26"/>
  <c r="D45" i="26"/>
  <c r="D46" i="10"/>
  <c r="L46" i="10" s="1"/>
  <c r="D46" i="8"/>
  <c r="G10" i="26"/>
  <c r="D10" i="26"/>
  <c r="D11" i="9"/>
  <c r="D11" i="10"/>
  <c r="D11" i="6"/>
  <c r="G18" i="26"/>
  <c r="D18" i="26"/>
  <c r="D19" i="11"/>
  <c r="D19" i="10"/>
  <c r="D19" i="9"/>
  <c r="D19" i="7"/>
  <c r="D19" i="6"/>
  <c r="G26" i="26"/>
  <c r="D26" i="26"/>
  <c r="D27" i="10"/>
  <c r="D27" i="9"/>
  <c r="D27" i="6"/>
  <c r="G34" i="26"/>
  <c r="D34" i="26"/>
  <c r="D35" i="10"/>
  <c r="D35" i="9"/>
  <c r="D35" i="6"/>
  <c r="L35" i="6" s="1"/>
  <c r="G42" i="26"/>
  <c r="D42" i="26"/>
  <c r="D43" i="10"/>
  <c r="D43" i="6"/>
  <c r="G50" i="26"/>
  <c r="D50" i="26"/>
  <c r="D51" i="10"/>
  <c r="D51" i="7"/>
  <c r="D51" i="6"/>
  <c r="L51" i="6" s="1"/>
  <c r="G58" i="26"/>
  <c r="D58" i="26"/>
  <c r="D59" i="10"/>
  <c r="D59" i="6"/>
  <c r="G66" i="26"/>
  <c r="D66" i="26"/>
  <c r="D67" i="10"/>
  <c r="D67" i="8"/>
  <c r="D67" i="9"/>
  <c r="D67" i="6"/>
  <c r="L67" i="6" s="1"/>
  <c r="G7" i="1"/>
  <c r="O68" i="11"/>
  <c r="O44" i="11"/>
  <c r="O36" i="11"/>
  <c r="O4" i="4"/>
  <c r="B6" i="4"/>
  <c r="O6" i="4" s="1"/>
  <c r="D7" i="4"/>
  <c r="O8" i="4"/>
  <c r="B10" i="4"/>
  <c r="K10" i="4" s="1"/>
  <c r="L10" i="4" s="1"/>
  <c r="D11" i="4"/>
  <c r="O12" i="4"/>
  <c r="B14" i="4"/>
  <c r="K14" i="4"/>
  <c r="D15" i="4"/>
  <c r="O16" i="4"/>
  <c r="B18" i="4"/>
  <c r="K18" i="4"/>
  <c r="L18" i="4" s="1"/>
  <c r="D19" i="4"/>
  <c r="O20" i="4"/>
  <c r="B22" i="4"/>
  <c r="K22" i="4"/>
  <c r="D23" i="4"/>
  <c r="O24" i="4"/>
  <c r="B26" i="4"/>
  <c r="K26" i="4" s="1"/>
  <c r="L26" i="4" s="1"/>
  <c r="D27" i="4"/>
  <c r="O28" i="4"/>
  <c r="B30" i="4"/>
  <c r="K30" i="4"/>
  <c r="D31" i="4"/>
  <c r="O32" i="4"/>
  <c r="B34" i="4"/>
  <c r="K34" i="4" s="1"/>
  <c r="L34" i="4" s="1"/>
  <c r="D35" i="4"/>
  <c r="O36" i="4"/>
  <c r="B38" i="4"/>
  <c r="O38" i="4" s="1"/>
  <c r="D39" i="4"/>
  <c r="O40" i="4"/>
  <c r="B42" i="4"/>
  <c r="K42" i="4" s="1"/>
  <c r="L42" i="4" s="1"/>
  <c r="D43" i="4"/>
  <c r="O44" i="4"/>
  <c r="B46" i="4"/>
  <c r="K46" i="4"/>
  <c r="D47" i="4"/>
  <c r="O48" i="4"/>
  <c r="B50" i="4"/>
  <c r="K50" i="4"/>
  <c r="L50" i="4" s="1"/>
  <c r="D51" i="4"/>
  <c r="O52" i="4"/>
  <c r="B54" i="4"/>
  <c r="K54" i="4"/>
  <c r="D55" i="4"/>
  <c r="O56" i="4"/>
  <c r="B58" i="4"/>
  <c r="K58" i="4" s="1"/>
  <c r="L58" i="4" s="1"/>
  <c r="D59" i="4"/>
  <c r="O60" i="4"/>
  <c r="B62" i="4"/>
  <c r="K62" i="4"/>
  <c r="D63" i="4"/>
  <c r="O64" i="4"/>
  <c r="B66" i="4"/>
  <c r="K66" i="4" s="1"/>
  <c r="L66" i="4" s="1"/>
  <c r="D67" i="4"/>
  <c r="O68" i="4"/>
  <c r="B70" i="4"/>
  <c r="O70" i="4" s="1"/>
  <c r="D71" i="4"/>
  <c r="O72" i="4"/>
  <c r="B74" i="4"/>
  <c r="D75" i="4"/>
  <c r="M75" i="4"/>
  <c r="B78" i="4"/>
  <c r="O78" i="4" s="1"/>
  <c r="K78" i="4"/>
  <c r="D79" i="4"/>
  <c r="M79" i="4"/>
  <c r="B82" i="4"/>
  <c r="O82" i="4" s="1"/>
  <c r="K82" i="4"/>
  <c r="D83" i="4"/>
  <c r="M83" i="4"/>
  <c r="B86" i="4"/>
  <c r="O86" i="4" s="1"/>
  <c r="K86" i="4"/>
  <c r="D87" i="4"/>
  <c r="M87" i="4"/>
  <c r="B90" i="4"/>
  <c r="O90" i="4" s="1"/>
  <c r="K90" i="4"/>
  <c r="D91" i="4"/>
  <c r="M91" i="4"/>
  <c r="B94" i="4"/>
  <c r="O94" i="4" s="1"/>
  <c r="K94" i="4"/>
  <c r="D95" i="4"/>
  <c r="M95" i="4"/>
  <c r="B98" i="4"/>
  <c r="O98" i="4" s="1"/>
  <c r="K98" i="4"/>
  <c r="D99" i="4"/>
  <c r="M99" i="4"/>
  <c r="C102" i="4"/>
  <c r="L102" i="4"/>
  <c r="D4" i="5"/>
  <c r="O5" i="5"/>
  <c r="B7" i="5"/>
  <c r="K7" i="5"/>
  <c r="L7" i="5" s="1"/>
  <c r="D8" i="5"/>
  <c r="O9" i="5"/>
  <c r="B11" i="5"/>
  <c r="K11" i="5" s="1"/>
  <c r="L11" i="5" s="1"/>
  <c r="D12" i="5"/>
  <c r="O13" i="5"/>
  <c r="B15" i="5"/>
  <c r="O15" i="5" s="1"/>
  <c r="D16" i="5"/>
  <c r="O17" i="5"/>
  <c r="B19" i="5"/>
  <c r="K19" i="5" s="1"/>
  <c r="L19" i="5" s="1"/>
  <c r="D20" i="5"/>
  <c r="O21" i="5"/>
  <c r="C23" i="5"/>
  <c r="K23" i="5" s="1"/>
  <c r="L23" i="5" s="1"/>
  <c r="F25" i="5"/>
  <c r="O26" i="5"/>
  <c r="B29" i="5"/>
  <c r="H30" i="5"/>
  <c r="K32" i="5"/>
  <c r="L32" i="5" s="1"/>
  <c r="B32" i="5"/>
  <c r="E32" i="5"/>
  <c r="D34" i="5"/>
  <c r="C35" i="5"/>
  <c r="K35" i="5" s="1"/>
  <c r="L35" i="5" s="1"/>
  <c r="E37" i="5"/>
  <c r="G39" i="5"/>
  <c r="D40" i="5"/>
  <c r="D41" i="5"/>
  <c r="L41" i="5" s="1"/>
  <c r="G42" i="5"/>
  <c r="D43" i="5"/>
  <c r="H45" i="5"/>
  <c r="C49" i="5"/>
  <c r="F51" i="5"/>
  <c r="C52" i="5"/>
  <c r="K52" i="5" s="1"/>
  <c r="L52" i="5" s="1"/>
  <c r="B55" i="5"/>
  <c r="F57" i="5"/>
  <c r="C59" i="5"/>
  <c r="K59" i="5" s="1"/>
  <c r="L59" i="5" s="1"/>
  <c r="D63" i="5"/>
  <c r="E65" i="5"/>
  <c r="D65" i="5"/>
  <c r="L65" i="5" s="1"/>
  <c r="H73" i="5"/>
  <c r="L75" i="5"/>
  <c r="C75" i="5"/>
  <c r="M75" i="5"/>
  <c r="B75" i="5"/>
  <c r="O75" i="5" s="1"/>
  <c r="N76" i="5"/>
  <c r="E76" i="5"/>
  <c r="M76" i="5"/>
  <c r="C76" i="5"/>
  <c r="L76" i="5"/>
  <c r="B76" i="5"/>
  <c r="O76" i="5" s="1"/>
  <c r="C77" i="5"/>
  <c r="L83" i="5"/>
  <c r="C83" i="5"/>
  <c r="N83" i="5"/>
  <c r="D83" i="5"/>
  <c r="M83" i="5"/>
  <c r="B83" i="5"/>
  <c r="O83" i="5" s="1"/>
  <c r="C84" i="5"/>
  <c r="D85" i="5"/>
  <c r="H89" i="5"/>
  <c r="L93" i="5"/>
  <c r="B93" i="5"/>
  <c r="O93" i="5" s="1"/>
  <c r="C97" i="5"/>
  <c r="N100" i="5"/>
  <c r="E100" i="5"/>
  <c r="L100" i="5"/>
  <c r="B100" i="5"/>
  <c r="O100" i="5" s="1"/>
  <c r="M101" i="5"/>
  <c r="C101" i="5"/>
  <c r="L101" i="5"/>
  <c r="B101" i="5"/>
  <c r="D102" i="5"/>
  <c r="K6" i="6"/>
  <c r="O6" i="6"/>
  <c r="K7" i="6"/>
  <c r="L7" i="6" s="1"/>
  <c r="C9" i="6"/>
  <c r="H11" i="6"/>
  <c r="O11" i="6"/>
  <c r="E18" i="6"/>
  <c r="D18" i="6"/>
  <c r="K18" i="6"/>
  <c r="D20" i="6"/>
  <c r="C20" i="6"/>
  <c r="K20" i="6"/>
  <c r="L20" i="6" s="1"/>
  <c r="D21" i="6"/>
  <c r="H22" i="6"/>
  <c r="G22" i="6"/>
  <c r="G27" i="6"/>
  <c r="L30" i="6"/>
  <c r="E33" i="6"/>
  <c r="B33" i="6"/>
  <c r="C34" i="6"/>
  <c r="E36" i="6"/>
  <c r="H40" i="6"/>
  <c r="E45" i="6"/>
  <c r="C45" i="6"/>
  <c r="B45" i="6"/>
  <c r="D49" i="6"/>
  <c r="L49" i="6" s="1"/>
  <c r="F51" i="6"/>
  <c r="H58" i="6"/>
  <c r="G58" i="6"/>
  <c r="K59" i="6"/>
  <c r="L59" i="6" s="1"/>
  <c r="H68" i="6"/>
  <c r="L70" i="6"/>
  <c r="D73" i="6"/>
  <c r="B76" i="6"/>
  <c r="O76" i="6" s="1"/>
  <c r="E82" i="6"/>
  <c r="G83" i="6"/>
  <c r="F83" i="6"/>
  <c r="H84" i="6"/>
  <c r="G84" i="6"/>
  <c r="D89" i="6"/>
  <c r="D94" i="6"/>
  <c r="N94" i="6"/>
  <c r="C94" i="6"/>
  <c r="K94" i="6"/>
  <c r="J94" i="6"/>
  <c r="E98" i="6"/>
  <c r="G99" i="6"/>
  <c r="F99" i="6"/>
  <c r="B5" i="7"/>
  <c r="K15" i="7"/>
  <c r="L15" i="7" s="1"/>
  <c r="B15" i="7"/>
  <c r="E15" i="7"/>
  <c r="D15" i="7"/>
  <c r="F21" i="7"/>
  <c r="H21" i="7"/>
  <c r="E25" i="7"/>
  <c r="F28" i="7"/>
  <c r="D34" i="7"/>
  <c r="C37" i="7"/>
  <c r="K37" i="7" s="1"/>
  <c r="L37" i="7" s="1"/>
  <c r="E37" i="7"/>
  <c r="D37" i="7"/>
  <c r="C43" i="7"/>
  <c r="B47" i="7"/>
  <c r="O47" i="7" s="1"/>
  <c r="E47" i="7"/>
  <c r="D47" i="7"/>
  <c r="F53" i="7"/>
  <c r="H53" i="7"/>
  <c r="E57" i="7"/>
  <c r="C24" i="8"/>
  <c r="D72" i="8"/>
  <c r="G90" i="8"/>
  <c r="F90" i="8"/>
  <c r="H90" i="8"/>
  <c r="L35" i="9"/>
  <c r="L54" i="10"/>
  <c r="J79" i="4"/>
  <c r="J83" i="4"/>
  <c r="J99" i="4"/>
  <c r="E61" i="6"/>
  <c r="C61" i="6"/>
  <c r="B61" i="6"/>
  <c r="K61" i="6" s="1"/>
  <c r="L61" i="6" s="1"/>
  <c r="G75" i="7"/>
  <c r="H75" i="7"/>
  <c r="L26" i="8"/>
  <c r="D40" i="26"/>
  <c r="G40" i="26"/>
  <c r="D41" i="9"/>
  <c r="G15" i="26"/>
  <c r="D15" i="26"/>
  <c r="D16" i="11"/>
  <c r="D16" i="7"/>
  <c r="L16" i="7" s="1"/>
  <c r="D16" i="9"/>
  <c r="L16" i="9" s="1"/>
  <c r="O66" i="9"/>
  <c r="O18" i="9"/>
  <c r="O70" i="9"/>
  <c r="O51" i="10"/>
  <c r="O35" i="10"/>
  <c r="O55" i="11"/>
  <c r="O16" i="11"/>
  <c r="O52" i="11"/>
  <c r="E7" i="4"/>
  <c r="E11" i="4"/>
  <c r="E15" i="4"/>
  <c r="E19" i="4"/>
  <c r="E23" i="4"/>
  <c r="E27" i="4"/>
  <c r="E31" i="4"/>
  <c r="E35" i="4"/>
  <c r="E39" i="4"/>
  <c r="E43" i="4"/>
  <c r="E47" i="4"/>
  <c r="E51" i="4"/>
  <c r="E55" i="4"/>
  <c r="E59" i="4"/>
  <c r="E63" i="4"/>
  <c r="E67" i="4"/>
  <c r="E71" i="4"/>
  <c r="E75" i="4"/>
  <c r="N75" i="4"/>
  <c r="J77" i="4"/>
  <c r="E79" i="4"/>
  <c r="J81" i="4"/>
  <c r="E83" i="4"/>
  <c r="J85" i="4"/>
  <c r="E87" i="4"/>
  <c r="N87" i="4"/>
  <c r="J89" i="4"/>
  <c r="E91" i="4"/>
  <c r="J93" i="4"/>
  <c r="E95" i="4"/>
  <c r="J97" i="4"/>
  <c r="E99" i="4"/>
  <c r="J101" i="4"/>
  <c r="D102" i="4"/>
  <c r="M102" i="4"/>
  <c r="E4" i="5"/>
  <c r="E8" i="5"/>
  <c r="E12" i="5"/>
  <c r="E16" i="5"/>
  <c r="E20" i="5"/>
  <c r="D23" i="5"/>
  <c r="O38" i="5"/>
  <c r="E43" i="5"/>
  <c r="B44" i="5"/>
  <c r="O44" i="5" s="1"/>
  <c r="E44" i="5"/>
  <c r="D46" i="5"/>
  <c r="L46" i="5" s="1"/>
  <c r="C47" i="5"/>
  <c r="K47" i="5" s="1"/>
  <c r="L47" i="5" s="1"/>
  <c r="E49" i="5"/>
  <c r="D52" i="5"/>
  <c r="D53" i="5"/>
  <c r="D58" i="5"/>
  <c r="L58" i="5" s="1"/>
  <c r="E63" i="5"/>
  <c r="O65" i="5"/>
  <c r="E68" i="5"/>
  <c r="B68" i="5"/>
  <c r="C69" i="5"/>
  <c r="B69" i="5"/>
  <c r="H82" i="5"/>
  <c r="G82" i="5"/>
  <c r="G85" i="5"/>
  <c r="F85" i="5"/>
  <c r="L91" i="5"/>
  <c r="C91" i="5"/>
  <c r="M91" i="5"/>
  <c r="B91" i="5"/>
  <c r="O91" i="5" s="1"/>
  <c r="N92" i="5"/>
  <c r="E92" i="5"/>
  <c r="M92" i="5"/>
  <c r="C92" i="5"/>
  <c r="L92" i="5"/>
  <c r="B92" i="5"/>
  <c r="O92" i="5" s="1"/>
  <c r="L99" i="5"/>
  <c r="C99" i="5"/>
  <c r="N99" i="5"/>
  <c r="D99" i="5"/>
  <c r="M99" i="5"/>
  <c r="B99" i="5"/>
  <c r="O99" i="5" s="1"/>
  <c r="H102" i="5"/>
  <c r="G102" i="5"/>
  <c r="E5" i="6"/>
  <c r="C5" i="6"/>
  <c r="B5" i="6"/>
  <c r="D9" i="6"/>
  <c r="O16" i="6"/>
  <c r="O18" i="6"/>
  <c r="L19" i="6"/>
  <c r="K25" i="6"/>
  <c r="K30" i="6"/>
  <c r="O30" i="6"/>
  <c r="H35" i="6"/>
  <c r="O35" i="6"/>
  <c r="E42" i="6"/>
  <c r="D42" i="6"/>
  <c r="D44" i="6"/>
  <c r="C44" i="6"/>
  <c r="H46" i="6"/>
  <c r="G46" i="6"/>
  <c r="L54" i="6"/>
  <c r="O56" i="6"/>
  <c r="O58" i="6"/>
  <c r="G60" i="6"/>
  <c r="F60" i="6"/>
  <c r="E65" i="6"/>
  <c r="C65" i="6"/>
  <c r="B65" i="6"/>
  <c r="O65" i="6" s="1"/>
  <c r="F66" i="6"/>
  <c r="K70" i="6"/>
  <c r="O70" i="6"/>
  <c r="K82" i="6"/>
  <c r="M96" i="6"/>
  <c r="D96" i="6"/>
  <c r="L96" i="6"/>
  <c r="C96" i="6"/>
  <c r="E96" i="6"/>
  <c r="B96" i="6"/>
  <c r="O96" i="6" s="1"/>
  <c r="J96" i="6"/>
  <c r="K98" i="6"/>
  <c r="H100" i="6"/>
  <c r="G100" i="6"/>
  <c r="L101" i="6"/>
  <c r="K103" i="6"/>
  <c r="H8" i="7"/>
  <c r="G8" i="7"/>
  <c r="F8" i="7"/>
  <c r="O32" i="7"/>
  <c r="O37" i="7"/>
  <c r="D67" i="7"/>
  <c r="L9" i="8"/>
  <c r="O21" i="8"/>
  <c r="O34" i="8"/>
  <c r="G94" i="8"/>
  <c r="F94" i="8"/>
  <c r="L31" i="5"/>
  <c r="C31" i="5"/>
  <c r="E81" i="5"/>
  <c r="N81" i="5"/>
  <c r="D81" i="5"/>
  <c r="J81" i="5"/>
  <c r="E37" i="6"/>
  <c r="C37" i="6"/>
  <c r="B37" i="6"/>
  <c r="D64" i="26"/>
  <c r="G64" i="26"/>
  <c r="D65" i="11"/>
  <c r="D65" i="7"/>
  <c r="G39" i="26"/>
  <c r="D39" i="26"/>
  <c r="D40" i="10"/>
  <c r="G63" i="26"/>
  <c r="D63" i="26"/>
  <c r="D64" i="11"/>
  <c r="D64" i="9"/>
  <c r="G4" i="26"/>
  <c r="D4" i="26"/>
  <c r="D5" i="9"/>
  <c r="G12" i="26"/>
  <c r="D12" i="26"/>
  <c r="D13" i="8"/>
  <c r="L13" i="8" s="1"/>
  <c r="D13" i="9"/>
  <c r="G28" i="26"/>
  <c r="D28" i="26"/>
  <c r="D29" i="11"/>
  <c r="D29" i="9"/>
  <c r="G52" i="26"/>
  <c r="D52" i="26"/>
  <c r="D53" i="11"/>
  <c r="D53" i="9"/>
  <c r="D6" i="4"/>
  <c r="D14" i="4"/>
  <c r="D22" i="4"/>
  <c r="D26" i="4"/>
  <c r="D30" i="4"/>
  <c r="D38" i="4"/>
  <c r="D46" i="4"/>
  <c r="D54" i="4"/>
  <c r="D62" i="4"/>
  <c r="D70" i="4"/>
  <c r="E102" i="4"/>
  <c r="D11" i="5"/>
  <c r="D19" i="5"/>
  <c r="O22" i="5"/>
  <c r="E23" i="5"/>
  <c r="B24" i="5"/>
  <c r="E24" i="5"/>
  <c r="C27" i="5"/>
  <c r="D33" i="5"/>
  <c r="D35" i="5"/>
  <c r="O50" i="5"/>
  <c r="B56" i="5"/>
  <c r="E56" i="5"/>
  <c r="D59" i="5"/>
  <c r="D64" i="5"/>
  <c r="C67" i="5"/>
  <c r="D67" i="5"/>
  <c r="B67" i="5"/>
  <c r="O67" i="5" s="1"/>
  <c r="C68" i="5"/>
  <c r="D69" i="5"/>
  <c r="O70" i="5"/>
  <c r="K70" i="5"/>
  <c r="H75" i="5"/>
  <c r="G75" i="5"/>
  <c r="G77" i="5"/>
  <c r="H77" i="5"/>
  <c r="F77" i="5"/>
  <c r="K81" i="5"/>
  <c r="F82" i="5"/>
  <c r="F83" i="5"/>
  <c r="H85" i="5"/>
  <c r="F90" i="5"/>
  <c r="D91" i="5"/>
  <c r="D92" i="5"/>
  <c r="K95" i="5"/>
  <c r="H98" i="5"/>
  <c r="G98" i="5"/>
  <c r="E99" i="5"/>
  <c r="G101" i="5"/>
  <c r="F101" i="5"/>
  <c r="F102" i="5"/>
  <c r="K103" i="5"/>
  <c r="D4" i="6"/>
  <c r="C4" i="6"/>
  <c r="K4" i="6"/>
  <c r="L4" i="6" s="1"/>
  <c r="D5" i="6"/>
  <c r="H6" i="6"/>
  <c r="G6" i="6"/>
  <c r="E17" i="6"/>
  <c r="B17" i="6"/>
  <c r="G20" i="6"/>
  <c r="F20" i="6"/>
  <c r="L25" i="6"/>
  <c r="E29" i="6"/>
  <c r="C29" i="6"/>
  <c r="B29" i="6"/>
  <c r="F35" i="6"/>
  <c r="B42" i="6"/>
  <c r="O42" i="6" s="1"/>
  <c r="L43" i="6"/>
  <c r="B44" i="6"/>
  <c r="K44" i="6" s="1"/>
  <c r="L44" i="6" s="1"/>
  <c r="F46" i="6"/>
  <c r="G48" i="6"/>
  <c r="K49" i="6"/>
  <c r="K54" i="6"/>
  <c r="O54" i="6"/>
  <c r="E57" i="6"/>
  <c r="B57" i="6"/>
  <c r="H60" i="6"/>
  <c r="D65" i="6"/>
  <c r="K72" i="6"/>
  <c r="L72" i="6" s="1"/>
  <c r="K78" i="6"/>
  <c r="J78" i="6"/>
  <c r="D78" i="6"/>
  <c r="N78" i="6"/>
  <c r="C78" i="6"/>
  <c r="L82" i="6"/>
  <c r="H94" i="6"/>
  <c r="G94" i="6"/>
  <c r="H95" i="6"/>
  <c r="G95" i="6"/>
  <c r="L98" i="6"/>
  <c r="F100" i="6"/>
  <c r="N103" i="6"/>
  <c r="G7" i="7"/>
  <c r="H7" i="7"/>
  <c r="O16" i="7"/>
  <c r="H40" i="7"/>
  <c r="G40" i="7"/>
  <c r="O40" i="7"/>
  <c r="F40" i="7"/>
  <c r="O48" i="7"/>
  <c r="G55" i="7"/>
  <c r="H55" i="7"/>
  <c r="F55" i="7"/>
  <c r="F65" i="7"/>
  <c r="H65" i="7"/>
  <c r="N78" i="7"/>
  <c r="E78" i="7"/>
  <c r="L78" i="7"/>
  <c r="C78" i="7"/>
  <c r="K78" i="7"/>
  <c r="J78" i="7"/>
  <c r="D78" i="7"/>
  <c r="N90" i="7"/>
  <c r="E90" i="7"/>
  <c r="L90" i="7"/>
  <c r="C90" i="7"/>
  <c r="M90" i="7"/>
  <c r="K90" i="7"/>
  <c r="J90" i="7"/>
  <c r="D90" i="7"/>
  <c r="B90" i="7"/>
  <c r="O90" i="7" s="1"/>
  <c r="N98" i="7"/>
  <c r="E98" i="7"/>
  <c r="L98" i="7"/>
  <c r="C98" i="7"/>
  <c r="J98" i="7"/>
  <c r="M98" i="7"/>
  <c r="D98" i="7"/>
  <c r="B98" i="7"/>
  <c r="O98" i="7" s="1"/>
  <c r="G9" i="8"/>
  <c r="H9" i="8"/>
  <c r="F9" i="8"/>
  <c r="D27" i="8"/>
  <c r="G29" i="8"/>
  <c r="O29" i="8"/>
  <c r="H29" i="8"/>
  <c r="F29" i="8"/>
  <c r="F34" i="8"/>
  <c r="H34" i="8"/>
  <c r="G34" i="8"/>
  <c r="O57" i="8"/>
  <c r="H94" i="8"/>
  <c r="E28" i="10"/>
  <c r="C28" i="10"/>
  <c r="K28" i="10"/>
  <c r="L28" i="10" s="1"/>
  <c r="B28" i="10"/>
  <c r="D28" i="10"/>
  <c r="D19" i="26"/>
  <c r="G19" i="26"/>
  <c r="D20" i="10"/>
  <c r="D20" i="9"/>
  <c r="D59" i="26"/>
  <c r="G59" i="26"/>
  <c r="D60" i="11"/>
  <c r="D60" i="10"/>
  <c r="D60" i="8"/>
  <c r="O14" i="9"/>
  <c r="O6" i="9"/>
  <c r="O62" i="9"/>
  <c r="G28" i="6"/>
  <c r="F28" i="6"/>
  <c r="O22" i="7"/>
  <c r="D56" i="26"/>
  <c r="G56" i="26"/>
  <c r="D57" i="11"/>
  <c r="G7" i="26"/>
  <c r="D7" i="26"/>
  <c r="D8" i="10"/>
  <c r="D8" i="9"/>
  <c r="G23" i="26"/>
  <c r="D23" i="26"/>
  <c r="D24" i="11"/>
  <c r="D24" i="10"/>
  <c r="D24" i="9"/>
  <c r="G31" i="26"/>
  <c r="D31" i="26"/>
  <c r="D32" i="9"/>
  <c r="L32" i="9" s="1"/>
  <c r="D32" i="8"/>
  <c r="G47" i="26"/>
  <c r="D47" i="26"/>
  <c r="D48" i="9"/>
  <c r="G55" i="26"/>
  <c r="D55" i="26"/>
  <c r="D56" i="10"/>
  <c r="D56" i="9"/>
  <c r="G71" i="26"/>
  <c r="D71" i="26"/>
  <c r="D72" i="10"/>
  <c r="G20" i="26"/>
  <c r="D20" i="26"/>
  <c r="D21" i="9"/>
  <c r="G36" i="26"/>
  <c r="D36" i="26"/>
  <c r="D37" i="11"/>
  <c r="G60" i="26"/>
  <c r="D60" i="26"/>
  <c r="D61" i="7"/>
  <c r="O31" i="6"/>
  <c r="O23" i="6"/>
  <c r="G9" i="26"/>
  <c r="D9" i="26"/>
  <c r="D10" i="10"/>
  <c r="D10" i="8"/>
  <c r="D10" i="7"/>
  <c r="G17" i="26"/>
  <c r="D17" i="26"/>
  <c r="D18" i="10"/>
  <c r="D18" i="8"/>
  <c r="G25" i="26"/>
  <c r="D25" i="26"/>
  <c r="D26" i="11"/>
  <c r="D26" i="10"/>
  <c r="D26" i="8"/>
  <c r="G33" i="26"/>
  <c r="D33" i="26"/>
  <c r="D34" i="11"/>
  <c r="D34" i="10"/>
  <c r="D34" i="8"/>
  <c r="G41" i="26"/>
  <c r="D41" i="26"/>
  <c r="D42" i="11"/>
  <c r="D42" i="8"/>
  <c r="D42" i="10"/>
  <c r="D42" i="7"/>
  <c r="G49" i="26"/>
  <c r="D49" i="26"/>
  <c r="D50" i="11"/>
  <c r="D50" i="10"/>
  <c r="D50" i="8"/>
  <c r="G57" i="26"/>
  <c r="D57" i="26"/>
  <c r="D58" i="11"/>
  <c r="D58" i="8"/>
  <c r="G65" i="26"/>
  <c r="D65" i="26"/>
  <c r="D66" i="10"/>
  <c r="D66" i="8"/>
  <c r="G6" i="1"/>
  <c r="O71" i="6"/>
  <c r="O39" i="6"/>
  <c r="C5" i="4"/>
  <c r="K5" i="4" s="1"/>
  <c r="L5" i="4" s="1"/>
  <c r="E6" i="4"/>
  <c r="C9" i="4"/>
  <c r="K9" i="4" s="1"/>
  <c r="L9" i="4" s="1"/>
  <c r="E10" i="4"/>
  <c r="C13" i="4"/>
  <c r="K13" i="4" s="1"/>
  <c r="L13" i="4" s="1"/>
  <c r="E14" i="4"/>
  <c r="C17" i="4"/>
  <c r="E18" i="4"/>
  <c r="C21" i="4"/>
  <c r="K21" i="4" s="1"/>
  <c r="L21" i="4" s="1"/>
  <c r="E22" i="4"/>
  <c r="C25" i="4"/>
  <c r="K25" i="4" s="1"/>
  <c r="L25" i="4" s="1"/>
  <c r="E26" i="4"/>
  <c r="C29" i="4"/>
  <c r="K29" i="4" s="1"/>
  <c r="L29" i="4" s="1"/>
  <c r="E30" i="4"/>
  <c r="C33" i="4"/>
  <c r="E34" i="4"/>
  <c r="C37" i="4"/>
  <c r="K37" i="4" s="1"/>
  <c r="L37" i="4" s="1"/>
  <c r="E38" i="4"/>
  <c r="C41" i="4"/>
  <c r="K41" i="4" s="1"/>
  <c r="L41" i="4" s="1"/>
  <c r="E42" i="4"/>
  <c r="C45" i="4"/>
  <c r="K45" i="4" s="1"/>
  <c r="L45" i="4" s="1"/>
  <c r="E46" i="4"/>
  <c r="C49" i="4"/>
  <c r="K49" i="4" s="1"/>
  <c r="L49" i="4" s="1"/>
  <c r="E50" i="4"/>
  <c r="C53" i="4"/>
  <c r="K53" i="4" s="1"/>
  <c r="L53" i="4" s="1"/>
  <c r="E54" i="4"/>
  <c r="C57" i="4"/>
  <c r="K57" i="4" s="1"/>
  <c r="L57" i="4" s="1"/>
  <c r="E58" i="4"/>
  <c r="C61" i="4"/>
  <c r="K61" i="4" s="1"/>
  <c r="L61" i="4" s="1"/>
  <c r="E62" i="4"/>
  <c r="C65" i="4"/>
  <c r="K65" i="4" s="1"/>
  <c r="L65" i="4" s="1"/>
  <c r="E66" i="4"/>
  <c r="C69" i="4"/>
  <c r="K69" i="4" s="1"/>
  <c r="L69" i="4" s="1"/>
  <c r="E70" i="4"/>
  <c r="C73" i="4"/>
  <c r="K73" i="4" s="1"/>
  <c r="L73" i="4" s="1"/>
  <c r="E74" i="4"/>
  <c r="C77" i="4"/>
  <c r="L77" i="4"/>
  <c r="E78" i="4"/>
  <c r="C81" i="4"/>
  <c r="L81" i="4"/>
  <c r="E82" i="4"/>
  <c r="C85" i="4"/>
  <c r="L85" i="4"/>
  <c r="E86" i="4"/>
  <c r="C89" i="4"/>
  <c r="L89" i="4"/>
  <c r="E90" i="4"/>
  <c r="C93" i="4"/>
  <c r="L93" i="4"/>
  <c r="E94" i="4"/>
  <c r="C97" i="4"/>
  <c r="L97" i="4"/>
  <c r="E98" i="4"/>
  <c r="C101" i="4"/>
  <c r="L101" i="4"/>
  <c r="C6" i="5"/>
  <c r="K6" i="5" s="1"/>
  <c r="L6" i="5" s="1"/>
  <c r="E7" i="5"/>
  <c r="C10" i="5"/>
  <c r="K10" i="5" s="1"/>
  <c r="L10" i="5" s="1"/>
  <c r="E11" i="5"/>
  <c r="C14" i="5"/>
  <c r="K14" i="5" s="1"/>
  <c r="L14" i="5" s="1"/>
  <c r="E15" i="5"/>
  <c r="C18" i="5"/>
  <c r="K18" i="5" s="1"/>
  <c r="L18" i="5" s="1"/>
  <c r="E19" i="5"/>
  <c r="C22" i="5"/>
  <c r="K22" i="5" s="1"/>
  <c r="L22" i="5" s="1"/>
  <c r="C24" i="5"/>
  <c r="K24" i="5" s="1"/>
  <c r="L24" i="5" s="1"/>
  <c r="B27" i="5"/>
  <c r="O27" i="5" s="1"/>
  <c r="F29" i="5"/>
  <c r="O30" i="5"/>
  <c r="B33" i="5"/>
  <c r="O33" i="5" s="1"/>
  <c r="H34" i="5"/>
  <c r="E35" i="5"/>
  <c r="B36" i="5"/>
  <c r="O36" i="5" s="1"/>
  <c r="E36" i="5"/>
  <c r="D38" i="5"/>
  <c r="L38" i="5" s="1"/>
  <c r="L39" i="5"/>
  <c r="C39" i="5"/>
  <c r="K39" i="5" s="1"/>
  <c r="E41" i="5"/>
  <c r="D44" i="5"/>
  <c r="D45" i="5"/>
  <c r="L45" i="5"/>
  <c r="G46" i="5"/>
  <c r="D47" i="5"/>
  <c r="C53" i="5"/>
  <c r="K53" i="5" s="1"/>
  <c r="L53" i="5" s="1"/>
  <c r="K54" i="5"/>
  <c r="L54" i="5" s="1"/>
  <c r="F55" i="5"/>
  <c r="C56" i="5"/>
  <c r="K56" i="5" s="1"/>
  <c r="L56" i="5" s="1"/>
  <c r="E59" i="5"/>
  <c r="D61" i="5"/>
  <c r="L61" i="5" s="1"/>
  <c r="C61" i="5"/>
  <c r="K61" i="5" s="1"/>
  <c r="K62" i="5"/>
  <c r="L62" i="5" s="1"/>
  <c r="D66" i="5"/>
  <c r="L66" i="5" s="1"/>
  <c r="E67" i="5"/>
  <c r="D68" i="5"/>
  <c r="E69" i="5"/>
  <c r="E72" i="5"/>
  <c r="D72" i="5"/>
  <c r="K73" i="5"/>
  <c r="F75" i="5"/>
  <c r="J77" i="5"/>
  <c r="L81" i="5"/>
  <c r="H83" i="5"/>
  <c r="J84" i="5"/>
  <c r="J85" i="5"/>
  <c r="N88" i="5"/>
  <c r="E88" i="5"/>
  <c r="D88" i="5"/>
  <c r="J88" i="5"/>
  <c r="H90" i="5"/>
  <c r="E91" i="5"/>
  <c r="E93" i="5"/>
  <c r="M95" i="5"/>
  <c r="K97" i="5"/>
  <c r="F98" i="5"/>
  <c r="H101" i="5"/>
  <c r="J102" i="5"/>
  <c r="L103" i="5"/>
  <c r="B4" i="6"/>
  <c r="F6" i="6"/>
  <c r="G8" i="6"/>
  <c r="K9" i="6"/>
  <c r="K14" i="6"/>
  <c r="L14" i="6" s="1"/>
  <c r="O14" i="6"/>
  <c r="K15" i="6"/>
  <c r="L15" i="6" s="1"/>
  <c r="C17" i="6"/>
  <c r="H19" i="6"/>
  <c r="O19" i="6"/>
  <c r="H20" i="6"/>
  <c r="K21" i="6"/>
  <c r="E26" i="6"/>
  <c r="D26" i="6"/>
  <c r="K26" i="6"/>
  <c r="L26" i="6" s="1"/>
  <c r="D28" i="6"/>
  <c r="C28" i="6"/>
  <c r="K28" i="6" s="1"/>
  <c r="L28" i="6" s="1"/>
  <c r="D29" i="6"/>
  <c r="H30" i="6"/>
  <c r="G30" i="6"/>
  <c r="G35" i="6"/>
  <c r="E41" i="6"/>
  <c r="B41" i="6"/>
  <c r="C42" i="6"/>
  <c r="E44" i="6"/>
  <c r="H48" i="6"/>
  <c r="E53" i="6"/>
  <c r="C53" i="6"/>
  <c r="B53" i="6"/>
  <c r="C57" i="6"/>
  <c r="K62" i="6"/>
  <c r="L62" i="6" s="1"/>
  <c r="O62" i="6"/>
  <c r="K63" i="6"/>
  <c r="E69" i="6"/>
  <c r="C69" i="6"/>
  <c r="B69" i="6"/>
  <c r="G72" i="6"/>
  <c r="F72" i="6"/>
  <c r="N76" i="6"/>
  <c r="B78" i="6"/>
  <c r="O78" i="6" s="1"/>
  <c r="M80" i="6"/>
  <c r="D80" i="6"/>
  <c r="L80" i="6"/>
  <c r="C80" i="6"/>
  <c r="J80" i="6"/>
  <c r="E80" i="6"/>
  <c r="B80" i="6"/>
  <c r="O80" i="6" s="1"/>
  <c r="G88" i="6"/>
  <c r="F88" i="6"/>
  <c r="L89" i="6"/>
  <c r="M92" i="6"/>
  <c r="D92" i="6"/>
  <c r="L92" i="6"/>
  <c r="C92" i="6"/>
  <c r="K92" i="6"/>
  <c r="J92" i="6"/>
  <c r="E92" i="6"/>
  <c r="F94" i="6"/>
  <c r="F95" i="6"/>
  <c r="O4" i="7"/>
  <c r="E6" i="7"/>
  <c r="D6" i="7"/>
  <c r="L6" i="7" s="1"/>
  <c r="C6" i="7"/>
  <c r="K6" i="7" s="1"/>
  <c r="F7" i="7"/>
  <c r="D14" i="7"/>
  <c r="L14" i="7" s="1"/>
  <c r="C17" i="7"/>
  <c r="D17" i="7"/>
  <c r="B17" i="7"/>
  <c r="O17" i="7" s="1"/>
  <c r="E26" i="7"/>
  <c r="C26" i="7"/>
  <c r="K26" i="7" s="1"/>
  <c r="L26" i="7" s="1"/>
  <c r="B26" i="7"/>
  <c r="G39" i="7"/>
  <c r="H39" i="7"/>
  <c r="C49" i="7"/>
  <c r="D49" i="7"/>
  <c r="B49" i="7"/>
  <c r="O49" i="7" s="1"/>
  <c r="E58" i="7"/>
  <c r="L58" i="7"/>
  <c r="K58" i="7"/>
  <c r="C58" i="7"/>
  <c r="B58" i="7"/>
  <c r="O58" i="7" s="1"/>
  <c r="G65" i="7"/>
  <c r="L69" i="7"/>
  <c r="C69" i="7"/>
  <c r="K69" i="7" s="1"/>
  <c r="E69" i="7"/>
  <c r="D69" i="7"/>
  <c r="H72" i="7"/>
  <c r="G72" i="7"/>
  <c r="F72" i="7"/>
  <c r="B78" i="7"/>
  <c r="O78" i="7" s="1"/>
  <c r="N86" i="7"/>
  <c r="E86" i="7"/>
  <c r="L86" i="7"/>
  <c r="C86" i="7"/>
  <c r="M86" i="7"/>
  <c r="J86" i="7"/>
  <c r="D86" i="7"/>
  <c r="B86" i="7"/>
  <c r="O86" i="7" s="1"/>
  <c r="K98" i="7"/>
  <c r="B20" i="8"/>
  <c r="E20" i="8"/>
  <c r="D20" i="8"/>
  <c r="C20" i="8"/>
  <c r="K20" i="8" s="1"/>
  <c r="L20" i="8" s="1"/>
  <c r="O58" i="9"/>
  <c r="H58" i="9"/>
  <c r="F58" i="9"/>
  <c r="G58" i="9"/>
  <c r="B65" i="9"/>
  <c r="O65" i="9" s="1"/>
  <c r="E65" i="9"/>
  <c r="C65" i="9"/>
  <c r="D65" i="9"/>
  <c r="D11" i="11"/>
  <c r="D11" i="26"/>
  <c r="G11" i="26"/>
  <c r="D12" i="9"/>
  <c r="D27" i="26"/>
  <c r="G27" i="26"/>
  <c r="D28" i="9"/>
  <c r="D35" i="26"/>
  <c r="G35" i="26"/>
  <c r="D36" i="10"/>
  <c r="B28" i="5"/>
  <c r="O28" i="5" s="1"/>
  <c r="E28" i="5"/>
  <c r="D37" i="5"/>
  <c r="E10" i="6"/>
  <c r="D10" i="6"/>
  <c r="K10" i="6"/>
  <c r="L10" i="6" s="1"/>
  <c r="D12" i="6"/>
  <c r="C12" i="6"/>
  <c r="K12" i="6"/>
  <c r="L12" i="6" s="1"/>
  <c r="H14" i="6"/>
  <c r="G14" i="6"/>
  <c r="N101" i="6"/>
  <c r="E101" i="6"/>
  <c r="D101" i="6"/>
  <c r="C101" i="6"/>
  <c r="K101" i="6"/>
  <c r="J101" i="6"/>
  <c r="O9" i="7"/>
  <c r="G31" i="7"/>
  <c r="H31" i="7"/>
  <c r="D32" i="26"/>
  <c r="G32" i="26"/>
  <c r="D33" i="9"/>
  <c r="D33" i="7"/>
  <c r="G44" i="26"/>
  <c r="D44" i="26"/>
  <c r="D45" i="11"/>
  <c r="G68" i="26"/>
  <c r="D68" i="26"/>
  <c r="D69" i="9"/>
  <c r="K4" i="1"/>
  <c r="B4" i="24" s="1"/>
  <c r="F6" i="1"/>
  <c r="I7" i="1"/>
  <c r="G6" i="26"/>
  <c r="D6" i="26"/>
  <c r="D7" i="11"/>
  <c r="L7" i="11" s="1"/>
  <c r="D7" i="10"/>
  <c r="D7" i="9"/>
  <c r="D7" i="6"/>
  <c r="D7" i="7"/>
  <c r="G14" i="26"/>
  <c r="D14" i="26"/>
  <c r="D15" i="9"/>
  <c r="D15" i="10"/>
  <c r="L15" i="10" s="1"/>
  <c r="D15" i="6"/>
  <c r="G22" i="26"/>
  <c r="D22" i="26"/>
  <c r="D23" i="10"/>
  <c r="D23" i="9"/>
  <c r="D23" i="6"/>
  <c r="L23" i="6" s="1"/>
  <c r="G30" i="26"/>
  <c r="D30" i="26"/>
  <c r="D31" i="10"/>
  <c r="D31" i="9"/>
  <c r="D31" i="6"/>
  <c r="L31" i="6" s="1"/>
  <c r="D31" i="8"/>
  <c r="G38" i="26"/>
  <c r="D38" i="26"/>
  <c r="D39" i="10"/>
  <c r="D39" i="9"/>
  <c r="D39" i="7"/>
  <c r="D39" i="6"/>
  <c r="G46" i="26"/>
  <c r="D46" i="26"/>
  <c r="D47" i="11"/>
  <c r="D47" i="10"/>
  <c r="D47" i="9"/>
  <c r="D47" i="6"/>
  <c r="L47" i="6" s="1"/>
  <c r="G54" i="26"/>
  <c r="D54" i="26"/>
  <c r="D55" i="11"/>
  <c r="D55" i="10"/>
  <c r="D55" i="6"/>
  <c r="L55" i="6" s="1"/>
  <c r="G62" i="26"/>
  <c r="D62" i="26"/>
  <c r="D63" i="9"/>
  <c r="D63" i="10"/>
  <c r="D63" i="6"/>
  <c r="G70" i="26"/>
  <c r="D70" i="26"/>
  <c r="D71" i="11"/>
  <c r="D71" i="10"/>
  <c r="D71" i="8"/>
  <c r="D71" i="6"/>
  <c r="L71" i="6" s="1"/>
  <c r="D71" i="7"/>
  <c r="O5" i="27"/>
  <c r="F5" i="27"/>
  <c r="O8" i="27"/>
  <c r="Q8" i="27" s="1"/>
  <c r="F8" i="27"/>
  <c r="O55" i="6"/>
  <c r="O15" i="6"/>
  <c r="O47" i="10"/>
  <c r="O7" i="10"/>
  <c r="D5" i="4"/>
  <c r="D9" i="4"/>
  <c r="D13" i="4"/>
  <c r="D17" i="4"/>
  <c r="D21" i="4"/>
  <c r="D25" i="4"/>
  <c r="D29" i="4"/>
  <c r="D33" i="4"/>
  <c r="D37" i="4"/>
  <c r="D41" i="4"/>
  <c r="D45" i="4"/>
  <c r="D49" i="4"/>
  <c r="D53" i="4"/>
  <c r="D57" i="4"/>
  <c r="D61" i="4"/>
  <c r="D65" i="4"/>
  <c r="D69" i="4"/>
  <c r="D73" i="4"/>
  <c r="D77" i="4"/>
  <c r="D81" i="4"/>
  <c r="D85" i="4"/>
  <c r="D89" i="4"/>
  <c r="D93" i="4"/>
  <c r="D97" i="4"/>
  <c r="D101" i="4"/>
  <c r="D6" i="5"/>
  <c r="D10" i="5"/>
  <c r="D14" i="5"/>
  <c r="D18" i="5"/>
  <c r="D22" i="5"/>
  <c r="D24" i="5"/>
  <c r="D25" i="5"/>
  <c r="L25" i="5"/>
  <c r="D27" i="5"/>
  <c r="H29" i="5"/>
  <c r="K31" i="5"/>
  <c r="C33" i="5"/>
  <c r="K34" i="5"/>
  <c r="L34" i="5" s="1"/>
  <c r="O42" i="5"/>
  <c r="H46" i="5"/>
  <c r="E47" i="5"/>
  <c r="O47" i="5" s="1"/>
  <c r="K48" i="5"/>
  <c r="L48" i="5" s="1"/>
  <c r="B48" i="5"/>
  <c r="O48" i="5" s="1"/>
  <c r="E48" i="5"/>
  <c r="D50" i="5"/>
  <c r="C51" i="5"/>
  <c r="K51" i="5" s="1"/>
  <c r="L51" i="5" s="1"/>
  <c r="E53" i="5"/>
  <c r="G55" i="5"/>
  <c r="D56" i="5"/>
  <c r="D57" i="5"/>
  <c r="L57" i="5" s="1"/>
  <c r="D60" i="5"/>
  <c r="K63" i="5"/>
  <c r="L63" i="5" s="1"/>
  <c r="H66" i="5"/>
  <c r="G66" i="5"/>
  <c r="D70" i="5"/>
  <c r="O71" i="5"/>
  <c r="O72" i="5"/>
  <c r="K77" i="5"/>
  <c r="L79" i="5"/>
  <c r="C79" i="5"/>
  <c r="E79" i="5"/>
  <c r="J79" i="5"/>
  <c r="M81" i="5"/>
  <c r="K84" i="5"/>
  <c r="K85" i="5"/>
  <c r="N95" i="5"/>
  <c r="L97" i="5"/>
  <c r="L102" i="5"/>
  <c r="M103" i="5"/>
  <c r="E4" i="6"/>
  <c r="H8" i="6"/>
  <c r="L9" i="6"/>
  <c r="E13" i="6"/>
  <c r="C13" i="6"/>
  <c r="B13" i="6"/>
  <c r="O13" i="6" s="1"/>
  <c r="D17" i="6"/>
  <c r="L21" i="6"/>
  <c r="O24" i="6"/>
  <c r="O26" i="6"/>
  <c r="K27" i="6"/>
  <c r="L27" i="6" s="1"/>
  <c r="K38" i="6"/>
  <c r="L38" i="6" s="1"/>
  <c r="O38" i="6"/>
  <c r="K39" i="6"/>
  <c r="L39" i="6" s="1"/>
  <c r="H43" i="6"/>
  <c r="O43" i="6"/>
  <c r="E50" i="6"/>
  <c r="O50" i="6" s="1"/>
  <c r="D50" i="6"/>
  <c r="K50" i="6"/>
  <c r="L50" i="6" s="1"/>
  <c r="D52" i="6"/>
  <c r="C52" i="6"/>
  <c r="K52" i="6" s="1"/>
  <c r="L52" i="6" s="1"/>
  <c r="D53" i="6"/>
  <c r="H54" i="6"/>
  <c r="G54" i="6"/>
  <c r="K56" i="6"/>
  <c r="L56" i="6" s="1"/>
  <c r="D57" i="6"/>
  <c r="O60" i="6"/>
  <c r="K64" i="6"/>
  <c r="L64" i="6" s="1"/>
  <c r="K65" i="6"/>
  <c r="L65" i="6" s="1"/>
  <c r="D69" i="6"/>
  <c r="H74" i="6"/>
  <c r="E78" i="6"/>
  <c r="H79" i="6"/>
  <c r="G79" i="6"/>
  <c r="N85" i="6"/>
  <c r="E85" i="6"/>
  <c r="K85" i="6"/>
  <c r="J85" i="6"/>
  <c r="D85" i="6"/>
  <c r="C85" i="6"/>
  <c r="K96" i="6"/>
  <c r="F17" i="7"/>
  <c r="H17" i="7"/>
  <c r="G17" i="7"/>
  <c r="G20" i="7"/>
  <c r="F20" i="7"/>
  <c r="H20" i="7"/>
  <c r="D23" i="7"/>
  <c r="D26" i="7"/>
  <c r="D29" i="7"/>
  <c r="B31" i="7"/>
  <c r="O31" i="7" s="1"/>
  <c r="D31" i="7"/>
  <c r="C31" i="7"/>
  <c r="F33" i="7"/>
  <c r="H33" i="7"/>
  <c r="E38" i="7"/>
  <c r="D38" i="7"/>
  <c r="C38" i="7"/>
  <c r="K38" i="7" s="1"/>
  <c r="L38" i="7" s="1"/>
  <c r="O46" i="7"/>
  <c r="F49" i="7"/>
  <c r="H49" i="7"/>
  <c r="G49" i="7"/>
  <c r="G52" i="7"/>
  <c r="F52" i="7"/>
  <c r="O52" i="7"/>
  <c r="H52" i="7"/>
  <c r="D55" i="7"/>
  <c r="D58" i="7"/>
  <c r="B63" i="7"/>
  <c r="O63" i="7" s="1"/>
  <c r="E63" i="7"/>
  <c r="D63" i="7"/>
  <c r="C63" i="7"/>
  <c r="E66" i="7"/>
  <c r="C66" i="7"/>
  <c r="B66" i="7"/>
  <c r="O69" i="7"/>
  <c r="K75" i="7"/>
  <c r="B75" i="7"/>
  <c r="O75" i="7" s="1"/>
  <c r="J75" i="7"/>
  <c r="D75" i="7"/>
  <c r="C75" i="7"/>
  <c r="N75" i="7"/>
  <c r="M75" i="7"/>
  <c r="L75" i="7"/>
  <c r="M78" i="7"/>
  <c r="K91" i="7"/>
  <c r="B91" i="7"/>
  <c r="O91" i="7" s="1"/>
  <c r="N91" i="7"/>
  <c r="E91" i="7"/>
  <c r="L91" i="7"/>
  <c r="J91" i="7"/>
  <c r="D91" i="7"/>
  <c r="K99" i="7"/>
  <c r="B99" i="7"/>
  <c r="O99" i="7" s="1"/>
  <c r="N99" i="7"/>
  <c r="E99" i="7"/>
  <c r="L99" i="7"/>
  <c r="J99" i="7"/>
  <c r="D99" i="7"/>
  <c r="G5" i="8"/>
  <c r="H5" i="8"/>
  <c r="F5" i="8"/>
  <c r="O5" i="8"/>
  <c r="O10" i="8"/>
  <c r="E13" i="10"/>
  <c r="D13" i="10"/>
  <c r="C13" i="10"/>
  <c r="K13" i="10"/>
  <c r="L13" i="10" s="1"/>
  <c r="B13" i="10"/>
  <c r="E60" i="5"/>
  <c r="D73" i="5"/>
  <c r="D89" i="5"/>
  <c r="N89" i="5"/>
  <c r="D6" i="6"/>
  <c r="D14" i="6"/>
  <c r="D22" i="6"/>
  <c r="L22" i="6" s="1"/>
  <c r="D30" i="6"/>
  <c r="D38" i="6"/>
  <c r="D46" i="6"/>
  <c r="K58" i="6"/>
  <c r="L58" i="6" s="1"/>
  <c r="O59" i="6"/>
  <c r="K66" i="6"/>
  <c r="O67" i="6"/>
  <c r="K74" i="6"/>
  <c r="L74" i="6" s="1"/>
  <c r="N93" i="6"/>
  <c r="E93" i="6"/>
  <c r="L93" i="6"/>
  <c r="M100" i="6"/>
  <c r="D100" i="6"/>
  <c r="L100" i="6"/>
  <c r="C100" i="6"/>
  <c r="N100" i="6"/>
  <c r="O8" i="7"/>
  <c r="O20" i="7"/>
  <c r="K22" i="7"/>
  <c r="L22" i="7" s="1"/>
  <c r="K35" i="7"/>
  <c r="B35" i="7"/>
  <c r="E35" i="7"/>
  <c r="O44" i="7"/>
  <c r="B59" i="7"/>
  <c r="O59" i="7" s="1"/>
  <c r="D59" i="7"/>
  <c r="C59" i="7"/>
  <c r="K60" i="7"/>
  <c r="L61" i="7"/>
  <c r="C61" i="7"/>
  <c r="E61" i="7"/>
  <c r="E62" i="7"/>
  <c r="C62" i="7"/>
  <c r="B62" i="7"/>
  <c r="O72" i="7"/>
  <c r="G92" i="7"/>
  <c r="H92" i="7"/>
  <c r="F92" i="7"/>
  <c r="E11" i="8"/>
  <c r="C11" i="8"/>
  <c r="D11" i="8"/>
  <c r="L22" i="8"/>
  <c r="K31" i="8"/>
  <c r="K57" i="8"/>
  <c r="G61" i="9"/>
  <c r="F61" i="9"/>
  <c r="F92" i="9"/>
  <c r="G92" i="9"/>
  <c r="H92" i="9"/>
  <c r="L51" i="10"/>
  <c r="D60" i="6"/>
  <c r="C60" i="6"/>
  <c r="K60" i="6" s="1"/>
  <c r="L60" i="6" s="1"/>
  <c r="H62" i="6"/>
  <c r="G62" i="6"/>
  <c r="D68" i="6"/>
  <c r="C68" i="6"/>
  <c r="K68" i="6" s="1"/>
  <c r="L68" i="6" s="1"/>
  <c r="H70" i="6"/>
  <c r="G70" i="6"/>
  <c r="N81" i="6"/>
  <c r="E81" i="6"/>
  <c r="L81" i="6"/>
  <c r="M88" i="6"/>
  <c r="D88" i="6"/>
  <c r="L88" i="6"/>
  <c r="C88" i="6"/>
  <c r="N88" i="6"/>
  <c r="H90" i="6"/>
  <c r="G90" i="6"/>
  <c r="C9" i="7"/>
  <c r="K9" i="7" s="1"/>
  <c r="L9" i="7" s="1"/>
  <c r="E9" i="7"/>
  <c r="D9" i="7"/>
  <c r="C21" i="7"/>
  <c r="D21" i="7"/>
  <c r="B21" i="7"/>
  <c r="B23" i="7"/>
  <c r="O23" i="7" s="1"/>
  <c r="K45" i="7"/>
  <c r="L45" i="7" s="1"/>
  <c r="E46" i="7"/>
  <c r="O56" i="7"/>
  <c r="O61" i="7"/>
  <c r="C73" i="7"/>
  <c r="K73" i="7" s="1"/>
  <c r="L73" i="7" s="1"/>
  <c r="E73" i="7"/>
  <c r="D73" i="7"/>
  <c r="B11" i="8"/>
  <c r="O11" i="8" s="1"/>
  <c r="E27" i="8"/>
  <c r="L27" i="8"/>
  <c r="C27" i="8"/>
  <c r="K27" i="8"/>
  <c r="K29" i="8"/>
  <c r="G61" i="8"/>
  <c r="O61" i="8"/>
  <c r="H61" i="8"/>
  <c r="F61" i="8"/>
  <c r="K73" i="8"/>
  <c r="L84" i="8"/>
  <c r="C84" i="8"/>
  <c r="K84" i="8"/>
  <c r="B84" i="8"/>
  <c r="O84" i="8" s="1"/>
  <c r="N84" i="8"/>
  <c r="E84" i="8"/>
  <c r="M84" i="8"/>
  <c r="J84" i="8"/>
  <c r="H46" i="9"/>
  <c r="F46" i="9"/>
  <c r="O73" i="7"/>
  <c r="F97" i="7"/>
  <c r="H97" i="7"/>
  <c r="E7" i="8"/>
  <c r="L7" i="8"/>
  <c r="C7" i="8"/>
  <c r="D7" i="8"/>
  <c r="B7" i="8"/>
  <c r="O7" i="8" s="1"/>
  <c r="K25" i="8"/>
  <c r="E55" i="8"/>
  <c r="C55" i="8"/>
  <c r="K55" i="8"/>
  <c r="L55" i="8" s="1"/>
  <c r="D55" i="8"/>
  <c r="O67" i="8"/>
  <c r="F81" i="9"/>
  <c r="H81" i="9"/>
  <c r="G81" i="9"/>
  <c r="D58" i="6"/>
  <c r="D66" i="6"/>
  <c r="L66" i="6" s="1"/>
  <c r="D74" i="6"/>
  <c r="N77" i="6"/>
  <c r="E77" i="6"/>
  <c r="L77" i="6"/>
  <c r="D81" i="6"/>
  <c r="M84" i="6"/>
  <c r="D84" i="6"/>
  <c r="L84" i="6"/>
  <c r="C84" i="6"/>
  <c r="N84" i="6"/>
  <c r="H86" i="6"/>
  <c r="G86" i="6"/>
  <c r="O12" i="7"/>
  <c r="E23" i="7"/>
  <c r="B27" i="7"/>
  <c r="O27" i="7" s="1"/>
  <c r="D27" i="7"/>
  <c r="C27" i="7"/>
  <c r="C29" i="7"/>
  <c r="E29" i="7"/>
  <c r="E30" i="7"/>
  <c r="C30" i="7"/>
  <c r="B30" i="7"/>
  <c r="D46" i="7"/>
  <c r="L46" i="7" s="1"/>
  <c r="K54" i="7"/>
  <c r="L54" i="7" s="1"/>
  <c r="H56" i="7"/>
  <c r="G60" i="7"/>
  <c r="B67" i="7"/>
  <c r="E67" i="7"/>
  <c r="H71" i="7"/>
  <c r="H101" i="7"/>
  <c r="O6" i="8"/>
  <c r="E23" i="8"/>
  <c r="L23" i="8"/>
  <c r="C23" i="8"/>
  <c r="K23" i="8"/>
  <c r="D23" i="8"/>
  <c r="H38" i="8"/>
  <c r="K48" i="8"/>
  <c r="L48" i="8" s="1"/>
  <c r="B48" i="8"/>
  <c r="E48" i="8"/>
  <c r="D48" i="8"/>
  <c r="C48" i="8"/>
  <c r="K56" i="8"/>
  <c r="L56" i="8" s="1"/>
  <c r="B56" i="8"/>
  <c r="E56" i="8"/>
  <c r="F62" i="8"/>
  <c r="H62" i="8"/>
  <c r="G62" i="8"/>
  <c r="G78" i="8"/>
  <c r="F78" i="8"/>
  <c r="O15" i="9"/>
  <c r="H33" i="9"/>
  <c r="G33" i="9"/>
  <c r="F33" i="9"/>
  <c r="O50" i="9"/>
  <c r="O54" i="9"/>
  <c r="L39" i="10"/>
  <c r="B60" i="5"/>
  <c r="K60" i="5" s="1"/>
  <c r="L60" i="5" s="1"/>
  <c r="B64" i="5"/>
  <c r="O64" i="5" s="1"/>
  <c r="C71" i="5"/>
  <c r="K71" i="5"/>
  <c r="L71" i="5" s="1"/>
  <c r="N80" i="5"/>
  <c r="E80" i="5"/>
  <c r="K80" i="5"/>
  <c r="L87" i="5"/>
  <c r="C87" i="5"/>
  <c r="K87" i="5"/>
  <c r="N96" i="5"/>
  <c r="E96" i="5"/>
  <c r="K96" i="5"/>
  <c r="D8" i="6"/>
  <c r="C8" i="6"/>
  <c r="K8" i="6" s="1"/>
  <c r="L8" i="6" s="1"/>
  <c r="D16" i="6"/>
  <c r="C16" i="6"/>
  <c r="K16" i="6" s="1"/>
  <c r="L16" i="6" s="1"/>
  <c r="D24" i="6"/>
  <c r="C24" i="6"/>
  <c r="K24" i="6" s="1"/>
  <c r="L24" i="6" s="1"/>
  <c r="D32" i="6"/>
  <c r="C32" i="6"/>
  <c r="K32" i="6" s="1"/>
  <c r="L32" i="6" s="1"/>
  <c r="D40" i="6"/>
  <c r="C40" i="6"/>
  <c r="K40" i="6" s="1"/>
  <c r="L40" i="6" s="1"/>
  <c r="D48" i="6"/>
  <c r="C48" i="6"/>
  <c r="K48" i="6" s="1"/>
  <c r="L48" i="6" s="1"/>
  <c r="D56" i="6"/>
  <c r="C56" i="6"/>
  <c r="D64" i="6"/>
  <c r="C64" i="6"/>
  <c r="D72" i="6"/>
  <c r="C72" i="6"/>
  <c r="B77" i="6"/>
  <c r="O77" i="6" s="1"/>
  <c r="M77" i="6"/>
  <c r="B84" i="6"/>
  <c r="O84" i="6" s="1"/>
  <c r="F86" i="6"/>
  <c r="N97" i="6"/>
  <c r="E97" i="6"/>
  <c r="L97" i="6"/>
  <c r="E14" i="7"/>
  <c r="O24" i="7"/>
  <c r="E27" i="7"/>
  <c r="B29" i="7"/>
  <c r="D30" i="7"/>
  <c r="L35" i="7"/>
  <c r="C41" i="7"/>
  <c r="K41" i="7" s="1"/>
  <c r="L41" i="7" s="1"/>
  <c r="E41" i="7"/>
  <c r="O41" i="7" s="1"/>
  <c r="D41" i="7"/>
  <c r="G45" i="7"/>
  <c r="C53" i="7"/>
  <c r="D53" i="7"/>
  <c r="B53" i="7"/>
  <c r="K55" i="7"/>
  <c r="B55" i="7"/>
  <c r="O55" i="7" s="1"/>
  <c r="K61" i="7"/>
  <c r="C67" i="7"/>
  <c r="K79" i="7"/>
  <c r="B79" i="7"/>
  <c r="O79" i="7" s="1"/>
  <c r="N79" i="7"/>
  <c r="E79" i="7"/>
  <c r="J79" i="7"/>
  <c r="G102" i="7"/>
  <c r="K7" i="8"/>
  <c r="O9" i="8"/>
  <c r="B12" i="8"/>
  <c r="E12" i="8"/>
  <c r="C12" i="8"/>
  <c r="K12" i="8" s="1"/>
  <c r="L12" i="8" s="1"/>
  <c r="B16" i="8"/>
  <c r="O16" i="8" s="1"/>
  <c r="E16" i="8"/>
  <c r="C16" i="8"/>
  <c r="E19" i="8"/>
  <c r="C19" i="8"/>
  <c r="D19" i="8"/>
  <c r="B19" i="8"/>
  <c r="B23" i="8"/>
  <c r="O30" i="8"/>
  <c r="K30" i="8"/>
  <c r="L30" i="8" s="1"/>
  <c r="G37" i="8"/>
  <c r="O37" i="8"/>
  <c r="K52" i="8"/>
  <c r="L52" i="8" s="1"/>
  <c r="B52" i="8"/>
  <c r="E52" i="8"/>
  <c r="D52" i="8"/>
  <c r="C56" i="8"/>
  <c r="O58" i="8"/>
  <c r="H78" i="8"/>
  <c r="O31" i="9"/>
  <c r="C59" i="9"/>
  <c r="K59" i="9"/>
  <c r="L59" i="9" s="1"/>
  <c r="E59" i="9"/>
  <c r="B59" i="9"/>
  <c r="O59" i="9" s="1"/>
  <c r="D59" i="9"/>
  <c r="E15" i="8"/>
  <c r="C15" i="8"/>
  <c r="K15" i="8" s="1"/>
  <c r="K17" i="8"/>
  <c r="L18" i="8"/>
  <c r="O22" i="8"/>
  <c r="B44" i="8"/>
  <c r="O44" i="8" s="1"/>
  <c r="E44" i="8"/>
  <c r="E47" i="8"/>
  <c r="C47" i="8"/>
  <c r="O54" i="8"/>
  <c r="L80" i="8"/>
  <c r="C80" i="8"/>
  <c r="K80" i="8"/>
  <c r="B80" i="8"/>
  <c r="O80" i="8" s="1"/>
  <c r="N80" i="8"/>
  <c r="E80" i="8"/>
  <c r="L96" i="8"/>
  <c r="C96" i="8"/>
  <c r="K96" i="8"/>
  <c r="B96" i="8"/>
  <c r="O96" i="8" s="1"/>
  <c r="N96" i="8"/>
  <c r="E96" i="8"/>
  <c r="O11" i="9"/>
  <c r="O27" i="9"/>
  <c r="H37" i="9"/>
  <c r="G37" i="9"/>
  <c r="F37" i="9"/>
  <c r="O42" i="9"/>
  <c r="E68" i="9"/>
  <c r="K68" i="9"/>
  <c r="L68" i="9" s="1"/>
  <c r="D68" i="9"/>
  <c r="B68" i="9"/>
  <c r="O68" i="9" s="1"/>
  <c r="O71" i="9"/>
  <c r="F80" i="9"/>
  <c r="G80" i="9"/>
  <c r="O23" i="10"/>
  <c r="K23" i="10"/>
  <c r="L23" i="10" s="1"/>
  <c r="E32" i="10"/>
  <c r="C32" i="10"/>
  <c r="K32" i="10" s="1"/>
  <c r="L32" i="10" s="1"/>
  <c r="B32" i="10"/>
  <c r="D32" i="10"/>
  <c r="L38" i="10"/>
  <c r="G50" i="10"/>
  <c r="F50" i="10"/>
  <c r="H50" i="10"/>
  <c r="G54" i="10"/>
  <c r="F54" i="10"/>
  <c r="H54" i="10"/>
  <c r="E65" i="10"/>
  <c r="D65" i="10"/>
  <c r="K65" i="10"/>
  <c r="L65" i="10" s="1"/>
  <c r="B65" i="10"/>
  <c r="C65" i="10"/>
  <c r="O18" i="8"/>
  <c r="F25" i="8"/>
  <c r="G26" i="8"/>
  <c r="B40" i="8"/>
  <c r="E40" i="8"/>
  <c r="E43" i="8"/>
  <c r="C43" i="8"/>
  <c r="C44" i="8"/>
  <c r="L46" i="8"/>
  <c r="B47" i="8"/>
  <c r="O50" i="8"/>
  <c r="F57" i="8"/>
  <c r="G58" i="8"/>
  <c r="O66" i="8"/>
  <c r="G86" i="8"/>
  <c r="F86" i="8"/>
  <c r="L26" i="9"/>
  <c r="F35" i="9"/>
  <c r="H35" i="9"/>
  <c r="G35" i="9"/>
  <c r="O47" i="9"/>
  <c r="K49" i="9"/>
  <c r="B49" i="9"/>
  <c r="O49" i="9" s="1"/>
  <c r="E49" i="9"/>
  <c r="D49" i="9"/>
  <c r="C49" i="9"/>
  <c r="H52" i="9"/>
  <c r="G52" i="9"/>
  <c r="F52" i="9"/>
  <c r="J82" i="9"/>
  <c r="E82" i="9"/>
  <c r="L82" i="9"/>
  <c r="K82" i="9"/>
  <c r="D82" i="9"/>
  <c r="N82" i="9"/>
  <c r="B82" i="9"/>
  <c r="O82" i="9" s="1"/>
  <c r="M88" i="9"/>
  <c r="D88" i="9"/>
  <c r="N88" i="9"/>
  <c r="C88" i="9"/>
  <c r="L88" i="9"/>
  <c r="K88" i="9"/>
  <c r="J88" i="9"/>
  <c r="B88" i="9"/>
  <c r="O88" i="9" s="1"/>
  <c r="O18" i="10"/>
  <c r="K18" i="10"/>
  <c r="L18" i="10" s="1"/>
  <c r="K29" i="10"/>
  <c r="L29" i="10" s="1"/>
  <c r="K57" i="10"/>
  <c r="B8" i="8"/>
  <c r="E8" i="8"/>
  <c r="H10" i="8"/>
  <c r="O14" i="8"/>
  <c r="D15" i="8"/>
  <c r="L15" i="8" s="1"/>
  <c r="F21" i="8"/>
  <c r="G22" i="8"/>
  <c r="H25" i="8"/>
  <c r="H26" i="8"/>
  <c r="B36" i="8"/>
  <c r="E36" i="8"/>
  <c r="E39" i="8"/>
  <c r="C39" i="8"/>
  <c r="C40" i="8"/>
  <c r="K40" i="8" s="1"/>
  <c r="L40" i="8" s="1"/>
  <c r="B43" i="8"/>
  <c r="D44" i="8"/>
  <c r="O46" i="8"/>
  <c r="D47" i="8"/>
  <c r="F53" i="8"/>
  <c r="G54" i="8"/>
  <c r="H57" i="8"/>
  <c r="H58" i="8"/>
  <c r="C64" i="8"/>
  <c r="K64" i="8" s="1"/>
  <c r="L64" i="8" s="1"/>
  <c r="B64" i="8"/>
  <c r="E64" i="8"/>
  <c r="G66" i="8"/>
  <c r="F66" i="8"/>
  <c r="L76" i="8"/>
  <c r="C76" i="8"/>
  <c r="K76" i="8"/>
  <c r="B76" i="8"/>
  <c r="O76" i="8" s="1"/>
  <c r="N76" i="8"/>
  <c r="E76" i="8"/>
  <c r="H86" i="8"/>
  <c r="L92" i="8"/>
  <c r="C92" i="8"/>
  <c r="K92" i="8"/>
  <c r="B92" i="8"/>
  <c r="O92" i="8" s="1"/>
  <c r="N92" i="8"/>
  <c r="E92" i="8"/>
  <c r="O7" i="9"/>
  <c r="O23" i="9"/>
  <c r="H44" i="9"/>
  <c r="F44" i="9"/>
  <c r="H54" i="9"/>
  <c r="G54" i="9"/>
  <c r="F54" i="9"/>
  <c r="E60" i="9"/>
  <c r="D60" i="9"/>
  <c r="C60" i="9"/>
  <c r="B60" i="9"/>
  <c r="O60" i="9" s="1"/>
  <c r="H86" i="9"/>
  <c r="G86" i="9"/>
  <c r="F86" i="9"/>
  <c r="G88" i="9"/>
  <c r="H88" i="9"/>
  <c r="F88" i="9"/>
  <c r="M90" i="9"/>
  <c r="C90" i="9"/>
  <c r="J90" i="9"/>
  <c r="E90" i="9"/>
  <c r="D90" i="9"/>
  <c r="B90" i="9"/>
  <c r="O90" i="9" s="1"/>
  <c r="L90" i="9"/>
  <c r="K95" i="9"/>
  <c r="B95" i="9"/>
  <c r="O95" i="9" s="1"/>
  <c r="J95" i="9"/>
  <c r="E95" i="9"/>
  <c r="D95" i="9"/>
  <c r="C95" i="9"/>
  <c r="M95" i="9"/>
  <c r="H98" i="9"/>
  <c r="G98" i="9"/>
  <c r="F98" i="9"/>
  <c r="L14" i="10"/>
  <c r="G38" i="10"/>
  <c r="F38" i="10"/>
  <c r="H38" i="10"/>
  <c r="O55" i="10"/>
  <c r="E61" i="10"/>
  <c r="D61" i="10"/>
  <c r="L61" i="10" s="1"/>
  <c r="C61" i="10"/>
  <c r="K61" i="10"/>
  <c r="B61" i="10"/>
  <c r="O61" i="10" s="1"/>
  <c r="B7" i="7"/>
  <c r="O7" i="7" s="1"/>
  <c r="E10" i="7"/>
  <c r="L10" i="7"/>
  <c r="L33" i="7"/>
  <c r="C33" i="7"/>
  <c r="K33" i="7" s="1"/>
  <c r="K39" i="7"/>
  <c r="L39" i="7" s="1"/>
  <c r="B39" i="7"/>
  <c r="O39" i="7" s="1"/>
  <c r="E42" i="7"/>
  <c r="L42" i="7"/>
  <c r="C65" i="7"/>
  <c r="K65" i="7" s="1"/>
  <c r="L65" i="7" s="1"/>
  <c r="K71" i="7"/>
  <c r="L71" i="7" s="1"/>
  <c r="B71" i="7"/>
  <c r="O71" i="7" s="1"/>
  <c r="E74" i="7"/>
  <c r="N82" i="7"/>
  <c r="E82" i="7"/>
  <c r="L82" i="7"/>
  <c r="C82" i="7"/>
  <c r="K95" i="7"/>
  <c r="B95" i="7"/>
  <c r="O95" i="7" s="1"/>
  <c r="N95" i="7"/>
  <c r="E95" i="7"/>
  <c r="C8" i="8"/>
  <c r="K8" i="8" s="1"/>
  <c r="L8" i="8" s="1"/>
  <c r="F17" i="8"/>
  <c r="G18" i="8"/>
  <c r="H21" i="8"/>
  <c r="H22" i="8"/>
  <c r="B32" i="8"/>
  <c r="O32" i="8" s="1"/>
  <c r="E32" i="8"/>
  <c r="E35" i="8"/>
  <c r="C35" i="8"/>
  <c r="K35" i="8" s="1"/>
  <c r="L35" i="8" s="1"/>
  <c r="C36" i="8"/>
  <c r="K36" i="8" s="1"/>
  <c r="L36" i="8" s="1"/>
  <c r="K37" i="8"/>
  <c r="B39" i="8"/>
  <c r="D40" i="8"/>
  <c r="O42" i="8"/>
  <c r="D43" i="8"/>
  <c r="F49" i="8"/>
  <c r="G50" i="8"/>
  <c r="H53" i="8"/>
  <c r="H54" i="8"/>
  <c r="D64" i="8"/>
  <c r="H66" i="8"/>
  <c r="K69" i="8"/>
  <c r="O70" i="8"/>
  <c r="D76" i="8"/>
  <c r="J80" i="8"/>
  <c r="G82" i="8"/>
  <c r="F82" i="8"/>
  <c r="D92" i="8"/>
  <c r="G98" i="8"/>
  <c r="F98" i="8"/>
  <c r="N102" i="8"/>
  <c r="E102" i="8"/>
  <c r="M102" i="8"/>
  <c r="D102" i="8"/>
  <c r="K102" i="8"/>
  <c r="B102" i="8"/>
  <c r="K11" i="9"/>
  <c r="L11" i="9" s="1"/>
  <c r="K20" i="9"/>
  <c r="O32" i="9"/>
  <c r="D34" i="9"/>
  <c r="E34" i="9"/>
  <c r="C34" i="9"/>
  <c r="B34" i="9"/>
  <c r="E36" i="9"/>
  <c r="D36" i="9"/>
  <c r="C36" i="9"/>
  <c r="B36" i="9"/>
  <c r="K41" i="9"/>
  <c r="L41" i="9" s="1"/>
  <c r="B41" i="9"/>
  <c r="E41" i="9"/>
  <c r="C41" i="9"/>
  <c r="G44" i="9"/>
  <c r="L49" i="9"/>
  <c r="E51" i="9"/>
  <c r="D51" i="9"/>
  <c r="C51" i="9"/>
  <c r="B51" i="9"/>
  <c r="O52" i="9"/>
  <c r="M82" i="9"/>
  <c r="K90" i="9"/>
  <c r="L95" i="9"/>
  <c r="M100" i="9"/>
  <c r="D100" i="9"/>
  <c r="N100" i="9"/>
  <c r="C100" i="9"/>
  <c r="J100" i="9"/>
  <c r="E100" i="9"/>
  <c r="B100" i="9"/>
  <c r="O100" i="9" s="1"/>
  <c r="L100" i="9"/>
  <c r="L10" i="10"/>
  <c r="K41" i="10"/>
  <c r="E49" i="10"/>
  <c r="D49" i="10"/>
  <c r="B49" i="10"/>
  <c r="C49" i="10"/>
  <c r="K49" i="10" s="1"/>
  <c r="L49" i="10" s="1"/>
  <c r="K59" i="10"/>
  <c r="L59" i="10" s="1"/>
  <c r="O59" i="10"/>
  <c r="O70" i="10"/>
  <c r="K70" i="10"/>
  <c r="L70" i="10" s="1"/>
  <c r="C13" i="7"/>
  <c r="K13" i="7" s="1"/>
  <c r="L13" i="7" s="1"/>
  <c r="K19" i="7"/>
  <c r="L19" i="7" s="1"/>
  <c r="B19" i="7"/>
  <c r="O19" i="7" s="1"/>
  <c r="E22" i="7"/>
  <c r="O33" i="7"/>
  <c r="C45" i="7"/>
  <c r="K51" i="7"/>
  <c r="L51" i="7" s="1"/>
  <c r="B51" i="7"/>
  <c r="O51" i="7" s="1"/>
  <c r="E54" i="7"/>
  <c r="O65" i="7"/>
  <c r="L77" i="7"/>
  <c r="C77" i="7"/>
  <c r="M77" i="7"/>
  <c r="K83" i="7"/>
  <c r="B83" i="7"/>
  <c r="O83" i="7" s="1"/>
  <c r="N83" i="7"/>
  <c r="E83" i="7"/>
  <c r="D8" i="8"/>
  <c r="H17" i="8"/>
  <c r="H18" i="8"/>
  <c r="K22" i="8"/>
  <c r="K28" i="8"/>
  <c r="B28" i="8"/>
  <c r="E28" i="8"/>
  <c r="E31" i="8"/>
  <c r="L31" i="8"/>
  <c r="C31" i="8"/>
  <c r="K33" i="8"/>
  <c r="O35" i="8"/>
  <c r="D36" i="8"/>
  <c r="O38" i="8"/>
  <c r="D39" i="8"/>
  <c r="H49" i="8"/>
  <c r="H50" i="8"/>
  <c r="K54" i="8"/>
  <c r="L54" i="8" s="1"/>
  <c r="K60" i="8"/>
  <c r="B60" i="8"/>
  <c r="E60" i="8"/>
  <c r="E63" i="8"/>
  <c r="C63" i="8"/>
  <c r="K63" i="8" s="1"/>
  <c r="L63" i="8" s="1"/>
  <c r="C68" i="8"/>
  <c r="B68" i="8"/>
  <c r="O68" i="8" s="1"/>
  <c r="E68" i="8"/>
  <c r="G70" i="8"/>
  <c r="F70" i="8"/>
  <c r="M80" i="8"/>
  <c r="L88" i="8"/>
  <c r="C88" i="8"/>
  <c r="K88" i="8"/>
  <c r="B88" i="8"/>
  <c r="O88" i="8" s="1"/>
  <c r="N88" i="8"/>
  <c r="E88" i="8"/>
  <c r="O19" i="9"/>
  <c r="E43" i="9"/>
  <c r="D43" i="9"/>
  <c r="B43" i="9"/>
  <c r="O44" i="9"/>
  <c r="L58" i="9"/>
  <c r="E77" i="9"/>
  <c r="L77" i="9"/>
  <c r="B77" i="9"/>
  <c r="O77" i="9" s="1"/>
  <c r="M77" i="9"/>
  <c r="K77" i="9"/>
  <c r="J77" i="9"/>
  <c r="C77" i="9"/>
  <c r="K83" i="9"/>
  <c r="B83" i="9"/>
  <c r="O83" i="9" s="1"/>
  <c r="N83" i="9"/>
  <c r="D83" i="9"/>
  <c r="J83" i="9"/>
  <c r="E83" i="9"/>
  <c r="C83" i="9"/>
  <c r="M83" i="9"/>
  <c r="N90" i="9"/>
  <c r="N95" i="9"/>
  <c r="E16" i="10"/>
  <c r="C16" i="10"/>
  <c r="B16" i="10"/>
  <c r="D16" i="10"/>
  <c r="E45" i="10"/>
  <c r="D45" i="10"/>
  <c r="C45" i="10"/>
  <c r="B45" i="10"/>
  <c r="O45" i="10" s="1"/>
  <c r="H55" i="10"/>
  <c r="G55" i="10"/>
  <c r="F55" i="10"/>
  <c r="J81" i="7"/>
  <c r="J85" i="7"/>
  <c r="J89" i="7"/>
  <c r="J93" i="7"/>
  <c r="J97" i="7"/>
  <c r="J101" i="7"/>
  <c r="C67" i="8"/>
  <c r="K67" i="8" s="1"/>
  <c r="L67" i="8" s="1"/>
  <c r="C71" i="8"/>
  <c r="K71" i="8" s="1"/>
  <c r="L71" i="8" s="1"/>
  <c r="C75" i="8"/>
  <c r="L75" i="8"/>
  <c r="J78" i="8"/>
  <c r="C79" i="8"/>
  <c r="L79" i="8"/>
  <c r="J82" i="8"/>
  <c r="C83" i="8"/>
  <c r="L83" i="8"/>
  <c r="J86" i="8"/>
  <c r="C87" i="8"/>
  <c r="L87" i="8"/>
  <c r="J90" i="8"/>
  <c r="C91" i="8"/>
  <c r="L91" i="8"/>
  <c r="J94" i="8"/>
  <c r="C95" i="8"/>
  <c r="L95" i="8"/>
  <c r="J98" i="8"/>
  <c r="C99" i="8"/>
  <c r="L99" i="8"/>
  <c r="E100" i="8"/>
  <c r="N100" i="8"/>
  <c r="E103" i="8"/>
  <c r="N103" i="8"/>
  <c r="C4" i="9"/>
  <c r="K4" i="9" s="1"/>
  <c r="L4" i="9" s="1"/>
  <c r="E5" i="9"/>
  <c r="C8" i="9"/>
  <c r="K8" i="9" s="1"/>
  <c r="L8" i="9" s="1"/>
  <c r="E9" i="9"/>
  <c r="C12" i="9"/>
  <c r="K12" i="9" s="1"/>
  <c r="L12" i="9" s="1"/>
  <c r="E13" i="9"/>
  <c r="C16" i="9"/>
  <c r="K16" i="9" s="1"/>
  <c r="E17" i="9"/>
  <c r="C20" i="9"/>
  <c r="L20" i="9"/>
  <c r="E21" i="9"/>
  <c r="C24" i="9"/>
  <c r="K24" i="9" s="1"/>
  <c r="L24" i="9" s="1"/>
  <c r="E25" i="9"/>
  <c r="C28" i="9"/>
  <c r="K28" i="9" s="1"/>
  <c r="L28" i="9" s="1"/>
  <c r="E29" i="9"/>
  <c r="C32" i="9"/>
  <c r="K32" i="9" s="1"/>
  <c r="D37" i="9"/>
  <c r="C39" i="9"/>
  <c r="K39" i="9" s="1"/>
  <c r="L39" i="9" s="1"/>
  <c r="G40" i="9"/>
  <c r="K45" i="9"/>
  <c r="B45" i="9"/>
  <c r="O45" i="9" s="1"/>
  <c r="K47" i="9"/>
  <c r="L47" i="9" s="1"/>
  <c r="E48" i="9"/>
  <c r="C54" i="9"/>
  <c r="H55" i="9"/>
  <c r="C56" i="9"/>
  <c r="K56" i="9" s="1"/>
  <c r="L56" i="9" s="1"/>
  <c r="C71" i="9"/>
  <c r="K71" i="9" s="1"/>
  <c r="L71" i="9" s="1"/>
  <c r="E87" i="9"/>
  <c r="L89" i="9"/>
  <c r="B89" i="9"/>
  <c r="O89" i="9" s="1"/>
  <c r="N89" i="9"/>
  <c r="H91" i="9"/>
  <c r="E94" i="9"/>
  <c r="L94" i="9"/>
  <c r="B94" i="9"/>
  <c r="O94" i="9" s="1"/>
  <c r="N94" i="9"/>
  <c r="K99" i="9"/>
  <c r="B99" i="9"/>
  <c r="O99" i="9" s="1"/>
  <c r="E99" i="9"/>
  <c r="N99" i="9"/>
  <c r="O6" i="10"/>
  <c r="H11" i="10"/>
  <c r="F11" i="10"/>
  <c r="L26" i="10"/>
  <c r="O39" i="10"/>
  <c r="H43" i="10"/>
  <c r="F43" i="10"/>
  <c r="K55" i="10"/>
  <c r="L55" i="10" s="1"/>
  <c r="L71" i="10"/>
  <c r="N85" i="10"/>
  <c r="E85" i="10"/>
  <c r="M85" i="10"/>
  <c r="D85" i="10"/>
  <c r="K85" i="10"/>
  <c r="B85" i="10"/>
  <c r="O85" i="10" s="1"/>
  <c r="L85" i="10"/>
  <c r="J85" i="10"/>
  <c r="C85" i="10"/>
  <c r="H91" i="10"/>
  <c r="F91" i="10"/>
  <c r="G91" i="10"/>
  <c r="J76" i="7"/>
  <c r="J80" i="7"/>
  <c r="C81" i="7"/>
  <c r="J84" i="7"/>
  <c r="C85" i="7"/>
  <c r="J88" i="7"/>
  <c r="C89" i="7"/>
  <c r="J92" i="7"/>
  <c r="C93" i="7"/>
  <c r="J96" i="7"/>
  <c r="C97" i="7"/>
  <c r="J100" i="7"/>
  <c r="C101" i="7"/>
  <c r="J103" i="7"/>
  <c r="C6" i="8"/>
  <c r="K6" i="8" s="1"/>
  <c r="L6" i="8" s="1"/>
  <c r="C10" i="8"/>
  <c r="K10" i="8" s="1"/>
  <c r="L10" i="8" s="1"/>
  <c r="C14" i="8"/>
  <c r="K14" i="8" s="1"/>
  <c r="L14" i="8" s="1"/>
  <c r="C18" i="8"/>
  <c r="K18" i="8" s="1"/>
  <c r="C22" i="8"/>
  <c r="C26" i="8"/>
  <c r="C30" i="8"/>
  <c r="C34" i="8"/>
  <c r="K34" i="8" s="1"/>
  <c r="L34" i="8" s="1"/>
  <c r="C38" i="8"/>
  <c r="K38" i="8" s="1"/>
  <c r="L38" i="8" s="1"/>
  <c r="C42" i="8"/>
  <c r="K42" i="8" s="1"/>
  <c r="L42" i="8" s="1"/>
  <c r="C46" i="8"/>
  <c r="K46" i="8" s="1"/>
  <c r="C50" i="8"/>
  <c r="K50" i="8" s="1"/>
  <c r="L50" i="8" s="1"/>
  <c r="C54" i="8"/>
  <c r="C58" i="8"/>
  <c r="K58" i="8" s="1"/>
  <c r="L58" i="8" s="1"/>
  <c r="C62" i="8"/>
  <c r="K62" i="8" s="1"/>
  <c r="L62" i="8" s="1"/>
  <c r="C66" i="8"/>
  <c r="K66" i="8" s="1"/>
  <c r="L66" i="8" s="1"/>
  <c r="E67" i="8"/>
  <c r="C70" i="8"/>
  <c r="K70" i="8" s="1"/>
  <c r="L70" i="8" s="1"/>
  <c r="E71" i="8"/>
  <c r="C74" i="8"/>
  <c r="E75" i="8"/>
  <c r="N75" i="8"/>
  <c r="J77" i="8"/>
  <c r="C78" i="8"/>
  <c r="E79" i="8"/>
  <c r="N79" i="8"/>
  <c r="J81" i="8"/>
  <c r="C82" i="8"/>
  <c r="E83" i="8"/>
  <c r="N83" i="8"/>
  <c r="J85" i="8"/>
  <c r="C86" i="8"/>
  <c r="E87" i="8"/>
  <c r="N87" i="8"/>
  <c r="J89" i="8"/>
  <c r="C90" i="8"/>
  <c r="E91" i="8"/>
  <c r="N91" i="8"/>
  <c r="J93" i="8"/>
  <c r="C94" i="8"/>
  <c r="E95" i="8"/>
  <c r="N95" i="8"/>
  <c r="J97" i="8"/>
  <c r="C98" i="8"/>
  <c r="E99" i="8"/>
  <c r="N99" i="8"/>
  <c r="J101" i="8"/>
  <c r="E4" i="9"/>
  <c r="C7" i="9"/>
  <c r="K7" i="9" s="1"/>
  <c r="L7" i="9" s="1"/>
  <c r="E8" i="9"/>
  <c r="O8" i="9" s="1"/>
  <c r="C11" i="9"/>
  <c r="E12" i="9"/>
  <c r="C15" i="9"/>
  <c r="K15" i="9" s="1"/>
  <c r="L15" i="9" s="1"/>
  <c r="E16" i="9"/>
  <c r="C19" i="9"/>
  <c r="K19" i="9" s="1"/>
  <c r="L19" i="9" s="1"/>
  <c r="E20" i="9"/>
  <c r="C23" i="9"/>
  <c r="K23" i="9" s="1"/>
  <c r="L23" i="9" s="1"/>
  <c r="E24" i="9"/>
  <c r="C27" i="9"/>
  <c r="K27" i="9" s="1"/>
  <c r="L27" i="9" s="1"/>
  <c r="E28" i="9"/>
  <c r="C31" i="9"/>
  <c r="K31" i="9" s="1"/>
  <c r="L31" i="9" s="1"/>
  <c r="E32" i="9"/>
  <c r="D38" i="9"/>
  <c r="K38" i="9"/>
  <c r="L38" i="9" s="1"/>
  <c r="E39" i="9"/>
  <c r="K40" i="9"/>
  <c r="D45" i="9"/>
  <c r="L45" i="9" s="1"/>
  <c r="C47" i="9"/>
  <c r="B53" i="9"/>
  <c r="K55" i="9"/>
  <c r="L63" i="9"/>
  <c r="C63" i="9"/>
  <c r="K63" i="9" s="1"/>
  <c r="H67" i="9"/>
  <c r="K69" i="9"/>
  <c r="L69" i="9" s="1"/>
  <c r="B69" i="9"/>
  <c r="D71" i="9"/>
  <c r="E72" i="9"/>
  <c r="H73" i="9"/>
  <c r="H76" i="9"/>
  <c r="K80" i="9"/>
  <c r="M84" i="9"/>
  <c r="D84" i="9"/>
  <c r="E84" i="9"/>
  <c r="N84" i="9"/>
  <c r="K86" i="9"/>
  <c r="D89" i="9"/>
  <c r="F93" i="9"/>
  <c r="G93" i="9"/>
  <c r="D94" i="9"/>
  <c r="K97" i="9"/>
  <c r="D99" i="9"/>
  <c r="N101" i="9"/>
  <c r="D101" i="9"/>
  <c r="M101" i="9"/>
  <c r="G103" i="9"/>
  <c r="H7" i="10"/>
  <c r="F7" i="10"/>
  <c r="G14" i="10"/>
  <c r="F14" i="10"/>
  <c r="O22" i="10"/>
  <c r="L31" i="10"/>
  <c r="L42" i="10"/>
  <c r="H59" i="10"/>
  <c r="F59" i="10"/>
  <c r="K69" i="10"/>
  <c r="E30" i="11"/>
  <c r="C30" i="11"/>
  <c r="K30" i="11"/>
  <c r="L30" i="11" s="1"/>
  <c r="B30" i="11"/>
  <c r="D30" i="11"/>
  <c r="D42" i="9"/>
  <c r="K44" i="9"/>
  <c r="L44" i="9" s="1"/>
  <c r="O55" i="9"/>
  <c r="K75" i="9"/>
  <c r="M75" i="9"/>
  <c r="C75" i="9"/>
  <c r="N75" i="9"/>
  <c r="M85" i="9"/>
  <c r="C85" i="9"/>
  <c r="J85" i="9"/>
  <c r="N85" i="9"/>
  <c r="F89" i="9"/>
  <c r="H89" i="9"/>
  <c r="G6" i="10"/>
  <c r="F6" i="10"/>
  <c r="H6" i="10"/>
  <c r="E17" i="10"/>
  <c r="D17" i="10"/>
  <c r="B17" i="10"/>
  <c r="G18" i="10"/>
  <c r="F18" i="10"/>
  <c r="H18" i="10"/>
  <c r="L19" i="10"/>
  <c r="H23" i="10"/>
  <c r="G23" i="10"/>
  <c r="F23" i="10"/>
  <c r="K27" i="10"/>
  <c r="O27" i="10"/>
  <c r="O34" i="10"/>
  <c r="K34" i="10"/>
  <c r="L34" i="10" s="1"/>
  <c r="E44" i="10"/>
  <c r="C44" i="10"/>
  <c r="K44" i="10" s="1"/>
  <c r="L44" i="10" s="1"/>
  <c r="B44" i="10"/>
  <c r="O44" i="10" s="1"/>
  <c r="E48" i="10"/>
  <c r="C48" i="10"/>
  <c r="K48" i="10" s="1"/>
  <c r="L48" i="10" s="1"/>
  <c r="B48" i="10"/>
  <c r="O48" i="10" s="1"/>
  <c r="D48" i="10"/>
  <c r="J100" i="8"/>
  <c r="J103" i="8"/>
  <c r="D46" i="9"/>
  <c r="K48" i="9"/>
  <c r="L48" i="9" s="1"/>
  <c r="B61" i="9"/>
  <c r="O61" i="9" s="1"/>
  <c r="E64" i="9"/>
  <c r="H78" i="9"/>
  <c r="F78" i="9"/>
  <c r="M80" i="9"/>
  <c r="D80" i="9"/>
  <c r="J80" i="9"/>
  <c r="N80" i="9"/>
  <c r="N86" i="9"/>
  <c r="D86" i="9"/>
  <c r="M86" i="9"/>
  <c r="J97" i="9"/>
  <c r="E97" i="9"/>
  <c r="M97" i="9"/>
  <c r="L7" i="10"/>
  <c r="E12" i="10"/>
  <c r="C12" i="10"/>
  <c r="B12" i="10"/>
  <c r="O12" i="10" s="1"/>
  <c r="C17" i="10"/>
  <c r="K17" i="10" s="1"/>
  <c r="L17" i="10" s="1"/>
  <c r="O38" i="10"/>
  <c r="D44" i="10"/>
  <c r="L47" i="10"/>
  <c r="L58" i="10"/>
  <c r="E64" i="10"/>
  <c r="C64" i="10"/>
  <c r="B64" i="10"/>
  <c r="O64" i="10" s="1"/>
  <c r="D64" i="10"/>
  <c r="O66" i="10"/>
  <c r="K66" i="10"/>
  <c r="L66" i="10" s="1"/>
  <c r="F97" i="10"/>
  <c r="H97" i="10"/>
  <c r="G97" i="10"/>
  <c r="D4" i="7"/>
  <c r="L4" i="7" s="1"/>
  <c r="D8" i="7"/>
  <c r="L8" i="7" s="1"/>
  <c r="D12" i="7"/>
  <c r="L12" i="7" s="1"/>
  <c r="D20" i="7"/>
  <c r="L20" i="7" s="1"/>
  <c r="D24" i="7"/>
  <c r="L24" i="7" s="1"/>
  <c r="D28" i="7"/>
  <c r="L28" i="7" s="1"/>
  <c r="D32" i="7"/>
  <c r="L32" i="7" s="1"/>
  <c r="D36" i="7"/>
  <c r="L36" i="7" s="1"/>
  <c r="D40" i="7"/>
  <c r="L40" i="7" s="1"/>
  <c r="D44" i="7"/>
  <c r="L44" i="7" s="1"/>
  <c r="D48" i="7"/>
  <c r="L48" i="7" s="1"/>
  <c r="D52" i="7"/>
  <c r="L52" i="7" s="1"/>
  <c r="D56" i="7"/>
  <c r="L56" i="7" s="1"/>
  <c r="D60" i="7"/>
  <c r="D64" i="7"/>
  <c r="L64" i="7" s="1"/>
  <c r="D68" i="7"/>
  <c r="L68" i="7" s="1"/>
  <c r="D72" i="7"/>
  <c r="L72" i="7" s="1"/>
  <c r="D76" i="7"/>
  <c r="D80" i="7"/>
  <c r="D84" i="7"/>
  <c r="D88" i="7"/>
  <c r="D92" i="7"/>
  <c r="D96" i="7"/>
  <c r="D100" i="7"/>
  <c r="D103" i="7"/>
  <c r="D5" i="8"/>
  <c r="L5" i="8" s="1"/>
  <c r="D17" i="8"/>
  <c r="D21" i="8"/>
  <c r="L21" i="8" s="1"/>
  <c r="D25" i="8"/>
  <c r="D29" i="8"/>
  <c r="D33" i="8"/>
  <c r="D37" i="8"/>
  <c r="D41" i="8"/>
  <c r="L41" i="8" s="1"/>
  <c r="D45" i="8"/>
  <c r="L45" i="8" s="1"/>
  <c r="D49" i="8"/>
  <c r="L49" i="8" s="1"/>
  <c r="D53" i="8"/>
  <c r="L53" i="8" s="1"/>
  <c r="D57" i="8"/>
  <c r="D61" i="8"/>
  <c r="L61" i="8" s="1"/>
  <c r="D65" i="8"/>
  <c r="L65" i="8" s="1"/>
  <c r="D69" i="8"/>
  <c r="D73" i="8"/>
  <c r="D77" i="8"/>
  <c r="D81" i="8"/>
  <c r="D85" i="8"/>
  <c r="D89" i="8"/>
  <c r="D93" i="8"/>
  <c r="D97" i="8"/>
  <c r="B100" i="8"/>
  <c r="O100" i="8" s="1"/>
  <c r="K100" i="8"/>
  <c r="D101" i="8"/>
  <c r="B103" i="8"/>
  <c r="K103" i="8"/>
  <c r="B5" i="9"/>
  <c r="O5" i="9" s="1"/>
  <c r="D6" i="9"/>
  <c r="L6" i="9" s="1"/>
  <c r="F7" i="9"/>
  <c r="B9" i="9"/>
  <c r="O9" i="9" s="1"/>
  <c r="D10" i="9"/>
  <c r="L10" i="9" s="1"/>
  <c r="F11" i="9"/>
  <c r="B13" i="9"/>
  <c r="O13" i="9" s="1"/>
  <c r="D14" i="9"/>
  <c r="F15" i="9"/>
  <c r="B17" i="9"/>
  <c r="O17" i="9" s="1"/>
  <c r="D18" i="9"/>
  <c r="L18" i="9" s="1"/>
  <c r="F19" i="9"/>
  <c r="B21" i="9"/>
  <c r="O21" i="9" s="1"/>
  <c r="D22" i="9"/>
  <c r="L22" i="9" s="1"/>
  <c r="F23" i="9"/>
  <c r="B25" i="9"/>
  <c r="O25" i="9" s="1"/>
  <c r="D26" i="9"/>
  <c r="F27" i="9"/>
  <c r="B29" i="9"/>
  <c r="K29" i="9" s="1"/>
  <c r="L29" i="9" s="1"/>
  <c r="D30" i="9"/>
  <c r="L30" i="9" s="1"/>
  <c r="F31" i="9"/>
  <c r="B33" i="9"/>
  <c r="O33" i="9" s="1"/>
  <c r="E38" i="9"/>
  <c r="D40" i="9"/>
  <c r="C42" i="9"/>
  <c r="K42" i="9" s="1"/>
  <c r="L42" i="9" s="1"/>
  <c r="C44" i="9"/>
  <c r="B46" i="9"/>
  <c r="O46" i="9" s="1"/>
  <c r="G47" i="9"/>
  <c r="B48" i="9"/>
  <c r="O48" i="9" s="1"/>
  <c r="D50" i="9"/>
  <c r="K50" i="9"/>
  <c r="L50" i="9" s="1"/>
  <c r="E53" i="9"/>
  <c r="D55" i="9"/>
  <c r="C61" i="9"/>
  <c r="E63" i="9"/>
  <c r="O63" i="9" s="1"/>
  <c r="B64" i="9"/>
  <c r="O64" i="9" s="1"/>
  <c r="C67" i="9"/>
  <c r="K67" i="9" s="1"/>
  <c r="L67" i="9" s="1"/>
  <c r="E69" i="9"/>
  <c r="H71" i="9"/>
  <c r="D72" i="9"/>
  <c r="L72" i="9" s="1"/>
  <c r="B73" i="9"/>
  <c r="O73" i="9" s="1"/>
  <c r="G74" i="9"/>
  <c r="D75" i="9"/>
  <c r="G78" i="9"/>
  <c r="B80" i="9"/>
  <c r="O80" i="9" s="1"/>
  <c r="D85" i="9"/>
  <c r="B86" i="9"/>
  <c r="O86" i="9" s="1"/>
  <c r="J89" i="9"/>
  <c r="M92" i="9"/>
  <c r="D92" i="9"/>
  <c r="L92" i="9"/>
  <c r="B92" i="9"/>
  <c r="O92" i="9" s="1"/>
  <c r="J94" i="9"/>
  <c r="B97" i="9"/>
  <c r="O97" i="9" s="1"/>
  <c r="N97" i="9"/>
  <c r="J99" i="9"/>
  <c r="E101" i="9"/>
  <c r="K11" i="10"/>
  <c r="L11" i="10" s="1"/>
  <c r="O11" i="10"/>
  <c r="D12" i="10"/>
  <c r="G22" i="10"/>
  <c r="F22" i="10"/>
  <c r="H22" i="10"/>
  <c r="E29" i="10"/>
  <c r="D29" i="10"/>
  <c r="C29" i="10"/>
  <c r="E33" i="10"/>
  <c r="D33" i="10"/>
  <c r="L33" i="10"/>
  <c r="K33" i="10"/>
  <c r="B33" i="10"/>
  <c r="G34" i="10"/>
  <c r="F34" i="10"/>
  <c r="H34" i="10"/>
  <c r="L35" i="10"/>
  <c r="K37" i="10"/>
  <c r="H39" i="10"/>
  <c r="G39" i="10"/>
  <c r="F39" i="10"/>
  <c r="K43" i="10"/>
  <c r="L43" i="10" s="1"/>
  <c r="O43" i="10"/>
  <c r="O50" i="10"/>
  <c r="K50" i="10"/>
  <c r="L50" i="10" s="1"/>
  <c r="E60" i="10"/>
  <c r="C60" i="10"/>
  <c r="B60" i="10"/>
  <c r="L63" i="10"/>
  <c r="O71" i="10"/>
  <c r="C100" i="8"/>
  <c r="C103" i="8"/>
  <c r="C5" i="9"/>
  <c r="C9" i="9"/>
  <c r="C13" i="9"/>
  <c r="C17" i="9"/>
  <c r="C21" i="9"/>
  <c r="C25" i="9"/>
  <c r="C29" i="9"/>
  <c r="C33" i="9"/>
  <c r="O35" i="9"/>
  <c r="K37" i="9"/>
  <c r="L37" i="9" s="1"/>
  <c r="B37" i="9"/>
  <c r="O37" i="9" s="1"/>
  <c r="O40" i="9"/>
  <c r="C46" i="9"/>
  <c r="H47" i="9"/>
  <c r="C48" i="9"/>
  <c r="D54" i="9"/>
  <c r="K54" i="9"/>
  <c r="E56" i="9"/>
  <c r="D61" i="9"/>
  <c r="C64" i="9"/>
  <c r="O67" i="9"/>
  <c r="E75" i="9"/>
  <c r="C80" i="9"/>
  <c r="E85" i="9"/>
  <c r="C86" i="9"/>
  <c r="K87" i="9"/>
  <c r="B87" i="9"/>
  <c r="O87" i="9" s="1"/>
  <c r="M87" i="9"/>
  <c r="C87" i="9"/>
  <c r="C97" i="9"/>
  <c r="L22" i="10"/>
  <c r="H27" i="10"/>
  <c r="F27" i="10"/>
  <c r="O54" i="10"/>
  <c r="L67" i="10"/>
  <c r="O73" i="10"/>
  <c r="H86" i="10"/>
  <c r="G86" i="10"/>
  <c r="F86" i="10"/>
  <c r="E5" i="11"/>
  <c r="D5" i="11"/>
  <c r="C5" i="11"/>
  <c r="B5" i="11"/>
  <c r="O5" i="11" s="1"/>
  <c r="K79" i="9"/>
  <c r="B79" i="9"/>
  <c r="O79" i="9" s="1"/>
  <c r="L79" i="9"/>
  <c r="K81" i="9"/>
  <c r="M96" i="9"/>
  <c r="D96" i="9"/>
  <c r="K96" i="9"/>
  <c r="K98" i="9"/>
  <c r="G10" i="10"/>
  <c r="F10" i="10"/>
  <c r="G19" i="10"/>
  <c r="G26" i="10"/>
  <c r="F26" i="10"/>
  <c r="G35" i="10"/>
  <c r="G42" i="10"/>
  <c r="F42" i="10"/>
  <c r="G51" i="10"/>
  <c r="G58" i="10"/>
  <c r="F58" i="10"/>
  <c r="G67" i="10"/>
  <c r="H79" i="10"/>
  <c r="F79" i="10"/>
  <c r="G82" i="10"/>
  <c r="F82" i="10"/>
  <c r="N84" i="10"/>
  <c r="E84" i="10"/>
  <c r="L84" i="10"/>
  <c r="C84" i="10"/>
  <c r="K84" i="10"/>
  <c r="B84" i="10"/>
  <c r="O84" i="10" s="1"/>
  <c r="N88" i="10"/>
  <c r="E88" i="10"/>
  <c r="M88" i="10"/>
  <c r="D88" i="10"/>
  <c r="L88" i="10"/>
  <c r="C88" i="10"/>
  <c r="K88" i="10"/>
  <c r="B88" i="10"/>
  <c r="O88" i="10" s="1"/>
  <c r="M100" i="10"/>
  <c r="D100" i="10"/>
  <c r="K100" i="10"/>
  <c r="B100" i="10"/>
  <c r="O100" i="10" s="1"/>
  <c r="L100" i="10"/>
  <c r="J100" i="10"/>
  <c r="E100" i="10"/>
  <c r="E12" i="11"/>
  <c r="D12" i="11"/>
  <c r="K12" i="11"/>
  <c r="L12" i="11" s="1"/>
  <c r="B12" i="11"/>
  <c r="L14" i="11"/>
  <c r="G70" i="10"/>
  <c r="F70" i="10"/>
  <c r="N76" i="10"/>
  <c r="E76" i="10"/>
  <c r="L76" i="10"/>
  <c r="C76" i="10"/>
  <c r="K76" i="10"/>
  <c r="B76" i="10"/>
  <c r="O76" i="10" s="1"/>
  <c r="N77" i="10"/>
  <c r="E77" i="10"/>
  <c r="M77" i="10"/>
  <c r="D77" i="10"/>
  <c r="K77" i="10"/>
  <c r="H83" i="10"/>
  <c r="F83" i="10"/>
  <c r="H87" i="10"/>
  <c r="F87" i="10"/>
  <c r="N93" i="10"/>
  <c r="E93" i="10"/>
  <c r="M93" i="10"/>
  <c r="D93" i="10"/>
  <c r="K93" i="10"/>
  <c r="B93" i="10"/>
  <c r="O93" i="10" s="1"/>
  <c r="K96" i="10"/>
  <c r="E96" i="10"/>
  <c r="N96" i="10"/>
  <c r="D96" i="10"/>
  <c r="M96" i="10"/>
  <c r="C96" i="10"/>
  <c r="L96" i="10"/>
  <c r="B96" i="10"/>
  <c r="O96" i="10" s="1"/>
  <c r="H14" i="11"/>
  <c r="G14" i="11"/>
  <c r="O14" i="11"/>
  <c r="F14" i="11"/>
  <c r="D58" i="9"/>
  <c r="D62" i="9"/>
  <c r="L62" i="9" s="1"/>
  <c r="D66" i="9"/>
  <c r="L66" i="9" s="1"/>
  <c r="D70" i="9"/>
  <c r="L70" i="9" s="1"/>
  <c r="D74" i="9"/>
  <c r="M76" i="9"/>
  <c r="D76" i="9"/>
  <c r="K76" i="9"/>
  <c r="E79" i="9"/>
  <c r="D81" i="9"/>
  <c r="K91" i="9"/>
  <c r="B91" i="9"/>
  <c r="O91" i="9" s="1"/>
  <c r="L91" i="9"/>
  <c r="E96" i="9"/>
  <c r="D98" i="9"/>
  <c r="E8" i="10"/>
  <c r="C8" i="10"/>
  <c r="K8" i="10" s="1"/>
  <c r="L8" i="10" s="1"/>
  <c r="B8" i="10"/>
  <c r="O8" i="10" s="1"/>
  <c r="E9" i="10"/>
  <c r="D9" i="10"/>
  <c r="L9" i="10" s="1"/>
  <c r="O14" i="10"/>
  <c r="E24" i="10"/>
  <c r="C24" i="10"/>
  <c r="K24" i="10"/>
  <c r="L24" i="10" s="1"/>
  <c r="B24" i="10"/>
  <c r="E25" i="10"/>
  <c r="O25" i="10" s="1"/>
  <c r="D25" i="10"/>
  <c r="L25" i="10" s="1"/>
  <c r="O30" i="10"/>
  <c r="E40" i="10"/>
  <c r="C40" i="10"/>
  <c r="K40" i="10"/>
  <c r="L40" i="10" s="1"/>
  <c r="B40" i="10"/>
  <c r="E41" i="10"/>
  <c r="D41" i="10"/>
  <c r="O46" i="10"/>
  <c r="E56" i="10"/>
  <c r="C56" i="10"/>
  <c r="B56" i="10"/>
  <c r="E57" i="10"/>
  <c r="O57" i="10" s="1"/>
  <c r="D57" i="10"/>
  <c r="O62" i="10"/>
  <c r="H70" i="10"/>
  <c r="E72" i="10"/>
  <c r="C72" i="10"/>
  <c r="B72" i="10"/>
  <c r="O72" i="10" s="1"/>
  <c r="E73" i="10"/>
  <c r="D73" i="10"/>
  <c r="L73" i="10" s="1"/>
  <c r="F75" i="10"/>
  <c r="D76" i="10"/>
  <c r="B77" i="10"/>
  <c r="O77" i="10" s="1"/>
  <c r="G83" i="10"/>
  <c r="G87" i="10"/>
  <c r="C93" i="10"/>
  <c r="H94" i="10"/>
  <c r="G94" i="10"/>
  <c r="F94" i="10"/>
  <c r="E10" i="11"/>
  <c r="D10" i="11"/>
  <c r="K10" i="11"/>
  <c r="L10" i="11" s="1"/>
  <c r="C10" i="11"/>
  <c r="B10" i="11"/>
  <c r="E23" i="11"/>
  <c r="D23" i="11"/>
  <c r="C23" i="11"/>
  <c r="B23" i="11"/>
  <c r="K60" i="11"/>
  <c r="L60" i="11" s="1"/>
  <c r="O60" i="11"/>
  <c r="G66" i="10"/>
  <c r="F66" i="10"/>
  <c r="G75" i="10"/>
  <c r="C77" i="10"/>
  <c r="H95" i="10"/>
  <c r="F95" i="10"/>
  <c r="H99" i="10"/>
  <c r="G99" i="10"/>
  <c r="E8" i="11"/>
  <c r="D8" i="11"/>
  <c r="C8" i="11"/>
  <c r="K8" i="11"/>
  <c r="L8" i="11" s="1"/>
  <c r="B8" i="11"/>
  <c r="H19" i="11"/>
  <c r="G19" i="11"/>
  <c r="F19" i="11"/>
  <c r="M103" i="9"/>
  <c r="D103" i="9"/>
  <c r="K103" i="9"/>
  <c r="E4" i="10"/>
  <c r="C4" i="10"/>
  <c r="B4" i="10"/>
  <c r="O4" i="10" s="1"/>
  <c r="E5" i="10"/>
  <c r="D5" i="10"/>
  <c r="L5" i="10" s="1"/>
  <c r="O10" i="10"/>
  <c r="E20" i="10"/>
  <c r="C20" i="10"/>
  <c r="K20" i="10"/>
  <c r="L20" i="10" s="1"/>
  <c r="B20" i="10"/>
  <c r="E21" i="10"/>
  <c r="O21" i="10" s="1"/>
  <c r="D21" i="10"/>
  <c r="L21" i="10" s="1"/>
  <c r="O26" i="10"/>
  <c r="E36" i="10"/>
  <c r="C36" i="10"/>
  <c r="K36" i="10"/>
  <c r="L36" i="10" s="1"/>
  <c r="B36" i="10"/>
  <c r="E37" i="10"/>
  <c r="D37" i="10"/>
  <c r="O42" i="10"/>
  <c r="E52" i="10"/>
  <c r="C52" i="10"/>
  <c r="B52" i="10"/>
  <c r="E53" i="10"/>
  <c r="O53" i="10" s="1"/>
  <c r="D53" i="10"/>
  <c r="L53" i="10" s="1"/>
  <c r="O58" i="10"/>
  <c r="H66" i="10"/>
  <c r="E68" i="10"/>
  <c r="C68" i="10"/>
  <c r="B68" i="10"/>
  <c r="O68" i="10" s="1"/>
  <c r="E69" i="10"/>
  <c r="D69" i="10"/>
  <c r="F71" i="10"/>
  <c r="N81" i="10"/>
  <c r="E81" i="10"/>
  <c r="M81" i="10"/>
  <c r="D81" i="10"/>
  <c r="K81" i="10"/>
  <c r="B81" i="10"/>
  <c r="O81" i="10" s="1"/>
  <c r="N89" i="10"/>
  <c r="E89" i="10"/>
  <c r="M89" i="10"/>
  <c r="D89" i="10"/>
  <c r="K89" i="10"/>
  <c r="B89" i="10"/>
  <c r="O89" i="10" s="1"/>
  <c r="N92" i="10"/>
  <c r="E92" i="10"/>
  <c r="M92" i="10"/>
  <c r="D92" i="10"/>
  <c r="L92" i="10"/>
  <c r="C92" i="10"/>
  <c r="K92" i="10"/>
  <c r="B92" i="10"/>
  <c r="O92" i="10" s="1"/>
  <c r="J93" i="10"/>
  <c r="G95" i="10"/>
  <c r="J96" i="10"/>
  <c r="F99" i="10"/>
  <c r="G30" i="10"/>
  <c r="F30" i="10"/>
  <c r="G46" i="10"/>
  <c r="F46" i="10"/>
  <c r="G62" i="10"/>
  <c r="F62" i="10"/>
  <c r="G71" i="10"/>
  <c r="G78" i="10"/>
  <c r="F78" i="10"/>
  <c r="N80" i="10"/>
  <c r="E80" i="10"/>
  <c r="L80" i="10"/>
  <c r="C80" i="10"/>
  <c r="K80" i="10"/>
  <c r="B80" i="10"/>
  <c r="O80" i="10" s="1"/>
  <c r="H90" i="10"/>
  <c r="G90" i="10"/>
  <c r="F90" i="10"/>
  <c r="L93" i="10"/>
  <c r="M97" i="10"/>
  <c r="D97" i="10"/>
  <c r="K97" i="10"/>
  <c r="J97" i="10"/>
  <c r="C97" i="10"/>
  <c r="G102" i="10"/>
  <c r="H102" i="10"/>
  <c r="H103" i="10"/>
  <c r="F103" i="10"/>
  <c r="L17" i="11"/>
  <c r="O27" i="11"/>
  <c r="L98" i="10"/>
  <c r="M101" i="10"/>
  <c r="D101" i="10"/>
  <c r="L101" i="10"/>
  <c r="H4" i="11"/>
  <c r="G4" i="11"/>
  <c r="O4" i="11"/>
  <c r="F4" i="11"/>
  <c r="H11" i="11"/>
  <c r="G11" i="11"/>
  <c r="E20" i="11"/>
  <c r="D20" i="11"/>
  <c r="H22" i="11"/>
  <c r="G22" i="11"/>
  <c r="O22" i="11"/>
  <c r="F22" i="11"/>
  <c r="O24" i="11"/>
  <c r="C98" i="10"/>
  <c r="N98" i="10"/>
  <c r="C101" i="10"/>
  <c r="H9" i="11"/>
  <c r="G9" i="11"/>
  <c r="C20" i="11"/>
  <c r="K20" i="11" s="1"/>
  <c r="L20" i="11" s="1"/>
  <c r="L24" i="11"/>
  <c r="H92" i="11"/>
  <c r="F92" i="11"/>
  <c r="G92" i="11"/>
  <c r="K99" i="10"/>
  <c r="B99" i="10"/>
  <c r="O99" i="10" s="1"/>
  <c r="M99" i="10"/>
  <c r="E101" i="10"/>
  <c r="F9" i="11"/>
  <c r="F16" i="11"/>
  <c r="O17" i="11"/>
  <c r="O28" i="11"/>
  <c r="E38" i="11"/>
  <c r="C38" i="11"/>
  <c r="K38" i="11"/>
  <c r="L38" i="11" s="1"/>
  <c r="B38" i="11"/>
  <c r="O38" i="11" s="1"/>
  <c r="D38" i="11"/>
  <c r="H59" i="11"/>
  <c r="G59" i="11"/>
  <c r="F59" i="11"/>
  <c r="H98" i="10"/>
  <c r="F98" i="10"/>
  <c r="O7" i="11"/>
  <c r="L37" i="11"/>
  <c r="D51" i="11"/>
  <c r="C51" i="11"/>
  <c r="E51" i="11"/>
  <c r="B51" i="11"/>
  <c r="O51" i="11" s="1"/>
  <c r="L53" i="11"/>
  <c r="G98" i="10"/>
  <c r="M103" i="10"/>
  <c r="D103" i="10"/>
  <c r="K103" i="10"/>
  <c r="B103" i="10"/>
  <c r="N103" i="10"/>
  <c r="K4" i="11"/>
  <c r="L4" i="11" s="1"/>
  <c r="K22" i="11"/>
  <c r="L22" i="11" s="1"/>
  <c r="F24" i="11"/>
  <c r="H26" i="11"/>
  <c r="G26" i="11"/>
  <c r="F26" i="11"/>
  <c r="D35" i="11"/>
  <c r="C35" i="11"/>
  <c r="E35" i="11"/>
  <c r="B35" i="11"/>
  <c r="O35" i="11" s="1"/>
  <c r="E15" i="11"/>
  <c r="O15" i="11" s="1"/>
  <c r="D15" i="11"/>
  <c r="C15" i="11"/>
  <c r="K15" i="11" s="1"/>
  <c r="L15" i="11" s="1"/>
  <c r="E18" i="11"/>
  <c r="D18" i="11"/>
  <c r="C18" i="11"/>
  <c r="B18" i="11"/>
  <c r="O18" i="11" s="1"/>
  <c r="G24" i="11"/>
  <c r="E27" i="11"/>
  <c r="D27" i="11"/>
  <c r="C27" i="11"/>
  <c r="K27" i="11" s="1"/>
  <c r="L27" i="11" s="1"/>
  <c r="L29" i="11"/>
  <c r="C31" i="11"/>
  <c r="K31" i="11" s="1"/>
  <c r="L31" i="11" s="1"/>
  <c r="B31" i="11"/>
  <c r="E31" i="11"/>
  <c r="D31" i="11"/>
  <c r="K34" i="11"/>
  <c r="L34" i="11" s="1"/>
  <c r="O45" i="11"/>
  <c r="K45" i="11"/>
  <c r="L45" i="11" s="1"/>
  <c r="E32" i="11"/>
  <c r="D32" i="11"/>
  <c r="G34" i="11"/>
  <c r="F34" i="11"/>
  <c r="C39" i="11"/>
  <c r="K39" i="11"/>
  <c r="L39" i="11" s="1"/>
  <c r="B39" i="11"/>
  <c r="D43" i="11"/>
  <c r="C43" i="11"/>
  <c r="E46" i="11"/>
  <c r="C46" i="11"/>
  <c r="B46" i="11"/>
  <c r="G50" i="11"/>
  <c r="F50" i="11"/>
  <c r="H65" i="11"/>
  <c r="G65" i="11"/>
  <c r="F65" i="11"/>
  <c r="F7" i="11"/>
  <c r="B13" i="11"/>
  <c r="F17" i="11"/>
  <c r="B21" i="11"/>
  <c r="O21" i="11" s="1"/>
  <c r="E25" i="11"/>
  <c r="D25" i="11"/>
  <c r="L25" i="11" s="1"/>
  <c r="D28" i="11"/>
  <c r="L28" i="11"/>
  <c r="C28" i="11"/>
  <c r="K28" i="11" s="1"/>
  <c r="B32" i="11"/>
  <c r="H34" i="11"/>
  <c r="D39" i="11"/>
  <c r="E40" i="11"/>
  <c r="D40" i="11"/>
  <c r="G42" i="11"/>
  <c r="F42" i="11"/>
  <c r="B43" i="11"/>
  <c r="D46" i="11"/>
  <c r="C47" i="11"/>
  <c r="B47" i="11"/>
  <c r="H50" i="11"/>
  <c r="E56" i="11"/>
  <c r="D56" i="11"/>
  <c r="C56" i="11"/>
  <c r="B56" i="11"/>
  <c r="L58" i="11"/>
  <c r="H60" i="11"/>
  <c r="G60" i="11"/>
  <c r="F60" i="11"/>
  <c r="L86" i="11"/>
  <c r="C86" i="11"/>
  <c r="K86" i="11"/>
  <c r="B86" i="11"/>
  <c r="O86" i="11" s="1"/>
  <c r="M86" i="11"/>
  <c r="N86" i="11"/>
  <c r="J86" i="11"/>
  <c r="E86" i="11"/>
  <c r="G7" i="11"/>
  <c r="C13" i="11"/>
  <c r="K13" i="11" s="1"/>
  <c r="L13" i="11" s="1"/>
  <c r="G17" i="11"/>
  <c r="C21" i="11"/>
  <c r="K21" i="11" s="1"/>
  <c r="L21" i="11" s="1"/>
  <c r="C32" i="11"/>
  <c r="E39" i="11"/>
  <c r="E43" i="11"/>
  <c r="BJ76" i="11"/>
  <c r="D86" i="11"/>
  <c r="J90" i="11"/>
  <c r="E90" i="11"/>
  <c r="N90" i="11"/>
  <c r="C90" i="11"/>
  <c r="M90" i="11"/>
  <c r="L90" i="11"/>
  <c r="K90" i="11"/>
  <c r="D90" i="11"/>
  <c r="B90" i="11"/>
  <c r="O90" i="11" s="1"/>
  <c r="C6" i="11"/>
  <c r="K6" i="11" s="1"/>
  <c r="L6" i="11" s="1"/>
  <c r="B9" i="11"/>
  <c r="O9" i="11" s="1"/>
  <c r="B11" i="11"/>
  <c r="O11" i="11" s="1"/>
  <c r="K11" i="11"/>
  <c r="L11" i="11" s="1"/>
  <c r="D13" i="11"/>
  <c r="C16" i="11"/>
  <c r="K16" i="11" s="1"/>
  <c r="L16" i="11" s="1"/>
  <c r="B19" i="11"/>
  <c r="O19" i="11" s="1"/>
  <c r="D21" i="11"/>
  <c r="O29" i="11"/>
  <c r="C40" i="11"/>
  <c r="K40" i="11" s="1"/>
  <c r="L40" i="11" s="1"/>
  <c r="E47" i="11"/>
  <c r="C62" i="11"/>
  <c r="E62" i="11"/>
  <c r="D62" i="11"/>
  <c r="B62" i="11"/>
  <c r="O62" i="11" s="1"/>
  <c r="H89" i="11"/>
  <c r="F89" i="11"/>
  <c r="G89" i="11"/>
  <c r="C9" i="11"/>
  <c r="C11" i="11"/>
  <c r="E13" i="11"/>
  <c r="C19" i="11"/>
  <c r="E21" i="11"/>
  <c r="O37" i="11"/>
  <c r="K57" i="11"/>
  <c r="L57" i="11" s="1"/>
  <c r="K62" i="11"/>
  <c r="L62" i="11" s="1"/>
  <c r="BN76" i="11"/>
  <c r="BF76" i="11"/>
  <c r="AX76" i="11"/>
  <c r="AP76" i="11"/>
  <c r="AH76" i="11"/>
  <c r="Z76" i="11"/>
  <c r="R76" i="11"/>
  <c r="BM76" i="11"/>
  <c r="BE76" i="11"/>
  <c r="AW76" i="11"/>
  <c r="AO76" i="11"/>
  <c r="AG76" i="11"/>
  <c r="Y76" i="11"/>
  <c r="Q76" i="11"/>
  <c r="BO76" i="11"/>
  <c r="BC76" i="11"/>
  <c r="AS76" i="11"/>
  <c r="AI76" i="11"/>
  <c r="W76" i="11"/>
  <c r="BK76" i="11"/>
  <c r="BA76" i="11"/>
  <c r="AQ76" i="11"/>
  <c r="AE76" i="11"/>
  <c r="U76" i="11"/>
  <c r="BI76" i="11"/>
  <c r="AU76" i="11"/>
  <c r="AF76" i="11"/>
  <c r="S76" i="11"/>
  <c r="BH76" i="11"/>
  <c r="AT76" i="11"/>
  <c r="AD76" i="11"/>
  <c r="P76" i="11"/>
  <c r="BG76" i="11"/>
  <c r="AR76" i="11"/>
  <c r="AC76" i="11"/>
  <c r="BD76" i="11"/>
  <c r="AN76" i="11"/>
  <c r="AB76" i="11"/>
  <c r="BB76" i="11"/>
  <c r="AM76" i="11"/>
  <c r="AA76" i="11"/>
  <c r="AZ76" i="11"/>
  <c r="T76" i="11"/>
  <c r="AY76" i="11"/>
  <c r="AV76" i="11"/>
  <c r="AK76" i="11"/>
  <c r="BP76" i="11"/>
  <c r="AJ76" i="11"/>
  <c r="L78" i="11"/>
  <c r="C78" i="11"/>
  <c r="K78" i="11"/>
  <c r="B78" i="11"/>
  <c r="O78" i="11" s="1"/>
  <c r="D78" i="11"/>
  <c r="M78" i="11"/>
  <c r="N78" i="11"/>
  <c r="J78" i="11"/>
  <c r="E78" i="11"/>
  <c r="BB88" i="11"/>
  <c r="AK88" i="11"/>
  <c r="BP88" i="11"/>
  <c r="AU88" i="11"/>
  <c r="AY88" i="11"/>
  <c r="AP88" i="11"/>
  <c r="AF88" i="11"/>
  <c r="D48" i="11"/>
  <c r="L48" i="11" s="1"/>
  <c r="H55" i="11"/>
  <c r="G55" i="11"/>
  <c r="G58" i="11"/>
  <c r="F58" i="11"/>
  <c r="E63" i="11"/>
  <c r="D63" i="11"/>
  <c r="C63" i="11"/>
  <c r="K66" i="11"/>
  <c r="L66" i="11" s="1"/>
  <c r="F29" i="11"/>
  <c r="B33" i="11"/>
  <c r="K33" i="11"/>
  <c r="L33" i="11" s="1"/>
  <c r="F37" i="11"/>
  <c r="B41" i="11"/>
  <c r="K41" i="11"/>
  <c r="L41" i="11" s="1"/>
  <c r="F45" i="11"/>
  <c r="E48" i="11"/>
  <c r="B49" i="11"/>
  <c r="O49" i="11" s="1"/>
  <c r="K49" i="11"/>
  <c r="L49" i="11" s="1"/>
  <c r="F53" i="11"/>
  <c r="O53" i="11"/>
  <c r="F55" i="11"/>
  <c r="H58" i="11"/>
  <c r="B63" i="11"/>
  <c r="O63" i="11" s="1"/>
  <c r="K68" i="11"/>
  <c r="L68" i="11" s="1"/>
  <c r="H71" i="11"/>
  <c r="G71" i="11"/>
  <c r="H73" i="11"/>
  <c r="G73" i="11"/>
  <c r="J87" i="11"/>
  <c r="E87" i="11"/>
  <c r="N87" i="11"/>
  <c r="C87" i="11"/>
  <c r="M87" i="11"/>
  <c r="L87" i="11"/>
  <c r="K87" i="11"/>
  <c r="D33" i="11"/>
  <c r="C36" i="11"/>
  <c r="K36" i="11" s="1"/>
  <c r="L36" i="11"/>
  <c r="D41" i="11"/>
  <c r="C44" i="11"/>
  <c r="K44" i="11" s="1"/>
  <c r="L44" i="11" s="1"/>
  <c r="D49" i="11"/>
  <c r="C52" i="11"/>
  <c r="K52" i="11" s="1"/>
  <c r="L52" i="11"/>
  <c r="C54" i="11"/>
  <c r="B54" i="11"/>
  <c r="O54" i="11" s="1"/>
  <c r="K55" i="11"/>
  <c r="L55" i="11" s="1"/>
  <c r="K58" i="11"/>
  <c r="K65" i="11"/>
  <c r="L65" i="11" s="1"/>
  <c r="E69" i="11"/>
  <c r="D69" i="11"/>
  <c r="C69" i="11"/>
  <c r="H84" i="11"/>
  <c r="F84" i="11"/>
  <c r="D87" i="11"/>
  <c r="BP94" i="11"/>
  <c r="BH94" i="11"/>
  <c r="AZ94" i="11"/>
  <c r="AR94" i="11"/>
  <c r="AJ94" i="11"/>
  <c r="AB94" i="11"/>
  <c r="T94" i="11"/>
  <c r="BO94" i="11"/>
  <c r="BG94" i="11"/>
  <c r="AY94" i="11"/>
  <c r="AQ94" i="11"/>
  <c r="AI94" i="11"/>
  <c r="AA94" i="11"/>
  <c r="S94" i="11"/>
  <c r="BI94" i="11"/>
  <c r="AW94" i="11"/>
  <c r="AM94" i="11"/>
  <c r="AC94" i="11"/>
  <c r="Q94" i="11"/>
  <c r="BF94" i="11"/>
  <c r="AV94" i="11"/>
  <c r="AL94" i="11"/>
  <c r="Z94" i="11"/>
  <c r="P94" i="11"/>
  <c r="BE94" i="11"/>
  <c r="AU94" i="11"/>
  <c r="AK94" i="11"/>
  <c r="Y94" i="11"/>
  <c r="BN94" i="11"/>
  <c r="BD94" i="11"/>
  <c r="AT94" i="11"/>
  <c r="AH94" i="11"/>
  <c r="X94" i="11"/>
  <c r="BM94" i="11"/>
  <c r="BC94" i="11"/>
  <c r="AS94" i="11"/>
  <c r="AG94" i="11"/>
  <c r="W94" i="11"/>
  <c r="BJ94" i="11"/>
  <c r="AE94" i="11"/>
  <c r="BB94" i="11"/>
  <c r="AD94" i="11"/>
  <c r="BA94" i="11"/>
  <c r="V94" i="11"/>
  <c r="AX94" i="11"/>
  <c r="U94" i="11"/>
  <c r="AP94" i="11"/>
  <c r="R94" i="11"/>
  <c r="B26" i="11"/>
  <c r="O26" i="11" s="1"/>
  <c r="E33" i="11"/>
  <c r="B34" i="11"/>
  <c r="O34" i="11" s="1"/>
  <c r="D36" i="11"/>
  <c r="E41" i="11"/>
  <c r="B42" i="11"/>
  <c r="O42" i="11" s="1"/>
  <c r="D44" i="11"/>
  <c r="E49" i="11"/>
  <c r="B50" i="11"/>
  <c r="O50" i="11" s="1"/>
  <c r="D52" i="11"/>
  <c r="D54" i="11"/>
  <c r="E61" i="11"/>
  <c r="O61" i="11" s="1"/>
  <c r="D61" i="11"/>
  <c r="C61" i="11"/>
  <c r="K61" i="11" s="1"/>
  <c r="L61" i="11" s="1"/>
  <c r="H68" i="11"/>
  <c r="G68" i="11"/>
  <c r="F68" i="11"/>
  <c r="B69" i="11"/>
  <c r="BA75" i="11"/>
  <c r="AS75" i="11"/>
  <c r="AK75" i="11"/>
  <c r="U75" i="11"/>
  <c r="BP75" i="11"/>
  <c r="BH75" i="11"/>
  <c r="AR75" i="11"/>
  <c r="AJ75" i="11"/>
  <c r="AB75" i="11"/>
  <c r="BG75" i="11"/>
  <c r="AW75" i="11"/>
  <c r="AM75" i="11"/>
  <c r="Q75" i="11"/>
  <c r="BO75" i="11"/>
  <c r="BE75" i="11"/>
  <c r="AI75" i="11"/>
  <c r="Y75" i="11"/>
  <c r="BL75" i="11"/>
  <c r="AH75" i="11"/>
  <c r="V75" i="11"/>
  <c r="BK75" i="11"/>
  <c r="AG75" i="11"/>
  <c r="S75" i="11"/>
  <c r="BJ75" i="11"/>
  <c r="AF75" i="11"/>
  <c r="R75" i="11"/>
  <c r="BF75" i="11"/>
  <c r="AE75" i="11"/>
  <c r="P75" i="11"/>
  <c r="BD75" i="11"/>
  <c r="AD75" i="11"/>
  <c r="AO75" i="11"/>
  <c r="N80" i="11"/>
  <c r="E80" i="11"/>
  <c r="M80" i="11"/>
  <c r="D80" i="11"/>
  <c r="K80" i="11"/>
  <c r="L80" i="11"/>
  <c r="J80" i="11"/>
  <c r="C80" i="11"/>
  <c r="AS83" i="11"/>
  <c r="AK83" i="11"/>
  <c r="AC83" i="11"/>
  <c r="BH83" i="11"/>
  <c r="AJ83" i="11"/>
  <c r="AB83" i="11"/>
  <c r="T83" i="11"/>
  <c r="AQ83" i="11"/>
  <c r="BK83" i="11"/>
  <c r="AY83" i="11"/>
  <c r="AO83" i="11"/>
  <c r="BG83" i="11"/>
  <c r="AA83" i="11"/>
  <c r="Q83" i="11"/>
  <c r="BE83" i="11"/>
  <c r="BD83" i="11"/>
  <c r="BB83" i="11"/>
  <c r="AI83" i="11"/>
  <c r="R83" i="11"/>
  <c r="AH83" i="11"/>
  <c r="AV83" i="11"/>
  <c r="AF83" i="11"/>
  <c r="BF83" i="11"/>
  <c r="G84" i="11"/>
  <c r="AF94" i="11"/>
  <c r="O58" i="11"/>
  <c r="D59" i="11"/>
  <c r="C59" i="11"/>
  <c r="K59" i="11"/>
  <c r="L59" i="11" s="1"/>
  <c r="B59" i="11"/>
  <c r="O59" i="11" s="1"/>
  <c r="E66" i="11"/>
  <c r="D66" i="11"/>
  <c r="C66" i="11"/>
  <c r="E72" i="11"/>
  <c r="O72" i="11" s="1"/>
  <c r="D72" i="11"/>
  <c r="K72" i="11"/>
  <c r="L72" i="11" s="1"/>
  <c r="C72" i="11"/>
  <c r="N77" i="11"/>
  <c r="E77" i="11"/>
  <c r="J77" i="11"/>
  <c r="H79" i="11"/>
  <c r="G79" i="11"/>
  <c r="AC82" i="11"/>
  <c r="AW82" i="11"/>
  <c r="BM82" i="11"/>
  <c r="N93" i="11"/>
  <c r="E93" i="11"/>
  <c r="J93" i="11"/>
  <c r="D93" i="11"/>
  <c r="C93" i="11"/>
  <c r="BJ100" i="11"/>
  <c r="AL100" i="11"/>
  <c r="AD100" i="11"/>
  <c r="V100" i="11"/>
  <c r="AY100" i="11"/>
  <c r="AA100" i="11"/>
  <c r="S100" i="11"/>
  <c r="BI100" i="11"/>
  <c r="AC100" i="11"/>
  <c r="AV100" i="11"/>
  <c r="AK100" i="11"/>
  <c r="Z100" i="11"/>
  <c r="BE100" i="11"/>
  <c r="Y100" i="11"/>
  <c r="BN100" i="11"/>
  <c r="BD100" i="11"/>
  <c r="X100" i="11"/>
  <c r="AR100" i="11"/>
  <c r="AG100" i="11"/>
  <c r="W100" i="11"/>
  <c r="BH100" i="11"/>
  <c r="AB100" i="11"/>
  <c r="AZ100" i="11"/>
  <c r="U100" i="11"/>
  <c r="B77" i="11"/>
  <c r="O77" i="11" s="1"/>
  <c r="F79" i="11"/>
  <c r="Q82" i="11"/>
  <c r="AG82" i="11"/>
  <c r="AX82" i="11"/>
  <c r="BO82" i="11"/>
  <c r="AB84" i="11"/>
  <c r="AR84" i="11"/>
  <c r="M91" i="11"/>
  <c r="D91" i="11"/>
  <c r="L91" i="11"/>
  <c r="C91" i="11"/>
  <c r="E91" i="11"/>
  <c r="B91" i="11"/>
  <c r="O91" i="11" s="1"/>
  <c r="K91" i="11"/>
  <c r="B93" i="11"/>
  <c r="O93" i="11" s="1"/>
  <c r="N99" i="11"/>
  <c r="E99" i="11"/>
  <c r="M99" i="11"/>
  <c r="D99" i="11"/>
  <c r="L99" i="11"/>
  <c r="C99" i="11"/>
  <c r="K99" i="11"/>
  <c r="J99" i="11"/>
  <c r="B99" i="11"/>
  <c r="O99" i="11" s="1"/>
  <c r="E64" i="11"/>
  <c r="D67" i="11"/>
  <c r="C67" i="11"/>
  <c r="C70" i="11"/>
  <c r="B70" i="11"/>
  <c r="O70" i="11" s="1"/>
  <c r="M75" i="11"/>
  <c r="D75" i="11"/>
  <c r="L75" i="11"/>
  <c r="C75" i="11"/>
  <c r="B75" i="11"/>
  <c r="O75" i="11" s="1"/>
  <c r="C77" i="11"/>
  <c r="R82" i="11"/>
  <c r="AI82" i="11"/>
  <c r="AY82" i="11"/>
  <c r="M83" i="11"/>
  <c r="D83" i="11"/>
  <c r="L83" i="11"/>
  <c r="C83" i="11"/>
  <c r="K83" i="11"/>
  <c r="BN84" i="11"/>
  <c r="BF84" i="11"/>
  <c r="AX84" i="11"/>
  <c r="AP84" i="11"/>
  <c r="AH84" i="11"/>
  <c r="Z84" i="11"/>
  <c r="R84" i="11"/>
  <c r="BM84" i="11"/>
  <c r="BE84" i="11"/>
  <c r="AW84" i="11"/>
  <c r="AO84" i="11"/>
  <c r="AG84" i="11"/>
  <c r="Y84" i="11"/>
  <c r="Q84" i="11"/>
  <c r="BI84" i="11"/>
  <c r="AY84" i="11"/>
  <c r="AM84" i="11"/>
  <c r="AC84" i="11"/>
  <c r="S84" i="11"/>
  <c r="BG84" i="11"/>
  <c r="AU84" i="11"/>
  <c r="AK84" i="11"/>
  <c r="AA84" i="11"/>
  <c r="BO84" i="11"/>
  <c r="BC84" i="11"/>
  <c r="AS84" i="11"/>
  <c r="AI84" i="11"/>
  <c r="W84" i="11"/>
  <c r="AD84" i="11"/>
  <c r="AT84" i="11"/>
  <c r="BK84" i="11"/>
  <c r="N88" i="11"/>
  <c r="E88" i="11"/>
  <c r="M88" i="11"/>
  <c r="BA88" i="11" s="1"/>
  <c r="D88" i="11"/>
  <c r="C88" i="11"/>
  <c r="B88" i="11"/>
  <c r="O88" i="11" s="1"/>
  <c r="K88" i="11"/>
  <c r="K93" i="11"/>
  <c r="H95" i="11"/>
  <c r="G95" i="11"/>
  <c r="Q100" i="11"/>
  <c r="B64" i="11"/>
  <c r="O64" i="11" s="1"/>
  <c r="B67" i="11"/>
  <c r="O67" i="11" s="1"/>
  <c r="D70" i="11"/>
  <c r="E75" i="11"/>
  <c r="D77" i="11"/>
  <c r="AB79" i="11"/>
  <c r="AS79" i="11"/>
  <c r="BI79" i="11"/>
  <c r="G81" i="11"/>
  <c r="S82" i="11"/>
  <c r="AK82" i="11"/>
  <c r="BA82" i="11"/>
  <c r="B83" i="11"/>
  <c r="O83" i="11" s="1"/>
  <c r="AE84" i="11"/>
  <c r="AV84" i="11"/>
  <c r="BL84" i="11"/>
  <c r="AB85" i="11"/>
  <c r="AS85" i="11"/>
  <c r="BI85" i="11"/>
  <c r="L93" i="11"/>
  <c r="F95" i="11"/>
  <c r="N96" i="11"/>
  <c r="E96" i="11"/>
  <c r="M96" i="11"/>
  <c r="D96" i="11"/>
  <c r="K96" i="11"/>
  <c r="J96" i="11"/>
  <c r="K98" i="11"/>
  <c r="B98" i="11"/>
  <c r="O98" i="11" s="1"/>
  <c r="N98" i="11"/>
  <c r="M98" i="11"/>
  <c r="L98" i="11"/>
  <c r="J98" i="11"/>
  <c r="E98" i="11"/>
  <c r="B57" i="11"/>
  <c r="O57" i="11" s="1"/>
  <c r="C64" i="11"/>
  <c r="K64" i="11" s="1"/>
  <c r="L64" i="11" s="1"/>
  <c r="E67" i="11"/>
  <c r="E70" i="11"/>
  <c r="B71" i="11"/>
  <c r="B74" i="11"/>
  <c r="F76" i="11"/>
  <c r="AC79" i="11"/>
  <c r="AU79" i="11"/>
  <c r="H81" i="11"/>
  <c r="G82" i="11"/>
  <c r="F82" i="11"/>
  <c r="U82" i="11"/>
  <c r="AL82" i="11"/>
  <c r="E83" i="11"/>
  <c r="P84" i="11"/>
  <c r="AF84" i="11"/>
  <c r="AZ84" i="11"/>
  <c r="BP84" i="11"/>
  <c r="AC85" i="11"/>
  <c r="AW85" i="11"/>
  <c r="J91" i="11"/>
  <c r="M93" i="11"/>
  <c r="B96" i="11"/>
  <c r="O96" i="11" s="1"/>
  <c r="C98" i="11"/>
  <c r="BM79" i="11"/>
  <c r="BE79" i="11"/>
  <c r="AW79" i="11"/>
  <c r="AO79" i="11"/>
  <c r="AG79" i="11"/>
  <c r="Y79" i="11"/>
  <c r="Q79" i="11"/>
  <c r="BL79" i="11"/>
  <c r="BD79" i="11"/>
  <c r="AV79" i="11"/>
  <c r="AN79" i="11"/>
  <c r="AF79" i="11"/>
  <c r="X79" i="11"/>
  <c r="P79" i="11"/>
  <c r="T79" i="11"/>
  <c r="AD79" i="11"/>
  <c r="AP79" i="11"/>
  <c r="AZ79" i="11"/>
  <c r="BJ79" i="11"/>
  <c r="BL82" i="11"/>
  <c r="BD82" i="11"/>
  <c r="AV82" i="11"/>
  <c r="AN82" i="11"/>
  <c r="AF82" i="11"/>
  <c r="X82" i="11"/>
  <c r="P82" i="11"/>
  <c r="BK82" i="11"/>
  <c r="BC82" i="11"/>
  <c r="AU82" i="11"/>
  <c r="AM82" i="11"/>
  <c r="AE82" i="11"/>
  <c r="W82" i="11"/>
  <c r="T82" i="11"/>
  <c r="AD82" i="11"/>
  <c r="AP82" i="11"/>
  <c r="AZ82" i="11"/>
  <c r="BJ82" i="11"/>
  <c r="BK85" i="11"/>
  <c r="BC85" i="11"/>
  <c r="AU85" i="11"/>
  <c r="AM85" i="11"/>
  <c r="AE85" i="11"/>
  <c r="W85" i="11"/>
  <c r="BJ85" i="11"/>
  <c r="BB85" i="11"/>
  <c r="AT85" i="11"/>
  <c r="AL85" i="11"/>
  <c r="AD85" i="11"/>
  <c r="V85" i="11"/>
  <c r="T85" i="11"/>
  <c r="AF85" i="11"/>
  <c r="AP85" i="11"/>
  <c r="AZ85" i="11"/>
  <c r="BL85" i="11"/>
  <c r="S92" i="11"/>
  <c r="AC92" i="11"/>
  <c r="AM92" i="11"/>
  <c r="AY92" i="11"/>
  <c r="BI92" i="11"/>
  <c r="BM95" i="11"/>
  <c r="BE95" i="11"/>
  <c r="AW95" i="11"/>
  <c r="AO95" i="11"/>
  <c r="AG95" i="11"/>
  <c r="Y95" i="11"/>
  <c r="Q95" i="11"/>
  <c r="BL95" i="11"/>
  <c r="BD95" i="11"/>
  <c r="AV95" i="11"/>
  <c r="AN95" i="11"/>
  <c r="AF95" i="11"/>
  <c r="X95" i="11"/>
  <c r="P95" i="11"/>
  <c r="T95" i="11"/>
  <c r="AD95" i="11"/>
  <c r="AP95" i="11"/>
  <c r="AZ95" i="11"/>
  <c r="BJ95" i="11"/>
  <c r="G101" i="11"/>
  <c r="H101" i="11"/>
  <c r="N103" i="11"/>
  <c r="E103" i="11"/>
  <c r="K103" i="11"/>
  <c r="D103" i="11"/>
  <c r="C103" i="11"/>
  <c r="BM15" i="14"/>
  <c r="BE15" i="14"/>
  <c r="AW15" i="14"/>
  <c r="AO15" i="14"/>
  <c r="AG15" i="14"/>
  <c r="Y15" i="14"/>
  <c r="Q15" i="14"/>
  <c r="I15" i="14"/>
  <c r="BL15" i="14"/>
  <c r="BD15" i="14"/>
  <c r="AV15" i="14"/>
  <c r="AN15" i="14"/>
  <c r="AF15" i="14"/>
  <c r="X15" i="14"/>
  <c r="P15" i="14"/>
  <c r="H15" i="14"/>
  <c r="BK15" i="14"/>
  <c r="BC15" i="14"/>
  <c r="AU15" i="14"/>
  <c r="AM15" i="14"/>
  <c r="AE15" i="14"/>
  <c r="W15" i="14"/>
  <c r="O15" i="14"/>
  <c r="G15" i="14"/>
  <c r="BJ15" i="14"/>
  <c r="BB15" i="14"/>
  <c r="AT15" i="14"/>
  <c r="AL15" i="14"/>
  <c r="AD15" i="14"/>
  <c r="V15" i="14"/>
  <c r="N15" i="14"/>
  <c r="BI15" i="14"/>
  <c r="BA15" i="14"/>
  <c r="AS15" i="14"/>
  <c r="AK15" i="14"/>
  <c r="AC15" i="14"/>
  <c r="U15" i="14"/>
  <c r="M15" i="14"/>
  <c r="E15" i="14"/>
  <c r="F15" i="14" s="1"/>
  <c r="BH15" i="14"/>
  <c r="AZ15" i="14"/>
  <c r="AR15" i="14"/>
  <c r="AJ15" i="14"/>
  <c r="AB15" i="14"/>
  <c r="T15" i="14"/>
  <c r="L15" i="14"/>
  <c r="BF15" i="14"/>
  <c r="Z15" i="14"/>
  <c r="AX15" i="14"/>
  <c r="R15" i="14"/>
  <c r="AQ15" i="14"/>
  <c r="K15" i="14"/>
  <c r="AP15" i="14"/>
  <c r="J15" i="14"/>
  <c r="AI15" i="14"/>
  <c r="AU19" i="14"/>
  <c r="L94" i="11"/>
  <c r="C94" i="11"/>
  <c r="K94" i="11"/>
  <c r="B94" i="11"/>
  <c r="O94" i="11" s="1"/>
  <c r="N94" i="11"/>
  <c r="L79" i="11"/>
  <c r="V79" i="11"/>
  <c r="AH79" i="11"/>
  <c r="AR79" i="11"/>
  <c r="BB79" i="11"/>
  <c r="BN79" i="11"/>
  <c r="L82" i="11"/>
  <c r="V82" i="11"/>
  <c r="AH82" i="11"/>
  <c r="AR82" i="11"/>
  <c r="BB82" i="11"/>
  <c r="BN82" i="11"/>
  <c r="N85" i="11"/>
  <c r="E85" i="11"/>
  <c r="L85" i="11"/>
  <c r="X85" i="11"/>
  <c r="AH85" i="11"/>
  <c r="AR85" i="11"/>
  <c r="BD85" i="11"/>
  <c r="BN85" i="11"/>
  <c r="U92" i="11"/>
  <c r="AE92" i="11"/>
  <c r="AQ92" i="11"/>
  <c r="BA92" i="11"/>
  <c r="D94" i="11"/>
  <c r="L95" i="11"/>
  <c r="V95" i="11"/>
  <c r="AH95" i="11"/>
  <c r="AR95" i="11"/>
  <c r="BB95" i="11"/>
  <c r="BN95" i="11"/>
  <c r="J103" i="11"/>
  <c r="BN92" i="11"/>
  <c r="BF92" i="11"/>
  <c r="AX92" i="11"/>
  <c r="AP92" i="11"/>
  <c r="AH92" i="11"/>
  <c r="Z92" i="11"/>
  <c r="R92" i="11"/>
  <c r="BM92" i="11"/>
  <c r="BE92" i="11"/>
  <c r="AW92" i="11"/>
  <c r="AO92" i="11"/>
  <c r="AG92" i="11"/>
  <c r="Y92" i="11"/>
  <c r="Q92" i="11"/>
  <c r="V92" i="11"/>
  <c r="AF92" i="11"/>
  <c r="AR92" i="11"/>
  <c r="BB92" i="11"/>
  <c r="BL92" i="11"/>
  <c r="E94" i="11"/>
  <c r="W95" i="11"/>
  <c r="AI95" i="11"/>
  <c r="AS95" i="11"/>
  <c r="BC95" i="11"/>
  <c r="BL19" i="14"/>
  <c r="BD19" i="14"/>
  <c r="AV19" i="14"/>
  <c r="AN19" i="14"/>
  <c r="AF19" i="14"/>
  <c r="X19" i="14"/>
  <c r="P19" i="14"/>
  <c r="H19" i="14"/>
  <c r="BM19" i="14"/>
  <c r="BC19" i="14"/>
  <c r="AT19" i="14"/>
  <c r="AK19" i="14"/>
  <c r="AB19" i="14"/>
  <c r="S19" i="14"/>
  <c r="J19" i="14"/>
  <c r="BK19" i="14"/>
  <c r="BB19" i="14"/>
  <c r="AS19" i="14"/>
  <c r="AJ19" i="14"/>
  <c r="AA19" i="14"/>
  <c r="R19" i="14"/>
  <c r="I19" i="14"/>
  <c r="BJ19" i="14"/>
  <c r="BA19" i="14"/>
  <c r="AR19" i="14"/>
  <c r="AI19" i="14"/>
  <c r="Z19" i="14"/>
  <c r="Q19" i="14"/>
  <c r="G19" i="14"/>
  <c r="BI19" i="14"/>
  <c r="AZ19" i="14"/>
  <c r="AQ19" i="14"/>
  <c r="AH19" i="14"/>
  <c r="Y19" i="14"/>
  <c r="O19" i="14"/>
  <c r="BH19" i="14"/>
  <c r="AY19" i="14"/>
  <c r="AP19" i="14"/>
  <c r="AG19" i="14"/>
  <c r="W19" i="14"/>
  <c r="N19" i="14"/>
  <c r="E19" i="14"/>
  <c r="F19" i="14" s="1"/>
  <c r="BG19" i="14"/>
  <c r="AX19" i="14"/>
  <c r="AO19" i="14"/>
  <c r="AE19" i="14"/>
  <c r="V19" i="14"/>
  <c r="M19" i="14"/>
  <c r="AM19" i="14"/>
  <c r="AD19" i="14"/>
  <c r="BN19" i="14"/>
  <c r="AC19" i="14"/>
  <c r="BF19" i="14"/>
  <c r="U19" i="14"/>
  <c r="BE19" i="14"/>
  <c r="T19" i="14"/>
  <c r="K73" i="11"/>
  <c r="L73" i="11" s="1"/>
  <c r="C79" i="11"/>
  <c r="Z79" i="11"/>
  <c r="AJ79" i="11"/>
  <c r="AT79" i="11"/>
  <c r="BF79" i="11"/>
  <c r="BP79" i="11"/>
  <c r="C82" i="11"/>
  <c r="Z82" i="11"/>
  <c r="AJ82" i="11"/>
  <c r="AT82" i="11"/>
  <c r="BF82" i="11"/>
  <c r="BP82" i="11"/>
  <c r="C85" i="11"/>
  <c r="P85" i="11"/>
  <c r="Z85" i="11"/>
  <c r="AJ85" i="11"/>
  <c r="AV85" i="11"/>
  <c r="BF85" i="11"/>
  <c r="BP85" i="11"/>
  <c r="W92" i="11"/>
  <c r="AI92" i="11"/>
  <c r="AS92" i="11"/>
  <c r="BC92" i="11"/>
  <c r="BO92" i="11"/>
  <c r="C95" i="11"/>
  <c r="Z95" i="11"/>
  <c r="AJ95" i="11"/>
  <c r="AT95" i="11"/>
  <c r="BF95" i="11"/>
  <c r="BP95" i="11"/>
  <c r="M103" i="11"/>
  <c r="AH15" i="14"/>
  <c r="BM22" i="14"/>
  <c r="BE22" i="14"/>
  <c r="AW22" i="14"/>
  <c r="AO22" i="14"/>
  <c r="AG22" i="14"/>
  <c r="Y22" i="14"/>
  <c r="Q22" i="14"/>
  <c r="I22" i="14"/>
  <c r="BL22" i="14"/>
  <c r="BC22" i="14"/>
  <c r="AT22" i="14"/>
  <c r="AK22" i="14"/>
  <c r="AB22" i="14"/>
  <c r="S22" i="14"/>
  <c r="J22" i="14"/>
  <c r="BK22" i="14"/>
  <c r="BA22" i="14"/>
  <c r="AQ22" i="14"/>
  <c r="AF22" i="14"/>
  <c r="V22" i="14"/>
  <c r="L22" i="14"/>
  <c r="BJ22" i="14"/>
  <c r="AZ22" i="14"/>
  <c r="AP22" i="14"/>
  <c r="AE22" i="14"/>
  <c r="U22" i="14"/>
  <c r="K22" i="14"/>
  <c r="BI22" i="14"/>
  <c r="AY22" i="14"/>
  <c r="AN22" i="14"/>
  <c r="AD22" i="14"/>
  <c r="T22" i="14"/>
  <c r="H22" i="14"/>
  <c r="BH22" i="14"/>
  <c r="AX22" i="14"/>
  <c r="AM22" i="14"/>
  <c r="AC22" i="14"/>
  <c r="R22" i="14"/>
  <c r="G22" i="14"/>
  <c r="BG22" i="14"/>
  <c r="AV22" i="14"/>
  <c r="AL22" i="14"/>
  <c r="AA22" i="14"/>
  <c r="P22" i="14"/>
  <c r="BF22" i="14"/>
  <c r="AU22" i="14"/>
  <c r="AJ22" i="14"/>
  <c r="Z22" i="14"/>
  <c r="O22" i="14"/>
  <c r="E22" i="14"/>
  <c r="F22" i="14" s="1"/>
  <c r="AR22" i="14"/>
  <c r="J81" i="11"/>
  <c r="J89" i="11"/>
  <c r="J97" i="11"/>
  <c r="N100" i="11"/>
  <c r="E100" i="11"/>
  <c r="K100" i="11"/>
  <c r="B100" i="11"/>
  <c r="O100" i="11" s="1"/>
  <c r="M100" i="11"/>
  <c r="AT100" i="11" s="1"/>
  <c r="J101" i="11"/>
  <c r="R7" i="14"/>
  <c r="AX7" i="14"/>
  <c r="AS22" i="14"/>
  <c r="B65" i="11"/>
  <c r="O65" i="11" s="1"/>
  <c r="B73" i="11"/>
  <c r="O73" i="11" s="1"/>
  <c r="B81" i="11"/>
  <c r="O81" i="11" s="1"/>
  <c r="B89" i="11"/>
  <c r="O89" i="11" s="1"/>
  <c r="B97" i="11"/>
  <c r="O97" i="11" s="1"/>
  <c r="C100" i="11"/>
  <c r="S7" i="14"/>
  <c r="AY7" i="14"/>
  <c r="BM11" i="14"/>
  <c r="BE11" i="14"/>
  <c r="AW11" i="14"/>
  <c r="AO11" i="14"/>
  <c r="AG11" i="14"/>
  <c r="Y11" i="14"/>
  <c r="Q11" i="14"/>
  <c r="I11" i="14"/>
  <c r="BL11" i="14"/>
  <c r="BD11" i="14"/>
  <c r="AV11" i="14"/>
  <c r="AN11" i="14"/>
  <c r="AF11" i="14"/>
  <c r="X11" i="14"/>
  <c r="P11" i="14"/>
  <c r="H11" i="14"/>
  <c r="BK11" i="14"/>
  <c r="BC11" i="14"/>
  <c r="AU11" i="14"/>
  <c r="AM11" i="14"/>
  <c r="AE11" i="14"/>
  <c r="W11" i="14"/>
  <c r="O11" i="14"/>
  <c r="G11" i="14"/>
  <c r="BJ11" i="14"/>
  <c r="BB11" i="14"/>
  <c r="AT11" i="14"/>
  <c r="AL11" i="14"/>
  <c r="AD11" i="14"/>
  <c r="V11" i="14"/>
  <c r="N11" i="14"/>
  <c r="BI11" i="14"/>
  <c r="BA11" i="14"/>
  <c r="AS11" i="14"/>
  <c r="AK11" i="14"/>
  <c r="AC11" i="14"/>
  <c r="U11" i="14"/>
  <c r="M11" i="14"/>
  <c r="E11" i="14"/>
  <c r="F11" i="14" s="1"/>
  <c r="BH11" i="14"/>
  <c r="AZ11" i="14"/>
  <c r="AR11" i="14"/>
  <c r="AJ11" i="14"/>
  <c r="AB11" i="14"/>
  <c r="T11" i="14"/>
  <c r="L11" i="14"/>
  <c r="AH11" i="14"/>
  <c r="BN11" i="14"/>
  <c r="M22" i="14"/>
  <c r="BB22" i="14"/>
  <c r="K101" i="11"/>
  <c r="B101" i="11"/>
  <c r="M101" i="11"/>
  <c r="Z7" i="14"/>
  <c r="N22" i="14"/>
  <c r="BD22" i="14"/>
  <c r="D101" i="11"/>
  <c r="N102" i="11"/>
  <c r="E102" i="11"/>
  <c r="K102" i="11"/>
  <c r="B102" i="11"/>
  <c r="M102" i="11"/>
  <c r="BM7" i="14"/>
  <c r="BE7" i="14"/>
  <c r="AW7" i="14"/>
  <c r="AO7" i="14"/>
  <c r="AG7" i="14"/>
  <c r="Y7" i="14"/>
  <c r="Q7" i="14"/>
  <c r="I7" i="14"/>
  <c r="BL7" i="14"/>
  <c r="BD7" i="14"/>
  <c r="AV7" i="14"/>
  <c r="AN7" i="14"/>
  <c r="AF7" i="14"/>
  <c r="X7" i="14"/>
  <c r="P7" i="14"/>
  <c r="H7" i="14"/>
  <c r="BK7" i="14"/>
  <c r="BC7" i="14"/>
  <c r="AU7" i="14"/>
  <c r="AM7" i="14"/>
  <c r="AE7" i="14"/>
  <c r="W7" i="14"/>
  <c r="O7" i="14"/>
  <c r="G7" i="14"/>
  <c r="BJ7" i="14"/>
  <c r="BB7" i="14"/>
  <c r="AT7" i="14"/>
  <c r="AL7" i="14"/>
  <c r="AD7" i="14"/>
  <c r="V7" i="14"/>
  <c r="N7" i="14"/>
  <c r="BI7" i="14"/>
  <c r="BA7" i="14"/>
  <c r="AS7" i="14"/>
  <c r="AK7" i="14"/>
  <c r="AC7" i="14"/>
  <c r="U7" i="14"/>
  <c r="M7" i="14"/>
  <c r="E7" i="14"/>
  <c r="F7" i="14" s="1"/>
  <c r="BH7" i="14"/>
  <c r="AZ7" i="14"/>
  <c r="AR7" i="14"/>
  <c r="AJ7" i="14"/>
  <c r="AB7" i="14"/>
  <c r="T7" i="14"/>
  <c r="L7" i="14"/>
  <c r="AH7" i="14"/>
  <c r="BN7" i="14"/>
  <c r="X22" i="14"/>
  <c r="H5" i="14"/>
  <c r="P5" i="14"/>
  <c r="X5" i="14"/>
  <c r="AF5" i="14"/>
  <c r="AN5" i="14"/>
  <c r="AV5" i="14"/>
  <c r="BD5" i="14"/>
  <c r="BL5" i="14"/>
  <c r="H9" i="14"/>
  <c r="P9" i="14"/>
  <c r="X9" i="14"/>
  <c r="AF9" i="14"/>
  <c r="AN9" i="14"/>
  <c r="AV9" i="14"/>
  <c r="BD9" i="14"/>
  <c r="BL9" i="14"/>
  <c r="H13" i="14"/>
  <c r="P13" i="14"/>
  <c r="X13" i="14"/>
  <c r="AF13" i="14"/>
  <c r="AN13" i="14"/>
  <c r="AV13" i="14"/>
  <c r="BD13" i="14"/>
  <c r="BL13" i="14"/>
  <c r="H17" i="14"/>
  <c r="P17" i="14"/>
  <c r="X17" i="14"/>
  <c r="AF17" i="14"/>
  <c r="AN17" i="14"/>
  <c r="AV17" i="14"/>
  <c r="BD17" i="14"/>
  <c r="BL17" i="14"/>
  <c r="BK27" i="14"/>
  <c r="BC27" i="14"/>
  <c r="AU27" i="14"/>
  <c r="AM27" i="14"/>
  <c r="AE27" i="14"/>
  <c r="W27" i="14"/>
  <c r="O27" i="14"/>
  <c r="G27" i="14"/>
  <c r="BJ27" i="14"/>
  <c r="BB27" i="14"/>
  <c r="AT27" i="14"/>
  <c r="AL27" i="14"/>
  <c r="AD27" i="14"/>
  <c r="V27" i="14"/>
  <c r="N27" i="14"/>
  <c r="BH27" i="14"/>
  <c r="AX27" i="14"/>
  <c r="AN27" i="14"/>
  <c r="AB27" i="14"/>
  <c r="R27" i="14"/>
  <c r="H27" i="14"/>
  <c r="BG27" i="14"/>
  <c r="AW27" i="14"/>
  <c r="AK27" i="14"/>
  <c r="AA27" i="14"/>
  <c r="Q27" i="14"/>
  <c r="E27" i="14"/>
  <c r="F27" i="14" s="1"/>
  <c r="BN27" i="14"/>
  <c r="BD27" i="14"/>
  <c r="AR27" i="14"/>
  <c r="AH27" i="14"/>
  <c r="X27" i="14"/>
  <c r="L27" i="14"/>
  <c r="BM27" i="14"/>
  <c r="BA27" i="14"/>
  <c r="AQ27" i="14"/>
  <c r="AG27" i="14"/>
  <c r="U27" i="14"/>
  <c r="K27" i="14"/>
  <c r="Y27" i="14"/>
  <c r="AS27" i="14"/>
  <c r="K4" i="14"/>
  <c r="S4" i="14"/>
  <c r="AA4" i="14"/>
  <c r="AI4" i="14"/>
  <c r="AQ4" i="14"/>
  <c r="AY4" i="14"/>
  <c r="BG4" i="14"/>
  <c r="I5" i="14"/>
  <c r="Q5" i="14"/>
  <c r="Y5" i="14"/>
  <c r="AG5" i="14"/>
  <c r="AO5" i="14"/>
  <c r="AW5" i="14"/>
  <c r="BE5" i="14"/>
  <c r="BM5" i="14"/>
  <c r="K8" i="14"/>
  <c r="S8" i="14"/>
  <c r="AA8" i="14"/>
  <c r="AI8" i="14"/>
  <c r="AQ8" i="14"/>
  <c r="AY8" i="14"/>
  <c r="BG8" i="14"/>
  <c r="I9" i="14"/>
  <c r="Q9" i="14"/>
  <c r="Y9" i="14"/>
  <c r="AG9" i="14"/>
  <c r="AO9" i="14"/>
  <c r="AW9" i="14"/>
  <c r="BE9" i="14"/>
  <c r="BM9" i="14"/>
  <c r="K12" i="14"/>
  <c r="S12" i="14"/>
  <c r="AA12" i="14"/>
  <c r="AI12" i="14"/>
  <c r="AQ12" i="14"/>
  <c r="AY12" i="14"/>
  <c r="BG12" i="14"/>
  <c r="I13" i="14"/>
  <c r="Q13" i="14"/>
  <c r="Y13" i="14"/>
  <c r="AG13" i="14"/>
  <c r="AO13" i="14"/>
  <c r="AW13" i="14"/>
  <c r="BE13" i="14"/>
  <c r="BM13" i="14"/>
  <c r="K16" i="14"/>
  <c r="S16" i="14"/>
  <c r="AA16" i="14"/>
  <c r="AI16" i="14"/>
  <c r="AQ16" i="14"/>
  <c r="AY16" i="14"/>
  <c r="BG16" i="14"/>
  <c r="I17" i="14"/>
  <c r="Q17" i="14"/>
  <c r="Y17" i="14"/>
  <c r="AG17" i="14"/>
  <c r="AO17" i="14"/>
  <c r="AW17" i="14"/>
  <c r="BE17" i="14"/>
  <c r="BM17" i="14"/>
  <c r="BJ20" i="14"/>
  <c r="BB20" i="14"/>
  <c r="AT20" i="14"/>
  <c r="AL20" i="14"/>
  <c r="AD20" i="14"/>
  <c r="V20" i="14"/>
  <c r="N20" i="14"/>
  <c r="L20" i="14"/>
  <c r="U20" i="14"/>
  <c r="AE20" i="14"/>
  <c r="AN20" i="14"/>
  <c r="AW20" i="14"/>
  <c r="BF20" i="14"/>
  <c r="BK23" i="14"/>
  <c r="BC23" i="14"/>
  <c r="AU23" i="14"/>
  <c r="AM23" i="14"/>
  <c r="AE23" i="14"/>
  <c r="W23" i="14"/>
  <c r="O23" i="14"/>
  <c r="G23" i="14"/>
  <c r="BJ23" i="14"/>
  <c r="BA23" i="14"/>
  <c r="AR23" i="14"/>
  <c r="AI23" i="14"/>
  <c r="Z23" i="14"/>
  <c r="Q23" i="14"/>
  <c r="H23" i="14"/>
  <c r="BN23" i="14"/>
  <c r="M23" i="14"/>
  <c r="X23" i="14"/>
  <c r="AH23" i="14"/>
  <c r="AS23" i="14"/>
  <c r="BD23" i="14"/>
  <c r="L24" i="14"/>
  <c r="Y24" i="14"/>
  <c r="AL24" i="14"/>
  <c r="AW24" i="14"/>
  <c r="BJ24" i="14"/>
  <c r="Z27" i="14"/>
  <c r="AV27" i="14"/>
  <c r="L4" i="14"/>
  <c r="T4" i="14"/>
  <c r="AB4" i="14"/>
  <c r="AJ4" i="14"/>
  <c r="AR4" i="14"/>
  <c r="AZ4" i="14"/>
  <c r="BH4" i="14"/>
  <c r="J5" i="14"/>
  <c r="R5" i="14"/>
  <c r="Z5" i="14"/>
  <c r="AH5" i="14"/>
  <c r="AP5" i="14"/>
  <c r="AX5" i="14"/>
  <c r="BF5" i="14"/>
  <c r="BN5" i="14"/>
  <c r="H6" i="14"/>
  <c r="P6" i="14"/>
  <c r="X6" i="14"/>
  <c r="AF6" i="14"/>
  <c r="AN6" i="14"/>
  <c r="AV6" i="14"/>
  <c r="BD6" i="14"/>
  <c r="BL6" i="14"/>
  <c r="L8" i="14"/>
  <c r="T8" i="14"/>
  <c r="AB8" i="14"/>
  <c r="AJ8" i="14"/>
  <c r="AR8" i="14"/>
  <c r="AZ8" i="14"/>
  <c r="BH8" i="14"/>
  <c r="J9" i="14"/>
  <c r="R9" i="14"/>
  <c r="Z9" i="14"/>
  <c r="AH9" i="14"/>
  <c r="AP9" i="14"/>
  <c r="AX9" i="14"/>
  <c r="BF9" i="14"/>
  <c r="BN9" i="14"/>
  <c r="H10" i="14"/>
  <c r="P10" i="14"/>
  <c r="X10" i="14"/>
  <c r="AF10" i="14"/>
  <c r="AN10" i="14"/>
  <c r="AV10" i="14"/>
  <c r="BD10" i="14"/>
  <c r="BL10" i="14"/>
  <c r="L12" i="14"/>
  <c r="T12" i="14"/>
  <c r="AB12" i="14"/>
  <c r="AJ12" i="14"/>
  <c r="AR12" i="14"/>
  <c r="AZ12" i="14"/>
  <c r="BH12" i="14"/>
  <c r="J13" i="14"/>
  <c r="R13" i="14"/>
  <c r="Z13" i="14"/>
  <c r="AH13" i="14"/>
  <c r="AP13" i="14"/>
  <c r="AX13" i="14"/>
  <c r="BF13" i="14"/>
  <c r="BN13" i="14"/>
  <c r="H14" i="14"/>
  <c r="P14" i="14"/>
  <c r="X14" i="14"/>
  <c r="AF14" i="14"/>
  <c r="AN14" i="14"/>
  <c r="AV14" i="14"/>
  <c r="BD14" i="14"/>
  <c r="BL14" i="14"/>
  <c r="L16" i="14"/>
  <c r="T16" i="14"/>
  <c r="AB16" i="14"/>
  <c r="AJ16" i="14"/>
  <c r="AR16" i="14"/>
  <c r="AZ16" i="14"/>
  <c r="BH16" i="14"/>
  <c r="J17" i="14"/>
  <c r="R17" i="14"/>
  <c r="Z17" i="14"/>
  <c r="AH17" i="14"/>
  <c r="AP17" i="14"/>
  <c r="AX17" i="14"/>
  <c r="BF17" i="14"/>
  <c r="BN17" i="14"/>
  <c r="H18" i="14"/>
  <c r="P18" i="14"/>
  <c r="X18" i="14"/>
  <c r="AF18" i="14"/>
  <c r="AN18" i="14"/>
  <c r="AV18" i="14"/>
  <c r="BD18" i="14"/>
  <c r="BL18" i="14"/>
  <c r="M20" i="14"/>
  <c r="W20" i="14"/>
  <c r="AF20" i="14"/>
  <c r="AO20" i="14"/>
  <c r="AX20" i="14"/>
  <c r="BG20" i="14"/>
  <c r="N23" i="14"/>
  <c r="Y23" i="14"/>
  <c r="AJ23" i="14"/>
  <c r="AT23" i="14"/>
  <c r="BE23" i="14"/>
  <c r="N24" i="14"/>
  <c r="Z24" i="14"/>
  <c r="AM24" i="14"/>
  <c r="AX24" i="14"/>
  <c r="I27" i="14"/>
  <c r="AC27" i="14"/>
  <c r="AY27" i="14"/>
  <c r="K5" i="14"/>
  <c r="S5" i="14"/>
  <c r="AA5" i="14"/>
  <c r="AI5" i="14"/>
  <c r="AQ5" i="14"/>
  <c r="AY5" i="14"/>
  <c r="BG5" i="14"/>
  <c r="K9" i="14"/>
  <c r="S9" i="14"/>
  <c r="AA9" i="14"/>
  <c r="AI9" i="14"/>
  <c r="AQ9" i="14"/>
  <c r="AY9" i="14"/>
  <c r="BG9" i="14"/>
  <c r="K13" i="14"/>
  <c r="S13" i="14"/>
  <c r="AA13" i="14"/>
  <c r="AI13" i="14"/>
  <c r="AQ13" i="14"/>
  <c r="AY13" i="14"/>
  <c r="BG13" i="14"/>
  <c r="K17" i="14"/>
  <c r="S17" i="14"/>
  <c r="AA17" i="14"/>
  <c r="AI17" i="14"/>
  <c r="AQ17" i="14"/>
  <c r="AY17" i="14"/>
  <c r="BG17" i="14"/>
  <c r="BI24" i="14"/>
  <c r="BA24" i="14"/>
  <c r="AS24" i="14"/>
  <c r="AK24" i="14"/>
  <c r="AC24" i="14"/>
  <c r="U24" i="14"/>
  <c r="M24" i="14"/>
  <c r="E24" i="14"/>
  <c r="F24" i="14" s="1"/>
  <c r="BH24" i="14"/>
  <c r="AY24" i="14"/>
  <c r="AP24" i="14"/>
  <c r="AG24" i="14"/>
  <c r="X24" i="14"/>
  <c r="O24" i="14"/>
  <c r="BL24" i="14"/>
  <c r="BC24" i="14"/>
  <c r="AT24" i="14"/>
  <c r="AJ24" i="14"/>
  <c r="AA24" i="14"/>
  <c r="R24" i="14"/>
  <c r="I24" i="14"/>
  <c r="P24" i="14"/>
  <c r="AB24" i="14"/>
  <c r="AN24" i="14"/>
  <c r="AZ24" i="14"/>
  <c r="BM24" i="14"/>
  <c r="J27" i="14"/>
  <c r="AF27" i="14"/>
  <c r="AZ27" i="14"/>
  <c r="N4" i="14"/>
  <c r="V4" i="14"/>
  <c r="AD4" i="14"/>
  <c r="AL4" i="14"/>
  <c r="AT4" i="14"/>
  <c r="BB4" i="14"/>
  <c r="BJ4" i="14"/>
  <c r="L5" i="14"/>
  <c r="T5" i="14"/>
  <c r="AB5" i="14"/>
  <c r="AJ5" i="14"/>
  <c r="AR5" i="14"/>
  <c r="AZ5" i="14"/>
  <c r="BH5" i="14"/>
  <c r="N8" i="14"/>
  <c r="V8" i="14"/>
  <c r="AD8" i="14"/>
  <c r="AL8" i="14"/>
  <c r="AT8" i="14"/>
  <c r="BB8" i="14"/>
  <c r="BJ8" i="14"/>
  <c r="L9" i="14"/>
  <c r="T9" i="14"/>
  <c r="AB9" i="14"/>
  <c r="AJ9" i="14"/>
  <c r="AR9" i="14"/>
  <c r="AZ9" i="14"/>
  <c r="BH9" i="14"/>
  <c r="N12" i="14"/>
  <c r="V12" i="14"/>
  <c r="AD12" i="14"/>
  <c r="AL12" i="14"/>
  <c r="AT12" i="14"/>
  <c r="BB12" i="14"/>
  <c r="BJ12" i="14"/>
  <c r="L13" i="14"/>
  <c r="T13" i="14"/>
  <c r="AB13" i="14"/>
  <c r="AJ13" i="14"/>
  <c r="AR13" i="14"/>
  <c r="AZ13" i="14"/>
  <c r="BH13" i="14"/>
  <c r="N16" i="14"/>
  <c r="V16" i="14"/>
  <c r="AD16" i="14"/>
  <c r="AL16" i="14"/>
  <c r="AT16" i="14"/>
  <c r="BB16" i="14"/>
  <c r="BJ16" i="14"/>
  <c r="L17" i="14"/>
  <c r="T17" i="14"/>
  <c r="AB17" i="14"/>
  <c r="AJ17" i="14"/>
  <c r="AR17" i="14"/>
  <c r="AZ17" i="14"/>
  <c r="BH17" i="14"/>
  <c r="G20" i="14"/>
  <c r="P20" i="14"/>
  <c r="Y20" i="14"/>
  <c r="AH20" i="14"/>
  <c r="AQ20" i="14"/>
  <c r="AZ20" i="14"/>
  <c r="BI20" i="14"/>
  <c r="R23" i="14"/>
  <c r="AB23" i="14"/>
  <c r="AL23" i="14"/>
  <c r="AW23" i="14"/>
  <c r="BG23" i="14"/>
  <c r="Q24" i="14"/>
  <c r="AD24" i="14"/>
  <c r="AO24" i="14"/>
  <c r="BB24" i="14"/>
  <c r="BN24" i="14"/>
  <c r="M27" i="14"/>
  <c r="AI27" i="14"/>
  <c r="BE27" i="14"/>
  <c r="BK31" i="14"/>
  <c r="BC31" i="14"/>
  <c r="AU31" i="14"/>
  <c r="AM31" i="14"/>
  <c r="AE31" i="14"/>
  <c r="W31" i="14"/>
  <c r="O31" i="14"/>
  <c r="G31" i="14"/>
  <c r="BJ31" i="14"/>
  <c r="BB31" i="14"/>
  <c r="AT31" i="14"/>
  <c r="AL31" i="14"/>
  <c r="AD31" i="14"/>
  <c r="V31" i="14"/>
  <c r="N31" i="14"/>
  <c r="BH31" i="14"/>
  <c r="AZ31" i="14"/>
  <c r="AR31" i="14"/>
  <c r="AJ31" i="14"/>
  <c r="AB31" i="14"/>
  <c r="T31" i="14"/>
  <c r="L31" i="14"/>
  <c r="BL31" i="14"/>
  <c r="AX31" i="14"/>
  <c r="AK31" i="14"/>
  <c r="Y31" i="14"/>
  <c r="K31" i="14"/>
  <c r="BI31" i="14"/>
  <c r="AW31" i="14"/>
  <c r="AI31" i="14"/>
  <c r="X31" i="14"/>
  <c r="J31" i="14"/>
  <c r="BG31" i="14"/>
  <c r="AV31" i="14"/>
  <c r="AH31" i="14"/>
  <c r="U31" i="14"/>
  <c r="I31" i="14"/>
  <c r="BF31" i="14"/>
  <c r="AS31" i="14"/>
  <c r="AG31" i="14"/>
  <c r="S31" i="14"/>
  <c r="H31" i="14"/>
  <c r="BE31" i="14"/>
  <c r="AQ31" i="14"/>
  <c r="AF31" i="14"/>
  <c r="R31" i="14"/>
  <c r="E31" i="14"/>
  <c r="F31" i="14" s="1"/>
  <c r="BD31" i="14"/>
  <c r="AP31" i="14"/>
  <c r="AC31" i="14"/>
  <c r="Q31" i="14"/>
  <c r="AY31" i="14"/>
  <c r="G4" i="14"/>
  <c r="O4" i="14"/>
  <c r="W4" i="14"/>
  <c r="AE4" i="14"/>
  <c r="AM4" i="14"/>
  <c r="AU4" i="14"/>
  <c r="BC4" i="14"/>
  <c r="E5" i="14"/>
  <c r="F5" i="14" s="1"/>
  <c r="M5" i="14"/>
  <c r="U5" i="14"/>
  <c r="AC5" i="14"/>
  <c r="AK5" i="14"/>
  <c r="AS5" i="14"/>
  <c r="BA5" i="14"/>
  <c r="K6" i="14"/>
  <c r="S6" i="14"/>
  <c r="AA6" i="14"/>
  <c r="AI6" i="14"/>
  <c r="AQ6" i="14"/>
  <c r="AY6" i="14"/>
  <c r="G8" i="14"/>
  <c r="O8" i="14"/>
  <c r="W8" i="14"/>
  <c r="AE8" i="14"/>
  <c r="AM8" i="14"/>
  <c r="AU8" i="14"/>
  <c r="BC8" i="14"/>
  <c r="E9" i="14"/>
  <c r="F9" i="14" s="1"/>
  <c r="M9" i="14"/>
  <c r="U9" i="14"/>
  <c r="AC9" i="14"/>
  <c r="AK9" i="14"/>
  <c r="AS9" i="14"/>
  <c r="BA9" i="14"/>
  <c r="K10" i="14"/>
  <c r="S10" i="14"/>
  <c r="AA10" i="14"/>
  <c r="AI10" i="14"/>
  <c r="AQ10" i="14"/>
  <c r="AY10" i="14"/>
  <c r="G12" i="14"/>
  <c r="O12" i="14"/>
  <c r="W12" i="14"/>
  <c r="AE12" i="14"/>
  <c r="AM12" i="14"/>
  <c r="AU12" i="14"/>
  <c r="BC12" i="14"/>
  <c r="E13" i="14"/>
  <c r="F13" i="14" s="1"/>
  <c r="M13" i="14"/>
  <c r="U13" i="14"/>
  <c r="AC13" i="14"/>
  <c r="AK13" i="14"/>
  <c r="AS13" i="14"/>
  <c r="BA13" i="14"/>
  <c r="K14" i="14"/>
  <c r="S14" i="14"/>
  <c r="AA14" i="14"/>
  <c r="AI14" i="14"/>
  <c r="AQ14" i="14"/>
  <c r="AY14" i="14"/>
  <c r="G16" i="14"/>
  <c r="O16" i="14"/>
  <c r="W16" i="14"/>
  <c r="AE16" i="14"/>
  <c r="AM16" i="14"/>
  <c r="AU16" i="14"/>
  <c r="BC16" i="14"/>
  <c r="E17" i="14"/>
  <c r="F17" i="14" s="1"/>
  <c r="M17" i="14"/>
  <c r="U17" i="14"/>
  <c r="AC17" i="14"/>
  <c r="AK17" i="14"/>
  <c r="AS17" i="14"/>
  <c r="BA17" i="14"/>
  <c r="K18" i="14"/>
  <c r="S18" i="14"/>
  <c r="AA18" i="14"/>
  <c r="AI18" i="14"/>
  <c r="AQ18" i="14"/>
  <c r="AY18" i="14"/>
  <c r="H20" i="14"/>
  <c r="Q20" i="14"/>
  <c r="Z20" i="14"/>
  <c r="AI20" i="14"/>
  <c r="AR20" i="14"/>
  <c r="BA20" i="14"/>
  <c r="BK20" i="14"/>
  <c r="I23" i="14"/>
  <c r="S23" i="14"/>
  <c r="AC23" i="14"/>
  <c r="AN23" i="14"/>
  <c r="AX23" i="14"/>
  <c r="BH23" i="14"/>
  <c r="G24" i="14"/>
  <c r="S24" i="14"/>
  <c r="AE24" i="14"/>
  <c r="AQ24" i="14"/>
  <c r="BD24" i="14"/>
  <c r="P27" i="14"/>
  <c r="AJ27" i="14"/>
  <c r="BF27" i="14"/>
  <c r="BA31" i="14"/>
  <c r="BM44" i="14"/>
  <c r="BE44" i="14"/>
  <c r="AW44" i="14"/>
  <c r="AO44" i="14"/>
  <c r="AG44" i="14"/>
  <c r="Y44" i="14"/>
  <c r="Q44" i="14"/>
  <c r="I44" i="14"/>
  <c r="BJ44" i="14"/>
  <c r="BB44" i="14"/>
  <c r="AT44" i="14"/>
  <c r="AL44" i="14"/>
  <c r="AD44" i="14"/>
  <c r="V44" i="14"/>
  <c r="N44" i="14"/>
  <c r="BI44" i="14"/>
  <c r="AY44" i="14"/>
  <c r="AN44" i="14"/>
  <c r="AC44" i="14"/>
  <c r="S44" i="14"/>
  <c r="H44" i="14"/>
  <c r="BH44" i="14"/>
  <c r="AX44" i="14"/>
  <c r="AM44" i="14"/>
  <c r="AB44" i="14"/>
  <c r="R44" i="14"/>
  <c r="G44" i="14"/>
  <c r="BG44" i="14"/>
  <c r="AV44" i="14"/>
  <c r="AK44" i="14"/>
  <c r="AA44" i="14"/>
  <c r="P44" i="14"/>
  <c r="E44" i="14"/>
  <c r="F44" i="14" s="1"/>
  <c r="BF44" i="14"/>
  <c r="AU44" i="14"/>
  <c r="AJ44" i="14"/>
  <c r="Z44" i="14"/>
  <c r="O44" i="14"/>
  <c r="BN44" i="14"/>
  <c r="BC44" i="14"/>
  <c r="AR44" i="14"/>
  <c r="AH44" i="14"/>
  <c r="W44" i="14"/>
  <c r="L44" i="14"/>
  <c r="AZ44" i="14"/>
  <c r="U44" i="14"/>
  <c r="AS44" i="14"/>
  <c r="T44" i="14"/>
  <c r="AQ44" i="14"/>
  <c r="M44" i="14"/>
  <c r="AP44" i="14"/>
  <c r="K44" i="14"/>
  <c r="BL44" i="14"/>
  <c r="AI44" i="14"/>
  <c r="J44" i="14"/>
  <c r="BK44" i="14"/>
  <c r="AF44" i="14"/>
  <c r="BM26" i="14"/>
  <c r="BE26" i="14"/>
  <c r="AW26" i="14"/>
  <c r="AO26" i="14"/>
  <c r="AG26" i="14"/>
  <c r="Y26" i="14"/>
  <c r="Q26" i="14"/>
  <c r="I26" i="14"/>
  <c r="BL26" i="14"/>
  <c r="BD26" i="14"/>
  <c r="AV26" i="14"/>
  <c r="AN26" i="14"/>
  <c r="AF26" i="14"/>
  <c r="X26" i="14"/>
  <c r="P26" i="14"/>
  <c r="H26" i="14"/>
  <c r="M26" i="14"/>
  <c r="W26" i="14"/>
  <c r="AI26" i="14"/>
  <c r="AS26" i="14"/>
  <c r="BC26" i="14"/>
  <c r="H28" i="14"/>
  <c r="R28" i="14"/>
  <c r="AD28" i="14"/>
  <c r="AO28" i="14"/>
  <c r="BC28" i="14"/>
  <c r="K32" i="14"/>
  <c r="X32" i="14"/>
  <c r="AL32" i="14"/>
  <c r="AW32" i="14"/>
  <c r="BK32" i="14"/>
  <c r="M37" i="14"/>
  <c r="AH37" i="14"/>
  <c r="BD37" i="14"/>
  <c r="P40" i="14"/>
  <c r="AK40" i="14"/>
  <c r="BG40" i="14"/>
  <c r="Q42" i="14"/>
  <c r="AM42" i="14"/>
  <c r="I28" i="14"/>
  <c r="S28" i="14"/>
  <c r="AE28" i="14"/>
  <c r="AQ28" i="14"/>
  <c r="N32" i="14"/>
  <c r="Y32" i="14"/>
  <c r="AM32" i="14"/>
  <c r="AY32" i="14"/>
  <c r="P37" i="14"/>
  <c r="AK37" i="14"/>
  <c r="BF37" i="14"/>
  <c r="BI42" i="14"/>
  <c r="BA42" i="14"/>
  <c r="AS42" i="14"/>
  <c r="AK42" i="14"/>
  <c r="AC42" i="14"/>
  <c r="U42" i="14"/>
  <c r="M42" i="14"/>
  <c r="E42" i="14"/>
  <c r="F42" i="14" s="1"/>
  <c r="BN42" i="14"/>
  <c r="BF42" i="14"/>
  <c r="AX42" i="14"/>
  <c r="AP42" i="14"/>
  <c r="AH42" i="14"/>
  <c r="Z42" i="14"/>
  <c r="R42" i="14"/>
  <c r="J42" i="14"/>
  <c r="BE42" i="14"/>
  <c r="AU42" i="14"/>
  <c r="AJ42" i="14"/>
  <c r="Y42" i="14"/>
  <c r="O42" i="14"/>
  <c r="BM42" i="14"/>
  <c r="BC42" i="14"/>
  <c r="AR42" i="14"/>
  <c r="AG42" i="14"/>
  <c r="W42" i="14"/>
  <c r="L42" i="14"/>
  <c r="BL42" i="14"/>
  <c r="BB42" i="14"/>
  <c r="AQ42" i="14"/>
  <c r="AF42" i="14"/>
  <c r="V42" i="14"/>
  <c r="K42" i="14"/>
  <c r="BJ42" i="14"/>
  <c r="AY42" i="14"/>
  <c r="AN42" i="14"/>
  <c r="AD42" i="14"/>
  <c r="S42" i="14"/>
  <c r="H42" i="14"/>
  <c r="T42" i="14"/>
  <c r="AO42" i="14"/>
  <c r="BK42" i="14"/>
  <c r="BI32" i="14"/>
  <c r="BA32" i="14"/>
  <c r="AS32" i="14"/>
  <c r="AK32" i="14"/>
  <c r="AC32" i="14"/>
  <c r="U32" i="14"/>
  <c r="M32" i="14"/>
  <c r="E32" i="14"/>
  <c r="F32" i="14" s="1"/>
  <c r="BH32" i="14"/>
  <c r="AZ32" i="14"/>
  <c r="AR32" i="14"/>
  <c r="AJ32" i="14"/>
  <c r="AB32" i="14"/>
  <c r="T32" i="14"/>
  <c r="L32" i="14"/>
  <c r="BN32" i="14"/>
  <c r="BF32" i="14"/>
  <c r="AX32" i="14"/>
  <c r="AP32" i="14"/>
  <c r="AH32" i="14"/>
  <c r="Z32" i="14"/>
  <c r="R32" i="14"/>
  <c r="J32" i="14"/>
  <c r="O32" i="14"/>
  <c r="AA32" i="14"/>
  <c r="AN32" i="14"/>
  <c r="BB32" i="14"/>
  <c r="BM32" i="14"/>
  <c r="S37" i="14"/>
  <c r="AO37" i="14"/>
  <c r="BM40" i="14"/>
  <c r="BE40" i="14"/>
  <c r="AW40" i="14"/>
  <c r="AO40" i="14"/>
  <c r="AG40" i="14"/>
  <c r="Y40" i="14"/>
  <c r="Q40" i="14"/>
  <c r="I40" i="14"/>
  <c r="BJ40" i="14"/>
  <c r="BB40" i="14"/>
  <c r="AT40" i="14"/>
  <c r="AL40" i="14"/>
  <c r="AD40" i="14"/>
  <c r="V40" i="14"/>
  <c r="N40" i="14"/>
  <c r="BL40" i="14"/>
  <c r="BA40" i="14"/>
  <c r="AQ40" i="14"/>
  <c r="AF40" i="14"/>
  <c r="U40" i="14"/>
  <c r="K40" i="14"/>
  <c r="BI40" i="14"/>
  <c r="AY40" i="14"/>
  <c r="AN40" i="14"/>
  <c r="AC40" i="14"/>
  <c r="S40" i="14"/>
  <c r="H40" i="14"/>
  <c r="BH40" i="14"/>
  <c r="AX40" i="14"/>
  <c r="AM40" i="14"/>
  <c r="AB40" i="14"/>
  <c r="R40" i="14"/>
  <c r="G40" i="14"/>
  <c r="BF40" i="14"/>
  <c r="AU40" i="14"/>
  <c r="AJ40" i="14"/>
  <c r="Z40" i="14"/>
  <c r="O40" i="14"/>
  <c r="W40" i="14"/>
  <c r="AR40" i="14"/>
  <c r="BN40" i="14"/>
  <c r="X42" i="14"/>
  <c r="AT42" i="14"/>
  <c r="P32" i="14"/>
  <c r="AD32" i="14"/>
  <c r="AO32" i="14"/>
  <c r="BC32" i="14"/>
  <c r="BK37" i="14"/>
  <c r="BC37" i="14"/>
  <c r="AU37" i="14"/>
  <c r="AM37" i="14"/>
  <c r="AE37" i="14"/>
  <c r="W37" i="14"/>
  <c r="O37" i="14"/>
  <c r="G37" i="14"/>
  <c r="BH37" i="14"/>
  <c r="AZ37" i="14"/>
  <c r="AR37" i="14"/>
  <c r="AJ37" i="14"/>
  <c r="AB37" i="14"/>
  <c r="T37" i="14"/>
  <c r="L37" i="14"/>
  <c r="BL37" i="14"/>
  <c r="BA37" i="14"/>
  <c r="AP37" i="14"/>
  <c r="AF37" i="14"/>
  <c r="U37" i="14"/>
  <c r="J37" i="14"/>
  <c r="BI37" i="14"/>
  <c r="AX37" i="14"/>
  <c r="AN37" i="14"/>
  <c r="AC37" i="14"/>
  <c r="R37" i="14"/>
  <c r="H37" i="14"/>
  <c r="BG37" i="14"/>
  <c r="AW37" i="14"/>
  <c r="AL37" i="14"/>
  <c r="AA37" i="14"/>
  <c r="Q37" i="14"/>
  <c r="BE37" i="14"/>
  <c r="AT37" i="14"/>
  <c r="AI37" i="14"/>
  <c r="Y37" i="14"/>
  <c r="N37" i="14"/>
  <c r="V37" i="14"/>
  <c r="AQ37" i="14"/>
  <c r="BM37" i="14"/>
  <c r="BI28" i="14"/>
  <c r="BA28" i="14"/>
  <c r="AS28" i="14"/>
  <c r="AK28" i="14"/>
  <c r="AC28" i="14"/>
  <c r="U28" i="14"/>
  <c r="M28" i="14"/>
  <c r="E28" i="14"/>
  <c r="F28" i="14" s="1"/>
  <c r="BH28" i="14"/>
  <c r="AZ28" i="14"/>
  <c r="AR28" i="14"/>
  <c r="AJ28" i="14"/>
  <c r="AB28" i="14"/>
  <c r="T28" i="14"/>
  <c r="L28" i="14"/>
  <c r="BN28" i="14"/>
  <c r="BF28" i="14"/>
  <c r="AX28" i="14"/>
  <c r="AP28" i="14"/>
  <c r="AH28" i="14"/>
  <c r="N28" i="14"/>
  <c r="X28" i="14"/>
  <c r="AI28" i="14"/>
  <c r="AV28" i="14"/>
  <c r="BJ28" i="14"/>
  <c r="Q32" i="14"/>
  <c r="AE32" i="14"/>
  <c r="AQ32" i="14"/>
  <c r="BD32" i="14"/>
  <c r="X37" i="14"/>
  <c r="AS37" i="14"/>
  <c r="BN37" i="14"/>
  <c r="E40" i="14"/>
  <c r="F40" i="14" s="1"/>
  <c r="AA40" i="14"/>
  <c r="AV40" i="14"/>
  <c r="G42" i="14"/>
  <c r="AB42" i="14"/>
  <c r="AW42" i="14"/>
  <c r="J26" i="14"/>
  <c r="T26" i="14"/>
  <c r="AD26" i="14"/>
  <c r="AP26" i="14"/>
  <c r="AZ26" i="14"/>
  <c r="BJ26" i="14"/>
  <c r="O28" i="14"/>
  <c r="Y28" i="14"/>
  <c r="AL28" i="14"/>
  <c r="AW28" i="14"/>
  <c r="BK28" i="14"/>
  <c r="BM30" i="14"/>
  <c r="BE30" i="14"/>
  <c r="AW30" i="14"/>
  <c r="AO30" i="14"/>
  <c r="AG30" i="14"/>
  <c r="Y30" i="14"/>
  <c r="Q30" i="14"/>
  <c r="I30" i="14"/>
  <c r="BL30" i="14"/>
  <c r="BD30" i="14"/>
  <c r="AV30" i="14"/>
  <c r="AN30" i="14"/>
  <c r="AF30" i="14"/>
  <c r="X30" i="14"/>
  <c r="P30" i="14"/>
  <c r="H30" i="14"/>
  <c r="BJ30" i="14"/>
  <c r="BB30" i="14"/>
  <c r="AT30" i="14"/>
  <c r="AL30" i="14"/>
  <c r="AD30" i="14"/>
  <c r="V30" i="14"/>
  <c r="N30" i="14"/>
  <c r="O30" i="14"/>
  <c r="AB30" i="14"/>
  <c r="AP30" i="14"/>
  <c r="BA30" i="14"/>
  <c r="G32" i="14"/>
  <c r="S32" i="14"/>
  <c r="AF32" i="14"/>
  <c r="AT32" i="14"/>
  <c r="BE32" i="14"/>
  <c r="E37" i="14"/>
  <c r="F37" i="14" s="1"/>
  <c r="Z37" i="14"/>
  <c r="AV37" i="14"/>
  <c r="J40" i="14"/>
  <c r="AE40" i="14"/>
  <c r="AZ40" i="14"/>
  <c r="BK41" i="14"/>
  <c r="BC41" i="14"/>
  <c r="AU41" i="14"/>
  <c r="AM41" i="14"/>
  <c r="AE41" i="14"/>
  <c r="W41" i="14"/>
  <c r="O41" i="14"/>
  <c r="G41" i="14"/>
  <c r="BH41" i="14"/>
  <c r="AZ41" i="14"/>
  <c r="AR41" i="14"/>
  <c r="AJ41" i="14"/>
  <c r="AB41" i="14"/>
  <c r="T41" i="14"/>
  <c r="L41" i="14"/>
  <c r="BI41" i="14"/>
  <c r="AX41" i="14"/>
  <c r="AN41" i="14"/>
  <c r="AC41" i="14"/>
  <c r="R41" i="14"/>
  <c r="H41" i="14"/>
  <c r="BF41" i="14"/>
  <c r="AV41" i="14"/>
  <c r="AK41" i="14"/>
  <c r="Z41" i="14"/>
  <c r="P41" i="14"/>
  <c r="E41" i="14"/>
  <c r="F41" i="14" s="1"/>
  <c r="BE41" i="14"/>
  <c r="AT41" i="14"/>
  <c r="AI41" i="14"/>
  <c r="Y41" i="14"/>
  <c r="N41" i="14"/>
  <c r="BM41" i="14"/>
  <c r="BB41" i="14"/>
  <c r="AQ41" i="14"/>
  <c r="AG41" i="14"/>
  <c r="V41" i="14"/>
  <c r="K41" i="14"/>
  <c r="U41" i="14"/>
  <c r="AP41" i="14"/>
  <c r="BL41" i="14"/>
  <c r="I42" i="14"/>
  <c r="AE42" i="14"/>
  <c r="AZ42" i="14"/>
  <c r="BI34" i="14"/>
  <c r="BA34" i="14"/>
  <c r="AS34" i="14"/>
  <c r="AK34" i="14"/>
  <c r="AC34" i="14"/>
  <c r="U34" i="14"/>
  <c r="M34" i="14"/>
  <c r="E34" i="14"/>
  <c r="F34" i="14" s="1"/>
  <c r="BN34" i="14"/>
  <c r="BF34" i="14"/>
  <c r="AX34" i="14"/>
  <c r="AP34" i="14"/>
  <c r="AH34" i="14"/>
  <c r="Z34" i="14"/>
  <c r="R34" i="14"/>
  <c r="J34" i="14"/>
  <c r="N34" i="14"/>
  <c r="X34" i="14"/>
  <c r="AI34" i="14"/>
  <c r="AT34" i="14"/>
  <c r="BD34" i="14"/>
  <c r="G36" i="14"/>
  <c r="R36" i="14"/>
  <c r="AB36" i="14"/>
  <c r="AM36" i="14"/>
  <c r="AX36" i="14"/>
  <c r="BH36" i="14"/>
  <c r="P46" i="14"/>
  <c r="AD46" i="14"/>
  <c r="AO46" i="14"/>
  <c r="BC46" i="14"/>
  <c r="AJ53" i="14"/>
  <c r="K57" i="14"/>
  <c r="AI57" i="14"/>
  <c r="BN57" i="14"/>
  <c r="BI63" i="14"/>
  <c r="BA63" i="14"/>
  <c r="AS63" i="14"/>
  <c r="AK63" i="14"/>
  <c r="AC63" i="14"/>
  <c r="U63" i="14"/>
  <c r="M63" i="14"/>
  <c r="E63" i="14"/>
  <c r="F63" i="14" s="1"/>
  <c r="BM63" i="14"/>
  <c r="BE63" i="14"/>
  <c r="AW63" i="14"/>
  <c r="AO63" i="14"/>
  <c r="AG63" i="14"/>
  <c r="Y63" i="14"/>
  <c r="Q63" i="14"/>
  <c r="I63" i="14"/>
  <c r="BL63" i="14"/>
  <c r="BB63" i="14"/>
  <c r="AQ63" i="14"/>
  <c r="AF63" i="14"/>
  <c r="V63" i="14"/>
  <c r="K63" i="14"/>
  <c r="BK63" i="14"/>
  <c r="AZ63" i="14"/>
  <c r="AP63" i="14"/>
  <c r="AE63" i="14"/>
  <c r="T63" i="14"/>
  <c r="J63" i="14"/>
  <c r="BJ63" i="14"/>
  <c r="AY63" i="14"/>
  <c r="AN63" i="14"/>
  <c r="AD63" i="14"/>
  <c r="S63" i="14"/>
  <c r="H63" i="14"/>
  <c r="BH63" i="14"/>
  <c r="AX63" i="14"/>
  <c r="AM63" i="14"/>
  <c r="AB63" i="14"/>
  <c r="R63" i="14"/>
  <c r="G63" i="14"/>
  <c r="BG63" i="14"/>
  <c r="AV63" i="14"/>
  <c r="AL63" i="14"/>
  <c r="AA63" i="14"/>
  <c r="P63" i="14"/>
  <c r="AH63" i="14"/>
  <c r="BF63" i="14"/>
  <c r="AA69" i="14"/>
  <c r="P34" i="14"/>
  <c r="AA34" i="14"/>
  <c r="AL34" i="14"/>
  <c r="AV34" i="14"/>
  <c r="BG34" i="14"/>
  <c r="J36" i="14"/>
  <c r="T36" i="14"/>
  <c r="AE36" i="14"/>
  <c r="AP36" i="14"/>
  <c r="AZ36" i="14"/>
  <c r="BK36" i="14"/>
  <c r="BI38" i="14"/>
  <c r="BA38" i="14"/>
  <c r="AS38" i="14"/>
  <c r="AK38" i="14"/>
  <c r="AC38" i="14"/>
  <c r="U38" i="14"/>
  <c r="M38" i="14"/>
  <c r="E38" i="14"/>
  <c r="F38" i="14" s="1"/>
  <c r="BN38" i="14"/>
  <c r="BF38" i="14"/>
  <c r="AX38" i="14"/>
  <c r="AP38" i="14"/>
  <c r="AH38" i="14"/>
  <c r="Z38" i="14"/>
  <c r="R38" i="14"/>
  <c r="J38" i="14"/>
  <c r="N38" i="14"/>
  <c r="X38" i="14"/>
  <c r="AI38" i="14"/>
  <c r="AT38" i="14"/>
  <c r="BD38" i="14"/>
  <c r="AQ45" i="14"/>
  <c r="BB45" i="14"/>
  <c r="H46" i="14"/>
  <c r="T46" i="14"/>
  <c r="AF46" i="14"/>
  <c r="AT46" i="14"/>
  <c r="BE46" i="14"/>
  <c r="O53" i="14"/>
  <c r="AT53" i="14"/>
  <c r="N57" i="14"/>
  <c r="AR57" i="14"/>
  <c r="L63" i="14"/>
  <c r="AJ63" i="14"/>
  <c r="AR69" i="14"/>
  <c r="K21" i="14"/>
  <c r="S21" i="14"/>
  <c r="AA21" i="14"/>
  <c r="AI21" i="14"/>
  <c r="AQ21" i="14"/>
  <c r="AY21" i="14"/>
  <c r="K25" i="14"/>
  <c r="S25" i="14"/>
  <c r="AA25" i="14"/>
  <c r="AI25" i="14"/>
  <c r="AQ25" i="14"/>
  <c r="AY25" i="14"/>
  <c r="K29" i="14"/>
  <c r="S29" i="14"/>
  <c r="AA29" i="14"/>
  <c r="AI29" i="14"/>
  <c r="AQ29" i="14"/>
  <c r="AY29" i="14"/>
  <c r="BK33" i="14"/>
  <c r="BC33" i="14"/>
  <c r="AU33" i="14"/>
  <c r="AM33" i="14"/>
  <c r="AE33" i="14"/>
  <c r="W33" i="14"/>
  <c r="O33" i="14"/>
  <c r="BH33" i="14"/>
  <c r="AZ33" i="14"/>
  <c r="AR33" i="14"/>
  <c r="AJ33" i="14"/>
  <c r="AB33" i="14"/>
  <c r="T33" i="14"/>
  <c r="K33" i="14"/>
  <c r="U33" i="14"/>
  <c r="AF33" i="14"/>
  <c r="AP33" i="14"/>
  <c r="BA33" i="14"/>
  <c r="BL33" i="14"/>
  <c r="G34" i="14"/>
  <c r="Q34" i="14"/>
  <c r="AB34" i="14"/>
  <c r="AM34" i="14"/>
  <c r="AW34" i="14"/>
  <c r="BH34" i="14"/>
  <c r="K36" i="14"/>
  <c r="U36" i="14"/>
  <c r="AF36" i="14"/>
  <c r="AQ36" i="14"/>
  <c r="BA36" i="14"/>
  <c r="O38" i="14"/>
  <c r="Y38" i="14"/>
  <c r="AJ38" i="14"/>
  <c r="AU38" i="14"/>
  <c r="BE38" i="14"/>
  <c r="BK45" i="14"/>
  <c r="BC45" i="14"/>
  <c r="AU45" i="14"/>
  <c r="AM45" i="14"/>
  <c r="AE45" i="14"/>
  <c r="W45" i="14"/>
  <c r="O45" i="14"/>
  <c r="G45" i="14"/>
  <c r="BH45" i="14"/>
  <c r="AZ45" i="14"/>
  <c r="AR45" i="14"/>
  <c r="AJ45" i="14"/>
  <c r="AB45" i="14"/>
  <c r="T45" i="14"/>
  <c r="L45" i="14"/>
  <c r="M45" i="14"/>
  <c r="X45" i="14"/>
  <c r="AH45" i="14"/>
  <c r="AS45" i="14"/>
  <c r="BD45" i="14"/>
  <c r="BN45" i="14"/>
  <c r="I46" i="14"/>
  <c r="V46" i="14"/>
  <c r="AG46" i="14"/>
  <c r="AU46" i="14"/>
  <c r="BH46" i="14"/>
  <c r="P53" i="14"/>
  <c r="AU53" i="14"/>
  <c r="V57" i="14"/>
  <c r="AT57" i="14"/>
  <c r="K46" i="14"/>
  <c r="W46" i="14"/>
  <c r="AJ46" i="14"/>
  <c r="AV46" i="14"/>
  <c r="BJ46" i="14"/>
  <c r="BM69" i="14"/>
  <c r="BE69" i="14"/>
  <c r="AW69" i="14"/>
  <c r="AO69" i="14"/>
  <c r="AG69" i="14"/>
  <c r="Y69" i="14"/>
  <c r="Q69" i="14"/>
  <c r="I69" i="14"/>
  <c r="BL69" i="14"/>
  <c r="BD69" i="14"/>
  <c r="AV69" i="14"/>
  <c r="AN69" i="14"/>
  <c r="AF69" i="14"/>
  <c r="X69" i="14"/>
  <c r="P69" i="14"/>
  <c r="H69" i="14"/>
  <c r="BK69" i="14"/>
  <c r="BC69" i="14"/>
  <c r="AU69" i="14"/>
  <c r="AM69" i="14"/>
  <c r="AE69" i="14"/>
  <c r="W69" i="14"/>
  <c r="O69" i="14"/>
  <c r="G69" i="14"/>
  <c r="BJ69" i="14"/>
  <c r="BB69" i="14"/>
  <c r="AT69" i="14"/>
  <c r="AL69" i="14"/>
  <c r="AD69" i="14"/>
  <c r="V69" i="14"/>
  <c r="N69" i="14"/>
  <c r="BI69" i="14"/>
  <c r="BA69" i="14"/>
  <c r="AS69" i="14"/>
  <c r="AK69" i="14"/>
  <c r="AC69" i="14"/>
  <c r="U69" i="14"/>
  <c r="M69" i="14"/>
  <c r="E69" i="14"/>
  <c r="F69" i="14" s="1"/>
  <c r="BH69" i="14"/>
  <c r="AP69" i="14"/>
  <c r="S69" i="14"/>
  <c r="BG69" i="14"/>
  <c r="AJ69" i="14"/>
  <c r="R69" i="14"/>
  <c r="BF69" i="14"/>
  <c r="AI69" i="14"/>
  <c r="L69" i="14"/>
  <c r="AZ69" i="14"/>
  <c r="AH69" i="14"/>
  <c r="K69" i="14"/>
  <c r="AY69" i="14"/>
  <c r="AB69" i="14"/>
  <c r="J69" i="14"/>
  <c r="BN69" i="14"/>
  <c r="BM36" i="14"/>
  <c r="BE36" i="14"/>
  <c r="AW36" i="14"/>
  <c r="AO36" i="14"/>
  <c r="AG36" i="14"/>
  <c r="Y36" i="14"/>
  <c r="Q36" i="14"/>
  <c r="I36" i="14"/>
  <c r="BJ36" i="14"/>
  <c r="BB36" i="14"/>
  <c r="AT36" i="14"/>
  <c r="AL36" i="14"/>
  <c r="AD36" i="14"/>
  <c r="V36" i="14"/>
  <c r="N36" i="14"/>
  <c r="M36" i="14"/>
  <c r="X36" i="14"/>
  <c r="AI36" i="14"/>
  <c r="AS36" i="14"/>
  <c r="BD36" i="14"/>
  <c r="L46" i="14"/>
  <c r="X46" i="14"/>
  <c r="AL46" i="14"/>
  <c r="AW46" i="14"/>
  <c r="Z53" i="14"/>
  <c r="X57" i="14"/>
  <c r="BI46" i="14"/>
  <c r="BA46" i="14"/>
  <c r="AS46" i="14"/>
  <c r="AK46" i="14"/>
  <c r="AC46" i="14"/>
  <c r="U46" i="14"/>
  <c r="M46" i="14"/>
  <c r="E46" i="14"/>
  <c r="F46" i="14" s="1"/>
  <c r="BG46" i="14"/>
  <c r="AY46" i="14"/>
  <c r="AQ46" i="14"/>
  <c r="AI46" i="14"/>
  <c r="AA46" i="14"/>
  <c r="S46" i="14"/>
  <c r="BN46" i="14"/>
  <c r="BF46" i="14"/>
  <c r="AX46" i="14"/>
  <c r="AP46" i="14"/>
  <c r="AH46" i="14"/>
  <c r="Z46" i="14"/>
  <c r="R46" i="14"/>
  <c r="J46" i="14"/>
  <c r="N46" i="14"/>
  <c r="Y46" i="14"/>
  <c r="AM46" i="14"/>
  <c r="AZ46" i="14"/>
  <c r="BL46" i="14"/>
  <c r="BM53" i="14"/>
  <c r="BE53" i="14"/>
  <c r="AW53" i="14"/>
  <c r="AO53" i="14"/>
  <c r="AG53" i="14"/>
  <c r="Y53" i="14"/>
  <c r="Q53" i="14"/>
  <c r="I53" i="14"/>
  <c r="BI53" i="14"/>
  <c r="BA53" i="14"/>
  <c r="AS53" i="14"/>
  <c r="AK53" i="14"/>
  <c r="AC53" i="14"/>
  <c r="U53" i="14"/>
  <c r="M53" i="14"/>
  <c r="E53" i="14"/>
  <c r="F53" i="14" s="1"/>
  <c r="BN53" i="14"/>
  <c r="BC53" i="14"/>
  <c r="AR53" i="14"/>
  <c r="AH53" i="14"/>
  <c r="W53" i="14"/>
  <c r="L53" i="14"/>
  <c r="BL53" i="14"/>
  <c r="BB53" i="14"/>
  <c r="AQ53" i="14"/>
  <c r="AF53" i="14"/>
  <c r="V53" i="14"/>
  <c r="K53" i="14"/>
  <c r="BK53" i="14"/>
  <c r="AZ53" i="14"/>
  <c r="AP53" i="14"/>
  <c r="AE53" i="14"/>
  <c r="T53" i="14"/>
  <c r="J53" i="14"/>
  <c r="BJ53" i="14"/>
  <c r="AY53" i="14"/>
  <c r="AN53" i="14"/>
  <c r="AD53" i="14"/>
  <c r="S53" i="14"/>
  <c r="H53" i="14"/>
  <c r="BH53" i="14"/>
  <c r="AX53" i="14"/>
  <c r="AM53" i="14"/>
  <c r="AB53" i="14"/>
  <c r="R53" i="14"/>
  <c r="G53" i="14"/>
  <c r="AA53" i="14"/>
  <c r="BF53" i="14"/>
  <c r="BM57" i="14"/>
  <c r="BE57" i="14"/>
  <c r="AW57" i="14"/>
  <c r="AO57" i="14"/>
  <c r="AG57" i="14"/>
  <c r="Y57" i="14"/>
  <c r="Q57" i="14"/>
  <c r="I57" i="14"/>
  <c r="BI57" i="14"/>
  <c r="BA57" i="14"/>
  <c r="AS57" i="14"/>
  <c r="AK57" i="14"/>
  <c r="AC57" i="14"/>
  <c r="U57" i="14"/>
  <c r="M57" i="14"/>
  <c r="E57" i="14"/>
  <c r="F57" i="14" s="1"/>
  <c r="BK57" i="14"/>
  <c r="AZ57" i="14"/>
  <c r="AP57" i="14"/>
  <c r="AE57" i="14"/>
  <c r="T57" i="14"/>
  <c r="J57" i="14"/>
  <c r="BJ57" i="14"/>
  <c r="AY57" i="14"/>
  <c r="AN57" i="14"/>
  <c r="AD57" i="14"/>
  <c r="S57" i="14"/>
  <c r="H57" i="14"/>
  <c r="BH57" i="14"/>
  <c r="AX57" i="14"/>
  <c r="AM57" i="14"/>
  <c r="AB57" i="14"/>
  <c r="R57" i="14"/>
  <c r="G57" i="14"/>
  <c r="BG57" i="14"/>
  <c r="AV57" i="14"/>
  <c r="AL57" i="14"/>
  <c r="AA57" i="14"/>
  <c r="P57" i="14"/>
  <c r="BF57" i="14"/>
  <c r="AU57" i="14"/>
  <c r="AJ57" i="14"/>
  <c r="Z57" i="14"/>
  <c r="O57" i="14"/>
  <c r="AF57" i="14"/>
  <c r="BD57" i="14"/>
  <c r="H35" i="14"/>
  <c r="P35" i="14"/>
  <c r="X35" i="14"/>
  <c r="AF35" i="14"/>
  <c r="AN35" i="14"/>
  <c r="AV35" i="14"/>
  <c r="BD35" i="14"/>
  <c r="BL35" i="14"/>
  <c r="H39" i="14"/>
  <c r="P39" i="14"/>
  <c r="X39" i="14"/>
  <c r="AF39" i="14"/>
  <c r="AN39" i="14"/>
  <c r="AV39" i="14"/>
  <c r="BD39" i="14"/>
  <c r="BL39" i="14"/>
  <c r="H43" i="14"/>
  <c r="P43" i="14"/>
  <c r="X43" i="14"/>
  <c r="AF43" i="14"/>
  <c r="AN43" i="14"/>
  <c r="AV43" i="14"/>
  <c r="BD43" i="14"/>
  <c r="BL43" i="14"/>
  <c r="H47" i="14"/>
  <c r="P47" i="14"/>
  <c r="X47" i="14"/>
  <c r="AG47" i="14"/>
  <c r="AP47" i="14"/>
  <c r="AY47" i="14"/>
  <c r="J49" i="14"/>
  <c r="T49" i="14"/>
  <c r="AE49" i="14"/>
  <c r="AP49" i="14"/>
  <c r="AZ49" i="14"/>
  <c r="BI51" i="14"/>
  <c r="BA51" i="14"/>
  <c r="AS51" i="14"/>
  <c r="AK51" i="14"/>
  <c r="AC51" i="14"/>
  <c r="U51" i="14"/>
  <c r="M51" i="14"/>
  <c r="E51" i="14"/>
  <c r="F51" i="14" s="1"/>
  <c r="BM51" i="14"/>
  <c r="BE51" i="14"/>
  <c r="AW51" i="14"/>
  <c r="AO51" i="14"/>
  <c r="AG51" i="14"/>
  <c r="Y51" i="14"/>
  <c r="Q51" i="14"/>
  <c r="I51" i="14"/>
  <c r="N51" i="14"/>
  <c r="X51" i="14"/>
  <c r="AI51" i="14"/>
  <c r="AT51" i="14"/>
  <c r="BD51" i="14"/>
  <c r="K55" i="14"/>
  <c r="V55" i="14"/>
  <c r="AF55" i="14"/>
  <c r="AQ55" i="14"/>
  <c r="BB55" i="14"/>
  <c r="BL55" i="14"/>
  <c r="H59" i="14"/>
  <c r="S59" i="14"/>
  <c r="AD59" i="14"/>
  <c r="AN59" i="14"/>
  <c r="AY59" i="14"/>
  <c r="BJ59" i="14"/>
  <c r="L61" i="14"/>
  <c r="W61" i="14"/>
  <c r="AH61" i="14"/>
  <c r="AR61" i="14"/>
  <c r="BC61" i="14"/>
  <c r="O76" i="14"/>
  <c r="AY76" i="14"/>
  <c r="Z78" i="14"/>
  <c r="L55" i="14"/>
  <c r="W55" i="14"/>
  <c r="AH55" i="14"/>
  <c r="AR55" i="14"/>
  <c r="BC55" i="14"/>
  <c r="J59" i="14"/>
  <c r="T59" i="14"/>
  <c r="AE59" i="14"/>
  <c r="AP59" i="14"/>
  <c r="AZ59" i="14"/>
  <c r="BK59" i="14"/>
  <c r="BM61" i="14"/>
  <c r="BE61" i="14"/>
  <c r="AW61" i="14"/>
  <c r="AO61" i="14"/>
  <c r="AG61" i="14"/>
  <c r="Y61" i="14"/>
  <c r="Q61" i="14"/>
  <c r="I61" i="14"/>
  <c r="BI61" i="14"/>
  <c r="BA61" i="14"/>
  <c r="AS61" i="14"/>
  <c r="AK61" i="14"/>
  <c r="AC61" i="14"/>
  <c r="U61" i="14"/>
  <c r="M61" i="14"/>
  <c r="E61" i="14"/>
  <c r="F61" i="14" s="1"/>
  <c r="N61" i="14"/>
  <c r="X61" i="14"/>
  <c r="AI61" i="14"/>
  <c r="AT61" i="14"/>
  <c r="BD61" i="14"/>
  <c r="BI55" i="14"/>
  <c r="BA55" i="14"/>
  <c r="AS55" i="14"/>
  <c r="AK55" i="14"/>
  <c r="AC55" i="14"/>
  <c r="U55" i="14"/>
  <c r="M55" i="14"/>
  <c r="E55" i="14"/>
  <c r="F55" i="14" s="1"/>
  <c r="BM55" i="14"/>
  <c r="BE55" i="14"/>
  <c r="AW55" i="14"/>
  <c r="AO55" i="14"/>
  <c r="AG55" i="14"/>
  <c r="Y55" i="14"/>
  <c r="Q55" i="14"/>
  <c r="I55" i="14"/>
  <c r="N55" i="14"/>
  <c r="X55" i="14"/>
  <c r="AI55" i="14"/>
  <c r="AT55" i="14"/>
  <c r="BD55" i="14"/>
  <c r="BH78" i="14"/>
  <c r="AZ78" i="14"/>
  <c r="AR78" i="14"/>
  <c r="AJ78" i="14"/>
  <c r="AB78" i="14"/>
  <c r="T78" i="14"/>
  <c r="L78" i="14"/>
  <c r="BM78" i="14"/>
  <c r="BE78" i="14"/>
  <c r="AW78" i="14"/>
  <c r="AO78" i="14"/>
  <c r="AG78" i="14"/>
  <c r="Y78" i="14"/>
  <c r="Q78" i="14"/>
  <c r="I78" i="14"/>
  <c r="BK78" i="14"/>
  <c r="BA78" i="14"/>
  <c r="AP78" i="14"/>
  <c r="AE78" i="14"/>
  <c r="U78" i="14"/>
  <c r="J78" i="14"/>
  <c r="BG78" i="14"/>
  <c r="AU78" i="14"/>
  <c r="AI78" i="14"/>
  <c r="W78" i="14"/>
  <c r="K78" i="14"/>
  <c r="BF78" i="14"/>
  <c r="AT78" i="14"/>
  <c r="AH78" i="14"/>
  <c r="V78" i="14"/>
  <c r="H78" i="14"/>
  <c r="BD78" i="14"/>
  <c r="AS78" i="14"/>
  <c r="AF78" i="14"/>
  <c r="S78" i="14"/>
  <c r="G78" i="14"/>
  <c r="BC78" i="14"/>
  <c r="AQ78" i="14"/>
  <c r="AD78" i="14"/>
  <c r="R78" i="14"/>
  <c r="BN78" i="14"/>
  <c r="BB78" i="14"/>
  <c r="AN78" i="14"/>
  <c r="AC78" i="14"/>
  <c r="P78" i="14"/>
  <c r="E78" i="14"/>
  <c r="F78" i="14" s="1"/>
  <c r="AK78" i="14"/>
  <c r="BL78" i="14"/>
  <c r="K35" i="14"/>
  <c r="S35" i="14"/>
  <c r="AA35" i="14"/>
  <c r="AI35" i="14"/>
  <c r="AQ35" i="14"/>
  <c r="AY35" i="14"/>
  <c r="K39" i="14"/>
  <c r="S39" i="14"/>
  <c r="AA39" i="14"/>
  <c r="AI39" i="14"/>
  <c r="AQ39" i="14"/>
  <c r="AY39" i="14"/>
  <c r="K43" i="14"/>
  <c r="S43" i="14"/>
  <c r="AA43" i="14"/>
  <c r="AI43" i="14"/>
  <c r="AQ43" i="14"/>
  <c r="AY43" i="14"/>
  <c r="BI47" i="14"/>
  <c r="BA47" i="14"/>
  <c r="AS47" i="14"/>
  <c r="AK47" i="14"/>
  <c r="AC47" i="14"/>
  <c r="K47" i="14"/>
  <c r="S47" i="14"/>
  <c r="AA47" i="14"/>
  <c r="AJ47" i="14"/>
  <c r="AT47" i="14"/>
  <c r="BC47" i="14"/>
  <c r="BL47" i="14"/>
  <c r="BM49" i="14"/>
  <c r="BE49" i="14"/>
  <c r="AW49" i="14"/>
  <c r="AO49" i="14"/>
  <c r="AG49" i="14"/>
  <c r="Y49" i="14"/>
  <c r="Q49" i="14"/>
  <c r="I49" i="14"/>
  <c r="BI49" i="14"/>
  <c r="BA49" i="14"/>
  <c r="AS49" i="14"/>
  <c r="AK49" i="14"/>
  <c r="AC49" i="14"/>
  <c r="U49" i="14"/>
  <c r="M49" i="14"/>
  <c r="E49" i="14"/>
  <c r="F49" i="14" s="1"/>
  <c r="N49" i="14"/>
  <c r="X49" i="14"/>
  <c r="AI49" i="14"/>
  <c r="AT49" i="14"/>
  <c r="BD49" i="14"/>
  <c r="G51" i="14"/>
  <c r="R51" i="14"/>
  <c r="AB51" i="14"/>
  <c r="AM51" i="14"/>
  <c r="AX51" i="14"/>
  <c r="BH51" i="14"/>
  <c r="O55" i="14"/>
  <c r="Z55" i="14"/>
  <c r="AJ55" i="14"/>
  <c r="AU55" i="14"/>
  <c r="BF55" i="14"/>
  <c r="L59" i="14"/>
  <c r="W59" i="14"/>
  <c r="AH59" i="14"/>
  <c r="AR59" i="14"/>
  <c r="BC59" i="14"/>
  <c r="P61" i="14"/>
  <c r="AA61" i="14"/>
  <c r="AL61" i="14"/>
  <c r="AV61" i="14"/>
  <c r="BG61" i="14"/>
  <c r="BM65" i="14"/>
  <c r="BE65" i="14"/>
  <c r="AW65" i="14"/>
  <c r="AO65" i="14"/>
  <c r="AG65" i="14"/>
  <c r="Y65" i="14"/>
  <c r="Q65" i="14"/>
  <c r="I65" i="14"/>
  <c r="BK65" i="14"/>
  <c r="BC65" i="14"/>
  <c r="AU65" i="14"/>
  <c r="AM65" i="14"/>
  <c r="AE65" i="14"/>
  <c r="W65" i="14"/>
  <c r="O65" i="14"/>
  <c r="G65" i="14"/>
  <c r="BI65" i="14"/>
  <c r="BA65" i="14"/>
  <c r="AS65" i="14"/>
  <c r="AK65" i="14"/>
  <c r="AC65" i="14"/>
  <c r="U65" i="14"/>
  <c r="M65" i="14"/>
  <c r="E65" i="14"/>
  <c r="F65" i="14" s="1"/>
  <c r="P65" i="14"/>
  <c r="AB65" i="14"/>
  <c r="AP65" i="14"/>
  <c r="BB65" i="14"/>
  <c r="AA76" i="14"/>
  <c r="AL78" i="14"/>
  <c r="P55" i="14"/>
  <c r="AA55" i="14"/>
  <c r="AL55" i="14"/>
  <c r="AV55" i="14"/>
  <c r="BG55" i="14"/>
  <c r="BI59" i="14"/>
  <c r="BA59" i="14"/>
  <c r="AS59" i="14"/>
  <c r="AK59" i="14"/>
  <c r="AC59" i="14"/>
  <c r="U59" i="14"/>
  <c r="M59" i="14"/>
  <c r="E59" i="14"/>
  <c r="F59" i="14" s="1"/>
  <c r="BM59" i="14"/>
  <c r="BE59" i="14"/>
  <c r="AW59" i="14"/>
  <c r="AO59" i="14"/>
  <c r="AG59" i="14"/>
  <c r="Y59" i="14"/>
  <c r="Q59" i="14"/>
  <c r="I59" i="14"/>
  <c r="N59" i="14"/>
  <c r="X59" i="14"/>
  <c r="AI59" i="14"/>
  <c r="AT59" i="14"/>
  <c r="BD59" i="14"/>
  <c r="BL76" i="14"/>
  <c r="BD76" i="14"/>
  <c r="AV76" i="14"/>
  <c r="AN76" i="14"/>
  <c r="AF76" i="14"/>
  <c r="X76" i="14"/>
  <c r="P76" i="14"/>
  <c r="H76" i="14"/>
  <c r="BI76" i="14"/>
  <c r="BA76" i="14"/>
  <c r="AS76" i="14"/>
  <c r="AK76" i="14"/>
  <c r="AC76" i="14"/>
  <c r="U76" i="14"/>
  <c r="M76" i="14"/>
  <c r="E76" i="14"/>
  <c r="F76" i="14" s="1"/>
  <c r="BH76" i="14"/>
  <c r="AX76" i="14"/>
  <c r="AM76" i="14"/>
  <c r="AB76" i="14"/>
  <c r="R76" i="14"/>
  <c r="G76" i="14"/>
  <c r="BG76" i="14"/>
  <c r="AU76" i="14"/>
  <c r="AI76" i="14"/>
  <c r="W76" i="14"/>
  <c r="K76" i="14"/>
  <c r="BF76" i="14"/>
  <c r="AT76" i="14"/>
  <c r="AH76" i="14"/>
  <c r="V76" i="14"/>
  <c r="J76" i="14"/>
  <c r="BE76" i="14"/>
  <c r="AR76" i="14"/>
  <c r="AG76" i="14"/>
  <c r="T76" i="14"/>
  <c r="I76" i="14"/>
  <c r="BC76" i="14"/>
  <c r="AQ76" i="14"/>
  <c r="AE76" i="14"/>
  <c r="S76" i="14"/>
  <c r="BN76" i="14"/>
  <c r="BB76" i="14"/>
  <c r="AP76" i="14"/>
  <c r="AD76" i="14"/>
  <c r="Q76" i="14"/>
  <c r="AJ76" i="14"/>
  <c r="BM76" i="14"/>
  <c r="M78" i="14"/>
  <c r="AM78" i="14"/>
  <c r="K50" i="14"/>
  <c r="S50" i="14"/>
  <c r="AA50" i="14"/>
  <c r="AI50" i="14"/>
  <c r="AQ50" i="14"/>
  <c r="AY50" i="14"/>
  <c r="BG50" i="14"/>
  <c r="K54" i="14"/>
  <c r="S54" i="14"/>
  <c r="AA54" i="14"/>
  <c r="AI54" i="14"/>
  <c r="AQ54" i="14"/>
  <c r="AY54" i="14"/>
  <c r="BG54" i="14"/>
  <c r="K58" i="14"/>
  <c r="S58" i="14"/>
  <c r="AA58" i="14"/>
  <c r="AI58" i="14"/>
  <c r="AQ58" i="14"/>
  <c r="AY58" i="14"/>
  <c r="BG58" i="14"/>
  <c r="K62" i="14"/>
  <c r="S62" i="14"/>
  <c r="AA62" i="14"/>
  <c r="AI62" i="14"/>
  <c r="AQ62" i="14"/>
  <c r="AY62" i="14"/>
  <c r="BG62" i="14"/>
  <c r="K66" i="14"/>
  <c r="S66" i="14"/>
  <c r="AA66" i="14"/>
  <c r="AI66" i="14"/>
  <c r="AQ66" i="14"/>
  <c r="AY66" i="14"/>
  <c r="BG66" i="14"/>
  <c r="I67" i="14"/>
  <c r="Q67" i="14"/>
  <c r="Y67" i="14"/>
  <c r="AG67" i="14"/>
  <c r="AO67" i="14"/>
  <c r="AW67" i="14"/>
  <c r="BE67" i="14"/>
  <c r="BM67" i="14"/>
  <c r="K70" i="14"/>
  <c r="S70" i="14"/>
  <c r="AA70" i="14"/>
  <c r="AI70" i="14"/>
  <c r="AQ70" i="14"/>
  <c r="AY70" i="14"/>
  <c r="BG70" i="14"/>
  <c r="I71" i="14"/>
  <c r="Q71" i="14"/>
  <c r="Y71" i="14"/>
  <c r="AG71" i="14"/>
  <c r="AO71" i="14"/>
  <c r="AW71" i="14"/>
  <c r="BE71" i="14"/>
  <c r="BM71" i="14"/>
  <c r="J73" i="14"/>
  <c r="S73" i="14"/>
  <c r="AB73" i="14"/>
  <c r="AL73" i="14"/>
  <c r="AX73" i="14"/>
  <c r="K75" i="14"/>
  <c r="V75" i="14"/>
  <c r="AI75" i="14"/>
  <c r="AT75" i="14"/>
  <c r="BG75" i="14"/>
  <c r="K79" i="14"/>
  <c r="V79" i="14"/>
  <c r="AI79" i="14"/>
  <c r="AV79" i="14"/>
  <c r="BJ79" i="14"/>
  <c r="K67" i="14"/>
  <c r="S67" i="14"/>
  <c r="AA67" i="14"/>
  <c r="AI67" i="14"/>
  <c r="AQ67" i="14"/>
  <c r="AY67" i="14"/>
  <c r="BG67" i="14"/>
  <c r="K71" i="14"/>
  <c r="S71" i="14"/>
  <c r="AA71" i="14"/>
  <c r="AI71" i="14"/>
  <c r="AQ71" i="14"/>
  <c r="AY71" i="14"/>
  <c r="BG71" i="14"/>
  <c r="BJ73" i="14"/>
  <c r="BB73" i="14"/>
  <c r="AT73" i="14"/>
  <c r="BG73" i="14"/>
  <c r="AY73" i="14"/>
  <c r="AQ73" i="14"/>
  <c r="AI73" i="14"/>
  <c r="BH73" i="14"/>
  <c r="AW73" i="14"/>
  <c r="AM73" i="14"/>
  <c r="AD73" i="14"/>
  <c r="V73" i="14"/>
  <c r="N73" i="14"/>
  <c r="L73" i="14"/>
  <c r="U73" i="14"/>
  <c r="AE73" i="14"/>
  <c r="AO73" i="14"/>
  <c r="BA73" i="14"/>
  <c r="BM73" i="14"/>
  <c r="M75" i="14"/>
  <c r="Y75" i="14"/>
  <c r="AK75" i="14"/>
  <c r="AW75" i="14"/>
  <c r="M79" i="14"/>
  <c r="Y79" i="14"/>
  <c r="AK79" i="14"/>
  <c r="BN75" i="14"/>
  <c r="BF75" i="14"/>
  <c r="AX75" i="14"/>
  <c r="AP75" i="14"/>
  <c r="AH75" i="14"/>
  <c r="Z75" i="14"/>
  <c r="R75" i="14"/>
  <c r="J75" i="14"/>
  <c r="BK75" i="14"/>
  <c r="BC75" i="14"/>
  <c r="AU75" i="14"/>
  <c r="AM75" i="14"/>
  <c r="AE75" i="14"/>
  <c r="W75" i="14"/>
  <c r="O75" i="14"/>
  <c r="G75" i="14"/>
  <c r="BJ75" i="14"/>
  <c r="AZ75" i="14"/>
  <c r="AO75" i="14"/>
  <c r="AD75" i="14"/>
  <c r="T75" i="14"/>
  <c r="I75" i="14"/>
  <c r="N75" i="14"/>
  <c r="AA75" i="14"/>
  <c r="AL75" i="14"/>
  <c r="AY75" i="14"/>
  <c r="BL75" i="14"/>
  <c r="BN79" i="14"/>
  <c r="BF79" i="14"/>
  <c r="AX79" i="14"/>
  <c r="AP79" i="14"/>
  <c r="AH79" i="14"/>
  <c r="Z79" i="14"/>
  <c r="R79" i="14"/>
  <c r="J79" i="14"/>
  <c r="BK79" i="14"/>
  <c r="BC79" i="14"/>
  <c r="AU79" i="14"/>
  <c r="AM79" i="14"/>
  <c r="AE79" i="14"/>
  <c r="W79" i="14"/>
  <c r="O79" i="14"/>
  <c r="G79" i="14"/>
  <c r="BL79" i="14"/>
  <c r="BA79" i="14"/>
  <c r="AQ79" i="14"/>
  <c r="BH79" i="14"/>
  <c r="AW79" i="14"/>
  <c r="AL79" i="14"/>
  <c r="AB79" i="14"/>
  <c r="Q79" i="14"/>
  <c r="N79" i="14"/>
  <c r="AA79" i="14"/>
  <c r="AN79" i="14"/>
  <c r="BB79" i="14"/>
  <c r="K48" i="14"/>
  <c r="S48" i="14"/>
  <c r="AA48" i="14"/>
  <c r="AI48" i="14"/>
  <c r="AQ48" i="14"/>
  <c r="AY48" i="14"/>
  <c r="G50" i="14"/>
  <c r="O50" i="14"/>
  <c r="W50" i="14"/>
  <c r="AE50" i="14"/>
  <c r="AM50" i="14"/>
  <c r="AU50" i="14"/>
  <c r="BC50" i="14"/>
  <c r="K52" i="14"/>
  <c r="S52" i="14"/>
  <c r="AA52" i="14"/>
  <c r="AI52" i="14"/>
  <c r="AQ52" i="14"/>
  <c r="AY52" i="14"/>
  <c r="G54" i="14"/>
  <c r="O54" i="14"/>
  <c r="W54" i="14"/>
  <c r="AE54" i="14"/>
  <c r="AM54" i="14"/>
  <c r="AU54" i="14"/>
  <c r="BC54" i="14"/>
  <c r="K56" i="14"/>
  <c r="S56" i="14"/>
  <c r="AA56" i="14"/>
  <c r="AI56" i="14"/>
  <c r="AQ56" i="14"/>
  <c r="AY56" i="14"/>
  <c r="G58" i="14"/>
  <c r="O58" i="14"/>
  <c r="W58" i="14"/>
  <c r="AE58" i="14"/>
  <c r="AM58" i="14"/>
  <c r="AU58" i="14"/>
  <c r="BC58" i="14"/>
  <c r="K60" i="14"/>
  <c r="S60" i="14"/>
  <c r="AA60" i="14"/>
  <c r="AI60" i="14"/>
  <c r="AQ60" i="14"/>
  <c r="AY60" i="14"/>
  <c r="G62" i="14"/>
  <c r="O62" i="14"/>
  <c r="W62" i="14"/>
  <c r="AE62" i="14"/>
  <c r="AM62" i="14"/>
  <c r="AU62" i="14"/>
  <c r="BC62" i="14"/>
  <c r="K64" i="14"/>
  <c r="S64" i="14"/>
  <c r="AA64" i="14"/>
  <c r="AI64" i="14"/>
  <c r="AQ64" i="14"/>
  <c r="AY64" i="14"/>
  <c r="G66" i="14"/>
  <c r="O66" i="14"/>
  <c r="W66" i="14"/>
  <c r="AE66" i="14"/>
  <c r="AM66" i="14"/>
  <c r="AU66" i="14"/>
  <c r="BC66" i="14"/>
  <c r="E67" i="14"/>
  <c r="F67" i="14" s="1"/>
  <c r="M67" i="14"/>
  <c r="U67" i="14"/>
  <c r="AC67" i="14"/>
  <c r="AK67" i="14"/>
  <c r="AS67" i="14"/>
  <c r="BA67" i="14"/>
  <c r="K68" i="14"/>
  <c r="S68" i="14"/>
  <c r="AA68" i="14"/>
  <c r="AI68" i="14"/>
  <c r="AQ68" i="14"/>
  <c r="AY68" i="14"/>
  <c r="G70" i="14"/>
  <c r="O70" i="14"/>
  <c r="W70" i="14"/>
  <c r="AE70" i="14"/>
  <c r="AM70" i="14"/>
  <c r="AU70" i="14"/>
  <c r="BC70" i="14"/>
  <c r="E71" i="14"/>
  <c r="F71" i="14" s="1"/>
  <c r="M71" i="14"/>
  <c r="U71" i="14"/>
  <c r="AC71" i="14"/>
  <c r="AK71" i="14"/>
  <c r="AS71" i="14"/>
  <c r="BA71" i="14"/>
  <c r="BL72" i="14"/>
  <c r="BD72" i="14"/>
  <c r="AV72" i="14"/>
  <c r="AN72" i="14"/>
  <c r="K72" i="14"/>
  <c r="S72" i="14"/>
  <c r="AA72" i="14"/>
  <c r="AI72" i="14"/>
  <c r="AR72" i="14"/>
  <c r="BA72" i="14"/>
  <c r="BJ72" i="14"/>
  <c r="E73" i="14"/>
  <c r="F73" i="14" s="1"/>
  <c r="O73" i="14"/>
  <c r="X73" i="14"/>
  <c r="AG73" i="14"/>
  <c r="AR73" i="14"/>
  <c r="BD73" i="14"/>
  <c r="P75" i="14"/>
  <c r="AB75" i="14"/>
  <c r="AN75" i="14"/>
  <c r="BA75" i="14"/>
  <c r="BM75" i="14"/>
  <c r="P79" i="14"/>
  <c r="AC79" i="14"/>
  <c r="AO79" i="14"/>
  <c r="BD79" i="14"/>
  <c r="BL80" i="14"/>
  <c r="BD80" i="14"/>
  <c r="AV80" i="14"/>
  <c r="AN80" i="14"/>
  <c r="AF80" i="14"/>
  <c r="X80" i="14"/>
  <c r="P80" i="14"/>
  <c r="H80" i="14"/>
  <c r="BI80" i="14"/>
  <c r="BA80" i="14"/>
  <c r="AS80" i="14"/>
  <c r="AK80" i="14"/>
  <c r="AC80" i="14"/>
  <c r="U80" i="14"/>
  <c r="M80" i="14"/>
  <c r="E80" i="14"/>
  <c r="F80" i="14" s="1"/>
  <c r="BJ80" i="14"/>
  <c r="AY80" i="14"/>
  <c r="AO80" i="14"/>
  <c r="AD80" i="14"/>
  <c r="S80" i="14"/>
  <c r="I80" i="14"/>
  <c r="BF80" i="14"/>
  <c r="AU80" i="14"/>
  <c r="AJ80" i="14"/>
  <c r="Z80" i="14"/>
  <c r="O80" i="14"/>
  <c r="Q80" i="14"/>
  <c r="AE80" i="14"/>
  <c r="AR80" i="14"/>
  <c r="BG80" i="14"/>
  <c r="BN83" i="14"/>
  <c r="BF83" i="14"/>
  <c r="AX83" i="14"/>
  <c r="AP83" i="14"/>
  <c r="AH83" i="14"/>
  <c r="Z83" i="14"/>
  <c r="R83" i="14"/>
  <c r="J83" i="14"/>
  <c r="BK83" i="14"/>
  <c r="BC83" i="14"/>
  <c r="AU83" i="14"/>
  <c r="AM83" i="14"/>
  <c r="AE83" i="14"/>
  <c r="W83" i="14"/>
  <c r="O83" i="14"/>
  <c r="G83" i="14"/>
  <c r="BL83" i="14"/>
  <c r="BA83" i="14"/>
  <c r="AQ83" i="14"/>
  <c r="AF83" i="14"/>
  <c r="U83" i="14"/>
  <c r="K83" i="14"/>
  <c r="BJ83" i="14"/>
  <c r="AZ83" i="14"/>
  <c r="AO83" i="14"/>
  <c r="AD83" i="14"/>
  <c r="T83" i="14"/>
  <c r="I83" i="14"/>
  <c r="BI83" i="14"/>
  <c r="AY83" i="14"/>
  <c r="AN83" i="14"/>
  <c r="AC83" i="14"/>
  <c r="S83" i="14"/>
  <c r="H83" i="14"/>
  <c r="BG83" i="14"/>
  <c r="AV83" i="14"/>
  <c r="AK83" i="14"/>
  <c r="AA83" i="14"/>
  <c r="P83" i="14"/>
  <c r="E83" i="14"/>
  <c r="F83" i="14" s="1"/>
  <c r="BE83" i="14"/>
  <c r="AT83" i="14"/>
  <c r="AJ83" i="14"/>
  <c r="Y83" i="14"/>
  <c r="N83" i="14"/>
  <c r="AB83" i="14"/>
  <c r="BD83" i="14"/>
  <c r="BH74" i="14"/>
  <c r="AZ74" i="14"/>
  <c r="AR74" i="14"/>
  <c r="AJ74" i="14"/>
  <c r="AB74" i="14"/>
  <c r="T74" i="14"/>
  <c r="L74" i="14"/>
  <c r="BM74" i="14"/>
  <c r="BE74" i="14"/>
  <c r="AW74" i="14"/>
  <c r="AO74" i="14"/>
  <c r="AG74" i="14"/>
  <c r="Y74" i="14"/>
  <c r="Q74" i="14"/>
  <c r="I74" i="14"/>
  <c r="M74" i="14"/>
  <c r="W74" i="14"/>
  <c r="AH74" i="14"/>
  <c r="AS74" i="14"/>
  <c r="BC74" i="14"/>
  <c r="BN74" i="14"/>
  <c r="G82" i="14"/>
  <c r="R82" i="14"/>
  <c r="AC82" i="14"/>
  <c r="AM82" i="14"/>
  <c r="AX82" i="14"/>
  <c r="BI82" i="14"/>
  <c r="L84" i="14"/>
  <c r="W84" i="14"/>
  <c r="AH84" i="14"/>
  <c r="AR84" i="14"/>
  <c r="BC84" i="14"/>
  <c r="H82" i="14"/>
  <c r="S82" i="14"/>
  <c r="AD82" i="14"/>
  <c r="AN82" i="14"/>
  <c r="AY82" i="14"/>
  <c r="BJ82" i="14"/>
  <c r="BL84" i="14"/>
  <c r="BD84" i="14"/>
  <c r="AV84" i="14"/>
  <c r="AN84" i="14"/>
  <c r="AF84" i="14"/>
  <c r="X84" i="14"/>
  <c r="P84" i="14"/>
  <c r="H84" i="14"/>
  <c r="BI84" i="14"/>
  <c r="BA84" i="14"/>
  <c r="AS84" i="14"/>
  <c r="AK84" i="14"/>
  <c r="AC84" i="14"/>
  <c r="U84" i="14"/>
  <c r="M84" i="14"/>
  <c r="E84" i="14"/>
  <c r="F84" i="14" s="1"/>
  <c r="N84" i="14"/>
  <c r="Y84" i="14"/>
  <c r="AI84" i="14"/>
  <c r="AT84" i="14"/>
  <c r="BE84" i="14"/>
  <c r="K82" i="14"/>
  <c r="V82" i="14"/>
  <c r="AF82" i="14"/>
  <c r="AQ82" i="14"/>
  <c r="BB82" i="14"/>
  <c r="Q84" i="14"/>
  <c r="AA84" i="14"/>
  <c r="AL84" i="14"/>
  <c r="AW84" i="14"/>
  <c r="BG84" i="14"/>
  <c r="BH82" i="14"/>
  <c r="AZ82" i="14"/>
  <c r="AR82" i="14"/>
  <c r="AJ82" i="14"/>
  <c r="AB82" i="14"/>
  <c r="T82" i="14"/>
  <c r="L82" i="14"/>
  <c r="BM82" i="14"/>
  <c r="BE82" i="14"/>
  <c r="AW82" i="14"/>
  <c r="AO82" i="14"/>
  <c r="AG82" i="14"/>
  <c r="Y82" i="14"/>
  <c r="Q82" i="14"/>
  <c r="I82" i="14"/>
  <c r="M82" i="14"/>
  <c r="W82" i="14"/>
  <c r="AH82" i="14"/>
  <c r="AS82" i="14"/>
  <c r="BC82" i="14"/>
  <c r="BN82" i="14"/>
  <c r="N82" i="14"/>
  <c r="X82" i="14"/>
  <c r="AI82" i="14"/>
  <c r="AT82" i="14"/>
  <c r="BD82" i="14"/>
  <c r="K77" i="14"/>
  <c r="S77" i="14"/>
  <c r="AA77" i="14"/>
  <c r="AI77" i="14"/>
  <c r="AQ77" i="14"/>
  <c r="AY77" i="14"/>
  <c r="BG77" i="14"/>
  <c r="K81" i="14"/>
  <c r="S81" i="14"/>
  <c r="AA81" i="14"/>
  <c r="AI81" i="14"/>
  <c r="AQ81" i="14"/>
  <c r="AY81" i="14"/>
  <c r="BG81" i="14"/>
  <c r="K85" i="14"/>
  <c r="S85" i="14"/>
  <c r="AA85" i="14"/>
  <c r="AI85" i="14"/>
  <c r="AQ85" i="14"/>
  <c r="AY85" i="14"/>
  <c r="BG85" i="14"/>
  <c r="I86" i="14"/>
  <c r="Q86" i="14"/>
  <c r="Y86" i="14"/>
  <c r="AG86" i="14"/>
  <c r="AO86" i="14"/>
  <c r="AW86" i="14"/>
  <c r="BE86" i="14"/>
  <c r="BM86" i="14"/>
  <c r="K86" i="14"/>
  <c r="S86" i="14"/>
  <c r="AA86" i="14"/>
  <c r="AI86" i="14"/>
  <c r="AQ86" i="14"/>
  <c r="AY86" i="14"/>
  <c r="BG86" i="14"/>
  <c r="N77" i="14"/>
  <c r="V77" i="14"/>
  <c r="AD77" i="14"/>
  <c r="AL77" i="14"/>
  <c r="AT77" i="14"/>
  <c r="BB77" i="14"/>
  <c r="N81" i="14"/>
  <c r="V81" i="14"/>
  <c r="AD81" i="14"/>
  <c r="AL81" i="14"/>
  <c r="AT81" i="14"/>
  <c r="BB81" i="14"/>
  <c r="N85" i="14"/>
  <c r="V85" i="14"/>
  <c r="AD85" i="14"/>
  <c r="AL85" i="14"/>
  <c r="AT85" i="14"/>
  <c r="BB85" i="14"/>
  <c r="L86" i="14"/>
  <c r="T86" i="14"/>
  <c r="AB86" i="14"/>
  <c r="AJ86" i="14"/>
  <c r="AR86" i="14"/>
  <c r="AZ86" i="14"/>
  <c r="E88" i="28"/>
  <c r="J5" i="4"/>
  <c r="J8" i="4"/>
  <c r="J9" i="6"/>
  <c r="J8" i="6"/>
  <c r="J6" i="4"/>
  <c r="J4" i="6"/>
  <c r="J7" i="6"/>
  <c r="J6" i="6"/>
  <c r="J5" i="6"/>
  <c r="L74" i="5" l="1"/>
  <c r="L74" i="9"/>
  <c r="F74" i="6"/>
  <c r="G74" i="6"/>
  <c r="K74" i="11"/>
  <c r="L74" i="11" s="1"/>
  <c r="G74" i="5"/>
  <c r="H74" i="5"/>
  <c r="F74" i="5"/>
  <c r="O74" i="6"/>
  <c r="E74" i="8"/>
  <c r="K74" i="8"/>
  <c r="L74" i="8" s="1"/>
  <c r="O74" i="4"/>
  <c r="E74" i="10"/>
  <c r="O74" i="10" s="1"/>
  <c r="E74" i="11"/>
  <c r="O74" i="5"/>
  <c r="O74" i="7"/>
  <c r="K74" i="7"/>
  <c r="L74" i="7" s="1"/>
  <c r="H74" i="9"/>
  <c r="F74" i="9"/>
  <c r="O74" i="9"/>
  <c r="M7" i="6"/>
  <c r="G6" i="22"/>
  <c r="E6" i="3"/>
  <c r="G8" i="22"/>
  <c r="E8" i="3"/>
  <c r="M8" i="4"/>
  <c r="G5" i="22"/>
  <c r="E5" i="3"/>
  <c r="M8" i="6"/>
  <c r="M5" i="4"/>
  <c r="G66" i="11"/>
  <c r="F66" i="11"/>
  <c r="H66" i="11"/>
  <c r="G36" i="10"/>
  <c r="H36" i="10"/>
  <c r="F36" i="10"/>
  <c r="G93" i="10"/>
  <c r="F93" i="10"/>
  <c r="H93" i="10"/>
  <c r="G17" i="10"/>
  <c r="H17" i="10"/>
  <c r="F17" i="10"/>
  <c r="F30" i="11"/>
  <c r="H30" i="11"/>
  <c r="G30" i="11"/>
  <c r="F39" i="9"/>
  <c r="H39" i="9"/>
  <c r="G39" i="9"/>
  <c r="H79" i="8"/>
  <c r="F79" i="8"/>
  <c r="G79" i="8"/>
  <c r="H14" i="7"/>
  <c r="G14" i="7"/>
  <c r="F14" i="7"/>
  <c r="H78" i="6"/>
  <c r="G78" i="6"/>
  <c r="F78" i="6"/>
  <c r="E7" i="27"/>
  <c r="K5" i="1"/>
  <c r="B5" i="24" s="1"/>
  <c r="I44" i="26"/>
  <c r="H44" i="26"/>
  <c r="F78" i="4"/>
  <c r="G78" i="4"/>
  <c r="H78" i="4"/>
  <c r="F14" i="4"/>
  <c r="G14" i="4"/>
  <c r="H14" i="4"/>
  <c r="H28" i="10"/>
  <c r="F28" i="10"/>
  <c r="G28" i="10"/>
  <c r="I28" i="26"/>
  <c r="H28" i="26"/>
  <c r="G92" i="5"/>
  <c r="H92" i="5"/>
  <c r="F92" i="5"/>
  <c r="H42" i="26"/>
  <c r="I42" i="26"/>
  <c r="I48" i="26"/>
  <c r="H48" i="26"/>
  <c r="G4" i="8"/>
  <c r="F4" i="8"/>
  <c r="H4" i="8"/>
  <c r="H34" i="7"/>
  <c r="G34" i="7"/>
  <c r="F34" i="7"/>
  <c r="F94" i="11"/>
  <c r="G94" i="11"/>
  <c r="H94" i="11"/>
  <c r="F75" i="11"/>
  <c r="G75" i="11"/>
  <c r="H75" i="11"/>
  <c r="BJ83" i="11"/>
  <c r="AU83" i="11"/>
  <c r="AP83" i="11"/>
  <c r="AD83" i="11"/>
  <c r="BL83" i="11"/>
  <c r="AT83" i="11"/>
  <c r="Z83" i="11"/>
  <c r="Y83" i="11"/>
  <c r="BM99" i="11"/>
  <c r="BL99" i="11"/>
  <c r="BD99" i="11"/>
  <c r="AV99" i="11"/>
  <c r="AN99" i="11"/>
  <c r="AF99" i="11"/>
  <c r="X99" i="11"/>
  <c r="P99" i="11"/>
  <c r="BJ99" i="11"/>
  <c r="BB99" i="11"/>
  <c r="AT99" i="11"/>
  <c r="AL99" i="11"/>
  <c r="AD99" i="11"/>
  <c r="V99" i="11"/>
  <c r="BI99" i="11"/>
  <c r="BA99" i="11"/>
  <c r="AS99" i="11"/>
  <c r="AK99" i="11"/>
  <c r="AC99" i="11"/>
  <c r="U99" i="11"/>
  <c r="BH99" i="11"/>
  <c r="AZ99" i="11"/>
  <c r="AR99" i="11"/>
  <c r="AJ99" i="11"/>
  <c r="AB99" i="11"/>
  <c r="T99" i="11"/>
  <c r="BG99" i="11"/>
  <c r="AQ99" i="11"/>
  <c r="AA99" i="11"/>
  <c r="BF99" i="11"/>
  <c r="AP99" i="11"/>
  <c r="Z99" i="11"/>
  <c r="BE99" i="11"/>
  <c r="AO99" i="11"/>
  <c r="Y99" i="11"/>
  <c r="BC99" i="11"/>
  <c r="AM99" i="11"/>
  <c r="W99" i="11"/>
  <c r="BP99" i="11"/>
  <c r="AY99" i="11"/>
  <c r="AI99" i="11"/>
  <c r="S99" i="11"/>
  <c r="BN99" i="11"/>
  <c r="R99" i="11"/>
  <c r="BK99" i="11"/>
  <c r="Q99" i="11"/>
  <c r="AX99" i="11"/>
  <c r="AW99" i="11"/>
  <c r="AU99" i="11"/>
  <c r="BO99" i="11"/>
  <c r="AH99" i="11"/>
  <c r="AE99" i="11"/>
  <c r="AG99" i="11"/>
  <c r="T100" i="11"/>
  <c r="AF100" i="11"/>
  <c r="AH100" i="11"/>
  <c r="BP100" i="11"/>
  <c r="AN100" i="11"/>
  <c r="BG100" i="11"/>
  <c r="AX83" i="11"/>
  <c r="X83" i="11"/>
  <c r="S83" i="11"/>
  <c r="BC83" i="11"/>
  <c r="BP83" i="11"/>
  <c r="BJ80" i="11"/>
  <c r="BB80" i="11"/>
  <c r="AT80" i="11"/>
  <c r="AL80" i="11"/>
  <c r="AD80" i="11"/>
  <c r="V80" i="11"/>
  <c r="BI80" i="11"/>
  <c r="BA80" i="11"/>
  <c r="AS80" i="11"/>
  <c r="AK80" i="11"/>
  <c r="AC80" i="11"/>
  <c r="U80" i="11"/>
  <c r="BM80" i="11"/>
  <c r="BC80" i="11"/>
  <c r="AQ80" i="11"/>
  <c r="AG80" i="11"/>
  <c r="W80" i="11"/>
  <c r="BK80" i="11"/>
  <c r="AY80" i="11"/>
  <c r="AO80" i="11"/>
  <c r="AE80" i="11"/>
  <c r="S80" i="11"/>
  <c r="BG80" i="11"/>
  <c r="AW80" i="11"/>
  <c r="AM80" i="11"/>
  <c r="AA80" i="11"/>
  <c r="Q80" i="11"/>
  <c r="BN80" i="11"/>
  <c r="AV80" i="11"/>
  <c r="AF80" i="11"/>
  <c r="BL80" i="11"/>
  <c r="AU80" i="11"/>
  <c r="AB80" i="11"/>
  <c r="BH80" i="11"/>
  <c r="AR80" i="11"/>
  <c r="Z80" i="11"/>
  <c r="BF80" i="11"/>
  <c r="AP80" i="11"/>
  <c r="Y80" i="11"/>
  <c r="BE80" i="11"/>
  <c r="AN80" i="11"/>
  <c r="X80" i="11"/>
  <c r="AZ80" i="11"/>
  <c r="AX80" i="11"/>
  <c r="AJ80" i="11"/>
  <c r="AH80" i="11"/>
  <c r="BP80" i="11"/>
  <c r="T80" i="11"/>
  <c r="P80" i="11"/>
  <c r="BO80" i="11"/>
  <c r="BD80" i="11"/>
  <c r="AI80" i="11"/>
  <c r="R80" i="11"/>
  <c r="F49" i="11"/>
  <c r="H49" i="11"/>
  <c r="G49" i="11"/>
  <c r="AN88" i="11"/>
  <c r="BL88" i="11"/>
  <c r="W88" i="11"/>
  <c r="BE88" i="11"/>
  <c r="Q88" i="11"/>
  <c r="AS88" i="11"/>
  <c r="BJ88" i="11"/>
  <c r="H13" i="11"/>
  <c r="G13" i="11"/>
  <c r="F13" i="11"/>
  <c r="H47" i="11"/>
  <c r="G47" i="11"/>
  <c r="F47" i="11"/>
  <c r="BL90" i="11"/>
  <c r="BD90" i="11"/>
  <c r="AV90" i="11"/>
  <c r="AN90" i="11"/>
  <c r="AF90" i="11"/>
  <c r="X90" i="11"/>
  <c r="P90" i="11"/>
  <c r="BK90" i="11"/>
  <c r="BC90" i="11"/>
  <c r="AU90" i="11"/>
  <c r="AM90" i="11"/>
  <c r="AE90" i="11"/>
  <c r="W90" i="11"/>
  <c r="BJ90" i="11"/>
  <c r="AZ90" i="11"/>
  <c r="AP90" i="11"/>
  <c r="AD90" i="11"/>
  <c r="T90" i="11"/>
  <c r="BI90" i="11"/>
  <c r="AY90" i="11"/>
  <c r="AO90" i="11"/>
  <c r="AC90" i="11"/>
  <c r="S90" i="11"/>
  <c r="BH90" i="11"/>
  <c r="AX90" i="11"/>
  <c r="AL90" i="11"/>
  <c r="AB90" i="11"/>
  <c r="R90" i="11"/>
  <c r="BP90" i="11"/>
  <c r="BF90" i="11"/>
  <c r="AT90" i="11"/>
  <c r="AJ90" i="11"/>
  <c r="Z90" i="11"/>
  <c r="BE90" i="11"/>
  <c r="AI90" i="11"/>
  <c r="BB90" i="11"/>
  <c r="AH90" i="11"/>
  <c r="BA90" i="11"/>
  <c r="AG90" i="11"/>
  <c r="AW90" i="11"/>
  <c r="AA90" i="11"/>
  <c r="BO90" i="11"/>
  <c r="AS90" i="11"/>
  <c r="Y90" i="11"/>
  <c r="AR90" i="11"/>
  <c r="AQ90" i="11"/>
  <c r="AK90" i="11"/>
  <c r="U90" i="11"/>
  <c r="BN90" i="11"/>
  <c r="Q90" i="11"/>
  <c r="BG90" i="11"/>
  <c r="V90" i="11"/>
  <c r="BM90" i="11"/>
  <c r="H39" i="11"/>
  <c r="G39" i="11"/>
  <c r="F39" i="11"/>
  <c r="O56" i="11"/>
  <c r="K56" i="11"/>
  <c r="L56" i="11" s="1"/>
  <c r="O32" i="11"/>
  <c r="K32" i="11"/>
  <c r="L32" i="11" s="1"/>
  <c r="O13" i="11"/>
  <c r="O46" i="11"/>
  <c r="G35" i="11"/>
  <c r="F35" i="11"/>
  <c r="H35" i="11"/>
  <c r="H51" i="11"/>
  <c r="G51" i="11"/>
  <c r="F51" i="11"/>
  <c r="K50" i="11"/>
  <c r="L50" i="11" s="1"/>
  <c r="G68" i="10"/>
  <c r="F68" i="10"/>
  <c r="H68" i="10"/>
  <c r="O52" i="10"/>
  <c r="O23" i="11"/>
  <c r="G72" i="10"/>
  <c r="F72" i="10"/>
  <c r="H72" i="10"/>
  <c r="O56" i="10"/>
  <c r="F96" i="9"/>
  <c r="H96" i="9"/>
  <c r="G96" i="9"/>
  <c r="G77" i="10"/>
  <c r="H77" i="10"/>
  <c r="F77" i="10"/>
  <c r="O60" i="10"/>
  <c r="K64" i="10"/>
  <c r="L64" i="10" s="1"/>
  <c r="H12" i="10"/>
  <c r="F12" i="10"/>
  <c r="G12" i="10"/>
  <c r="K46" i="9"/>
  <c r="L46" i="9" s="1"/>
  <c r="O53" i="9"/>
  <c r="H28" i="9"/>
  <c r="G28" i="9"/>
  <c r="F28" i="9"/>
  <c r="H20" i="9"/>
  <c r="G20" i="9"/>
  <c r="F20" i="9"/>
  <c r="H12" i="9"/>
  <c r="G12" i="9"/>
  <c r="F12" i="9"/>
  <c r="H4" i="9"/>
  <c r="G4" i="9"/>
  <c r="F4" i="9"/>
  <c r="H13" i="9"/>
  <c r="G13" i="9"/>
  <c r="F13" i="9"/>
  <c r="H100" i="8"/>
  <c r="G100" i="8"/>
  <c r="F100" i="8"/>
  <c r="O16" i="10"/>
  <c r="K68" i="8"/>
  <c r="L68" i="8" s="1"/>
  <c r="H28" i="8"/>
  <c r="G28" i="8"/>
  <c r="F28" i="8"/>
  <c r="O51" i="9"/>
  <c r="K51" i="9"/>
  <c r="L51" i="9" s="1"/>
  <c r="O36" i="9"/>
  <c r="K36" i="9"/>
  <c r="L36" i="9" s="1"/>
  <c r="O34" i="9"/>
  <c r="K34" i="9"/>
  <c r="L34" i="9" s="1"/>
  <c r="H102" i="8"/>
  <c r="G102" i="8"/>
  <c r="F102" i="8"/>
  <c r="K32" i="8"/>
  <c r="L32" i="8" s="1"/>
  <c r="H74" i="7"/>
  <c r="F74" i="7"/>
  <c r="G74" i="7"/>
  <c r="K7" i="7"/>
  <c r="L7" i="7" s="1"/>
  <c r="F95" i="9"/>
  <c r="H95" i="9"/>
  <c r="G95" i="9"/>
  <c r="H60" i="9"/>
  <c r="G60" i="9"/>
  <c r="F60" i="9"/>
  <c r="H43" i="8"/>
  <c r="F43" i="8"/>
  <c r="G43" i="8"/>
  <c r="G65" i="10"/>
  <c r="H65" i="10"/>
  <c r="F65" i="10"/>
  <c r="L17" i="8"/>
  <c r="H52" i="8"/>
  <c r="G52" i="8"/>
  <c r="F52" i="8"/>
  <c r="H19" i="8"/>
  <c r="F19" i="8"/>
  <c r="G19" i="8"/>
  <c r="K16" i="8"/>
  <c r="L16" i="8" s="1"/>
  <c r="H96" i="5"/>
  <c r="G96" i="5"/>
  <c r="F96" i="5"/>
  <c r="H23" i="8"/>
  <c r="F23" i="8"/>
  <c r="G23" i="8"/>
  <c r="O67" i="7"/>
  <c r="H27" i="8"/>
  <c r="F27" i="8"/>
  <c r="G27" i="8"/>
  <c r="F9" i="7"/>
  <c r="H9" i="7"/>
  <c r="G9" i="7"/>
  <c r="O12" i="9"/>
  <c r="H62" i="7"/>
  <c r="F62" i="7"/>
  <c r="G62" i="7"/>
  <c r="G91" i="7"/>
  <c r="H91" i="7"/>
  <c r="F91" i="7"/>
  <c r="O66" i="7"/>
  <c r="G63" i="7"/>
  <c r="H63" i="7"/>
  <c r="F63" i="7"/>
  <c r="G4" i="6"/>
  <c r="F4" i="6"/>
  <c r="H4" i="6"/>
  <c r="F6" i="27"/>
  <c r="O6" i="27"/>
  <c r="K28" i="5"/>
  <c r="L28" i="5" s="1"/>
  <c r="I11" i="26"/>
  <c r="H11" i="26"/>
  <c r="H20" i="8"/>
  <c r="G20" i="8"/>
  <c r="F20" i="8"/>
  <c r="H26" i="7"/>
  <c r="G26" i="7"/>
  <c r="F26" i="7"/>
  <c r="F69" i="6"/>
  <c r="H69" i="6"/>
  <c r="G69" i="6"/>
  <c r="F11" i="5"/>
  <c r="G11" i="5"/>
  <c r="H11" i="5"/>
  <c r="F98" i="4"/>
  <c r="G98" i="4"/>
  <c r="H98" i="4"/>
  <c r="F66" i="4"/>
  <c r="G66" i="4"/>
  <c r="H66" i="4"/>
  <c r="F34" i="4"/>
  <c r="G34" i="4"/>
  <c r="H34" i="4"/>
  <c r="I9" i="26"/>
  <c r="H9" i="26"/>
  <c r="H36" i="26"/>
  <c r="I36" i="26"/>
  <c r="H98" i="7"/>
  <c r="G98" i="7"/>
  <c r="F98" i="7"/>
  <c r="H78" i="7"/>
  <c r="G78" i="7"/>
  <c r="F78" i="7"/>
  <c r="F29" i="6"/>
  <c r="H29" i="6"/>
  <c r="G29" i="6"/>
  <c r="F17" i="6"/>
  <c r="H17" i="6"/>
  <c r="G17" i="6"/>
  <c r="G99" i="5"/>
  <c r="H99" i="5"/>
  <c r="F99" i="5"/>
  <c r="L70" i="5"/>
  <c r="H23" i="5"/>
  <c r="G23" i="5"/>
  <c r="F23" i="5"/>
  <c r="I64" i="26"/>
  <c r="H64" i="26"/>
  <c r="F65" i="6"/>
  <c r="H65" i="6"/>
  <c r="G65" i="6"/>
  <c r="G49" i="5"/>
  <c r="H49" i="5"/>
  <c r="F49" i="5"/>
  <c r="H16" i="5"/>
  <c r="G16" i="5"/>
  <c r="F16" i="5"/>
  <c r="H4" i="5"/>
  <c r="G4" i="5"/>
  <c r="F4" i="5"/>
  <c r="H91" i="4"/>
  <c r="G91" i="4"/>
  <c r="F91" i="4"/>
  <c r="H67" i="4"/>
  <c r="G67" i="4"/>
  <c r="F67" i="4"/>
  <c r="G36" i="6"/>
  <c r="F36" i="6"/>
  <c r="H36" i="6"/>
  <c r="L62" i="4"/>
  <c r="O50" i="4"/>
  <c r="L30" i="4"/>
  <c r="O18" i="4"/>
  <c r="H18" i="26"/>
  <c r="I18" i="26"/>
  <c r="O43" i="4"/>
  <c r="K43" i="7"/>
  <c r="L43" i="7" s="1"/>
  <c r="H18" i="7"/>
  <c r="F18" i="7"/>
  <c r="G18" i="7"/>
  <c r="F89" i="6"/>
  <c r="H89" i="6"/>
  <c r="G89" i="6"/>
  <c r="G12" i="6"/>
  <c r="F12" i="6"/>
  <c r="H12" i="6"/>
  <c r="H61" i="26"/>
  <c r="I61" i="26"/>
  <c r="O47" i="4"/>
  <c r="O11" i="4"/>
  <c r="K13" i="6"/>
  <c r="L13" i="6" s="1"/>
  <c r="K67" i="5"/>
  <c r="L67" i="5" s="1"/>
  <c r="G43" i="11"/>
  <c r="F43" i="11"/>
  <c r="H43" i="11"/>
  <c r="G89" i="10"/>
  <c r="F89" i="10"/>
  <c r="H89" i="10"/>
  <c r="G5" i="10"/>
  <c r="F5" i="10"/>
  <c r="H5" i="10"/>
  <c r="G23" i="11"/>
  <c r="F23" i="11"/>
  <c r="H23" i="11"/>
  <c r="G33" i="10"/>
  <c r="H33" i="10"/>
  <c r="F33" i="10"/>
  <c r="F101" i="9"/>
  <c r="H101" i="9"/>
  <c r="G101" i="9"/>
  <c r="F53" i="9"/>
  <c r="H53" i="9"/>
  <c r="G53" i="9"/>
  <c r="H95" i="8"/>
  <c r="F95" i="8"/>
  <c r="G95" i="8"/>
  <c r="H87" i="8"/>
  <c r="F87" i="8"/>
  <c r="G87" i="8"/>
  <c r="H71" i="8"/>
  <c r="F71" i="8"/>
  <c r="G71" i="8"/>
  <c r="F77" i="9"/>
  <c r="H77" i="9"/>
  <c r="G77" i="9"/>
  <c r="O43" i="9"/>
  <c r="K43" i="9"/>
  <c r="L43" i="9" s="1"/>
  <c r="H63" i="8"/>
  <c r="F63" i="8"/>
  <c r="G63" i="8"/>
  <c r="G95" i="7"/>
  <c r="H95" i="7"/>
  <c r="F95" i="7"/>
  <c r="H90" i="9"/>
  <c r="F90" i="9"/>
  <c r="G90" i="9"/>
  <c r="H64" i="8"/>
  <c r="G64" i="8"/>
  <c r="F64" i="8"/>
  <c r="G8" i="8"/>
  <c r="H8" i="8"/>
  <c r="F8" i="8"/>
  <c r="H82" i="9"/>
  <c r="G82" i="9"/>
  <c r="F82" i="9"/>
  <c r="H47" i="8"/>
  <c r="F47" i="8"/>
  <c r="G47" i="8"/>
  <c r="G67" i="7"/>
  <c r="F67" i="7"/>
  <c r="H67" i="7"/>
  <c r="H55" i="8"/>
  <c r="F55" i="8"/>
  <c r="G55" i="8"/>
  <c r="I38" i="26"/>
  <c r="H38" i="26"/>
  <c r="I14" i="26"/>
  <c r="H14" i="26"/>
  <c r="H10" i="6"/>
  <c r="G10" i="6"/>
  <c r="F10" i="6"/>
  <c r="O41" i="6"/>
  <c r="K41" i="6"/>
  <c r="L41" i="6" s="1"/>
  <c r="G69" i="5"/>
  <c r="F69" i="5"/>
  <c r="H69" i="5"/>
  <c r="F46" i="4"/>
  <c r="G46" i="4"/>
  <c r="H46" i="4"/>
  <c r="I49" i="26"/>
  <c r="H49" i="26"/>
  <c r="H25" i="26"/>
  <c r="I25" i="26"/>
  <c r="F56" i="5"/>
  <c r="H56" i="5"/>
  <c r="G56" i="5"/>
  <c r="F37" i="6"/>
  <c r="H37" i="6"/>
  <c r="G37" i="6"/>
  <c r="K42" i="6"/>
  <c r="L42" i="6" s="1"/>
  <c r="H68" i="5"/>
  <c r="G68" i="5"/>
  <c r="F68" i="5"/>
  <c r="H79" i="4"/>
  <c r="G79" i="4"/>
  <c r="F79" i="4"/>
  <c r="H55" i="4"/>
  <c r="G55" i="4"/>
  <c r="F55" i="4"/>
  <c r="H31" i="4"/>
  <c r="G31" i="4"/>
  <c r="F31" i="4"/>
  <c r="H19" i="4"/>
  <c r="G19" i="4"/>
  <c r="F19" i="4"/>
  <c r="F61" i="6"/>
  <c r="H61" i="6"/>
  <c r="G61" i="6"/>
  <c r="O5" i="7"/>
  <c r="K5" i="7"/>
  <c r="L5" i="7" s="1"/>
  <c r="D12" i="13" s="1"/>
  <c r="F8" i="24" s="1"/>
  <c r="O29" i="5"/>
  <c r="K29" i="5"/>
  <c r="L29" i="5" s="1"/>
  <c r="F49" i="6"/>
  <c r="H49" i="6"/>
  <c r="G49" i="6"/>
  <c r="H50" i="7"/>
  <c r="F50" i="7"/>
  <c r="G50" i="7"/>
  <c r="K43" i="5"/>
  <c r="L43" i="5" s="1"/>
  <c r="O43" i="5"/>
  <c r="G11" i="7"/>
  <c r="H11" i="7"/>
  <c r="F11" i="7"/>
  <c r="H34" i="6"/>
  <c r="G34" i="6"/>
  <c r="F34" i="6"/>
  <c r="G100" i="11"/>
  <c r="H100" i="11"/>
  <c r="F100" i="11"/>
  <c r="H83" i="11"/>
  <c r="F83" i="11"/>
  <c r="G83" i="11"/>
  <c r="AM100" i="11"/>
  <c r="BM96" i="11"/>
  <c r="BE96" i="11"/>
  <c r="AW96" i="11"/>
  <c r="AO96" i="11"/>
  <c r="AG96" i="11"/>
  <c r="Y96" i="11"/>
  <c r="Q96" i="11"/>
  <c r="BJ96" i="11"/>
  <c r="BB96" i="11"/>
  <c r="AT96" i="11"/>
  <c r="AL96" i="11"/>
  <c r="AD96" i="11"/>
  <c r="V96" i="11"/>
  <c r="BI96" i="11"/>
  <c r="BA96" i="11"/>
  <c r="AS96" i="11"/>
  <c r="AK96" i="11"/>
  <c r="AC96" i="11"/>
  <c r="U96" i="11"/>
  <c r="BK96" i="11"/>
  <c r="AX96" i="11"/>
  <c r="AJ96" i="11"/>
  <c r="X96" i="11"/>
  <c r="BH96" i="11"/>
  <c r="AV96" i="11"/>
  <c r="AI96" i="11"/>
  <c r="W96" i="11"/>
  <c r="BG96" i="11"/>
  <c r="AU96" i="11"/>
  <c r="AH96" i="11"/>
  <c r="T96" i="11"/>
  <c r="BF96" i="11"/>
  <c r="AR96" i="11"/>
  <c r="AF96" i="11"/>
  <c r="S96" i="11"/>
  <c r="BP96" i="11"/>
  <c r="BD96" i="11"/>
  <c r="AQ96" i="11"/>
  <c r="AE96" i="11"/>
  <c r="R96" i="11"/>
  <c r="BO96" i="11"/>
  <c r="AM96" i="11"/>
  <c r="BN96" i="11"/>
  <c r="AB96" i="11"/>
  <c r="BL96" i="11"/>
  <c r="AA96" i="11"/>
  <c r="BC96" i="11"/>
  <c r="Z96" i="11"/>
  <c r="AZ96" i="11"/>
  <c r="P96" i="11"/>
  <c r="AP96" i="11"/>
  <c r="AN96" i="11"/>
  <c r="AY96" i="11"/>
  <c r="AY75" i="11"/>
  <c r="AN75" i="11"/>
  <c r="BN75" i="11"/>
  <c r="Z75" i="11"/>
  <c r="BM75" i="11"/>
  <c r="X75" i="11"/>
  <c r="BC75" i="11"/>
  <c r="BB75" i="11"/>
  <c r="AL75" i="11"/>
  <c r="W75" i="11"/>
  <c r="AW100" i="11"/>
  <c r="BK100" i="11"/>
  <c r="AS100" i="11"/>
  <c r="P100" i="11"/>
  <c r="AX100" i="11"/>
  <c r="BO100" i="11"/>
  <c r="BO83" i="11"/>
  <c r="AN83" i="11"/>
  <c r="AE83" i="11"/>
  <c r="BM83" i="11"/>
  <c r="U83" i="11"/>
  <c r="AP75" i="11"/>
  <c r="AT75" i="11"/>
  <c r="AX75" i="11"/>
  <c r="AA75" i="11"/>
  <c r="AZ75" i="11"/>
  <c r="BI75" i="11"/>
  <c r="O41" i="11"/>
  <c r="AZ88" i="11"/>
  <c r="X88" i="11"/>
  <c r="AG88" i="11"/>
  <c r="BO88" i="11"/>
  <c r="AA88" i="11"/>
  <c r="F78" i="11"/>
  <c r="H78" i="11"/>
  <c r="G78" i="11"/>
  <c r="O47" i="11"/>
  <c r="F25" i="11"/>
  <c r="H25" i="11"/>
  <c r="G25" i="11"/>
  <c r="K46" i="11"/>
  <c r="L46" i="11" s="1"/>
  <c r="K18" i="11"/>
  <c r="L18" i="11" s="1"/>
  <c r="D16" i="13" s="1"/>
  <c r="F12" i="24" s="1"/>
  <c r="H20" i="11"/>
  <c r="G20" i="11"/>
  <c r="F20" i="11"/>
  <c r="H92" i="10"/>
  <c r="F92" i="10"/>
  <c r="G92" i="10"/>
  <c r="K52" i="10"/>
  <c r="L52" i="10" s="1"/>
  <c r="G37" i="10"/>
  <c r="F37" i="10"/>
  <c r="H37" i="10"/>
  <c r="K56" i="10"/>
  <c r="L56" i="10" s="1"/>
  <c r="G41" i="10"/>
  <c r="F41" i="10"/>
  <c r="H41" i="10"/>
  <c r="H96" i="10"/>
  <c r="G96" i="10"/>
  <c r="F96" i="10"/>
  <c r="H84" i="10"/>
  <c r="G84" i="10"/>
  <c r="F84" i="10"/>
  <c r="K60" i="10"/>
  <c r="L60" i="10" s="1"/>
  <c r="K73" i="9"/>
  <c r="L73" i="9" s="1"/>
  <c r="H64" i="9"/>
  <c r="F64" i="9"/>
  <c r="G64" i="9"/>
  <c r="L69" i="10"/>
  <c r="H72" i="9"/>
  <c r="F72" i="9"/>
  <c r="O72" i="9"/>
  <c r="G72" i="9"/>
  <c r="K53" i="9"/>
  <c r="L53" i="9" s="1"/>
  <c r="H94" i="9"/>
  <c r="G94" i="9"/>
  <c r="F94" i="9"/>
  <c r="H25" i="9"/>
  <c r="G25" i="9"/>
  <c r="F25" i="9"/>
  <c r="K16" i="10"/>
  <c r="L16" i="10" s="1"/>
  <c r="K64" i="9"/>
  <c r="L64" i="9" s="1"/>
  <c r="G61" i="10"/>
  <c r="H61" i="10"/>
  <c r="F61" i="10"/>
  <c r="O64" i="8"/>
  <c r="H39" i="8"/>
  <c r="F39" i="8"/>
  <c r="G39" i="8"/>
  <c r="O8" i="8"/>
  <c r="H32" i="10"/>
  <c r="G32" i="10"/>
  <c r="F32" i="10"/>
  <c r="O23" i="8"/>
  <c r="O29" i="7"/>
  <c r="K29" i="7"/>
  <c r="L29" i="7" s="1"/>
  <c r="K67" i="7"/>
  <c r="L67" i="7" s="1"/>
  <c r="O30" i="7"/>
  <c r="K30" i="7"/>
  <c r="L30" i="7" s="1"/>
  <c r="F77" i="6"/>
  <c r="H77" i="6"/>
  <c r="G77" i="6"/>
  <c r="K23" i="7"/>
  <c r="L23" i="7" s="1"/>
  <c r="G99" i="7"/>
  <c r="H99" i="7"/>
  <c r="F99" i="7"/>
  <c r="K31" i="7"/>
  <c r="L31" i="7" s="1"/>
  <c r="F79" i="5"/>
  <c r="H79" i="5"/>
  <c r="G79" i="5"/>
  <c r="H48" i="5"/>
  <c r="G48" i="5"/>
  <c r="F48" i="5"/>
  <c r="I70" i="26"/>
  <c r="H70" i="26"/>
  <c r="I46" i="26"/>
  <c r="H46" i="26"/>
  <c r="G65" i="9"/>
  <c r="H65" i="9"/>
  <c r="F65" i="9"/>
  <c r="K49" i="7"/>
  <c r="L49" i="7" s="1"/>
  <c r="H6" i="7"/>
  <c r="F6" i="7"/>
  <c r="G6" i="7"/>
  <c r="O6" i="7"/>
  <c r="H80" i="6"/>
  <c r="F80" i="6"/>
  <c r="G80" i="6"/>
  <c r="F53" i="6"/>
  <c r="H53" i="6"/>
  <c r="G53" i="6"/>
  <c r="G67" i="5"/>
  <c r="F67" i="5"/>
  <c r="H67" i="5"/>
  <c r="H59" i="5"/>
  <c r="G59" i="5"/>
  <c r="F59" i="5"/>
  <c r="F86" i="4"/>
  <c r="G86" i="4"/>
  <c r="H86" i="4"/>
  <c r="F54" i="4"/>
  <c r="G54" i="4"/>
  <c r="H54" i="4"/>
  <c r="F22" i="4"/>
  <c r="H22" i="4"/>
  <c r="G22" i="4"/>
  <c r="I31" i="26"/>
  <c r="H31" i="26"/>
  <c r="H90" i="7"/>
  <c r="F90" i="7"/>
  <c r="G90" i="7"/>
  <c r="O56" i="5"/>
  <c r="H42" i="6"/>
  <c r="G42" i="6"/>
  <c r="F42" i="6"/>
  <c r="F5" i="6"/>
  <c r="H5" i="6"/>
  <c r="G5" i="6"/>
  <c r="O69" i="5"/>
  <c r="K69" i="5"/>
  <c r="L69" i="5" s="1"/>
  <c r="K44" i="5"/>
  <c r="L44" i="5" s="1"/>
  <c r="H51" i="4"/>
  <c r="G51" i="4"/>
  <c r="F51" i="4"/>
  <c r="H39" i="4"/>
  <c r="G39" i="4"/>
  <c r="F39" i="4"/>
  <c r="H15" i="4"/>
  <c r="G15" i="4"/>
  <c r="F15" i="4"/>
  <c r="O45" i="6"/>
  <c r="K45" i="6"/>
  <c r="L45" i="6" s="1"/>
  <c r="L18" i="6"/>
  <c r="H100" i="5"/>
  <c r="G100" i="5"/>
  <c r="F100" i="5"/>
  <c r="G32" i="5"/>
  <c r="F32" i="5"/>
  <c r="H32" i="5"/>
  <c r="O7" i="5"/>
  <c r="O62" i="4"/>
  <c r="O30" i="4"/>
  <c r="H26" i="26"/>
  <c r="I26" i="26"/>
  <c r="H45" i="26"/>
  <c r="I45" i="26"/>
  <c r="H29" i="26"/>
  <c r="I29" i="26"/>
  <c r="O12" i="6"/>
  <c r="K23" i="4"/>
  <c r="L23" i="4" s="1"/>
  <c r="K24" i="8"/>
  <c r="L24" i="8" s="1"/>
  <c r="O4" i="8"/>
  <c r="H94" i="7"/>
  <c r="G94" i="7"/>
  <c r="F94" i="7"/>
  <c r="O57" i="7"/>
  <c r="K49" i="5"/>
  <c r="L49" i="5" s="1"/>
  <c r="O49" i="5"/>
  <c r="O16" i="5"/>
  <c r="O31" i="4"/>
  <c r="O7" i="4"/>
  <c r="P5" i="27"/>
  <c r="Q5" i="27" s="1"/>
  <c r="O11" i="7"/>
  <c r="K16" i="5"/>
  <c r="L16" i="5" s="1"/>
  <c r="O63" i="4"/>
  <c r="K47" i="4"/>
  <c r="L47" i="4" s="1"/>
  <c r="K27" i="5"/>
  <c r="L27" i="5" s="1"/>
  <c r="BP78" i="11"/>
  <c r="BH78" i="11"/>
  <c r="AZ78" i="11"/>
  <c r="AR78" i="11"/>
  <c r="AJ78" i="11"/>
  <c r="AB78" i="11"/>
  <c r="T78" i="11"/>
  <c r="BO78" i="11"/>
  <c r="BG78" i="11"/>
  <c r="AY78" i="11"/>
  <c r="AQ78" i="11"/>
  <c r="AI78" i="11"/>
  <c r="AA78" i="11"/>
  <c r="S78" i="11"/>
  <c r="BI78" i="11"/>
  <c r="AW78" i="11"/>
  <c r="AM78" i="11"/>
  <c r="AC78" i="11"/>
  <c r="Q78" i="11"/>
  <c r="BE78" i="11"/>
  <c r="AU78" i="11"/>
  <c r="AK78" i="11"/>
  <c r="Y78" i="11"/>
  <c r="BM78" i="11"/>
  <c r="BC78" i="11"/>
  <c r="AS78" i="11"/>
  <c r="AG78" i="11"/>
  <c r="W78" i="11"/>
  <c r="BN78" i="11"/>
  <c r="AX78" i="11"/>
  <c r="AF78" i="11"/>
  <c r="P78" i="11"/>
  <c r="BL78" i="11"/>
  <c r="AV78" i="11"/>
  <c r="AE78" i="11"/>
  <c r="BK78" i="11"/>
  <c r="AT78" i="11"/>
  <c r="AD78" i="11"/>
  <c r="BJ78" i="11"/>
  <c r="AP78" i="11"/>
  <c r="Z78" i="11"/>
  <c r="BF78" i="11"/>
  <c r="AO78" i="11"/>
  <c r="X78" i="11"/>
  <c r="AL78" i="11"/>
  <c r="AH78" i="11"/>
  <c r="V78" i="11"/>
  <c r="BD78" i="11"/>
  <c r="R78" i="11"/>
  <c r="BB78" i="11"/>
  <c r="AN78" i="11"/>
  <c r="U78" i="11"/>
  <c r="BA78" i="11"/>
  <c r="K67" i="11"/>
  <c r="L67" i="11" s="1"/>
  <c r="H62" i="11"/>
  <c r="G62" i="11"/>
  <c r="F62" i="11"/>
  <c r="K47" i="11"/>
  <c r="L47" i="11" s="1"/>
  <c r="O39" i="11"/>
  <c r="H32" i="11"/>
  <c r="G32" i="11"/>
  <c r="F32" i="11"/>
  <c r="H31" i="11"/>
  <c r="G31" i="11"/>
  <c r="F31" i="11"/>
  <c r="K35" i="11"/>
  <c r="L35" i="11" s="1"/>
  <c r="O25" i="11"/>
  <c r="K51" i="11"/>
  <c r="L51" i="11" s="1"/>
  <c r="H80" i="10"/>
  <c r="F80" i="10"/>
  <c r="G80" i="10"/>
  <c r="G69" i="10"/>
  <c r="F69" i="10"/>
  <c r="H69" i="10"/>
  <c r="G20" i="10"/>
  <c r="H20" i="10"/>
  <c r="F20" i="10"/>
  <c r="K4" i="10"/>
  <c r="L4" i="10" s="1"/>
  <c r="K23" i="11"/>
  <c r="L23" i="11" s="1"/>
  <c r="O20" i="11"/>
  <c r="G73" i="10"/>
  <c r="F73" i="10"/>
  <c r="H73" i="10"/>
  <c r="G24" i="10"/>
  <c r="F24" i="10"/>
  <c r="H24" i="10"/>
  <c r="G5" i="11"/>
  <c r="F5" i="11"/>
  <c r="H5" i="11"/>
  <c r="O33" i="10"/>
  <c r="K21" i="9"/>
  <c r="L21" i="9" s="1"/>
  <c r="K13" i="9"/>
  <c r="L13" i="9" s="1"/>
  <c r="K5" i="9"/>
  <c r="L5" i="9" s="1"/>
  <c r="D14" i="13" s="1"/>
  <c r="F10" i="24" s="1"/>
  <c r="L27" i="10"/>
  <c r="O17" i="10"/>
  <c r="H84" i="9"/>
  <c r="G84" i="9"/>
  <c r="F84" i="9"/>
  <c r="H5" i="9"/>
  <c r="G5" i="9"/>
  <c r="F5" i="9"/>
  <c r="H88" i="8"/>
  <c r="G88" i="8"/>
  <c r="F88" i="8"/>
  <c r="L33" i="8"/>
  <c r="O28" i="8"/>
  <c r="G83" i="7"/>
  <c r="F83" i="7"/>
  <c r="H83" i="7"/>
  <c r="G49" i="10"/>
  <c r="H49" i="10"/>
  <c r="F49" i="10"/>
  <c r="H100" i="9"/>
  <c r="G100" i="9"/>
  <c r="F100" i="9"/>
  <c r="L69" i="8"/>
  <c r="H35" i="8"/>
  <c r="F35" i="8"/>
  <c r="G35" i="8"/>
  <c r="H42" i="7"/>
  <c r="O42" i="7"/>
  <c r="F42" i="7"/>
  <c r="G42" i="7"/>
  <c r="G49" i="9"/>
  <c r="F49" i="9"/>
  <c r="H49" i="9"/>
  <c r="H80" i="8"/>
  <c r="G80" i="8"/>
  <c r="F80" i="8"/>
  <c r="H44" i="8"/>
  <c r="G44" i="8"/>
  <c r="F44" i="8"/>
  <c r="O52" i="8"/>
  <c r="O19" i="8"/>
  <c r="G27" i="7"/>
  <c r="H27" i="7"/>
  <c r="F27" i="7"/>
  <c r="O27" i="8"/>
  <c r="H84" i="8"/>
  <c r="G84" i="8"/>
  <c r="F84" i="8"/>
  <c r="L29" i="8"/>
  <c r="O21" i="7"/>
  <c r="K21" i="7"/>
  <c r="L21" i="7" s="1"/>
  <c r="L57" i="8"/>
  <c r="K11" i="8"/>
  <c r="L11" i="8" s="1"/>
  <c r="D13" i="13" s="1"/>
  <c r="F9" i="24" s="1"/>
  <c r="F61" i="7"/>
  <c r="G61" i="7"/>
  <c r="H61" i="7"/>
  <c r="K59" i="7"/>
  <c r="L59" i="7" s="1"/>
  <c r="F93" i="6"/>
  <c r="H93" i="6"/>
  <c r="G93" i="6"/>
  <c r="H50" i="6"/>
  <c r="G50" i="6"/>
  <c r="F50" i="6"/>
  <c r="F13" i="6"/>
  <c r="H13" i="6"/>
  <c r="G13" i="6"/>
  <c r="G53" i="5"/>
  <c r="F53" i="5"/>
  <c r="H53" i="5"/>
  <c r="K37" i="5"/>
  <c r="L37" i="5" s="1"/>
  <c r="I22" i="26"/>
  <c r="H22" i="26"/>
  <c r="I32" i="26"/>
  <c r="H32" i="26"/>
  <c r="I35" i="26"/>
  <c r="H35" i="26"/>
  <c r="O55" i="8"/>
  <c r="O20" i="8"/>
  <c r="F69" i="7"/>
  <c r="H69" i="7"/>
  <c r="G69" i="7"/>
  <c r="L63" i="6"/>
  <c r="F41" i="6"/>
  <c r="H41" i="6"/>
  <c r="G41" i="6"/>
  <c r="H26" i="6"/>
  <c r="G26" i="6"/>
  <c r="F26" i="6"/>
  <c r="F88" i="5"/>
  <c r="G88" i="5"/>
  <c r="H88" i="5"/>
  <c r="L73" i="5"/>
  <c r="H36" i="5"/>
  <c r="G36" i="5"/>
  <c r="F36" i="5"/>
  <c r="F19" i="5"/>
  <c r="G19" i="5"/>
  <c r="H19" i="5"/>
  <c r="F74" i="4"/>
  <c r="G74" i="4"/>
  <c r="H74" i="4"/>
  <c r="F42" i="4"/>
  <c r="G42" i="4"/>
  <c r="H42" i="4"/>
  <c r="F10" i="4"/>
  <c r="H10" i="4"/>
  <c r="G10" i="4"/>
  <c r="P6" i="27"/>
  <c r="G6" i="27"/>
  <c r="I57" i="26"/>
  <c r="H57" i="26"/>
  <c r="I33" i="26"/>
  <c r="H33" i="26"/>
  <c r="I55" i="26"/>
  <c r="H55" i="26"/>
  <c r="I7" i="26"/>
  <c r="H7" i="26"/>
  <c r="I59" i="26"/>
  <c r="H59" i="26"/>
  <c r="I63" i="26"/>
  <c r="H63" i="26"/>
  <c r="H96" i="6"/>
  <c r="G96" i="6"/>
  <c r="F96" i="6"/>
  <c r="H63" i="5"/>
  <c r="G63" i="5"/>
  <c r="F63" i="5"/>
  <c r="H43" i="5"/>
  <c r="G43" i="5"/>
  <c r="F43" i="5"/>
  <c r="H12" i="5"/>
  <c r="G12" i="5"/>
  <c r="F12" i="5"/>
  <c r="H75" i="4"/>
  <c r="G75" i="4"/>
  <c r="F75" i="4"/>
  <c r="H27" i="4"/>
  <c r="G27" i="4"/>
  <c r="F27" i="4"/>
  <c r="K70" i="7"/>
  <c r="L70" i="7" s="1"/>
  <c r="H98" i="6"/>
  <c r="G98" i="6"/>
  <c r="F98" i="6"/>
  <c r="O33" i="6"/>
  <c r="K33" i="6"/>
  <c r="L33" i="6" s="1"/>
  <c r="G37" i="5"/>
  <c r="H37" i="5"/>
  <c r="F37" i="5"/>
  <c r="O19" i="5"/>
  <c r="L54" i="4"/>
  <c r="O42" i="4"/>
  <c r="L22" i="4"/>
  <c r="O10" i="4"/>
  <c r="H66" i="26"/>
  <c r="I66" i="26"/>
  <c r="O10" i="6"/>
  <c r="I3" i="26"/>
  <c r="H3" i="26"/>
  <c r="O34" i="7"/>
  <c r="O73" i="6"/>
  <c r="K73" i="6"/>
  <c r="L73" i="6" s="1"/>
  <c r="O21" i="6"/>
  <c r="O9" i="6"/>
  <c r="O63" i="5"/>
  <c r="H69" i="26"/>
  <c r="I69" i="26"/>
  <c r="H5" i="26"/>
  <c r="I5" i="26"/>
  <c r="H40" i="5"/>
  <c r="G40" i="5"/>
  <c r="F40" i="5"/>
  <c r="O71" i="4"/>
  <c r="N5" i="4"/>
  <c r="I16" i="26"/>
  <c r="H16" i="26"/>
  <c r="O36" i="10"/>
  <c r="O40" i="10"/>
  <c r="H12" i="11"/>
  <c r="G12" i="11"/>
  <c r="F12" i="11"/>
  <c r="H88" i="10"/>
  <c r="G88" i="10"/>
  <c r="F88" i="10"/>
  <c r="H56" i="9"/>
  <c r="G56" i="9"/>
  <c r="F56" i="9"/>
  <c r="F63" i="9"/>
  <c r="G63" i="9"/>
  <c r="H63" i="9"/>
  <c r="O29" i="9"/>
  <c r="H64" i="10"/>
  <c r="G64" i="10"/>
  <c r="F64" i="10"/>
  <c r="O30" i="11"/>
  <c r="H99" i="8"/>
  <c r="G99" i="8"/>
  <c r="F99" i="8"/>
  <c r="H91" i="8"/>
  <c r="F91" i="8"/>
  <c r="G91" i="8"/>
  <c r="H83" i="8"/>
  <c r="F83" i="8"/>
  <c r="G83" i="8"/>
  <c r="H75" i="8"/>
  <c r="F75" i="8"/>
  <c r="G75" i="8"/>
  <c r="H67" i="8"/>
  <c r="F67" i="8"/>
  <c r="G67" i="8"/>
  <c r="H99" i="9"/>
  <c r="G99" i="9"/>
  <c r="F99" i="9"/>
  <c r="H17" i="9"/>
  <c r="G17" i="9"/>
  <c r="F17" i="9"/>
  <c r="G45" i="10"/>
  <c r="H45" i="10"/>
  <c r="F45" i="10"/>
  <c r="H83" i="9"/>
  <c r="G83" i="9"/>
  <c r="F83" i="9"/>
  <c r="F43" i="9"/>
  <c r="H43" i="9"/>
  <c r="G43" i="9"/>
  <c r="H60" i="8"/>
  <c r="G60" i="8"/>
  <c r="F60" i="8"/>
  <c r="L28" i="8"/>
  <c r="H54" i="7"/>
  <c r="O54" i="7"/>
  <c r="G54" i="7"/>
  <c r="F54" i="7"/>
  <c r="H41" i="9"/>
  <c r="G41" i="9"/>
  <c r="F41" i="9"/>
  <c r="K60" i="9"/>
  <c r="L60" i="9" s="1"/>
  <c r="O4" i="9"/>
  <c r="O47" i="8"/>
  <c r="K47" i="8"/>
  <c r="L47" i="8" s="1"/>
  <c r="H40" i="8"/>
  <c r="G40" i="8"/>
  <c r="F40" i="8"/>
  <c r="O65" i="10"/>
  <c r="H15" i="8"/>
  <c r="F15" i="8"/>
  <c r="G15" i="8"/>
  <c r="G12" i="8"/>
  <c r="H12" i="8"/>
  <c r="F12" i="8"/>
  <c r="G79" i="7"/>
  <c r="H79" i="7"/>
  <c r="F79" i="7"/>
  <c r="K64" i="5"/>
  <c r="L64" i="5" s="1"/>
  <c r="L25" i="8"/>
  <c r="L73" i="8"/>
  <c r="K66" i="7"/>
  <c r="L66" i="7" s="1"/>
  <c r="F85" i="6"/>
  <c r="H85" i="6"/>
  <c r="G85" i="6"/>
  <c r="I54" i="26"/>
  <c r="H54" i="26"/>
  <c r="H86" i="7"/>
  <c r="G86" i="7"/>
  <c r="F86" i="7"/>
  <c r="F7" i="5"/>
  <c r="H7" i="5"/>
  <c r="G7" i="5"/>
  <c r="F94" i="4"/>
  <c r="G94" i="4"/>
  <c r="H94" i="4"/>
  <c r="F62" i="4"/>
  <c r="G62" i="4"/>
  <c r="H62" i="4"/>
  <c r="F30" i="4"/>
  <c r="G30" i="4"/>
  <c r="H30" i="4"/>
  <c r="I17" i="26"/>
  <c r="H17" i="26"/>
  <c r="I20" i="26"/>
  <c r="H20" i="26"/>
  <c r="O28" i="10"/>
  <c r="O57" i="6"/>
  <c r="K57" i="6"/>
  <c r="L57" i="6" s="1"/>
  <c r="I52" i="26"/>
  <c r="H52" i="26"/>
  <c r="H12" i="26"/>
  <c r="I12" i="26"/>
  <c r="H87" i="4"/>
  <c r="G87" i="4"/>
  <c r="F87" i="4"/>
  <c r="H63" i="4"/>
  <c r="G63" i="4"/>
  <c r="F63" i="4"/>
  <c r="H11" i="4"/>
  <c r="G11" i="4"/>
  <c r="F11" i="4"/>
  <c r="I15" i="26"/>
  <c r="H15" i="26"/>
  <c r="G47" i="7"/>
  <c r="H47" i="7"/>
  <c r="F47" i="7"/>
  <c r="H18" i="6"/>
  <c r="G18" i="6"/>
  <c r="F18" i="6"/>
  <c r="O32" i="5"/>
  <c r="O54" i="4"/>
  <c r="O22" i="4"/>
  <c r="H50" i="26"/>
  <c r="I50" i="26"/>
  <c r="H13" i="26"/>
  <c r="I13" i="26"/>
  <c r="O8" i="5"/>
  <c r="O15" i="4"/>
  <c r="F25" i="6"/>
  <c r="H25" i="6"/>
  <c r="G25" i="6"/>
  <c r="G57" i="9"/>
  <c r="H57" i="9"/>
  <c r="F57" i="9"/>
  <c r="H51" i="8"/>
  <c r="F51" i="8"/>
  <c r="G51" i="8"/>
  <c r="G43" i="7"/>
  <c r="H43" i="7"/>
  <c r="F43" i="7"/>
  <c r="O18" i="7"/>
  <c r="O23" i="5"/>
  <c r="O7" i="27"/>
  <c r="F7" i="27"/>
  <c r="G97" i="5"/>
  <c r="H97" i="5"/>
  <c r="F97" i="5"/>
  <c r="O55" i="4"/>
  <c r="O4" i="27"/>
  <c r="F4" i="27"/>
  <c r="K43" i="4"/>
  <c r="L43" i="4" s="1"/>
  <c r="I51" i="26"/>
  <c r="H51" i="26"/>
  <c r="O59" i="5"/>
  <c r="H102" i="11"/>
  <c r="G102" i="11"/>
  <c r="F102" i="11"/>
  <c r="BI91" i="11"/>
  <c r="BA91" i="11"/>
  <c r="AS91" i="11"/>
  <c r="AK91" i="11"/>
  <c r="AC91" i="11"/>
  <c r="U91" i="11"/>
  <c r="BP91" i="11"/>
  <c r="BH91" i="11"/>
  <c r="AZ91" i="11"/>
  <c r="AR91" i="11"/>
  <c r="AJ91" i="11"/>
  <c r="AB91" i="11"/>
  <c r="T91" i="11"/>
  <c r="BG91" i="11"/>
  <c r="AW91" i="11"/>
  <c r="AM91" i="11"/>
  <c r="AA91" i="11"/>
  <c r="Q91" i="11"/>
  <c r="BF91" i="11"/>
  <c r="AV91" i="11"/>
  <c r="AL91" i="11"/>
  <c r="Z91" i="11"/>
  <c r="P91" i="11"/>
  <c r="BO91" i="11"/>
  <c r="BE91" i="11"/>
  <c r="AU91" i="11"/>
  <c r="AI91" i="11"/>
  <c r="Y91" i="11"/>
  <c r="BM91" i="11"/>
  <c r="BC91" i="11"/>
  <c r="AQ91" i="11"/>
  <c r="AG91" i="11"/>
  <c r="W91" i="11"/>
  <c r="BB91" i="11"/>
  <c r="AF91" i="11"/>
  <c r="AY91" i="11"/>
  <c r="AE91" i="11"/>
  <c r="AX91" i="11"/>
  <c r="AD91" i="11"/>
  <c r="BN91" i="11"/>
  <c r="AT91" i="11"/>
  <c r="X91" i="11"/>
  <c r="BL91" i="11"/>
  <c r="AP91" i="11"/>
  <c r="V91" i="11"/>
  <c r="AH91" i="11"/>
  <c r="S91" i="11"/>
  <c r="R91" i="11"/>
  <c r="BJ91" i="11"/>
  <c r="BD91" i="11"/>
  <c r="BK91" i="11"/>
  <c r="AO91" i="11"/>
  <c r="AN91" i="11"/>
  <c r="AH88" i="11"/>
  <c r="BH88" i="11"/>
  <c r="BD88" i="11"/>
  <c r="AR88" i="11"/>
  <c r="AQ88" i="11"/>
  <c r="BI88" i="11"/>
  <c r="BJ97" i="11"/>
  <c r="BB97" i="11"/>
  <c r="AT97" i="11"/>
  <c r="AL97" i="11"/>
  <c r="AD97" i="11"/>
  <c r="V97" i="11"/>
  <c r="BO97" i="11"/>
  <c r="BG97" i="11"/>
  <c r="AY97" i="11"/>
  <c r="AQ97" i="11"/>
  <c r="AI97" i="11"/>
  <c r="AA97" i="11"/>
  <c r="S97" i="11"/>
  <c r="BN97" i="11"/>
  <c r="BF97" i="11"/>
  <c r="AX97" i="11"/>
  <c r="AP97" i="11"/>
  <c r="AH97" i="11"/>
  <c r="Z97" i="11"/>
  <c r="R97" i="11"/>
  <c r="BP97" i="11"/>
  <c r="BC97" i="11"/>
  <c r="AO97" i="11"/>
  <c r="AC97" i="11"/>
  <c r="P97" i="11"/>
  <c r="BM97" i="11"/>
  <c r="BA97" i="11"/>
  <c r="AN97" i="11"/>
  <c r="AB97" i="11"/>
  <c r="BL97" i="11"/>
  <c r="AZ97" i="11"/>
  <c r="AM97" i="11"/>
  <c r="Y97" i="11"/>
  <c r="BK97" i="11"/>
  <c r="AW97" i="11"/>
  <c r="AK97" i="11"/>
  <c r="X97" i="11"/>
  <c r="BI97" i="11"/>
  <c r="AV97" i="11"/>
  <c r="AJ97" i="11"/>
  <c r="W97" i="11"/>
  <c r="AG97" i="11"/>
  <c r="AF97" i="11"/>
  <c r="BH97" i="11"/>
  <c r="AE97" i="11"/>
  <c r="BE97" i="11"/>
  <c r="U97" i="11"/>
  <c r="BD97" i="11"/>
  <c r="T97" i="11"/>
  <c r="Q97" i="11"/>
  <c r="AU97" i="11"/>
  <c r="AS97" i="11"/>
  <c r="AR97" i="11"/>
  <c r="BO98" i="11"/>
  <c r="BG98" i="11"/>
  <c r="AY98" i="11"/>
  <c r="AQ98" i="11"/>
  <c r="AI98" i="11"/>
  <c r="AA98" i="11"/>
  <c r="S98" i="11"/>
  <c r="BM98" i="11"/>
  <c r="BE98" i="11"/>
  <c r="AW98" i="11"/>
  <c r="AO98" i="11"/>
  <c r="AG98" i="11"/>
  <c r="Y98" i="11"/>
  <c r="Q98" i="11"/>
  <c r="BL98" i="11"/>
  <c r="BD98" i="11"/>
  <c r="AV98" i="11"/>
  <c r="AN98" i="11"/>
  <c r="AF98" i="11"/>
  <c r="X98" i="11"/>
  <c r="P98" i="11"/>
  <c r="BK98" i="11"/>
  <c r="BC98" i="11"/>
  <c r="AU98" i="11"/>
  <c r="AM98" i="11"/>
  <c r="AE98" i="11"/>
  <c r="W98" i="11"/>
  <c r="BJ98" i="11"/>
  <c r="AT98" i="11"/>
  <c r="AD98" i="11"/>
  <c r="BI98" i="11"/>
  <c r="AS98" i="11"/>
  <c r="AC98" i="11"/>
  <c r="BH98" i="11"/>
  <c r="AR98" i="11"/>
  <c r="AB98" i="11"/>
  <c r="BF98" i="11"/>
  <c r="AP98" i="11"/>
  <c r="Z98" i="11"/>
  <c r="BB98" i="11"/>
  <c r="AL98" i="11"/>
  <c r="V98" i="11"/>
  <c r="AX98" i="11"/>
  <c r="AK98" i="11"/>
  <c r="AJ98" i="11"/>
  <c r="AH98" i="11"/>
  <c r="BP98" i="11"/>
  <c r="U98" i="11"/>
  <c r="AZ98" i="11"/>
  <c r="T98" i="11"/>
  <c r="R98" i="11"/>
  <c r="BN98" i="11"/>
  <c r="BA98" i="11"/>
  <c r="S88" i="11"/>
  <c r="V88" i="11"/>
  <c r="H70" i="11"/>
  <c r="F70" i="11"/>
  <c r="G70" i="11"/>
  <c r="K70" i="11"/>
  <c r="L70" i="11" s="1"/>
  <c r="AO88" i="11"/>
  <c r="BG88" i="11"/>
  <c r="G52" i="10"/>
  <c r="H52" i="10"/>
  <c r="F52" i="10"/>
  <c r="G21" i="10"/>
  <c r="F21" i="10"/>
  <c r="H21" i="10"/>
  <c r="F8" i="11"/>
  <c r="G8" i="11"/>
  <c r="H8" i="11"/>
  <c r="H10" i="11"/>
  <c r="G10" i="11"/>
  <c r="F10" i="11"/>
  <c r="G56" i="10"/>
  <c r="F56" i="10"/>
  <c r="H56" i="10"/>
  <c r="G25" i="10"/>
  <c r="F25" i="10"/>
  <c r="H25" i="10"/>
  <c r="F85" i="9"/>
  <c r="H85" i="9"/>
  <c r="G85" i="9"/>
  <c r="H60" i="10"/>
  <c r="F60" i="10"/>
  <c r="G60" i="10"/>
  <c r="K33" i="9"/>
  <c r="L33" i="9" s="1"/>
  <c r="H32" i="9"/>
  <c r="G32" i="9"/>
  <c r="F32" i="9"/>
  <c r="H24" i="9"/>
  <c r="G24" i="9"/>
  <c r="F24" i="9"/>
  <c r="H16" i="9"/>
  <c r="G16" i="9"/>
  <c r="F16" i="9"/>
  <c r="H8" i="9"/>
  <c r="G8" i="9"/>
  <c r="F8" i="9"/>
  <c r="G85" i="10"/>
  <c r="H85" i="10"/>
  <c r="F85" i="10"/>
  <c r="H29" i="9"/>
  <c r="G29" i="9"/>
  <c r="F29" i="9"/>
  <c r="H16" i="10"/>
  <c r="F16" i="10"/>
  <c r="G16" i="10"/>
  <c r="L41" i="10"/>
  <c r="G34" i="9"/>
  <c r="F34" i="9"/>
  <c r="H34" i="9"/>
  <c r="O39" i="8"/>
  <c r="K39" i="8"/>
  <c r="L39" i="8" s="1"/>
  <c r="H10" i="7"/>
  <c r="F10" i="7"/>
  <c r="O10" i="7"/>
  <c r="G10" i="7"/>
  <c r="O43" i="8"/>
  <c r="K43" i="8"/>
  <c r="L43" i="8" s="1"/>
  <c r="H36" i="8"/>
  <c r="G36" i="8"/>
  <c r="F36" i="8"/>
  <c r="L57" i="10"/>
  <c r="H96" i="8"/>
  <c r="G96" i="8"/>
  <c r="F96" i="8"/>
  <c r="L55" i="7"/>
  <c r="F41" i="7"/>
  <c r="H41" i="7"/>
  <c r="G41" i="7"/>
  <c r="F97" i="6"/>
  <c r="G97" i="6"/>
  <c r="H97" i="6"/>
  <c r="H56" i="8"/>
  <c r="G56" i="8"/>
  <c r="F56" i="8"/>
  <c r="H48" i="8"/>
  <c r="G48" i="8"/>
  <c r="F48" i="8"/>
  <c r="H30" i="7"/>
  <c r="G30" i="7"/>
  <c r="F30" i="7"/>
  <c r="F81" i="6"/>
  <c r="G81" i="6"/>
  <c r="H81" i="6"/>
  <c r="G35" i="7"/>
  <c r="F35" i="7"/>
  <c r="H35" i="7"/>
  <c r="G60" i="5"/>
  <c r="H60" i="5"/>
  <c r="F60" i="5"/>
  <c r="G13" i="10"/>
  <c r="H13" i="10"/>
  <c r="F13" i="10"/>
  <c r="H66" i="7"/>
  <c r="G66" i="7"/>
  <c r="F66" i="7"/>
  <c r="O14" i="7"/>
  <c r="I68" i="26"/>
  <c r="H68" i="26"/>
  <c r="F101" i="6"/>
  <c r="H101" i="6"/>
  <c r="G101" i="6"/>
  <c r="G41" i="5"/>
  <c r="F41" i="5"/>
  <c r="O41" i="5"/>
  <c r="H41" i="5"/>
  <c r="F82" i="4"/>
  <c r="G82" i="4"/>
  <c r="H82" i="4"/>
  <c r="F50" i="4"/>
  <c r="G50" i="4"/>
  <c r="H50" i="4"/>
  <c r="F18" i="4"/>
  <c r="G18" i="4"/>
  <c r="H18" i="4"/>
  <c r="I56" i="26"/>
  <c r="H56" i="26"/>
  <c r="M6" i="6"/>
  <c r="N6" i="6" s="1"/>
  <c r="F24" i="5"/>
  <c r="G24" i="5"/>
  <c r="H24" i="5"/>
  <c r="O37" i="6"/>
  <c r="H99" i="4"/>
  <c r="G99" i="4"/>
  <c r="F99" i="4"/>
  <c r="H47" i="4"/>
  <c r="G47" i="4"/>
  <c r="F47" i="4"/>
  <c r="H35" i="4"/>
  <c r="G35" i="4"/>
  <c r="F35" i="4"/>
  <c r="O61" i="6"/>
  <c r="F57" i="7"/>
  <c r="H57" i="7"/>
  <c r="G57" i="7"/>
  <c r="G15" i="7"/>
  <c r="H15" i="7"/>
  <c r="F15" i="7"/>
  <c r="F45" i="6"/>
  <c r="H45" i="6"/>
  <c r="G45" i="6"/>
  <c r="G76" i="5"/>
  <c r="H76" i="5"/>
  <c r="F76" i="5"/>
  <c r="O11" i="5"/>
  <c r="O66" i="4"/>
  <c r="L46" i="4"/>
  <c r="O34" i="4"/>
  <c r="L14" i="4"/>
  <c r="G7" i="27"/>
  <c r="P7" i="27"/>
  <c r="H34" i="26"/>
  <c r="I34" i="26"/>
  <c r="O49" i="6"/>
  <c r="K4" i="5"/>
  <c r="L4" i="5" s="1"/>
  <c r="O35" i="4"/>
  <c r="I8" i="26"/>
  <c r="H8" i="26"/>
  <c r="H72" i="8"/>
  <c r="G72" i="8"/>
  <c r="F72" i="8"/>
  <c r="O50" i="7"/>
  <c r="O25" i="7"/>
  <c r="H52" i="5"/>
  <c r="G52" i="5"/>
  <c r="F52" i="5"/>
  <c r="O12" i="5"/>
  <c r="I43" i="26"/>
  <c r="H43" i="26"/>
  <c r="H59" i="8"/>
  <c r="F59" i="8"/>
  <c r="G59" i="8"/>
  <c r="H103" i="6"/>
  <c r="G103" i="6"/>
  <c r="F103" i="6"/>
  <c r="O59" i="4"/>
  <c r="G87" i="7"/>
  <c r="F87" i="7"/>
  <c r="H87" i="7"/>
  <c r="O53" i="5"/>
  <c r="M4" i="4"/>
  <c r="G40" i="10"/>
  <c r="F40" i="10"/>
  <c r="H40" i="10"/>
  <c r="G9" i="10"/>
  <c r="F9" i="10"/>
  <c r="H9" i="10"/>
  <c r="H98" i="11"/>
  <c r="G98" i="11"/>
  <c r="F98" i="11"/>
  <c r="BK93" i="11"/>
  <c r="BC93" i="11"/>
  <c r="AU93" i="11"/>
  <c r="AM93" i="11"/>
  <c r="AE93" i="11"/>
  <c r="W93" i="11"/>
  <c r="BJ93" i="11"/>
  <c r="BB93" i="11"/>
  <c r="AT93" i="11"/>
  <c r="AL93" i="11"/>
  <c r="AD93" i="11"/>
  <c r="V93" i="11"/>
  <c r="BL93" i="11"/>
  <c r="AZ93" i="11"/>
  <c r="AP93" i="11"/>
  <c r="AF93" i="11"/>
  <c r="T93" i="11"/>
  <c r="BI93" i="11"/>
  <c r="AY93" i="11"/>
  <c r="AO93" i="11"/>
  <c r="AC93" i="11"/>
  <c r="S93" i="11"/>
  <c r="BH93" i="11"/>
  <c r="AX93" i="11"/>
  <c r="AN93" i="11"/>
  <c r="AB93" i="11"/>
  <c r="R93" i="11"/>
  <c r="BG93" i="11"/>
  <c r="AW93" i="11"/>
  <c r="AK93" i="11"/>
  <c r="AA93" i="11"/>
  <c r="Q93" i="11"/>
  <c r="BP93" i="11"/>
  <c r="BF93" i="11"/>
  <c r="AV93" i="11"/>
  <c r="AJ93" i="11"/>
  <c r="Z93" i="11"/>
  <c r="P93" i="11"/>
  <c r="AR93" i="11"/>
  <c r="BO93" i="11"/>
  <c r="AQ93" i="11"/>
  <c r="BN93" i="11"/>
  <c r="AI93" i="11"/>
  <c r="BM93" i="11"/>
  <c r="AH93" i="11"/>
  <c r="BE93" i="11"/>
  <c r="AG93" i="11"/>
  <c r="AS93" i="11"/>
  <c r="Y93" i="11"/>
  <c r="X93" i="11"/>
  <c r="BD93" i="11"/>
  <c r="BA93" i="11"/>
  <c r="U93" i="11"/>
  <c r="BK77" i="11"/>
  <c r="BC77" i="11"/>
  <c r="AU77" i="11"/>
  <c r="AM77" i="11"/>
  <c r="AE77" i="11"/>
  <c r="W77" i="11"/>
  <c r="BJ77" i="11"/>
  <c r="BB77" i="11"/>
  <c r="AT77" i="11"/>
  <c r="AL77" i="11"/>
  <c r="AD77" i="11"/>
  <c r="V77" i="11"/>
  <c r="BL77" i="11"/>
  <c r="AZ77" i="11"/>
  <c r="AP77" i="11"/>
  <c r="AF77" i="11"/>
  <c r="T77" i="11"/>
  <c r="BH77" i="11"/>
  <c r="AX77" i="11"/>
  <c r="AN77" i="11"/>
  <c r="AB77" i="11"/>
  <c r="R77" i="11"/>
  <c r="BP77" i="11"/>
  <c r="BN77" i="11"/>
  <c r="AY77" i="11"/>
  <c r="AJ77" i="11"/>
  <c r="X77" i="11"/>
  <c r="BM77" i="11"/>
  <c r="AW77" i="11"/>
  <c r="AI77" i="11"/>
  <c r="U77" i="11"/>
  <c r="BI77" i="11"/>
  <c r="AV77" i="11"/>
  <c r="AH77" i="11"/>
  <c r="S77" i="11"/>
  <c r="BG77" i="11"/>
  <c r="AS77" i="11"/>
  <c r="AG77" i="11"/>
  <c r="Q77" i="11"/>
  <c r="BF77" i="11"/>
  <c r="AR77" i="11"/>
  <c r="AC77" i="11"/>
  <c r="P77" i="11"/>
  <c r="BE77" i="11"/>
  <c r="Y77" i="11"/>
  <c r="BD77" i="11"/>
  <c r="BA77" i="11"/>
  <c r="AO77" i="11"/>
  <c r="AK77" i="11"/>
  <c r="BO77" i="11"/>
  <c r="AQ77" i="11"/>
  <c r="AA77" i="11"/>
  <c r="Z77" i="11"/>
  <c r="F72" i="11"/>
  <c r="H72" i="11"/>
  <c r="G72" i="11"/>
  <c r="AM88" i="11"/>
  <c r="K71" i="11"/>
  <c r="L71" i="11" s="1"/>
  <c r="O71" i="11"/>
  <c r="F88" i="11"/>
  <c r="H88" i="11"/>
  <c r="G88" i="11"/>
  <c r="F91" i="11"/>
  <c r="H91" i="11"/>
  <c r="G91" i="11"/>
  <c r="F77" i="11"/>
  <c r="G77" i="11"/>
  <c r="H77" i="11"/>
  <c r="F61" i="11"/>
  <c r="H61" i="11"/>
  <c r="G61" i="11"/>
  <c r="BN88" i="11"/>
  <c r="BC88" i="11"/>
  <c r="AW88" i="11"/>
  <c r="H86" i="11"/>
  <c r="F86" i="11"/>
  <c r="G86" i="11"/>
  <c r="BO89" i="11"/>
  <c r="BG89" i="11"/>
  <c r="AY89" i="11"/>
  <c r="AQ89" i="11"/>
  <c r="AI89" i="11"/>
  <c r="AA89" i="11"/>
  <c r="S89" i="11"/>
  <c r="BN89" i="11"/>
  <c r="BF89" i="11"/>
  <c r="AX89" i="11"/>
  <c r="AP89" i="11"/>
  <c r="AH89" i="11"/>
  <c r="Z89" i="11"/>
  <c r="R89" i="11"/>
  <c r="BM89" i="11"/>
  <c r="BC89" i="11"/>
  <c r="AS89" i="11"/>
  <c r="AG89" i="11"/>
  <c r="W89" i="11"/>
  <c r="BL89" i="11"/>
  <c r="BB89" i="11"/>
  <c r="AR89" i="11"/>
  <c r="AF89" i="11"/>
  <c r="V89" i="11"/>
  <c r="BK89" i="11"/>
  <c r="BA89" i="11"/>
  <c r="AO89" i="11"/>
  <c r="AE89" i="11"/>
  <c r="U89" i="11"/>
  <c r="BI89" i="11"/>
  <c r="AW89" i="11"/>
  <c r="AM89" i="11"/>
  <c r="AC89" i="11"/>
  <c r="Q89" i="11"/>
  <c r="BH89" i="11"/>
  <c r="AL89" i="11"/>
  <c r="P89" i="11"/>
  <c r="BE89" i="11"/>
  <c r="AK89" i="11"/>
  <c r="BD89" i="11"/>
  <c r="AJ89" i="11"/>
  <c r="AZ89" i="11"/>
  <c r="AD89" i="11"/>
  <c r="AV89" i="11"/>
  <c r="AB89" i="11"/>
  <c r="BJ89" i="11"/>
  <c r="AU89" i="11"/>
  <c r="AT89" i="11"/>
  <c r="Y89" i="11"/>
  <c r="X89" i="11"/>
  <c r="BP89" i="11"/>
  <c r="AN89" i="11"/>
  <c r="T89" i="11"/>
  <c r="H103" i="11"/>
  <c r="G103" i="11"/>
  <c r="F103" i="11"/>
  <c r="H63" i="11"/>
  <c r="F63" i="11"/>
  <c r="G63" i="11"/>
  <c r="AB88" i="11"/>
  <c r="BM88" i="11"/>
  <c r="AJ88" i="11"/>
  <c r="AD88" i="11"/>
  <c r="BP86" i="11"/>
  <c r="BH86" i="11"/>
  <c r="AZ86" i="11"/>
  <c r="AR86" i="11"/>
  <c r="AJ86" i="11"/>
  <c r="AB86" i="11"/>
  <c r="T86" i="11"/>
  <c r="BO86" i="11"/>
  <c r="BG86" i="11"/>
  <c r="AY86" i="11"/>
  <c r="AQ86" i="11"/>
  <c r="AI86" i="11"/>
  <c r="AA86" i="11"/>
  <c r="S86" i="11"/>
  <c r="BM86" i="11"/>
  <c r="BC86" i="11"/>
  <c r="AS86" i="11"/>
  <c r="AG86" i="11"/>
  <c r="W86" i="11"/>
  <c r="BK86" i="11"/>
  <c r="BA86" i="11"/>
  <c r="AO86" i="11"/>
  <c r="AE86" i="11"/>
  <c r="U86" i="11"/>
  <c r="BI86" i="11"/>
  <c r="AW86" i="11"/>
  <c r="AM86" i="11"/>
  <c r="AC86" i="11"/>
  <c r="Q86" i="11"/>
  <c r="BN86" i="11"/>
  <c r="AV86" i="11"/>
  <c r="AF86" i="11"/>
  <c r="BL86" i="11"/>
  <c r="AU86" i="11"/>
  <c r="AD86" i="11"/>
  <c r="BJ86" i="11"/>
  <c r="AT86" i="11"/>
  <c r="Z86" i="11"/>
  <c r="BF86" i="11"/>
  <c r="AP86" i="11"/>
  <c r="Y86" i="11"/>
  <c r="BE86" i="11"/>
  <c r="AN86" i="11"/>
  <c r="X86" i="11"/>
  <c r="AL86" i="11"/>
  <c r="AK86" i="11"/>
  <c r="AH86" i="11"/>
  <c r="R86" i="11"/>
  <c r="BD86" i="11"/>
  <c r="P86" i="11"/>
  <c r="AX86" i="11"/>
  <c r="V86" i="11"/>
  <c r="BB86" i="11"/>
  <c r="F46" i="11"/>
  <c r="H46" i="11"/>
  <c r="G46" i="11"/>
  <c r="G15" i="11"/>
  <c r="F15" i="11"/>
  <c r="H15" i="11"/>
  <c r="BO81" i="11"/>
  <c r="BG81" i="11"/>
  <c r="AY81" i="11"/>
  <c r="AQ81" i="11"/>
  <c r="AI81" i="11"/>
  <c r="AA81" i="11"/>
  <c r="S81" i="11"/>
  <c r="BN81" i="11"/>
  <c r="BF81" i="11"/>
  <c r="AX81" i="11"/>
  <c r="AP81" i="11"/>
  <c r="AH81" i="11"/>
  <c r="Z81" i="11"/>
  <c r="R81" i="11"/>
  <c r="BI81" i="11"/>
  <c r="AW81" i="11"/>
  <c r="AM81" i="11"/>
  <c r="AC81" i="11"/>
  <c r="Q81" i="11"/>
  <c r="BE81" i="11"/>
  <c r="AU81" i="11"/>
  <c r="AK81" i="11"/>
  <c r="Y81" i="11"/>
  <c r="BM81" i="11"/>
  <c r="BC81" i="11"/>
  <c r="AS81" i="11"/>
  <c r="AG81" i="11"/>
  <c r="W81" i="11"/>
  <c r="BH81" i="11"/>
  <c r="AO81" i="11"/>
  <c r="X81" i="11"/>
  <c r="BD81" i="11"/>
  <c r="AN81" i="11"/>
  <c r="V81" i="11"/>
  <c r="BB81" i="11"/>
  <c r="AL81" i="11"/>
  <c r="U81" i="11"/>
  <c r="BA81" i="11"/>
  <c r="AJ81" i="11"/>
  <c r="T81" i="11"/>
  <c r="BP81" i="11"/>
  <c r="AZ81" i="11"/>
  <c r="AF81" i="11"/>
  <c r="P81" i="11"/>
  <c r="AV81" i="11"/>
  <c r="AT81" i="11"/>
  <c r="AR81" i="11"/>
  <c r="AD81" i="11"/>
  <c r="BL81" i="11"/>
  <c r="AB81" i="11"/>
  <c r="BK81" i="11"/>
  <c r="BJ81" i="11"/>
  <c r="AE81" i="11"/>
  <c r="G67" i="11"/>
  <c r="F67" i="11"/>
  <c r="H67" i="11"/>
  <c r="H96" i="11"/>
  <c r="G96" i="11"/>
  <c r="F96" i="11"/>
  <c r="G64" i="11"/>
  <c r="F64" i="11"/>
  <c r="H64" i="11"/>
  <c r="BA100" i="11"/>
  <c r="BC100" i="11"/>
  <c r="AJ100" i="11"/>
  <c r="BF100" i="11"/>
  <c r="AI100" i="11"/>
  <c r="BN83" i="11"/>
  <c r="V83" i="11"/>
  <c r="AM83" i="11"/>
  <c r="W83" i="11"/>
  <c r="AR83" i="11"/>
  <c r="BA83" i="11"/>
  <c r="H80" i="11"/>
  <c r="F80" i="11"/>
  <c r="G80" i="11"/>
  <c r="AQ75" i="11"/>
  <c r="AV75" i="11"/>
  <c r="AU75" i="11"/>
  <c r="T75" i="11"/>
  <c r="AC75" i="11"/>
  <c r="F69" i="11"/>
  <c r="H69" i="11"/>
  <c r="G69" i="11"/>
  <c r="K54" i="11"/>
  <c r="L54" i="11" s="1"/>
  <c r="H87" i="11"/>
  <c r="G87" i="11"/>
  <c r="F87" i="11"/>
  <c r="H48" i="11"/>
  <c r="G48" i="11"/>
  <c r="F48" i="11"/>
  <c r="O48" i="11"/>
  <c r="O33" i="11"/>
  <c r="BK88" i="11"/>
  <c r="AX88" i="11"/>
  <c r="Y88" i="11"/>
  <c r="AV88" i="11"/>
  <c r="U88" i="11"/>
  <c r="AL88" i="11"/>
  <c r="K26" i="11"/>
  <c r="L26" i="11" s="1"/>
  <c r="K9" i="11"/>
  <c r="L9" i="11" s="1"/>
  <c r="O66" i="11"/>
  <c r="H56" i="11"/>
  <c r="G56" i="11"/>
  <c r="F56" i="11"/>
  <c r="O31" i="11"/>
  <c r="G27" i="11"/>
  <c r="F27" i="11"/>
  <c r="H27" i="11"/>
  <c r="K42" i="11"/>
  <c r="L42" i="11" s="1"/>
  <c r="G81" i="10"/>
  <c r="H81" i="10"/>
  <c r="F81" i="10"/>
  <c r="K68" i="10"/>
  <c r="L68" i="10" s="1"/>
  <c r="G4" i="10"/>
  <c r="H4" i="10"/>
  <c r="F4" i="10"/>
  <c r="O10" i="11"/>
  <c r="K72" i="10"/>
  <c r="L72" i="10" s="1"/>
  <c r="F8" i="10"/>
  <c r="H8" i="10"/>
  <c r="G8" i="10"/>
  <c r="F79" i="9"/>
  <c r="H79" i="9"/>
  <c r="G79" i="9"/>
  <c r="O12" i="11"/>
  <c r="K5" i="11"/>
  <c r="L5" i="11" s="1"/>
  <c r="O9" i="10"/>
  <c r="L54" i="9"/>
  <c r="L37" i="10"/>
  <c r="G69" i="9"/>
  <c r="F69" i="9"/>
  <c r="H69" i="9"/>
  <c r="F38" i="9"/>
  <c r="H38" i="9"/>
  <c r="G38" i="9"/>
  <c r="K12" i="10"/>
  <c r="L12" i="10" s="1"/>
  <c r="F97" i="9"/>
  <c r="G97" i="9"/>
  <c r="H97" i="9"/>
  <c r="K61" i="9"/>
  <c r="L61" i="9" s="1"/>
  <c r="H44" i="10"/>
  <c r="F44" i="10"/>
  <c r="G44" i="10"/>
  <c r="O5" i="10"/>
  <c r="O69" i="9"/>
  <c r="H9" i="9"/>
  <c r="G9" i="9"/>
  <c r="F9" i="9"/>
  <c r="K45" i="10"/>
  <c r="L45" i="10" s="1"/>
  <c r="O56" i="9"/>
  <c r="O38" i="9"/>
  <c r="H68" i="8"/>
  <c r="G68" i="8"/>
  <c r="F68" i="8"/>
  <c r="O60" i="8"/>
  <c r="H31" i="8"/>
  <c r="F31" i="8"/>
  <c r="G31" i="8"/>
  <c r="O49" i="10"/>
  <c r="O41" i="10"/>
  <c r="O41" i="9"/>
  <c r="H32" i="8"/>
  <c r="G32" i="8"/>
  <c r="F32" i="8"/>
  <c r="H82" i="7"/>
  <c r="F82" i="7"/>
  <c r="G82" i="7"/>
  <c r="H76" i="8"/>
  <c r="G76" i="8"/>
  <c r="F76" i="8"/>
  <c r="O40" i="8"/>
  <c r="O32" i="10"/>
  <c r="H68" i="9"/>
  <c r="G68" i="9"/>
  <c r="F68" i="9"/>
  <c r="K44" i="8"/>
  <c r="L44" i="8" s="1"/>
  <c r="F59" i="9"/>
  <c r="H59" i="9"/>
  <c r="G59" i="9"/>
  <c r="K19" i="8"/>
  <c r="L19" i="8" s="1"/>
  <c r="H16" i="8"/>
  <c r="G16" i="8"/>
  <c r="F16" i="8"/>
  <c r="O12" i="8"/>
  <c r="O53" i="7"/>
  <c r="K53" i="7"/>
  <c r="L53" i="7" s="1"/>
  <c r="O60" i="5"/>
  <c r="K27" i="7"/>
  <c r="L27" i="7" s="1"/>
  <c r="O15" i="8"/>
  <c r="H7" i="8"/>
  <c r="F7" i="8"/>
  <c r="G7" i="8"/>
  <c r="H46" i="7"/>
  <c r="G46" i="7"/>
  <c r="F46" i="7"/>
  <c r="O31" i="8"/>
  <c r="H11" i="8"/>
  <c r="G11" i="8"/>
  <c r="F11" i="8"/>
  <c r="O62" i="7"/>
  <c r="K62" i="7"/>
  <c r="L62" i="7" s="1"/>
  <c r="L60" i="7"/>
  <c r="O35" i="7"/>
  <c r="O13" i="10"/>
  <c r="K63" i="7"/>
  <c r="L63" i="7" s="1"/>
  <c r="H47" i="5"/>
  <c r="F47" i="5"/>
  <c r="G47" i="5"/>
  <c r="I30" i="26"/>
  <c r="H30" i="26"/>
  <c r="H28" i="5"/>
  <c r="G28" i="5"/>
  <c r="F28" i="5"/>
  <c r="I27" i="26"/>
  <c r="H27" i="26"/>
  <c r="K65" i="9"/>
  <c r="L65" i="9" s="1"/>
  <c r="H58" i="7"/>
  <c r="G58" i="7"/>
  <c r="F58" i="7"/>
  <c r="O69" i="6"/>
  <c r="K69" i="6"/>
  <c r="L69" i="6" s="1"/>
  <c r="G44" i="6"/>
  <c r="F44" i="6"/>
  <c r="H44" i="6"/>
  <c r="G93" i="5"/>
  <c r="H93" i="5"/>
  <c r="F93" i="5"/>
  <c r="F72" i="5"/>
  <c r="G72" i="5"/>
  <c r="H72" i="5"/>
  <c r="K36" i="5"/>
  <c r="L36" i="5" s="1"/>
  <c r="F15" i="5"/>
  <c r="G15" i="5"/>
  <c r="H15" i="5"/>
  <c r="F70" i="4"/>
  <c r="G70" i="4"/>
  <c r="H70" i="4"/>
  <c r="F38" i="4"/>
  <c r="G38" i="4"/>
  <c r="H38" i="4"/>
  <c r="F6" i="4"/>
  <c r="H6" i="4"/>
  <c r="G6" i="4"/>
  <c r="I41" i="26"/>
  <c r="H41" i="26"/>
  <c r="I60" i="26"/>
  <c r="H60" i="26"/>
  <c r="I47" i="26"/>
  <c r="H47" i="26"/>
  <c r="O44" i="6"/>
  <c r="O29" i="6"/>
  <c r="K29" i="6"/>
  <c r="L29" i="6" s="1"/>
  <c r="O17" i="6"/>
  <c r="K17" i="6"/>
  <c r="L17" i="6" s="1"/>
  <c r="G102" i="4"/>
  <c r="F102" i="4"/>
  <c r="H102" i="4"/>
  <c r="I39" i="26"/>
  <c r="H39" i="26"/>
  <c r="G81" i="5"/>
  <c r="H81" i="5"/>
  <c r="F81" i="5"/>
  <c r="O63" i="8"/>
  <c r="O68" i="5"/>
  <c r="K68" i="5"/>
  <c r="L68" i="5" s="1"/>
  <c r="H8" i="5"/>
  <c r="G8" i="5"/>
  <c r="F8" i="5"/>
  <c r="H83" i="4"/>
  <c r="G83" i="4"/>
  <c r="F83" i="4"/>
  <c r="H71" i="4"/>
  <c r="G71" i="4"/>
  <c r="F71" i="4"/>
  <c r="H59" i="4"/>
  <c r="G59" i="4"/>
  <c r="F59" i="4"/>
  <c r="H23" i="4"/>
  <c r="G23" i="4"/>
  <c r="F23" i="4"/>
  <c r="H7" i="4"/>
  <c r="G7" i="4"/>
  <c r="F7" i="4"/>
  <c r="I40" i="26"/>
  <c r="H40" i="26"/>
  <c r="K47" i="7"/>
  <c r="L47" i="7" s="1"/>
  <c r="F37" i="7"/>
  <c r="H37" i="7"/>
  <c r="G37" i="7"/>
  <c r="F25" i="7"/>
  <c r="H25" i="7"/>
  <c r="G25" i="7"/>
  <c r="O15" i="7"/>
  <c r="H82" i="6"/>
  <c r="G82" i="6"/>
  <c r="F82" i="6"/>
  <c r="F33" i="6"/>
  <c r="H33" i="6"/>
  <c r="G33" i="6"/>
  <c r="O46" i="4"/>
  <c r="O14" i="4"/>
  <c r="H10" i="26"/>
  <c r="I10" i="26"/>
  <c r="H37" i="26"/>
  <c r="I37" i="26"/>
  <c r="O20" i="5"/>
  <c r="I72" i="26"/>
  <c r="H72" i="26"/>
  <c r="I67" i="26"/>
  <c r="H67" i="26"/>
  <c r="K57" i="9"/>
  <c r="L57" i="9" s="1"/>
  <c r="K57" i="7"/>
  <c r="L57" i="7" s="1"/>
  <c r="F5" i="7"/>
  <c r="H5" i="7"/>
  <c r="G5" i="7"/>
  <c r="F76" i="6"/>
  <c r="H76" i="6"/>
  <c r="G76" i="6"/>
  <c r="O36" i="6"/>
  <c r="F21" i="6"/>
  <c r="H21" i="6"/>
  <c r="G21" i="6"/>
  <c r="F9" i="6"/>
  <c r="H9" i="6"/>
  <c r="G9" i="6"/>
  <c r="H84" i="5"/>
  <c r="G84" i="5"/>
  <c r="F84" i="5"/>
  <c r="P4" i="27"/>
  <c r="P10" i="27" s="1"/>
  <c r="G4" i="27"/>
  <c r="H53" i="26"/>
  <c r="I53" i="26"/>
  <c r="K40" i="5"/>
  <c r="L40" i="5" s="1"/>
  <c r="O67" i="4"/>
  <c r="O39" i="4"/>
  <c r="I24" i="26"/>
  <c r="H24" i="26"/>
  <c r="O59" i="8"/>
  <c r="K34" i="6"/>
  <c r="L34" i="6" s="1"/>
  <c r="G90" i="11"/>
  <c r="F90" i="11"/>
  <c r="H90" i="11"/>
  <c r="O69" i="11"/>
  <c r="K69" i="11"/>
  <c r="L69" i="11" s="1"/>
  <c r="P88" i="11"/>
  <c r="F93" i="11"/>
  <c r="H93" i="11"/>
  <c r="G93" i="11"/>
  <c r="H41" i="11"/>
  <c r="G41" i="11"/>
  <c r="F41" i="11"/>
  <c r="Z88" i="11"/>
  <c r="H40" i="11"/>
  <c r="G40" i="11"/>
  <c r="F40" i="11"/>
  <c r="O40" i="11"/>
  <c r="AP100" i="11"/>
  <c r="BL100" i="11"/>
  <c r="F85" i="11"/>
  <c r="H85" i="11"/>
  <c r="G85" i="11"/>
  <c r="AO100" i="11"/>
  <c r="G99" i="11"/>
  <c r="H99" i="11"/>
  <c r="F99" i="11"/>
  <c r="AE100" i="11"/>
  <c r="BM100" i="11"/>
  <c r="AU100" i="11"/>
  <c r="R100" i="11"/>
  <c r="AQ100" i="11"/>
  <c r="BB100" i="11"/>
  <c r="P83" i="11"/>
  <c r="AL83" i="11"/>
  <c r="AW83" i="11"/>
  <c r="AG83" i="11"/>
  <c r="AZ83" i="11"/>
  <c r="BI83" i="11"/>
  <c r="K63" i="11"/>
  <c r="L63" i="11" s="1"/>
  <c r="H33" i="11"/>
  <c r="G33" i="11"/>
  <c r="F33" i="11"/>
  <c r="BM87" i="11"/>
  <c r="BE87" i="11"/>
  <c r="AW87" i="11"/>
  <c r="AO87" i="11"/>
  <c r="AG87" i="11"/>
  <c r="Y87" i="11"/>
  <c r="Q87" i="11"/>
  <c r="BL87" i="11"/>
  <c r="BD87" i="11"/>
  <c r="AV87" i="11"/>
  <c r="AN87" i="11"/>
  <c r="AF87" i="11"/>
  <c r="X87" i="11"/>
  <c r="P87" i="11"/>
  <c r="BJ87" i="11"/>
  <c r="AZ87" i="11"/>
  <c r="AP87" i="11"/>
  <c r="AD87" i="11"/>
  <c r="T87" i="11"/>
  <c r="BI87" i="11"/>
  <c r="AY87" i="11"/>
  <c r="AM87" i="11"/>
  <c r="BH87" i="11"/>
  <c r="AX87" i="11"/>
  <c r="AL87" i="11"/>
  <c r="AB87" i="11"/>
  <c r="R87" i="11"/>
  <c r="BP87" i="11"/>
  <c r="BF87" i="11"/>
  <c r="AT87" i="11"/>
  <c r="AJ87" i="11"/>
  <c r="Z87" i="11"/>
  <c r="BB87" i="11"/>
  <c r="AH87" i="11"/>
  <c r="BA87" i="11"/>
  <c r="AE87" i="11"/>
  <c r="AU87" i="11"/>
  <c r="AC87" i="11"/>
  <c r="BO87" i="11"/>
  <c r="AS87" i="11"/>
  <c r="AA87" i="11"/>
  <c r="BN87" i="11"/>
  <c r="AR87" i="11"/>
  <c r="W87" i="11"/>
  <c r="U87" i="11"/>
  <c r="BK87" i="11"/>
  <c r="S87" i="11"/>
  <c r="BG87" i="11"/>
  <c r="AQ87" i="11"/>
  <c r="AK87" i="11"/>
  <c r="BC87" i="11"/>
  <c r="AI87" i="11"/>
  <c r="V87" i="11"/>
  <c r="R88" i="11"/>
  <c r="T88" i="11"/>
  <c r="AE88" i="11"/>
  <c r="AI88" i="11"/>
  <c r="BF88" i="11"/>
  <c r="AC88" i="11"/>
  <c r="AT88" i="11"/>
  <c r="H21" i="11"/>
  <c r="G21" i="11"/>
  <c r="F21" i="11"/>
  <c r="K19" i="11"/>
  <c r="L19" i="11" s="1"/>
  <c r="O43" i="11"/>
  <c r="K43" i="11"/>
  <c r="L43" i="11" s="1"/>
  <c r="F18" i="11"/>
  <c r="H18" i="11"/>
  <c r="G18" i="11"/>
  <c r="F38" i="11"/>
  <c r="H38" i="11"/>
  <c r="G38" i="11"/>
  <c r="F101" i="10"/>
  <c r="H101" i="10"/>
  <c r="G101" i="10"/>
  <c r="G53" i="10"/>
  <c r="F53" i="10"/>
  <c r="H53" i="10"/>
  <c r="O20" i="10"/>
  <c r="O8" i="11"/>
  <c r="G57" i="10"/>
  <c r="F57" i="10"/>
  <c r="H57" i="10"/>
  <c r="O24" i="10"/>
  <c r="H76" i="10"/>
  <c r="G76" i="10"/>
  <c r="F76" i="10"/>
  <c r="H100" i="10"/>
  <c r="G100" i="10"/>
  <c r="F100" i="10"/>
  <c r="O37" i="10"/>
  <c r="F75" i="9"/>
  <c r="H75" i="9"/>
  <c r="G75" i="9"/>
  <c r="G29" i="10"/>
  <c r="H29" i="10"/>
  <c r="O29" i="10"/>
  <c r="F29" i="10"/>
  <c r="K25" i="9"/>
  <c r="L25" i="9" s="1"/>
  <c r="K17" i="9"/>
  <c r="L17" i="9" s="1"/>
  <c r="K9" i="9"/>
  <c r="L9" i="9" s="1"/>
  <c r="O69" i="10"/>
  <c r="H48" i="10"/>
  <c r="G48" i="10"/>
  <c r="F48" i="10"/>
  <c r="L55" i="9"/>
  <c r="L40" i="9"/>
  <c r="H87" i="9"/>
  <c r="G87" i="9"/>
  <c r="F87" i="9"/>
  <c r="H48" i="9"/>
  <c r="G48" i="9"/>
  <c r="F48" i="9"/>
  <c r="H21" i="9"/>
  <c r="G21" i="9"/>
  <c r="F21" i="9"/>
  <c r="H103" i="8"/>
  <c r="G103" i="8"/>
  <c r="F103" i="8"/>
  <c r="L60" i="8"/>
  <c r="H22" i="7"/>
  <c r="G22" i="7"/>
  <c r="F22" i="7"/>
  <c r="F51" i="9"/>
  <c r="G51" i="9"/>
  <c r="H51" i="9"/>
  <c r="H36" i="9"/>
  <c r="F36" i="9"/>
  <c r="G36" i="9"/>
  <c r="O16" i="9"/>
  <c r="L37" i="8"/>
  <c r="H92" i="8"/>
  <c r="G92" i="8"/>
  <c r="F92" i="8"/>
  <c r="O36" i="8"/>
  <c r="O39" i="9"/>
  <c r="O20" i="9"/>
  <c r="O71" i="8"/>
  <c r="H80" i="5"/>
  <c r="G80" i="5"/>
  <c r="F80" i="5"/>
  <c r="O56" i="8"/>
  <c r="O48" i="8"/>
  <c r="F29" i="7"/>
  <c r="G29" i="7"/>
  <c r="H29" i="7"/>
  <c r="G23" i="7"/>
  <c r="H23" i="7"/>
  <c r="F23" i="7"/>
  <c r="O28" i="9"/>
  <c r="F73" i="7"/>
  <c r="H73" i="7"/>
  <c r="G73" i="7"/>
  <c r="O24" i="9"/>
  <c r="H38" i="7"/>
  <c r="F38" i="7"/>
  <c r="G38" i="7"/>
  <c r="I62" i="26"/>
  <c r="H62" i="26"/>
  <c r="I6" i="26"/>
  <c r="H6" i="26"/>
  <c r="O26" i="7"/>
  <c r="K17" i="7"/>
  <c r="L17" i="7" s="1"/>
  <c r="F92" i="6"/>
  <c r="G92" i="6"/>
  <c r="H92" i="6"/>
  <c r="O53" i="6"/>
  <c r="K53" i="6"/>
  <c r="L53" i="6" s="1"/>
  <c r="O4" i="6"/>
  <c r="H91" i="5"/>
  <c r="G91" i="5"/>
  <c r="F91" i="5"/>
  <c r="H35" i="5"/>
  <c r="F35" i="5"/>
  <c r="O35" i="5"/>
  <c r="G35" i="5"/>
  <c r="F90" i="4"/>
  <c r="G90" i="4"/>
  <c r="H90" i="4"/>
  <c r="F58" i="4"/>
  <c r="H58" i="4"/>
  <c r="G58" i="4"/>
  <c r="F26" i="4"/>
  <c r="G26" i="4"/>
  <c r="H26" i="4"/>
  <c r="I65" i="26"/>
  <c r="H65" i="26"/>
  <c r="I71" i="26"/>
  <c r="H71" i="26"/>
  <c r="I23" i="26"/>
  <c r="H23" i="26"/>
  <c r="I19" i="26"/>
  <c r="H19" i="26"/>
  <c r="F57" i="6"/>
  <c r="H57" i="6"/>
  <c r="G57" i="6"/>
  <c r="O24" i="5"/>
  <c r="H4" i="26"/>
  <c r="I4" i="26"/>
  <c r="O5" i="6"/>
  <c r="K5" i="6"/>
  <c r="L5" i="6" s="1"/>
  <c r="D11" i="13" s="1"/>
  <c r="F7" i="24" s="1"/>
  <c r="F44" i="5"/>
  <c r="H44" i="5"/>
  <c r="G44" i="5"/>
  <c r="H20" i="5"/>
  <c r="G20" i="5"/>
  <c r="F20" i="5"/>
  <c r="H95" i="4"/>
  <c r="G95" i="4"/>
  <c r="F95" i="4"/>
  <c r="H43" i="4"/>
  <c r="G43" i="4"/>
  <c r="F43" i="4"/>
  <c r="G65" i="5"/>
  <c r="H65" i="5"/>
  <c r="F65" i="5"/>
  <c r="O55" i="5"/>
  <c r="K55" i="5"/>
  <c r="L55" i="5" s="1"/>
  <c r="K15" i="5"/>
  <c r="L15" i="5" s="1"/>
  <c r="K70" i="4"/>
  <c r="L70" i="4" s="1"/>
  <c r="O58" i="4"/>
  <c r="K38" i="4"/>
  <c r="L38" i="4" s="1"/>
  <c r="O26" i="4"/>
  <c r="K6" i="4"/>
  <c r="L6" i="4" s="1"/>
  <c r="D9" i="13" s="1"/>
  <c r="F5" i="24" s="1"/>
  <c r="H58" i="26"/>
  <c r="I58" i="26"/>
  <c r="H21" i="26"/>
  <c r="I21" i="26"/>
  <c r="F95" i="5"/>
  <c r="H95" i="5"/>
  <c r="G95" i="5"/>
  <c r="O72" i="8"/>
  <c r="H24" i="8"/>
  <c r="G24" i="8"/>
  <c r="F24" i="8"/>
  <c r="K34" i="7"/>
  <c r="L34" i="7" s="1"/>
  <c r="F73" i="6"/>
  <c r="H73" i="6"/>
  <c r="G73" i="6"/>
  <c r="O52" i="5"/>
  <c r="F103" i="5"/>
  <c r="H103" i="5"/>
  <c r="G103" i="5"/>
  <c r="O51" i="4"/>
  <c r="O19" i="4"/>
  <c r="H70" i="7"/>
  <c r="F70" i="7"/>
  <c r="G70" i="7"/>
  <c r="K27" i="4"/>
  <c r="L27" i="4" s="1"/>
  <c r="O38" i="7"/>
  <c r="J16" i="6"/>
  <c r="J12" i="6"/>
  <c r="J4" i="5"/>
  <c r="J9" i="4"/>
  <c r="J12" i="4"/>
  <c r="J17" i="4"/>
  <c r="J8" i="5"/>
  <c r="J22" i="6"/>
  <c r="H74" i="10" l="1"/>
  <c r="G74" i="10"/>
  <c r="F74" i="10"/>
  <c r="H74" i="11"/>
  <c r="F74" i="11"/>
  <c r="G74" i="8"/>
  <c r="F74" i="8"/>
  <c r="H74" i="8"/>
  <c r="G74" i="11"/>
  <c r="O74" i="8"/>
  <c r="O74" i="11"/>
  <c r="M22" i="6"/>
  <c r="G17" i="22"/>
  <c r="E17" i="3"/>
  <c r="M17" i="4"/>
  <c r="G12" i="22"/>
  <c r="E12" i="3"/>
  <c r="M12" i="4"/>
  <c r="G9" i="22"/>
  <c r="E9" i="3"/>
  <c r="M9" i="4"/>
  <c r="M16" i="6"/>
  <c r="M8" i="5"/>
  <c r="N8" i="5" s="1"/>
  <c r="D10" i="13"/>
  <c r="F6" i="24" s="1"/>
  <c r="N8" i="6"/>
  <c r="M6" i="4"/>
  <c r="N6" i="4" s="1"/>
  <c r="Q4" i="27"/>
  <c r="O10" i="27"/>
  <c r="Q7" i="27"/>
  <c r="M5" i="6"/>
  <c r="N5" i="6" s="1"/>
  <c r="M4" i="6"/>
  <c r="N8" i="4"/>
  <c r="N4" i="4"/>
  <c r="D15" i="13"/>
  <c r="F11" i="24" s="1"/>
  <c r="M4" i="5"/>
  <c r="N4" i="5" s="1"/>
  <c r="M9" i="6"/>
  <c r="N9" i="6" s="1"/>
  <c r="Q6" i="27"/>
  <c r="D56" i="13"/>
  <c r="E56" i="13" s="1"/>
  <c r="D57" i="13"/>
  <c r="E57" i="13" s="1"/>
  <c r="M12" i="6"/>
  <c r="N12" i="6" s="1"/>
  <c r="N7" i="6"/>
  <c r="J27" i="6"/>
  <c r="J20" i="6"/>
  <c r="J5" i="5"/>
  <c r="J15" i="6"/>
  <c r="J11" i="4"/>
  <c r="J9" i="5"/>
  <c r="J17" i="6"/>
  <c r="J24" i="4"/>
  <c r="J7" i="4"/>
  <c r="J6" i="5"/>
  <c r="J10" i="6"/>
  <c r="J11" i="6"/>
  <c r="J18" i="4"/>
  <c r="G18" i="22" l="1"/>
  <c r="E18" i="3"/>
  <c r="M18" i="4"/>
  <c r="M11" i="6"/>
  <c r="M10" i="6"/>
  <c r="M6" i="5"/>
  <c r="G7" i="22"/>
  <c r="E7" i="3"/>
  <c r="M7" i="4"/>
  <c r="G24" i="22"/>
  <c r="E24" i="3"/>
  <c r="M24" i="4"/>
  <c r="M17" i="6"/>
  <c r="M9" i="5"/>
  <c r="G11" i="22"/>
  <c r="E11" i="3"/>
  <c r="M11" i="4"/>
  <c r="M15" i="6"/>
  <c r="M5" i="5"/>
  <c r="M20" i="6"/>
  <c r="M27" i="6"/>
  <c r="N12" i="4"/>
  <c r="Q10" i="27"/>
  <c r="N4" i="6"/>
  <c r="N17" i="4"/>
  <c r="N16" i="6"/>
  <c r="N9" i="4"/>
  <c r="N22" i="6"/>
  <c r="J10" i="4"/>
  <c r="J11" i="5"/>
  <c r="J13" i="4"/>
  <c r="J4" i="7"/>
  <c r="J19" i="6"/>
  <c r="J20" i="4"/>
  <c r="J13" i="6"/>
  <c r="J27" i="4"/>
  <c r="J24" i="6"/>
  <c r="J21" i="6"/>
  <c r="J33" i="6"/>
  <c r="J43" i="6"/>
  <c r="J7" i="5"/>
  <c r="J12" i="5"/>
  <c r="J8" i="7"/>
  <c r="M8" i="7" l="1"/>
  <c r="M12" i="5"/>
  <c r="M7" i="5"/>
  <c r="M43" i="6"/>
  <c r="M33" i="6"/>
  <c r="M21" i="6"/>
  <c r="M24" i="6"/>
  <c r="G27" i="22"/>
  <c r="E27" i="3"/>
  <c r="M27" i="4"/>
  <c r="M13" i="6"/>
  <c r="G20" i="22"/>
  <c r="E20" i="3"/>
  <c r="M20" i="4"/>
  <c r="M19" i="6"/>
  <c r="M4" i="7"/>
  <c r="G13" i="22"/>
  <c r="E13" i="3"/>
  <c r="M13" i="4"/>
  <c r="M11" i="5"/>
  <c r="G10" i="22"/>
  <c r="E10" i="3"/>
  <c r="M10" i="4"/>
  <c r="N9" i="5"/>
  <c r="N6" i="5"/>
  <c r="N27" i="6"/>
  <c r="N17" i="6"/>
  <c r="N10" i="6"/>
  <c r="N20" i="6"/>
  <c r="N24" i="4"/>
  <c r="N11" i="6"/>
  <c r="N18" i="4"/>
  <c r="N15" i="6"/>
  <c r="N5" i="5"/>
  <c r="N11" i="4"/>
  <c r="N7" i="4"/>
  <c r="J39" i="4"/>
  <c r="J14" i="6"/>
  <c r="J14" i="4"/>
  <c r="J45" i="6"/>
  <c r="J13" i="5"/>
  <c r="J9" i="7"/>
  <c r="J5" i="7"/>
  <c r="J34" i="6"/>
  <c r="J6" i="7"/>
  <c r="J4" i="8"/>
  <c r="J36" i="6"/>
  <c r="J20" i="5"/>
  <c r="J22" i="4"/>
  <c r="J29" i="6"/>
  <c r="J26" i="6"/>
  <c r="J10" i="5"/>
  <c r="J19" i="4"/>
  <c r="G19" i="22" l="1"/>
  <c r="E19" i="3"/>
  <c r="M19" i="4"/>
  <c r="M10" i="5"/>
  <c r="M26" i="6"/>
  <c r="M29" i="6"/>
  <c r="G22" i="22"/>
  <c r="E22" i="3"/>
  <c r="M22" i="4"/>
  <c r="M20" i="5"/>
  <c r="M36" i="6"/>
  <c r="M4" i="8"/>
  <c r="M6" i="7"/>
  <c r="M34" i="6"/>
  <c r="M5" i="7"/>
  <c r="M9" i="7"/>
  <c r="M13" i="5"/>
  <c r="M45" i="6"/>
  <c r="G14" i="22"/>
  <c r="E14" i="3"/>
  <c r="M14" i="4"/>
  <c r="M14" i="6"/>
  <c r="G39" i="22"/>
  <c r="E39" i="3"/>
  <c r="M39" i="4"/>
  <c r="N10" i="4"/>
  <c r="N19" i="6"/>
  <c r="N24" i="6"/>
  <c r="N20" i="4"/>
  <c r="N21" i="6"/>
  <c r="N4" i="7"/>
  <c r="N33" i="6"/>
  <c r="N11" i="5"/>
  <c r="N43" i="6"/>
  <c r="N13" i="4"/>
  <c r="N13" i="6"/>
  <c r="N7" i="5"/>
  <c r="N27" i="4"/>
  <c r="N12" i="5"/>
  <c r="N8" i="7"/>
  <c r="J25" i="4"/>
  <c r="J14" i="5"/>
  <c r="J47" i="4"/>
  <c r="J12" i="7"/>
  <c r="J24" i="5"/>
  <c r="J49" i="6"/>
  <c r="J21" i="4"/>
  <c r="J46" i="6"/>
  <c r="J17" i="5"/>
  <c r="J4" i="9"/>
  <c r="J7" i="7"/>
  <c r="J28" i="6"/>
  <c r="J6" i="8"/>
  <c r="J15" i="4"/>
  <c r="J9" i="8"/>
  <c r="J35" i="6"/>
  <c r="J40" i="6"/>
  <c r="J18" i="6"/>
  <c r="J11" i="7"/>
  <c r="J5" i="8"/>
  <c r="M5" i="8" l="1"/>
  <c r="M11" i="7"/>
  <c r="M18" i="6"/>
  <c r="M40" i="6"/>
  <c r="M35" i="6"/>
  <c r="M9" i="8"/>
  <c r="G15" i="22"/>
  <c r="E15" i="3"/>
  <c r="M15" i="4"/>
  <c r="M6" i="8"/>
  <c r="M28" i="6"/>
  <c r="M7" i="7"/>
  <c r="M4" i="9"/>
  <c r="M17" i="5"/>
  <c r="M46" i="6"/>
  <c r="G21" i="22"/>
  <c r="E21" i="3"/>
  <c r="M21" i="4"/>
  <c r="M49" i="6"/>
  <c r="M24" i="5"/>
  <c r="M12" i="7"/>
  <c r="G47" i="22"/>
  <c r="E47" i="3"/>
  <c r="M47" i="4"/>
  <c r="M14" i="5"/>
  <c r="G25" i="22"/>
  <c r="E25" i="3"/>
  <c r="M25" i="4"/>
  <c r="N5" i="7"/>
  <c r="N14" i="6"/>
  <c r="N34" i="6"/>
  <c r="N29" i="6"/>
  <c r="N9" i="7"/>
  <c r="N14" i="4"/>
  <c r="N6" i="7"/>
  <c r="N26" i="6"/>
  <c r="N4" i="8"/>
  <c r="N10" i="5"/>
  <c r="N36" i="6"/>
  <c r="N19" i="4"/>
  <c r="N45" i="6"/>
  <c r="N20" i="5"/>
  <c r="N39" i="4"/>
  <c r="N13" i="5"/>
  <c r="N22" i="4"/>
  <c r="J5" i="9"/>
  <c r="J15" i="5"/>
  <c r="J16" i="4"/>
  <c r="J18" i="5"/>
  <c r="J13" i="7"/>
  <c r="J11" i="8"/>
  <c r="J8" i="8"/>
  <c r="J6" i="9"/>
  <c r="J34" i="4"/>
  <c r="J23" i="6"/>
  <c r="J32" i="6"/>
  <c r="J54" i="6"/>
  <c r="J44" i="6"/>
  <c r="J7" i="8"/>
  <c r="J28" i="4"/>
  <c r="J37" i="6"/>
  <c r="J4" i="10"/>
  <c r="J10" i="7"/>
  <c r="J20" i="7"/>
  <c r="J9" i="9"/>
  <c r="J12" i="8"/>
  <c r="J27" i="5"/>
  <c r="J60" i="4"/>
  <c r="J47" i="6"/>
  <c r="M47" i="6" l="1"/>
  <c r="G60" i="22"/>
  <c r="M60" i="4"/>
  <c r="E60" i="3"/>
  <c r="M27" i="5"/>
  <c r="M12" i="8"/>
  <c r="M9" i="9"/>
  <c r="M20" i="7"/>
  <c r="M10" i="7"/>
  <c r="M4" i="10"/>
  <c r="M37" i="6"/>
  <c r="G28" i="22"/>
  <c r="E28" i="3"/>
  <c r="M28" i="4"/>
  <c r="M7" i="8"/>
  <c r="M44" i="6"/>
  <c r="M54" i="6"/>
  <c r="M32" i="6"/>
  <c r="M23" i="6"/>
  <c r="G34" i="22"/>
  <c r="E34" i="3"/>
  <c r="M34" i="4"/>
  <c r="M6" i="9"/>
  <c r="M8" i="8"/>
  <c r="M11" i="8"/>
  <c r="M13" i="7"/>
  <c r="M18" i="5"/>
  <c r="G16" i="22"/>
  <c r="E16" i="3"/>
  <c r="M16" i="4"/>
  <c r="M15" i="5"/>
  <c r="M5" i="9"/>
  <c r="N46" i="6"/>
  <c r="N47" i="4"/>
  <c r="N17" i="5"/>
  <c r="N9" i="8"/>
  <c r="N12" i="7"/>
  <c r="N4" i="9"/>
  <c r="N35" i="6"/>
  <c r="N25" i="4"/>
  <c r="N24" i="5"/>
  <c r="N7" i="7"/>
  <c r="N40" i="6"/>
  <c r="N49" i="6"/>
  <c r="N28" i="6"/>
  <c r="N18" i="6"/>
  <c r="N21" i="4"/>
  <c r="N6" i="8"/>
  <c r="N11" i="7"/>
  <c r="N14" i="5"/>
  <c r="N15" i="4"/>
  <c r="N5" i="8"/>
  <c r="J59" i="6"/>
  <c r="J10" i="8"/>
  <c r="J60" i="6"/>
  <c r="J11" i="9"/>
  <c r="J13" i="8"/>
  <c r="J24" i="7"/>
  <c r="J25" i="6"/>
  <c r="J25" i="5"/>
  <c r="J7" i="9"/>
  <c r="J5" i="10"/>
  <c r="J4" i="11"/>
  <c r="J41" i="6"/>
  <c r="J39" i="6"/>
  <c r="J6" i="10"/>
  <c r="J8" i="9"/>
  <c r="J69" i="4"/>
  <c r="J9" i="10"/>
  <c r="J22" i="5"/>
  <c r="J14" i="7"/>
  <c r="J39" i="5"/>
  <c r="J17" i="7"/>
  <c r="J20" i="8"/>
  <c r="J29" i="4"/>
  <c r="J34" i="5"/>
  <c r="J36" i="4"/>
  <c r="J16" i="5"/>
  <c r="J23" i="4"/>
  <c r="J51" i="6"/>
  <c r="M51" i="6" l="1"/>
  <c r="G23" i="22"/>
  <c r="E23" i="3"/>
  <c r="M23" i="4"/>
  <c r="M16" i="5"/>
  <c r="G36" i="22"/>
  <c r="M36" i="4"/>
  <c r="E36" i="3"/>
  <c r="M34" i="5"/>
  <c r="G29" i="22"/>
  <c r="E29" i="3"/>
  <c r="M29" i="4"/>
  <c r="M20" i="8"/>
  <c r="M17" i="7"/>
  <c r="M39" i="5"/>
  <c r="M14" i="7"/>
  <c r="M22" i="5"/>
  <c r="M9" i="10"/>
  <c r="G69" i="22"/>
  <c r="E69" i="3"/>
  <c r="M69" i="4"/>
  <c r="M8" i="9"/>
  <c r="M6" i="10"/>
  <c r="M39" i="6"/>
  <c r="M41" i="6"/>
  <c r="F4" i="22"/>
  <c r="M4" i="11"/>
  <c r="BO4" i="11" s="1"/>
  <c r="BA4" i="11"/>
  <c r="M5" i="10"/>
  <c r="M7" i="9"/>
  <c r="M25" i="5"/>
  <c r="M25" i="6"/>
  <c r="M24" i="7"/>
  <c r="M13" i="8"/>
  <c r="M11" i="9"/>
  <c r="M60" i="6"/>
  <c r="N60" i="6" s="1"/>
  <c r="M10" i="8"/>
  <c r="M59" i="6"/>
  <c r="N44" i="6"/>
  <c r="N16" i="4"/>
  <c r="N34" i="4"/>
  <c r="N28" i="4"/>
  <c r="N12" i="8"/>
  <c r="N27" i="5"/>
  <c r="N8" i="8"/>
  <c r="N15" i="5"/>
  <c r="N9" i="9"/>
  <c r="N60" i="4"/>
  <c r="N5" i="9"/>
  <c r="N6" i="9"/>
  <c r="N37" i="6"/>
  <c r="N13" i="7"/>
  <c r="N32" i="6"/>
  <c r="N4" i="10"/>
  <c r="N20" i="7"/>
  <c r="N7" i="8"/>
  <c r="N18" i="5"/>
  <c r="N23" i="6"/>
  <c r="N11" i="8"/>
  <c r="N54" i="6"/>
  <c r="N10" i="7"/>
  <c r="N47" i="6"/>
  <c r="J62" i="6"/>
  <c r="J28" i="5"/>
  <c r="J48" i="6"/>
  <c r="J7" i="10"/>
  <c r="J10" i="9"/>
  <c r="J27" i="7"/>
  <c r="J18" i="7"/>
  <c r="J9" i="11"/>
  <c r="J5" i="11"/>
  <c r="J67" i="6"/>
  <c r="J47" i="5"/>
  <c r="J17" i="8"/>
  <c r="J6" i="11"/>
  <c r="J23" i="5"/>
  <c r="J26" i="4"/>
  <c r="J31" i="4"/>
  <c r="J30" i="6"/>
  <c r="J14" i="8"/>
  <c r="J13" i="9"/>
  <c r="J53" i="6"/>
  <c r="J19" i="5"/>
  <c r="J70" i="4"/>
  <c r="J15" i="7"/>
  <c r="J42" i="4"/>
  <c r="J12" i="9"/>
  <c r="J11" i="10"/>
  <c r="AS4" i="11" l="1"/>
  <c r="BH4" i="11"/>
  <c r="V4" i="11"/>
  <c r="Q4" i="11"/>
  <c r="R4" i="11"/>
  <c r="AT4" i="11"/>
  <c r="Z4" i="11"/>
  <c r="AB4" i="11"/>
  <c r="BC4" i="11"/>
  <c r="AH4" i="11"/>
  <c r="BK4" i="11"/>
  <c r="AA4" i="11"/>
  <c r="BB4" i="11"/>
  <c r="P4" i="11"/>
  <c r="AI4" i="11"/>
  <c r="AK4" i="11"/>
  <c r="BL4" i="11"/>
  <c r="AQ4" i="11"/>
  <c r="BJ4" i="11"/>
  <c r="Y4" i="11"/>
  <c r="M11" i="10"/>
  <c r="M12" i="9"/>
  <c r="G42" i="22"/>
  <c r="E42" i="3"/>
  <c r="M42" i="4"/>
  <c r="M15" i="7"/>
  <c r="G70" i="22"/>
  <c r="E70" i="3"/>
  <c r="M70" i="4"/>
  <c r="M19" i="5"/>
  <c r="M53" i="6"/>
  <c r="M13" i="9"/>
  <c r="M14" i="8"/>
  <c r="M30" i="6"/>
  <c r="G31" i="22"/>
  <c r="E31" i="3"/>
  <c r="M31" i="4"/>
  <c r="G26" i="22"/>
  <c r="E26" i="3"/>
  <c r="M26" i="4"/>
  <c r="M23" i="5"/>
  <c r="F6" i="22"/>
  <c r="M6" i="11"/>
  <c r="BI6" i="11" s="1"/>
  <c r="M17" i="8"/>
  <c r="M47" i="5"/>
  <c r="M67" i="6"/>
  <c r="F5" i="22"/>
  <c r="M5" i="11"/>
  <c r="AN5" i="11" s="1"/>
  <c r="F9" i="22"/>
  <c r="M9" i="11"/>
  <c r="AB9" i="11" s="1"/>
  <c r="M18" i="7"/>
  <c r="M27" i="7"/>
  <c r="M10" i="9"/>
  <c r="M7" i="10"/>
  <c r="M48" i="6"/>
  <c r="M28" i="5"/>
  <c r="M62" i="6"/>
  <c r="N11" i="9"/>
  <c r="N36" i="4"/>
  <c r="N8" i="9"/>
  <c r="N24" i="7"/>
  <c r="AD4" i="11"/>
  <c r="T4" i="11"/>
  <c r="BP4" i="11"/>
  <c r="X4" i="11"/>
  <c r="AG4" i="11"/>
  <c r="AP4" i="11"/>
  <c r="AY4" i="11"/>
  <c r="N69" i="4"/>
  <c r="N20" i="8"/>
  <c r="N16" i="5"/>
  <c r="N39" i="6"/>
  <c r="N13" i="8"/>
  <c r="N25" i="6"/>
  <c r="AC4" i="11"/>
  <c r="AL4" i="11"/>
  <c r="W4" i="11"/>
  <c r="AF4" i="11"/>
  <c r="AO4" i="11"/>
  <c r="AX4" i="11"/>
  <c r="BG4" i="11"/>
  <c r="N29" i="4"/>
  <c r="N23" i="4"/>
  <c r="N6" i="10"/>
  <c r="N17" i="7"/>
  <c r="N25" i="5"/>
  <c r="AZ4" i="11"/>
  <c r="BI4" i="11"/>
  <c r="AE4" i="11"/>
  <c r="AN4" i="11"/>
  <c r="AW4" i="11"/>
  <c r="BF4" i="11"/>
  <c r="N14" i="7"/>
  <c r="N39" i="5"/>
  <c r="N59" i="6"/>
  <c r="N7" i="9"/>
  <c r="H4" i="22"/>
  <c r="H4" i="3"/>
  <c r="F4" i="3"/>
  <c r="N4" i="11"/>
  <c r="I4" i="22"/>
  <c r="U4" i="11"/>
  <c r="AM4" i="11"/>
  <c r="AV4" i="11"/>
  <c r="BE4" i="11"/>
  <c r="BN4" i="11"/>
  <c r="N9" i="10"/>
  <c r="N10" i="8"/>
  <c r="N5" i="10"/>
  <c r="AJ4" i="11"/>
  <c r="AR4" i="11"/>
  <c r="AU4" i="11"/>
  <c r="BD4" i="11"/>
  <c r="BM4" i="11"/>
  <c r="S4" i="11"/>
  <c r="N41" i="6"/>
  <c r="N22" i="5"/>
  <c r="N34" i="5"/>
  <c r="N51" i="6"/>
  <c r="J11" i="11"/>
  <c r="J13" i="10"/>
  <c r="J41" i="4"/>
  <c r="J8" i="10"/>
  <c r="J12" i="10"/>
  <c r="J21" i="5"/>
  <c r="J50" i="6"/>
  <c r="J22" i="7"/>
  <c r="J18" i="8"/>
  <c r="J25" i="7"/>
  <c r="J56" i="6"/>
  <c r="J29" i="5"/>
  <c r="J39" i="7"/>
  <c r="J7" i="11"/>
  <c r="J30" i="4"/>
  <c r="J63" i="6"/>
  <c r="J31" i="6"/>
  <c r="J42" i="5"/>
  <c r="J44" i="4"/>
  <c r="J14" i="9"/>
  <c r="J26" i="5"/>
  <c r="J17" i="9"/>
  <c r="J15" i="8"/>
  <c r="J60" i="5"/>
  <c r="J34" i="7"/>
  <c r="J68" i="6"/>
  <c r="J16" i="7"/>
  <c r="J10" i="10"/>
  <c r="AD6" i="11" l="1"/>
  <c r="Y6" i="11"/>
  <c r="BF9" i="11"/>
  <c r="BO6" i="11"/>
  <c r="T9" i="11"/>
  <c r="AI5" i="11"/>
  <c r="AT5" i="11"/>
  <c r="BA9" i="11"/>
  <c r="BF6" i="11"/>
  <c r="AE9" i="11"/>
  <c r="AQ6" i="11"/>
  <c r="BJ6" i="11"/>
  <c r="AU6" i="11"/>
  <c r="S9" i="11"/>
  <c r="AK9" i="11"/>
  <c r="AJ9" i="11"/>
  <c r="AV6" i="11"/>
  <c r="AZ6" i="11"/>
  <c r="AN9" i="11"/>
  <c r="AZ9" i="11"/>
  <c r="U9" i="11"/>
  <c r="BD9" i="11"/>
  <c r="AO6" i="11"/>
  <c r="BA6" i="11"/>
  <c r="V9" i="11"/>
  <c r="AO9" i="11"/>
  <c r="V6" i="11"/>
  <c r="AH6" i="11"/>
  <c r="BK9" i="11"/>
  <c r="BE9" i="11"/>
  <c r="Z5" i="11"/>
  <c r="P6" i="11"/>
  <c r="AX6" i="11"/>
  <c r="R9" i="11"/>
  <c r="AE6" i="11"/>
  <c r="BG6" i="11"/>
  <c r="BJ9" i="11"/>
  <c r="P9" i="11"/>
  <c r="AI9" i="11"/>
  <c r="T5" i="11"/>
  <c r="AM6" i="11"/>
  <c r="AW6" i="11"/>
  <c r="BP6" i="11"/>
  <c r="AS9" i="11"/>
  <c r="BB9" i="11"/>
  <c r="AV9" i="11"/>
  <c r="BM9" i="11"/>
  <c r="AA9" i="11"/>
  <c r="AR9" i="11"/>
  <c r="AC5" i="11"/>
  <c r="W9" i="11"/>
  <c r="AC9" i="11"/>
  <c r="BC9" i="11"/>
  <c r="BL9" i="11"/>
  <c r="Z9" i="11"/>
  <c r="AQ9" i="11"/>
  <c r="BP9" i="11"/>
  <c r="BK5" i="11"/>
  <c r="AT9" i="11"/>
  <c r="AU9" i="11"/>
  <c r="AL9" i="11"/>
  <c r="Q9" i="11"/>
  <c r="AH9" i="11"/>
  <c r="BG9" i="11"/>
  <c r="AM9" i="11"/>
  <c r="AD9" i="11"/>
  <c r="BI9" i="11"/>
  <c r="Y9" i="11"/>
  <c r="AX9" i="11"/>
  <c r="BO9" i="11"/>
  <c r="AF9" i="11"/>
  <c r="AW9" i="11"/>
  <c r="BN9" i="11"/>
  <c r="M10" i="10"/>
  <c r="M16" i="7"/>
  <c r="M68" i="6"/>
  <c r="M34" i="7"/>
  <c r="M60" i="5"/>
  <c r="M15" i="8"/>
  <c r="M17" i="9"/>
  <c r="M26" i="5"/>
  <c r="M14" i="9"/>
  <c r="G44" i="22"/>
  <c r="M44" i="4"/>
  <c r="E44" i="3"/>
  <c r="M42" i="5"/>
  <c r="M31" i="6"/>
  <c r="M63" i="6"/>
  <c r="G30" i="22"/>
  <c r="E30" i="3"/>
  <c r="M30" i="4"/>
  <c r="F7" i="22"/>
  <c r="M7" i="11"/>
  <c r="BN7" i="11" s="1"/>
  <c r="M39" i="7"/>
  <c r="M29" i="5"/>
  <c r="M56" i="6"/>
  <c r="M25" i="7"/>
  <c r="M18" i="8"/>
  <c r="M22" i="7"/>
  <c r="M50" i="6"/>
  <c r="M21" i="5"/>
  <c r="M12" i="10"/>
  <c r="M8" i="10"/>
  <c r="G41" i="22"/>
  <c r="E41" i="3"/>
  <c r="M41" i="4"/>
  <c r="M13" i="10"/>
  <c r="F11" i="22"/>
  <c r="M11" i="11"/>
  <c r="N10" i="9"/>
  <c r="N27" i="7"/>
  <c r="AW5" i="11"/>
  <c r="BF5" i="11"/>
  <c r="AB5" i="11"/>
  <c r="AK5" i="11"/>
  <c r="BB5" i="11"/>
  <c r="P5" i="11"/>
  <c r="N67" i="6"/>
  <c r="AG6" i="11"/>
  <c r="AP6" i="11"/>
  <c r="AY6" i="11"/>
  <c r="BH6" i="11"/>
  <c r="N47" i="5"/>
  <c r="N15" i="7"/>
  <c r="BN5" i="11"/>
  <c r="AG5" i="11"/>
  <c r="AO5" i="11"/>
  <c r="AR5" i="11"/>
  <c r="BA5" i="11"/>
  <c r="W5" i="11"/>
  <c r="AF5" i="11"/>
  <c r="N17" i="8"/>
  <c r="H6" i="22"/>
  <c r="F6" i="3"/>
  <c r="H6" i="3"/>
  <c r="N6" i="11"/>
  <c r="I6" i="22"/>
  <c r="N23" i="5"/>
  <c r="N14" i="8"/>
  <c r="N42" i="4"/>
  <c r="N30" i="6"/>
  <c r="N62" i="6"/>
  <c r="Y5" i="11"/>
  <c r="AY5" i="11"/>
  <c r="BG5" i="11"/>
  <c r="AZ5" i="11"/>
  <c r="BI5" i="11"/>
  <c r="AE5" i="11"/>
  <c r="AL6" i="11"/>
  <c r="W6" i="11"/>
  <c r="BB6" i="11"/>
  <c r="BE6" i="11"/>
  <c r="BN6" i="11"/>
  <c r="T6" i="11"/>
  <c r="U6" i="11"/>
  <c r="N26" i="4"/>
  <c r="N13" i="9"/>
  <c r="H5" i="22"/>
  <c r="F5" i="3"/>
  <c r="H5" i="3"/>
  <c r="N5" i="11"/>
  <c r="I5" i="22"/>
  <c r="R5" i="11"/>
  <c r="BJ5" i="11"/>
  <c r="N28" i="5"/>
  <c r="AA5" i="11"/>
  <c r="AH5" i="11"/>
  <c r="S5" i="11"/>
  <c r="BH5" i="11"/>
  <c r="V5" i="11"/>
  <c r="AM5" i="11"/>
  <c r="AV5" i="11"/>
  <c r="BD6" i="11"/>
  <c r="AT6" i="11"/>
  <c r="AF6" i="11"/>
  <c r="BM6" i="11"/>
  <c r="S6" i="11"/>
  <c r="AB6" i="11"/>
  <c r="AC6" i="11"/>
  <c r="N53" i="6"/>
  <c r="N18" i="7"/>
  <c r="BO5" i="11"/>
  <c r="AJ5" i="11"/>
  <c r="AS5" i="11"/>
  <c r="X5" i="11"/>
  <c r="F3" i="23"/>
  <c r="J4" i="3"/>
  <c r="A4" i="25"/>
  <c r="N48" i="6"/>
  <c r="AQ5" i="11"/>
  <c r="BE5" i="11"/>
  <c r="AP5" i="11"/>
  <c r="BP5" i="11"/>
  <c r="AD5" i="11"/>
  <c r="AU5" i="11"/>
  <c r="BD5" i="11"/>
  <c r="AN6" i="11"/>
  <c r="BL6" i="11"/>
  <c r="BC6" i="11"/>
  <c r="R6" i="11"/>
  <c r="AA6" i="11"/>
  <c r="AJ6" i="11"/>
  <c r="AK6" i="11"/>
  <c r="N19" i="5"/>
  <c r="N12" i="9"/>
  <c r="N7" i="10"/>
  <c r="H9" i="22"/>
  <c r="H9" i="3"/>
  <c r="F9" i="3"/>
  <c r="N9" i="11"/>
  <c r="I9" i="22"/>
  <c r="X9" i="11"/>
  <c r="AG9" i="11"/>
  <c r="AP9" i="11"/>
  <c r="AY9" i="11"/>
  <c r="BH9" i="11"/>
  <c r="AX5" i="11"/>
  <c r="Q5" i="11"/>
  <c r="BM5" i="11"/>
  <c r="U5" i="11"/>
  <c r="AL5" i="11"/>
  <c r="BC5" i="11"/>
  <c r="BL5" i="11"/>
  <c r="BK6" i="11"/>
  <c r="X6" i="11"/>
  <c r="Q6" i="11"/>
  <c r="Z6" i="11"/>
  <c r="AI6" i="11"/>
  <c r="AR6" i="11"/>
  <c r="AS6" i="11"/>
  <c r="N31" i="4"/>
  <c r="N70" i="4"/>
  <c r="N11" i="10"/>
  <c r="J10" i="11"/>
  <c r="J15" i="9"/>
  <c r="J36" i="5"/>
  <c r="J28" i="7"/>
  <c r="J38" i="6"/>
  <c r="J16" i="8"/>
  <c r="J32" i="4"/>
  <c r="J12" i="11"/>
  <c r="J18" i="9"/>
  <c r="J70" i="6"/>
  <c r="J58" i="4"/>
  <c r="J8" i="11"/>
  <c r="J31" i="5"/>
  <c r="J17" i="10"/>
  <c r="J57" i="6"/>
  <c r="J49" i="4"/>
  <c r="J70" i="5"/>
  <c r="J25" i="8"/>
  <c r="J19" i="7"/>
  <c r="J23" i="7"/>
  <c r="J69" i="6"/>
  <c r="J22" i="8"/>
  <c r="J14" i="10"/>
  <c r="J30" i="5"/>
  <c r="J55" i="6"/>
  <c r="J13" i="11"/>
  <c r="AF7" i="11" l="1"/>
  <c r="BB7" i="11"/>
  <c r="AB7" i="11"/>
  <c r="W7" i="11"/>
  <c r="BA7" i="11"/>
  <c r="P7" i="11"/>
  <c r="S7" i="11"/>
  <c r="Y7" i="11"/>
  <c r="BH7" i="11"/>
  <c r="AO7" i="11"/>
  <c r="BO7" i="11"/>
  <c r="AH7" i="11"/>
  <c r="AS7" i="11"/>
  <c r="AX7" i="11"/>
  <c r="F13" i="22"/>
  <c r="M13" i="11"/>
  <c r="AZ13" i="11" s="1"/>
  <c r="M55" i="6"/>
  <c r="M30" i="5"/>
  <c r="M14" i="10"/>
  <c r="M22" i="8"/>
  <c r="M69" i="6"/>
  <c r="N69" i="6" s="1"/>
  <c r="M23" i="7"/>
  <c r="M19" i="7"/>
  <c r="M25" i="8"/>
  <c r="M70" i="5"/>
  <c r="G49" i="22"/>
  <c r="E49" i="3"/>
  <c r="M49" i="4"/>
  <c r="M57" i="6"/>
  <c r="M17" i="10"/>
  <c r="M31" i="5"/>
  <c r="F8" i="22"/>
  <c r="M8" i="11"/>
  <c r="BB8" i="11" s="1"/>
  <c r="G58" i="22"/>
  <c r="E58" i="3"/>
  <c r="M58" i="4"/>
  <c r="M70" i="6"/>
  <c r="N70" i="6" s="1"/>
  <c r="M18" i="9"/>
  <c r="F12" i="22"/>
  <c r="M12" i="11"/>
  <c r="Q12" i="11" s="1"/>
  <c r="G32" i="22"/>
  <c r="E32" i="3"/>
  <c r="M32" i="4"/>
  <c r="M16" i="8"/>
  <c r="M38" i="6"/>
  <c r="M28" i="7"/>
  <c r="M36" i="5"/>
  <c r="M15" i="9"/>
  <c r="F10" i="22"/>
  <c r="M10" i="11"/>
  <c r="BC10" i="11" s="1"/>
  <c r="H11" i="22"/>
  <c r="F11" i="3"/>
  <c r="H11" i="3"/>
  <c r="N11" i="11"/>
  <c r="I11" i="22"/>
  <c r="AM11" i="11"/>
  <c r="AN11" i="11"/>
  <c r="AW11" i="11"/>
  <c r="BF11" i="11"/>
  <c r="BO11" i="11"/>
  <c r="N50" i="6"/>
  <c r="N26" i="5"/>
  <c r="AE11" i="11"/>
  <c r="BJ11" i="11"/>
  <c r="AV11" i="11"/>
  <c r="BE11" i="11"/>
  <c r="BN11" i="11"/>
  <c r="T11" i="11"/>
  <c r="N13" i="10"/>
  <c r="N22" i="7"/>
  <c r="AY7" i="11"/>
  <c r="AK7" i="11"/>
  <c r="AA7" i="11"/>
  <c r="BJ7" i="11"/>
  <c r="X7" i="11"/>
  <c r="AG7" i="11"/>
  <c r="AP7" i="11"/>
  <c r="N63" i="6"/>
  <c r="N17" i="9"/>
  <c r="BA11" i="11"/>
  <c r="BB11" i="11"/>
  <c r="V11" i="11"/>
  <c r="BD11" i="11"/>
  <c r="BM11" i="11"/>
  <c r="S11" i="11"/>
  <c r="G3" i="23"/>
  <c r="H3" i="23" s="1"/>
  <c r="I3" i="23" s="1"/>
  <c r="J4" i="22"/>
  <c r="K4" i="22" s="1"/>
  <c r="W11" i="11"/>
  <c r="AK11" i="11"/>
  <c r="AS11" i="11"/>
  <c r="BL11" i="11"/>
  <c r="R11" i="11"/>
  <c r="AA11" i="11"/>
  <c r="AJ11" i="11"/>
  <c r="N25" i="7"/>
  <c r="AC7" i="11"/>
  <c r="T7" i="11"/>
  <c r="BP7" i="11"/>
  <c r="AE7" i="11"/>
  <c r="AN7" i="11"/>
  <c r="AW7" i="11"/>
  <c r="BF7" i="11"/>
  <c r="N42" i="5"/>
  <c r="N60" i="5"/>
  <c r="N41" i="4"/>
  <c r="N15" i="8"/>
  <c r="F5" i="23"/>
  <c r="J6" i="3"/>
  <c r="A6" i="25"/>
  <c r="AD11" i="11"/>
  <c r="BC11" i="11"/>
  <c r="BK11" i="11"/>
  <c r="Q11" i="11"/>
  <c r="Z11" i="11"/>
  <c r="AI11" i="11"/>
  <c r="AR11" i="11"/>
  <c r="N56" i="6"/>
  <c r="AZ7" i="11"/>
  <c r="AQ7" i="11"/>
  <c r="V7" i="11"/>
  <c r="AM7" i="11"/>
  <c r="AV7" i="11"/>
  <c r="BE7" i="11"/>
  <c r="N34" i="7"/>
  <c r="F8" i="23"/>
  <c r="J9" i="3"/>
  <c r="A9" i="25"/>
  <c r="F4" i="23"/>
  <c r="J5" i="3"/>
  <c r="A5" i="25"/>
  <c r="AT11" i="11"/>
  <c r="AL11" i="11"/>
  <c r="P11" i="11"/>
  <c r="Y11" i="11"/>
  <c r="AH11" i="11"/>
  <c r="AQ11" i="11"/>
  <c r="AZ11" i="11"/>
  <c r="N8" i="10"/>
  <c r="N29" i="5"/>
  <c r="H7" i="22"/>
  <c r="F7" i="3"/>
  <c r="H7" i="3"/>
  <c r="N7" i="11"/>
  <c r="I7" i="22"/>
  <c r="BI7" i="11"/>
  <c r="AD7" i="11"/>
  <c r="AU7" i="11"/>
  <c r="BD7" i="11"/>
  <c r="BM7" i="11"/>
  <c r="N44" i="4"/>
  <c r="N68" i="6"/>
  <c r="N18" i="8"/>
  <c r="AC11" i="11"/>
  <c r="BI11" i="11"/>
  <c r="X11" i="11"/>
  <c r="AG11" i="11"/>
  <c r="AP11" i="11"/>
  <c r="AY11" i="11"/>
  <c r="BH11" i="11"/>
  <c r="N12" i="10"/>
  <c r="N39" i="7"/>
  <c r="AJ7" i="11"/>
  <c r="U7" i="11"/>
  <c r="AL7" i="11"/>
  <c r="BC7" i="11"/>
  <c r="BL7" i="11"/>
  <c r="R7" i="11"/>
  <c r="N30" i="4"/>
  <c r="N16" i="7"/>
  <c r="E4" i="25"/>
  <c r="L4" i="25"/>
  <c r="D4" i="25"/>
  <c r="I4" i="25"/>
  <c r="H4" i="25"/>
  <c r="G4" i="25"/>
  <c r="F4" i="25"/>
  <c r="C4" i="25"/>
  <c r="B4" i="25"/>
  <c r="AB11" i="11"/>
  <c r="N31" i="6"/>
  <c r="AU11" i="11"/>
  <c r="U11" i="11"/>
  <c r="AF11" i="11"/>
  <c r="AO11" i="11"/>
  <c r="AX11" i="11"/>
  <c r="BG11" i="11"/>
  <c r="BP11" i="11"/>
  <c r="N21" i="5"/>
  <c r="AI7" i="11"/>
  <c r="BG7" i="11"/>
  <c r="AR7" i="11"/>
  <c r="AT7" i="11"/>
  <c r="BK7" i="11"/>
  <c r="Q7" i="11"/>
  <c r="Z7" i="11"/>
  <c r="N14" i="9"/>
  <c r="N10" i="10"/>
  <c r="J32" i="5"/>
  <c r="J15" i="10"/>
  <c r="J29" i="7"/>
  <c r="J42" i="6"/>
  <c r="J22" i="9"/>
  <c r="J50" i="4"/>
  <c r="J49" i="5"/>
  <c r="J71" i="6"/>
  <c r="J33" i="4"/>
  <c r="J21" i="7"/>
  <c r="J17" i="11"/>
  <c r="J16" i="9"/>
  <c r="J23" i="8"/>
  <c r="J59" i="4"/>
  <c r="J19" i="8"/>
  <c r="J14" i="11"/>
  <c r="J25" i="9"/>
  <c r="J28" i="8"/>
  <c r="J26" i="7"/>
  <c r="J58" i="6"/>
  <c r="J44" i="5"/>
  <c r="I8" i="22" l="1"/>
  <c r="AO10" i="11"/>
  <c r="Y8" i="11"/>
  <c r="Q8" i="11"/>
  <c r="BF8" i="11"/>
  <c r="BP13" i="11"/>
  <c r="AA8" i="11"/>
  <c r="T8" i="11"/>
  <c r="AT8" i="11"/>
  <c r="BG10" i="11"/>
  <c r="AC8" i="11"/>
  <c r="AD13" i="11"/>
  <c r="BI10" i="11"/>
  <c r="I13" i="22"/>
  <c r="BJ8" i="11"/>
  <c r="BK13" i="11"/>
  <c r="AF13" i="11"/>
  <c r="AH13" i="11"/>
  <c r="AG10" i="11"/>
  <c r="AQ10" i="11"/>
  <c r="AS10" i="11"/>
  <c r="BK10" i="11"/>
  <c r="S12" i="11"/>
  <c r="AW12" i="11"/>
  <c r="AN10" i="11"/>
  <c r="AY10" i="11"/>
  <c r="BA10" i="11"/>
  <c r="AS12" i="11"/>
  <c r="AW8" i="11"/>
  <c r="AS8" i="11"/>
  <c r="AE13" i="11"/>
  <c r="BI13" i="11"/>
  <c r="BL10" i="11"/>
  <c r="BO10" i="11"/>
  <c r="AL10" i="11"/>
  <c r="BP12" i="11"/>
  <c r="BJ12" i="11"/>
  <c r="BE10" i="11"/>
  <c r="AP10" i="11"/>
  <c r="AJ10" i="11"/>
  <c r="BB10" i="11"/>
  <c r="AA12" i="11"/>
  <c r="AE12" i="11"/>
  <c r="BM8" i="11"/>
  <c r="BK8" i="11"/>
  <c r="AX13" i="11"/>
  <c r="BI12" i="11"/>
  <c r="AF10" i="11"/>
  <c r="BM10" i="11"/>
  <c r="AZ10" i="11"/>
  <c r="BJ10" i="11"/>
  <c r="BO12" i="11"/>
  <c r="X12" i="11"/>
  <c r="AQ13" i="11"/>
  <c r="J4" i="25"/>
  <c r="K4" i="25" s="1"/>
  <c r="AH10" i="11"/>
  <c r="AV10" i="11"/>
  <c r="BP10" i="11"/>
  <c r="AM10" i="11"/>
  <c r="AY12" i="11"/>
  <c r="AN12" i="11"/>
  <c r="P13" i="11"/>
  <c r="BG13" i="11"/>
  <c r="AX10" i="11"/>
  <c r="AW10" i="11"/>
  <c r="AK10" i="11"/>
  <c r="AU10" i="11"/>
  <c r="AJ12" i="11"/>
  <c r="AG12" i="11"/>
  <c r="AJ8" i="11"/>
  <c r="Q13" i="11"/>
  <c r="M44" i="5"/>
  <c r="M58" i="6"/>
  <c r="M26" i="7"/>
  <c r="M28" i="8"/>
  <c r="M25" i="9"/>
  <c r="F14" i="22"/>
  <c r="M14" i="11"/>
  <c r="AA14" i="11" s="1"/>
  <c r="M19" i="8"/>
  <c r="G59" i="22"/>
  <c r="E59" i="3"/>
  <c r="M59" i="4"/>
  <c r="M23" i="8"/>
  <c r="M16" i="9"/>
  <c r="F17" i="22"/>
  <c r="M17" i="11"/>
  <c r="R17" i="11" s="1"/>
  <c r="M21" i="7"/>
  <c r="G33" i="22"/>
  <c r="E33" i="3"/>
  <c r="M33" i="4"/>
  <c r="M71" i="6"/>
  <c r="M49" i="5"/>
  <c r="G50" i="22"/>
  <c r="E50" i="3"/>
  <c r="M50" i="4"/>
  <c r="M22" i="9"/>
  <c r="M42" i="6"/>
  <c r="M29" i="7"/>
  <c r="M15" i="10"/>
  <c r="M32" i="5"/>
  <c r="I5" i="25"/>
  <c r="H5" i="25"/>
  <c r="E5" i="25"/>
  <c r="G5" i="25"/>
  <c r="F5" i="25"/>
  <c r="D5" i="25"/>
  <c r="C5" i="25"/>
  <c r="L5" i="25"/>
  <c r="B5" i="25"/>
  <c r="N36" i="5"/>
  <c r="N70" i="5"/>
  <c r="N55" i="6"/>
  <c r="G4" i="23"/>
  <c r="H4" i="23" s="1"/>
  <c r="I4" i="23" s="1"/>
  <c r="J5" i="22"/>
  <c r="K5" i="22" s="1"/>
  <c r="E6" i="25"/>
  <c r="L6" i="25"/>
  <c r="D6" i="25"/>
  <c r="I6" i="25"/>
  <c r="H6" i="25"/>
  <c r="G6" i="25"/>
  <c r="F6" i="25"/>
  <c r="C6" i="25"/>
  <c r="B6" i="25"/>
  <c r="AE10" i="11"/>
  <c r="N28" i="7"/>
  <c r="T12" i="11"/>
  <c r="AB12" i="11"/>
  <c r="BG12" i="11"/>
  <c r="BA12" i="11"/>
  <c r="W12" i="11"/>
  <c r="AF12" i="11"/>
  <c r="AO12" i="11"/>
  <c r="Z8" i="11"/>
  <c r="AN8" i="11"/>
  <c r="S8" i="11"/>
  <c r="AB8" i="11"/>
  <c r="AK8" i="11"/>
  <c r="N25" i="8"/>
  <c r="H13" i="22"/>
  <c r="F13" i="3"/>
  <c r="H13" i="3"/>
  <c r="N13" i="11"/>
  <c r="AN13" i="11"/>
  <c r="AW13" i="11"/>
  <c r="AP13" i="11"/>
  <c r="AY13" i="11"/>
  <c r="BH13" i="11"/>
  <c r="V13" i="11"/>
  <c r="N19" i="7"/>
  <c r="N58" i="4"/>
  <c r="N16" i="8"/>
  <c r="AQ12" i="11"/>
  <c r="AH12" i="11"/>
  <c r="AP12" i="11"/>
  <c r="V12" i="11"/>
  <c r="AM12" i="11"/>
  <c r="AV12" i="11"/>
  <c r="BE12" i="11"/>
  <c r="H8" i="22"/>
  <c r="H8" i="3"/>
  <c r="F8" i="3"/>
  <c r="N8" i="11"/>
  <c r="AG8" i="11"/>
  <c r="R8" i="11"/>
  <c r="AI8" i="11"/>
  <c r="AR8" i="11"/>
  <c r="BA8" i="11"/>
  <c r="W8" i="11"/>
  <c r="N17" i="10"/>
  <c r="N23" i="7"/>
  <c r="W13" i="11"/>
  <c r="X13" i="11"/>
  <c r="BC13" i="11"/>
  <c r="BF13" i="11"/>
  <c r="BO13" i="11"/>
  <c r="U13" i="11"/>
  <c r="AL13" i="11"/>
  <c r="F6" i="23"/>
  <c r="J7" i="3"/>
  <c r="A7" i="25"/>
  <c r="F10" i="23"/>
  <c r="J11" i="3"/>
  <c r="A11" i="25"/>
  <c r="BD10" i="11"/>
  <c r="BN10" i="11"/>
  <c r="AR10" i="11"/>
  <c r="AD10" i="11"/>
  <c r="N32" i="4"/>
  <c r="AX12" i="11"/>
  <c r="AZ12" i="11"/>
  <c r="BH12" i="11"/>
  <c r="AD12" i="11"/>
  <c r="AU12" i="11"/>
  <c r="BD12" i="11"/>
  <c r="BM12" i="11"/>
  <c r="AX8" i="11"/>
  <c r="BD8" i="11"/>
  <c r="AO8" i="11"/>
  <c r="AQ8" i="11"/>
  <c r="AZ8" i="11"/>
  <c r="BI8" i="11"/>
  <c r="AE8" i="11"/>
  <c r="N57" i="6"/>
  <c r="AM13" i="11"/>
  <c r="AU13" i="11"/>
  <c r="AG13" i="11"/>
  <c r="BN13" i="11"/>
  <c r="T13" i="11"/>
  <c r="AC13" i="11"/>
  <c r="AT13" i="11"/>
  <c r="N31" i="5"/>
  <c r="I9" i="25"/>
  <c r="H9" i="25"/>
  <c r="E9" i="25"/>
  <c r="L9" i="25"/>
  <c r="G9" i="25"/>
  <c r="F9" i="25"/>
  <c r="D9" i="25"/>
  <c r="C9" i="25"/>
  <c r="B9" i="25"/>
  <c r="BN12" i="11"/>
  <c r="AI12" i="11"/>
  <c r="U12" i="11"/>
  <c r="AL12" i="11"/>
  <c r="BC12" i="11"/>
  <c r="BL12" i="11"/>
  <c r="AF8" i="11"/>
  <c r="P8" i="11"/>
  <c r="BL8" i="11"/>
  <c r="AY8" i="11"/>
  <c r="BH8" i="11"/>
  <c r="V8" i="11"/>
  <c r="AM8" i="11"/>
  <c r="N49" i="4"/>
  <c r="N22" i="8"/>
  <c r="AO13" i="11"/>
  <c r="BM13" i="11"/>
  <c r="BD13" i="11"/>
  <c r="S13" i="11"/>
  <c r="AB13" i="11"/>
  <c r="AK13" i="11"/>
  <c r="BB13" i="11"/>
  <c r="N38" i="6"/>
  <c r="G8" i="23"/>
  <c r="J9" i="22"/>
  <c r="K9" i="22" s="1"/>
  <c r="H10" i="22"/>
  <c r="F10" i="3"/>
  <c r="H10" i="3"/>
  <c r="N10" i="11"/>
  <c r="I10" i="22"/>
  <c r="BF10" i="11"/>
  <c r="AI10" i="11"/>
  <c r="BH10" i="11"/>
  <c r="AT10" i="11"/>
  <c r="Z12" i="11"/>
  <c r="BF12" i="11"/>
  <c r="AC12" i="11"/>
  <c r="AT12" i="11"/>
  <c r="BK12" i="11"/>
  <c r="N18" i="9"/>
  <c r="AV8" i="11"/>
  <c r="AH8" i="11"/>
  <c r="X8" i="11"/>
  <c r="BG8" i="11"/>
  <c r="BP8" i="11"/>
  <c r="AD8" i="11"/>
  <c r="AU8" i="11"/>
  <c r="N14" i="10"/>
  <c r="BE13" i="11"/>
  <c r="Y13" i="11"/>
  <c r="R13" i="11"/>
  <c r="AA13" i="11"/>
  <c r="AJ13" i="11"/>
  <c r="AS13" i="11"/>
  <c r="BJ13" i="11"/>
  <c r="J6" i="22"/>
  <c r="K6" i="22" s="1"/>
  <c r="G5" i="23"/>
  <c r="N15" i="9"/>
  <c r="H12" i="22"/>
  <c r="H12" i="3"/>
  <c r="F12" i="3"/>
  <c r="N12" i="11"/>
  <c r="I12" i="22"/>
  <c r="AR12" i="11"/>
  <c r="R12" i="11"/>
  <c r="AK12" i="11"/>
  <c r="BB12" i="11"/>
  <c r="P12" i="11"/>
  <c r="Y12" i="11"/>
  <c r="BN8" i="11"/>
  <c r="BE8" i="11"/>
  <c r="AP8" i="11"/>
  <c r="BO8" i="11"/>
  <c r="U8" i="11"/>
  <c r="AL8" i="11"/>
  <c r="BC8" i="11"/>
  <c r="N30" i="5"/>
  <c r="BL13" i="11"/>
  <c r="AV13" i="11"/>
  <c r="Z13" i="11"/>
  <c r="AI13" i="11"/>
  <c r="AR13" i="11"/>
  <c r="BA13" i="11"/>
  <c r="J59" i="5"/>
  <c r="J23" i="9"/>
  <c r="J26" i="8"/>
  <c r="J64" i="6"/>
  <c r="J16" i="10"/>
  <c r="J20" i="9"/>
  <c r="J21" i="8"/>
  <c r="J52" i="4"/>
  <c r="J22" i="10"/>
  <c r="J28" i="9"/>
  <c r="J31" i="7"/>
  <c r="J52" i="6"/>
  <c r="J36" i="7"/>
  <c r="J30" i="7"/>
  <c r="J19" i="9"/>
  <c r="J24" i="8"/>
  <c r="J33" i="5"/>
  <c r="J35" i="4"/>
  <c r="J29" i="8"/>
  <c r="J72" i="6"/>
  <c r="J15" i="11"/>
  <c r="J50" i="5"/>
  <c r="J61" i="4"/>
  <c r="U14" i="11" l="1"/>
  <c r="J9" i="25"/>
  <c r="K9" i="25" s="1"/>
  <c r="W14" i="11"/>
  <c r="AO14" i="11"/>
  <c r="AZ14" i="11"/>
  <c r="AX14" i="11"/>
  <c r="AF14" i="11"/>
  <c r="J5" i="25"/>
  <c r="K5" i="25" s="1"/>
  <c r="AJ17" i="11"/>
  <c r="P17" i="11"/>
  <c r="BA17" i="11"/>
  <c r="I17" i="22"/>
  <c r="BH17" i="11"/>
  <c r="Y17" i="11"/>
  <c r="BD17" i="11"/>
  <c r="AR17" i="11"/>
  <c r="BM17" i="11"/>
  <c r="BG14" i="11"/>
  <c r="AS17" i="11"/>
  <c r="AH17" i="11"/>
  <c r="AU17" i="11"/>
  <c r="AD17" i="11"/>
  <c r="H5" i="23"/>
  <c r="I5" i="23" s="1"/>
  <c r="J6" i="25"/>
  <c r="K6" i="25" s="1"/>
  <c r="BB17" i="11"/>
  <c r="G61" i="22"/>
  <c r="E61" i="3"/>
  <c r="M61" i="4"/>
  <c r="M50" i="5"/>
  <c r="F15" i="22"/>
  <c r="M15" i="11"/>
  <c r="P15" i="11" s="1"/>
  <c r="M72" i="6"/>
  <c r="M29" i="8"/>
  <c r="G35" i="22"/>
  <c r="E35" i="3"/>
  <c r="M35" i="4"/>
  <c r="M33" i="5"/>
  <c r="M24" i="8"/>
  <c r="M19" i="9"/>
  <c r="M30" i="7"/>
  <c r="M36" i="7"/>
  <c r="M52" i="6"/>
  <c r="M31" i="7"/>
  <c r="M28" i="9"/>
  <c r="M22" i="10"/>
  <c r="G52" i="22"/>
  <c r="E52" i="3"/>
  <c r="M52" i="4"/>
  <c r="M21" i="8"/>
  <c r="M20" i="9"/>
  <c r="M16" i="10"/>
  <c r="M64" i="6"/>
  <c r="M26" i="8"/>
  <c r="M23" i="9"/>
  <c r="M59" i="5"/>
  <c r="N59" i="4"/>
  <c r="H8" i="23"/>
  <c r="I8" i="23" s="1"/>
  <c r="J7" i="22"/>
  <c r="K7" i="22" s="1"/>
  <c r="G6" i="23"/>
  <c r="N32" i="5"/>
  <c r="N49" i="5"/>
  <c r="AC17" i="11"/>
  <c r="T17" i="11"/>
  <c r="BP17" i="11"/>
  <c r="BJ17" i="11"/>
  <c r="X17" i="11"/>
  <c r="AG17" i="11"/>
  <c r="AP17" i="11"/>
  <c r="AD14" i="11"/>
  <c r="AR14" i="11"/>
  <c r="AE14" i="11"/>
  <c r="AN14" i="11"/>
  <c r="AW14" i="11"/>
  <c r="BF14" i="11"/>
  <c r="BO14" i="11"/>
  <c r="F11" i="23"/>
  <c r="J12" i="3"/>
  <c r="A12" i="25"/>
  <c r="N15" i="10"/>
  <c r="N71" i="6"/>
  <c r="AZ17" i="11"/>
  <c r="AQ17" i="11"/>
  <c r="AB17" i="11"/>
  <c r="W17" i="11"/>
  <c r="AF17" i="11"/>
  <c r="AO17" i="11"/>
  <c r="AX17" i="11"/>
  <c r="BA14" i="11"/>
  <c r="BJ14" i="11"/>
  <c r="AM14" i="11"/>
  <c r="AV14" i="11"/>
  <c r="BE14" i="11"/>
  <c r="BN14" i="11"/>
  <c r="F9" i="23"/>
  <c r="J10" i="3"/>
  <c r="A10" i="25"/>
  <c r="N29" i="7"/>
  <c r="N33" i="4"/>
  <c r="BG17" i="11"/>
  <c r="BI17" i="11"/>
  <c r="AY17" i="11"/>
  <c r="AE17" i="11"/>
  <c r="AN17" i="11"/>
  <c r="AW17" i="11"/>
  <c r="BF17" i="11"/>
  <c r="N19" i="8"/>
  <c r="AK14" i="11"/>
  <c r="V14" i="11"/>
  <c r="AU14" i="11"/>
  <c r="BD14" i="11"/>
  <c r="BM14" i="11"/>
  <c r="S14" i="11"/>
  <c r="N25" i="9"/>
  <c r="I7" i="25"/>
  <c r="H7" i="25"/>
  <c r="E7" i="25"/>
  <c r="G7" i="25"/>
  <c r="F7" i="25"/>
  <c r="D7" i="25"/>
  <c r="C7" i="25"/>
  <c r="B7" i="25"/>
  <c r="L7" i="25"/>
  <c r="I11" i="25"/>
  <c r="H11" i="25"/>
  <c r="E11" i="25"/>
  <c r="B11" i="25"/>
  <c r="L11" i="25"/>
  <c r="G11" i="25"/>
  <c r="F11" i="25"/>
  <c r="D11" i="25"/>
  <c r="C11" i="25"/>
  <c r="N42" i="6"/>
  <c r="AI17" i="11"/>
  <c r="U17" i="11"/>
  <c r="V17" i="11"/>
  <c r="AM17" i="11"/>
  <c r="AV17" i="11"/>
  <c r="BE17" i="11"/>
  <c r="BN17" i="11"/>
  <c r="BB14" i="11"/>
  <c r="BH14" i="11"/>
  <c r="AS14" i="11"/>
  <c r="BC14" i="11"/>
  <c r="BL14" i="11"/>
  <c r="R14" i="11"/>
  <c r="N28" i="8"/>
  <c r="F7" i="23"/>
  <c r="J8" i="3"/>
  <c r="A8" i="25"/>
  <c r="N22" i="9"/>
  <c r="H14" i="22"/>
  <c r="F14" i="3"/>
  <c r="H14" i="3"/>
  <c r="N14" i="11"/>
  <c r="I14" i="22"/>
  <c r="T14" i="11"/>
  <c r="BP14" i="11"/>
  <c r="BK14" i="11"/>
  <c r="Q14" i="11"/>
  <c r="Z14" i="11"/>
  <c r="AI14" i="11"/>
  <c r="N26" i="7"/>
  <c r="G10" i="23"/>
  <c r="H10" i="23" s="1"/>
  <c r="I10" i="23" s="1"/>
  <c r="J11" i="22"/>
  <c r="K11" i="22" s="1"/>
  <c r="F12" i="23"/>
  <c r="J13" i="3"/>
  <c r="A13" i="25"/>
  <c r="N50" i="4"/>
  <c r="N21" i="7"/>
  <c r="S17" i="11"/>
  <c r="BO17" i="11"/>
  <c r="AL17" i="11"/>
  <c r="BC17" i="11"/>
  <c r="BL17" i="11"/>
  <c r="N16" i="9"/>
  <c r="AC14" i="11"/>
  <c r="AL14" i="11"/>
  <c r="AB14" i="11"/>
  <c r="P14" i="11"/>
  <c r="Y14" i="11"/>
  <c r="AH14" i="11"/>
  <c r="AQ14" i="11"/>
  <c r="N58" i="6"/>
  <c r="H17" i="22"/>
  <c r="H17" i="3"/>
  <c r="F17" i="3"/>
  <c r="N17" i="11"/>
  <c r="AK17" i="11"/>
  <c r="AA17" i="11"/>
  <c r="AT17" i="11"/>
  <c r="BK17" i="11"/>
  <c r="Q17" i="11"/>
  <c r="Z17" i="11"/>
  <c r="N23" i="8"/>
  <c r="AJ14" i="11"/>
  <c r="BI14" i="11"/>
  <c r="AT14" i="11"/>
  <c r="X14" i="11"/>
  <c r="AG14" i="11"/>
  <c r="AP14" i="11"/>
  <c r="AY14" i="11"/>
  <c r="N44" i="5"/>
  <c r="J35" i="5"/>
  <c r="J22" i="11"/>
  <c r="J30" i="8"/>
  <c r="J24" i="9"/>
  <c r="J27" i="8"/>
  <c r="J23" i="10"/>
  <c r="J26" i="9"/>
  <c r="J42" i="7"/>
  <c r="J44" i="7"/>
  <c r="J65" i="4"/>
  <c r="J19" i="10"/>
  <c r="J29" i="9"/>
  <c r="J61" i="5"/>
  <c r="J32" i="7"/>
  <c r="J58" i="5"/>
  <c r="J73" i="6"/>
  <c r="J57" i="4"/>
  <c r="J36" i="8"/>
  <c r="J21" i="9"/>
  <c r="J39" i="8"/>
  <c r="J49" i="7"/>
  <c r="J61" i="6"/>
  <c r="J31" i="8"/>
  <c r="J16" i="11"/>
  <c r="J18" i="10"/>
  <c r="J37" i="4"/>
  <c r="J65" i="6"/>
  <c r="AI15" i="11" l="1"/>
  <c r="I15" i="22"/>
  <c r="Y15" i="11"/>
  <c r="J11" i="25"/>
  <c r="K11" i="25" s="1"/>
  <c r="AG15" i="11"/>
  <c r="J7" i="25"/>
  <c r="K7" i="25" s="1"/>
  <c r="H6" i="23"/>
  <c r="I6" i="23" s="1"/>
  <c r="AV15" i="11"/>
  <c r="BH15" i="11"/>
  <c r="V15" i="11"/>
  <c r="AM15" i="11"/>
  <c r="M65" i="6"/>
  <c r="N65" i="6" s="1"/>
  <c r="G37" i="22"/>
  <c r="E37" i="3"/>
  <c r="M37" i="4"/>
  <c r="M18" i="10"/>
  <c r="F16" i="22"/>
  <c r="M16" i="11"/>
  <c r="BP16" i="11" s="1"/>
  <c r="M31" i="8"/>
  <c r="M61" i="6"/>
  <c r="M49" i="7"/>
  <c r="M39" i="8"/>
  <c r="M21" i="9"/>
  <c r="M36" i="8"/>
  <c r="G57" i="22"/>
  <c r="E57" i="3"/>
  <c r="M57" i="4"/>
  <c r="M73" i="6"/>
  <c r="N73" i="6" s="1"/>
  <c r="M58" i="5"/>
  <c r="M32" i="7"/>
  <c r="M61" i="5"/>
  <c r="M29" i="9"/>
  <c r="M19" i="10"/>
  <c r="G65" i="22"/>
  <c r="E65" i="3"/>
  <c r="M65" i="4"/>
  <c r="M44" i="7"/>
  <c r="M42" i="7"/>
  <c r="M26" i="9"/>
  <c r="M23" i="10"/>
  <c r="M27" i="8"/>
  <c r="M24" i="9"/>
  <c r="M30" i="8"/>
  <c r="F22" i="22"/>
  <c r="M22" i="11"/>
  <c r="AQ22" i="11" s="1"/>
  <c r="M35" i="5"/>
  <c r="F13" i="23"/>
  <c r="J14" i="3"/>
  <c r="A14" i="25"/>
  <c r="N28" i="9"/>
  <c r="J8" i="22"/>
  <c r="K8" i="22" s="1"/>
  <c r="G7" i="23"/>
  <c r="H7" i="23" s="1"/>
  <c r="G12" i="23"/>
  <c r="J13" i="22"/>
  <c r="K13" i="22" s="1"/>
  <c r="F12" i="25"/>
  <c r="G12" i="25"/>
  <c r="E12" i="25"/>
  <c r="B12" i="25"/>
  <c r="C12" i="25"/>
  <c r="L12" i="25"/>
  <c r="I12" i="25"/>
  <c r="H12" i="25"/>
  <c r="D12" i="25"/>
  <c r="N64" i="6"/>
  <c r="N35" i="4"/>
  <c r="G11" i="23"/>
  <c r="H11" i="23" s="1"/>
  <c r="J12" i="22"/>
  <c r="K12" i="22" s="1"/>
  <c r="N16" i="10"/>
  <c r="N31" i="7"/>
  <c r="AW15" i="11"/>
  <c r="BF15" i="11"/>
  <c r="AQ15" i="11"/>
  <c r="BP15" i="11"/>
  <c r="AD15" i="11"/>
  <c r="AU15" i="11"/>
  <c r="BD15" i="11"/>
  <c r="N20" i="9"/>
  <c r="N52" i="6"/>
  <c r="AY15" i="11"/>
  <c r="R15" i="11"/>
  <c r="BN15" i="11"/>
  <c r="U15" i="11"/>
  <c r="AL15" i="11"/>
  <c r="BC15" i="11"/>
  <c r="BL15" i="11"/>
  <c r="E10" i="25"/>
  <c r="L10" i="25"/>
  <c r="D10" i="25"/>
  <c r="I10" i="25"/>
  <c r="H10" i="25"/>
  <c r="G10" i="25"/>
  <c r="C10" i="25"/>
  <c r="B10" i="25"/>
  <c r="F10" i="25"/>
  <c r="N21" i="8"/>
  <c r="N36" i="7"/>
  <c r="N29" i="8"/>
  <c r="AA15" i="11"/>
  <c r="AO15" i="11"/>
  <c r="T15" i="11"/>
  <c r="AC15" i="11"/>
  <c r="AT15" i="11"/>
  <c r="BK15" i="11"/>
  <c r="E8" i="25"/>
  <c r="L8" i="25"/>
  <c r="D8" i="25"/>
  <c r="I8" i="25"/>
  <c r="H8" i="25"/>
  <c r="G8" i="25"/>
  <c r="F8" i="25"/>
  <c r="C8" i="25"/>
  <c r="B8" i="25"/>
  <c r="G9" i="23"/>
  <c r="J10" i="22"/>
  <c r="K10" i="22" s="1"/>
  <c r="N52" i="4"/>
  <c r="N30" i="7"/>
  <c r="N72" i="6"/>
  <c r="AX15" i="11"/>
  <c r="BG15" i="11"/>
  <c r="AB15" i="11"/>
  <c r="AK15" i="11"/>
  <c r="BB15" i="11"/>
  <c r="N50" i="5"/>
  <c r="N59" i="5"/>
  <c r="N19" i="9"/>
  <c r="H15" i="22"/>
  <c r="F15" i="3"/>
  <c r="H15" i="3"/>
  <c r="N15" i="11"/>
  <c r="AH15" i="11"/>
  <c r="S15" i="11"/>
  <c r="AJ15" i="11"/>
  <c r="AS15" i="11"/>
  <c r="BJ15" i="11"/>
  <c r="X15" i="11"/>
  <c r="N61" i="4"/>
  <c r="F16" i="23"/>
  <c r="J17" i="3"/>
  <c r="A17" i="25"/>
  <c r="B13" i="25"/>
  <c r="D13" i="25"/>
  <c r="L13" i="25"/>
  <c r="C13" i="25"/>
  <c r="H13" i="25"/>
  <c r="F13" i="25"/>
  <c r="E13" i="25"/>
  <c r="G13" i="25"/>
  <c r="I13" i="25"/>
  <c r="N23" i="9"/>
  <c r="N24" i="8"/>
  <c r="BO15" i="11"/>
  <c r="BE15" i="11"/>
  <c r="AP15" i="11"/>
  <c r="AR15" i="11"/>
  <c r="BA15" i="11"/>
  <c r="W15" i="11"/>
  <c r="AF15" i="11"/>
  <c r="N26" i="8"/>
  <c r="N22" i="10"/>
  <c r="N33" i="5"/>
  <c r="Z15" i="11"/>
  <c r="Q15" i="11"/>
  <c r="BM15" i="11"/>
  <c r="AZ15" i="11"/>
  <c r="BI15" i="11"/>
  <c r="AE15" i="11"/>
  <c r="AN15" i="11"/>
  <c r="J21" i="10"/>
  <c r="J39" i="9"/>
  <c r="J65" i="5"/>
  <c r="J50" i="7"/>
  <c r="J23" i="11"/>
  <c r="J31" i="9"/>
  <c r="J26" i="10"/>
  <c r="J33" i="7"/>
  <c r="J59" i="7"/>
  <c r="J19" i="11"/>
  <c r="J29" i="10"/>
  <c r="J44" i="8"/>
  <c r="J38" i="4"/>
  <c r="J24" i="10"/>
  <c r="J27" i="9"/>
  <c r="J20" i="10"/>
  <c r="J18" i="11"/>
  <c r="J34" i="8"/>
  <c r="J57" i="5"/>
  <c r="J63" i="4"/>
  <c r="J30" i="9"/>
  <c r="J37" i="5"/>
  <c r="J32" i="8"/>
  <c r="J66" i="6"/>
  <c r="J47" i="7"/>
  <c r="BN16" i="11" l="1"/>
  <c r="W22" i="11"/>
  <c r="J8" i="25"/>
  <c r="K8" i="25" s="1"/>
  <c r="BL16" i="11"/>
  <c r="Y16" i="11"/>
  <c r="AC22" i="11"/>
  <c r="AD16" i="11"/>
  <c r="I11" i="23"/>
  <c r="AF22" i="11"/>
  <c r="J13" i="25"/>
  <c r="K13" i="25" s="1"/>
  <c r="AO22" i="11"/>
  <c r="J12" i="25"/>
  <c r="K12" i="25" s="1"/>
  <c r="P16" i="11"/>
  <c r="AC16" i="11"/>
  <c r="AQ16" i="11"/>
  <c r="AX22" i="11"/>
  <c r="AM16" i="11"/>
  <c r="BB16" i="11"/>
  <c r="BE16" i="11"/>
  <c r="AY16" i="11"/>
  <c r="BI16" i="11"/>
  <c r="AV16" i="11"/>
  <c r="AG16" i="11"/>
  <c r="AW16" i="11"/>
  <c r="BG22" i="11"/>
  <c r="V16" i="11"/>
  <c r="AF16" i="11"/>
  <c r="BM16" i="11"/>
  <c r="BO16" i="11"/>
  <c r="S16" i="11"/>
  <c r="W16" i="11"/>
  <c r="AE16" i="11"/>
  <c r="BA16" i="11"/>
  <c r="J10" i="25"/>
  <c r="K10" i="25" s="1"/>
  <c r="AN16" i="11"/>
  <c r="BC16" i="11"/>
  <c r="AH16" i="11"/>
  <c r="AB16" i="11"/>
  <c r="BK16" i="11"/>
  <c r="AL16" i="11"/>
  <c r="AP16" i="11"/>
  <c r="AZ16" i="11"/>
  <c r="AL22" i="11"/>
  <c r="AT16" i="11"/>
  <c r="X16" i="11"/>
  <c r="Q16" i="11"/>
  <c r="BF16" i="11"/>
  <c r="BH16" i="11"/>
  <c r="M47" i="7"/>
  <c r="M66" i="6"/>
  <c r="M32" i="8"/>
  <c r="M37" i="5"/>
  <c r="M30" i="9"/>
  <c r="G63" i="22"/>
  <c r="E63" i="3"/>
  <c r="M63" i="4"/>
  <c r="M57" i="5"/>
  <c r="M34" i="8"/>
  <c r="F18" i="22"/>
  <c r="M18" i="11"/>
  <c r="BK18" i="11" s="1"/>
  <c r="M20" i="10"/>
  <c r="M27" i="9"/>
  <c r="M24" i="10"/>
  <c r="G38" i="22"/>
  <c r="E38" i="3"/>
  <c r="M38" i="4"/>
  <c r="M44" i="8"/>
  <c r="M29" i="10"/>
  <c r="F19" i="22"/>
  <c r="M19" i="11"/>
  <c r="S19" i="11" s="1"/>
  <c r="M59" i="7"/>
  <c r="M33" i="7"/>
  <c r="M26" i="10"/>
  <c r="M31" i="9"/>
  <c r="F23" i="22"/>
  <c r="M23" i="11"/>
  <c r="P23" i="11" s="1"/>
  <c r="M50" i="7"/>
  <c r="M65" i="5"/>
  <c r="M39" i="9"/>
  <c r="M21" i="10"/>
  <c r="N39" i="8"/>
  <c r="AZ22" i="11"/>
  <c r="BI22" i="11"/>
  <c r="AE22" i="11"/>
  <c r="AN22" i="11"/>
  <c r="AW22" i="11"/>
  <c r="BF22" i="11"/>
  <c r="BO22" i="11"/>
  <c r="N44" i="7"/>
  <c r="N58" i="5"/>
  <c r="N49" i="7"/>
  <c r="U22" i="11"/>
  <c r="AM22" i="11"/>
  <c r="AV22" i="11"/>
  <c r="BE22" i="11"/>
  <c r="BN22" i="11"/>
  <c r="N65" i="4"/>
  <c r="N61" i="6"/>
  <c r="AO16" i="11"/>
  <c r="AX16" i="11"/>
  <c r="BG16" i="11"/>
  <c r="N32" i="7"/>
  <c r="G16" i="23"/>
  <c r="H16" i="23" s="1"/>
  <c r="I16" i="23" s="1"/>
  <c r="J17" i="22"/>
  <c r="K17" i="22" s="1"/>
  <c r="H12" i="23"/>
  <c r="I12" i="23" s="1"/>
  <c r="N35" i="5"/>
  <c r="AJ22" i="11"/>
  <c r="AR22" i="11"/>
  <c r="AU22" i="11"/>
  <c r="BD22" i="11"/>
  <c r="BM22" i="11"/>
  <c r="S22" i="11"/>
  <c r="N30" i="8"/>
  <c r="N57" i="4"/>
  <c r="N31" i="8"/>
  <c r="H16" i="22"/>
  <c r="H16" i="3"/>
  <c r="F16" i="3"/>
  <c r="N16" i="11"/>
  <c r="I16" i="22"/>
  <c r="N18" i="10"/>
  <c r="I18" i="22"/>
  <c r="H9" i="23"/>
  <c r="I9" i="23" s="1"/>
  <c r="AT22" i="11"/>
  <c r="BB22" i="11"/>
  <c r="BJ22" i="11"/>
  <c r="BC22" i="11"/>
  <c r="BL22" i="11"/>
  <c r="R22" i="11"/>
  <c r="AA22" i="11"/>
  <c r="N24" i="9"/>
  <c r="T16" i="11"/>
  <c r="U16" i="11"/>
  <c r="N37" i="4"/>
  <c r="AB22" i="11"/>
  <c r="AK22" i="11"/>
  <c r="V22" i="11"/>
  <c r="BK22" i="11"/>
  <c r="Q22" i="11"/>
  <c r="Z22" i="11"/>
  <c r="AI22" i="11"/>
  <c r="N27" i="8"/>
  <c r="N19" i="10"/>
  <c r="N42" i="7"/>
  <c r="B17" i="25"/>
  <c r="I17" i="25"/>
  <c r="F17" i="25"/>
  <c r="C17" i="25"/>
  <c r="L17" i="25"/>
  <c r="H17" i="25"/>
  <c r="G17" i="25"/>
  <c r="E17" i="25"/>
  <c r="D17" i="25"/>
  <c r="I7" i="23"/>
  <c r="F14" i="25"/>
  <c r="I14" i="25"/>
  <c r="E14" i="25"/>
  <c r="H14" i="25"/>
  <c r="J14" i="25" s="1"/>
  <c r="K14" i="25" s="1"/>
  <c r="G14" i="25"/>
  <c r="D14" i="25"/>
  <c r="C14" i="25"/>
  <c r="B14" i="25"/>
  <c r="L14" i="25"/>
  <c r="AD22" i="11"/>
  <c r="BH22" i="11"/>
  <c r="AS22" i="11"/>
  <c r="P22" i="11"/>
  <c r="Y22" i="11"/>
  <c r="AH22" i="11"/>
  <c r="N23" i="10"/>
  <c r="N29" i="9"/>
  <c r="N36" i="8"/>
  <c r="BJ16" i="11"/>
  <c r="AU16" i="11"/>
  <c r="BD16" i="11"/>
  <c r="R16" i="11"/>
  <c r="AA16" i="11"/>
  <c r="AJ16" i="11"/>
  <c r="AK16" i="11"/>
  <c r="H22" i="22"/>
  <c r="H22" i="3"/>
  <c r="F22" i="3"/>
  <c r="N22" i="11"/>
  <c r="I22" i="22"/>
  <c r="F14" i="23"/>
  <c r="J15" i="3"/>
  <c r="A15" i="25"/>
  <c r="G13" i="23"/>
  <c r="H13" i="23" s="1"/>
  <c r="I13" i="23" s="1"/>
  <c r="J14" i="22"/>
  <c r="K14" i="22" s="1"/>
  <c r="BA22" i="11"/>
  <c r="T22" i="11"/>
  <c r="BP22" i="11"/>
  <c r="X22" i="11"/>
  <c r="AG22" i="11"/>
  <c r="AP22" i="11"/>
  <c r="AY22" i="11"/>
  <c r="N26" i="9"/>
  <c r="N61" i="5"/>
  <c r="N21" i="9"/>
  <c r="Z16" i="11"/>
  <c r="AI16" i="11"/>
  <c r="AR16" i="11"/>
  <c r="AS16" i="11"/>
  <c r="J74" i="6"/>
  <c r="J20" i="11"/>
  <c r="J31" i="10"/>
  <c r="J60" i="7"/>
  <c r="J42" i="8"/>
  <c r="J25" i="10"/>
  <c r="J33" i="8"/>
  <c r="J35" i="7"/>
  <c r="J26" i="11"/>
  <c r="J61" i="7"/>
  <c r="J38" i="5"/>
  <c r="J24" i="11"/>
  <c r="J27" i="10"/>
  <c r="J34" i="9"/>
  <c r="J32" i="9"/>
  <c r="J30" i="10"/>
  <c r="J40" i="4"/>
  <c r="J29" i="11"/>
  <c r="J21" i="11"/>
  <c r="J39" i="10"/>
  <c r="J63" i="5"/>
  <c r="J66" i="4"/>
  <c r="J47" i="8"/>
  <c r="AJ18" i="11" l="1"/>
  <c r="BL18" i="11"/>
  <c r="AH23" i="11"/>
  <c r="M74" i="6"/>
  <c r="N74" i="6" s="1"/>
  <c r="AN19" i="11"/>
  <c r="AO19" i="11"/>
  <c r="BG19" i="11"/>
  <c r="N66" i="6"/>
  <c r="J17" i="25"/>
  <c r="K17" i="25" s="1"/>
  <c r="AB19" i="11"/>
  <c r="W19" i="11"/>
  <c r="AX23" i="11"/>
  <c r="BA19" i="11"/>
  <c r="AO18" i="11"/>
  <c r="AZ18" i="11"/>
  <c r="AK18" i="11"/>
  <c r="P18" i="11"/>
  <c r="AE18" i="11"/>
  <c r="AV23" i="11"/>
  <c r="BE18" i="11"/>
  <c r="AB18" i="11"/>
  <c r="AT19" i="11"/>
  <c r="BD19" i="11"/>
  <c r="BO19" i="11"/>
  <c r="S23" i="11"/>
  <c r="BC19" i="11"/>
  <c r="BM19" i="11"/>
  <c r="AP18" i="11"/>
  <c r="AS18" i="11"/>
  <c r="BP19" i="11"/>
  <c r="BH23" i="11"/>
  <c r="AL19" i="11"/>
  <c r="AX19" i="11"/>
  <c r="S18" i="11"/>
  <c r="BI18" i="11"/>
  <c r="AW19" i="11"/>
  <c r="V23" i="11"/>
  <c r="AS19" i="11"/>
  <c r="U19" i="11"/>
  <c r="BF19" i="11"/>
  <c r="AW18" i="11"/>
  <c r="AA18" i="11"/>
  <c r="BB18" i="11"/>
  <c r="AM23" i="11"/>
  <c r="BK19" i="11"/>
  <c r="AF19" i="11"/>
  <c r="AX18" i="11"/>
  <c r="AQ18" i="11"/>
  <c r="BJ18" i="11"/>
  <c r="M47" i="8"/>
  <c r="G66" i="22"/>
  <c r="E66" i="3"/>
  <c r="M66" i="4"/>
  <c r="M63" i="5"/>
  <c r="M39" i="10"/>
  <c r="F21" i="22"/>
  <c r="M21" i="11"/>
  <c r="BI21" i="11" s="1"/>
  <c r="F29" i="22"/>
  <c r="M29" i="11"/>
  <c r="R29" i="11" s="1"/>
  <c r="G40" i="22"/>
  <c r="E40" i="3"/>
  <c r="M40" i="4"/>
  <c r="M30" i="10"/>
  <c r="M32" i="9"/>
  <c r="M34" i="9"/>
  <c r="M27" i="10"/>
  <c r="F24" i="22"/>
  <c r="M24" i="11"/>
  <c r="BJ24" i="11" s="1"/>
  <c r="M38" i="5"/>
  <c r="M61" i="7"/>
  <c r="F26" i="22"/>
  <c r="M26" i="11"/>
  <c r="AI26" i="11" s="1"/>
  <c r="M35" i="7"/>
  <c r="M33" i="8"/>
  <c r="M25" i="10"/>
  <c r="M42" i="8"/>
  <c r="M60" i="7"/>
  <c r="M31" i="10"/>
  <c r="F20" i="22"/>
  <c r="M20" i="11"/>
  <c r="AW20" i="11" s="1"/>
  <c r="N44" i="8"/>
  <c r="N63" i="4"/>
  <c r="F21" i="23"/>
  <c r="J22" i="3"/>
  <c r="A22" i="25"/>
  <c r="N21" i="10"/>
  <c r="Y23" i="11"/>
  <c r="BE23" i="11"/>
  <c r="AP23" i="11"/>
  <c r="BP23" i="11"/>
  <c r="AD23" i="11"/>
  <c r="AU23" i="11"/>
  <c r="BD23" i="11"/>
  <c r="H19" i="22"/>
  <c r="F19" i="3"/>
  <c r="H19" i="3"/>
  <c r="N19" i="11"/>
  <c r="I19" i="22"/>
  <c r="AM19" i="11"/>
  <c r="BL19" i="11"/>
  <c r="R19" i="11"/>
  <c r="AA19" i="11"/>
  <c r="AJ19" i="11"/>
  <c r="N38" i="4"/>
  <c r="Z18" i="11"/>
  <c r="Q18" i="11"/>
  <c r="BM18" i="11"/>
  <c r="AY18" i="11"/>
  <c r="BH18" i="11"/>
  <c r="V18" i="11"/>
  <c r="AM18" i="11"/>
  <c r="N39" i="9"/>
  <c r="AA23" i="11"/>
  <c r="Q23" i="11"/>
  <c r="BM23" i="11"/>
  <c r="U23" i="11"/>
  <c r="AL23" i="11"/>
  <c r="BC23" i="11"/>
  <c r="BL23" i="11"/>
  <c r="AU19" i="11"/>
  <c r="AE19" i="11"/>
  <c r="BJ19" i="11"/>
  <c r="Q19" i="11"/>
  <c r="Z19" i="11"/>
  <c r="AI19" i="11"/>
  <c r="AR19" i="11"/>
  <c r="AG18" i="11"/>
  <c r="AN18" i="11"/>
  <c r="Y18" i="11"/>
  <c r="BG18" i="11"/>
  <c r="BP18" i="11"/>
  <c r="AD18" i="11"/>
  <c r="AU18" i="11"/>
  <c r="N65" i="5"/>
  <c r="Z23" i="11"/>
  <c r="AI23" i="11"/>
  <c r="T23" i="11"/>
  <c r="AC23" i="11"/>
  <c r="AT23" i="11"/>
  <c r="BK23" i="11"/>
  <c r="V19" i="11"/>
  <c r="BB19" i="11"/>
  <c r="P19" i="11"/>
  <c r="Y19" i="11"/>
  <c r="AH19" i="11"/>
  <c r="AQ19" i="11"/>
  <c r="AZ19" i="11"/>
  <c r="BD18" i="11"/>
  <c r="BF18" i="11"/>
  <c r="AV18" i="11"/>
  <c r="BO18" i="11"/>
  <c r="U18" i="11"/>
  <c r="AL18" i="11"/>
  <c r="BC18" i="11"/>
  <c r="N30" i="9"/>
  <c r="B15" i="25"/>
  <c r="G15" i="25"/>
  <c r="F15" i="25"/>
  <c r="L15" i="25"/>
  <c r="C15" i="25"/>
  <c r="I15" i="25"/>
  <c r="H15" i="25"/>
  <c r="E15" i="25"/>
  <c r="D15" i="25"/>
  <c r="N50" i="7"/>
  <c r="AW23" i="11"/>
  <c r="BF23" i="11"/>
  <c r="AB23" i="11"/>
  <c r="AK23" i="11"/>
  <c r="BB23" i="11"/>
  <c r="N31" i="9"/>
  <c r="AC19" i="11"/>
  <c r="AK19" i="11"/>
  <c r="X19" i="11"/>
  <c r="AG19" i="11"/>
  <c r="AP19" i="11"/>
  <c r="AY19" i="11"/>
  <c r="BH19" i="11"/>
  <c r="N24" i="10"/>
  <c r="AF18" i="11"/>
  <c r="R18" i="11"/>
  <c r="BN18" i="11"/>
  <c r="T18" i="11"/>
  <c r="AC18" i="11"/>
  <c r="AT18" i="11"/>
  <c r="N37" i="5"/>
  <c r="H23" i="22"/>
  <c r="F23" i="3"/>
  <c r="H23" i="3"/>
  <c r="N23" i="11"/>
  <c r="I23" i="22"/>
  <c r="BO23" i="11"/>
  <c r="R23" i="11"/>
  <c r="AJ23" i="11"/>
  <c r="AS23" i="11"/>
  <c r="BJ23" i="11"/>
  <c r="X23" i="11"/>
  <c r="N26" i="10"/>
  <c r="N27" i="9"/>
  <c r="N32" i="8"/>
  <c r="G14" i="23"/>
  <c r="H14" i="23" s="1"/>
  <c r="I14" i="23" s="1"/>
  <c r="J15" i="22"/>
  <c r="K15" i="22" s="1"/>
  <c r="AQ23" i="11"/>
  <c r="AG23" i="11"/>
  <c r="AO23" i="11"/>
  <c r="AR23" i="11"/>
  <c r="BA23" i="11"/>
  <c r="W23" i="11"/>
  <c r="AF23" i="11"/>
  <c r="N33" i="7"/>
  <c r="N20" i="10"/>
  <c r="N34" i="8"/>
  <c r="F15" i="23"/>
  <c r="J16" i="3"/>
  <c r="A16" i="25"/>
  <c r="BN23" i="11"/>
  <c r="AY23" i="11"/>
  <c r="BG23" i="11"/>
  <c r="AZ23" i="11"/>
  <c r="BI23" i="11"/>
  <c r="AE23" i="11"/>
  <c r="AN23" i="11"/>
  <c r="N59" i="7"/>
  <c r="AD19" i="11"/>
  <c r="BI19" i="11"/>
  <c r="AV19" i="11"/>
  <c r="BE19" i="11"/>
  <c r="BN19" i="11"/>
  <c r="T19" i="11"/>
  <c r="N29" i="10"/>
  <c r="H18" i="22"/>
  <c r="H18" i="3"/>
  <c r="F18" i="3"/>
  <c r="N18" i="11"/>
  <c r="AH18" i="11"/>
  <c r="X18" i="11"/>
  <c r="AI18" i="11"/>
  <c r="AR18" i="11"/>
  <c r="BA18" i="11"/>
  <c r="W18" i="11"/>
  <c r="N57" i="5"/>
  <c r="N47" i="7"/>
  <c r="J47" i="9"/>
  <c r="J30" i="11"/>
  <c r="J34" i="10"/>
  <c r="J36" i="9"/>
  <c r="J66" i="5"/>
  <c r="J31" i="11"/>
  <c r="J35" i="8"/>
  <c r="J25" i="11"/>
  <c r="J40" i="5"/>
  <c r="J65" i="7"/>
  <c r="J39" i="11"/>
  <c r="J33" i="9"/>
  <c r="J43" i="4"/>
  <c r="J59" i="8"/>
  <c r="J37" i="7"/>
  <c r="J27" i="11"/>
  <c r="J28" i="10"/>
  <c r="J57" i="7"/>
  <c r="J60" i="8"/>
  <c r="J70" i="7"/>
  <c r="AM24" i="11" l="1"/>
  <c r="BB26" i="11"/>
  <c r="AW24" i="11"/>
  <c r="J15" i="25"/>
  <c r="K15" i="25" s="1"/>
  <c r="Q24" i="11"/>
  <c r="AZ24" i="11"/>
  <c r="AQ29" i="11"/>
  <c r="AH29" i="11"/>
  <c r="AO24" i="11"/>
  <c r="BI24" i="11"/>
  <c r="AR29" i="11"/>
  <c r="BG20" i="11"/>
  <c r="BK24" i="11"/>
  <c r="R24" i="11"/>
  <c r="BL24" i="11"/>
  <c r="AF29" i="11"/>
  <c r="AD20" i="11"/>
  <c r="AK26" i="11"/>
  <c r="BN24" i="11"/>
  <c r="AX24" i="11"/>
  <c r="T29" i="11"/>
  <c r="AV29" i="11"/>
  <c r="W24" i="11"/>
  <c r="AA24" i="11"/>
  <c r="U29" i="11"/>
  <c r="AL29" i="11"/>
  <c r="I24" i="22"/>
  <c r="AT24" i="11"/>
  <c r="AI24" i="11"/>
  <c r="AJ29" i="11"/>
  <c r="AW29" i="11"/>
  <c r="AD24" i="11"/>
  <c r="AR24" i="11"/>
  <c r="BA29" i="11"/>
  <c r="BE29" i="11"/>
  <c r="AU20" i="11"/>
  <c r="BH26" i="11"/>
  <c r="AF24" i="11"/>
  <c r="Y24" i="11"/>
  <c r="AY24" i="11"/>
  <c r="X29" i="11"/>
  <c r="BG29" i="11"/>
  <c r="BO29" i="11"/>
  <c r="BM29" i="11"/>
  <c r="BJ29" i="11"/>
  <c r="BF29" i="11"/>
  <c r="AK29" i="11"/>
  <c r="AC29" i="11"/>
  <c r="AE29" i="11"/>
  <c r="AN29" i="11"/>
  <c r="BI29" i="11"/>
  <c r="AM29" i="11"/>
  <c r="BO24" i="11"/>
  <c r="BG24" i="11"/>
  <c r="AK24" i="11"/>
  <c r="AZ29" i="11"/>
  <c r="P29" i="11"/>
  <c r="BC29" i="11"/>
  <c r="BD20" i="11"/>
  <c r="BI26" i="11"/>
  <c r="R26" i="11"/>
  <c r="P21" i="11"/>
  <c r="AA21" i="11"/>
  <c r="AL21" i="11"/>
  <c r="W26" i="11"/>
  <c r="BF21" i="11"/>
  <c r="I26" i="22"/>
  <c r="BM20" i="11"/>
  <c r="X26" i="11"/>
  <c r="T26" i="11"/>
  <c r="AP26" i="11"/>
  <c r="BC24" i="11"/>
  <c r="AU24" i="11"/>
  <c r="BP24" i="11"/>
  <c r="AQ24" i="11"/>
  <c r="AC24" i="11"/>
  <c r="BP29" i="11"/>
  <c r="AB29" i="11"/>
  <c r="AI29" i="11"/>
  <c r="AU29" i="11"/>
  <c r="AX29" i="11"/>
  <c r="AO21" i="11"/>
  <c r="AI21" i="11"/>
  <c r="BJ21" i="11"/>
  <c r="BK21" i="11"/>
  <c r="AN21" i="11"/>
  <c r="BA21" i="11"/>
  <c r="AV26" i="11"/>
  <c r="U26" i="11"/>
  <c r="AA26" i="11"/>
  <c r="AU21" i="11"/>
  <c r="BO21" i="11"/>
  <c r="R21" i="11"/>
  <c r="U21" i="11"/>
  <c r="Z21" i="11"/>
  <c r="AS21" i="11"/>
  <c r="AM26" i="11"/>
  <c r="Z20" i="11"/>
  <c r="P26" i="11"/>
  <c r="AO26" i="11"/>
  <c r="AY26" i="11"/>
  <c r="BD24" i="11"/>
  <c r="AE24" i="11"/>
  <c r="Z24" i="11"/>
  <c r="T24" i="11"/>
  <c r="BA24" i="11"/>
  <c r="V29" i="11"/>
  <c r="Y29" i="11"/>
  <c r="BN29" i="11"/>
  <c r="BM21" i="11"/>
  <c r="AJ21" i="11"/>
  <c r="AB20" i="11"/>
  <c r="BE26" i="11"/>
  <c r="BA26" i="11"/>
  <c r="V24" i="11"/>
  <c r="BB24" i="11"/>
  <c r="AH24" i="11"/>
  <c r="AB24" i="11"/>
  <c r="AD29" i="11"/>
  <c r="AO29" i="11"/>
  <c r="AW21" i="11"/>
  <c r="AR21" i="11"/>
  <c r="M70" i="7"/>
  <c r="M60" i="8"/>
  <c r="M57" i="7"/>
  <c r="M28" i="10"/>
  <c r="F27" i="22"/>
  <c r="M27" i="11"/>
  <c r="P27" i="11" s="1"/>
  <c r="M37" i="7"/>
  <c r="M59" i="8"/>
  <c r="G43" i="22"/>
  <c r="E43" i="3"/>
  <c r="M43" i="4"/>
  <c r="M33" i="9"/>
  <c r="F39" i="22"/>
  <c r="M39" i="11"/>
  <c r="AI39" i="11" s="1"/>
  <c r="M65" i="7"/>
  <c r="M40" i="5"/>
  <c r="F25" i="22"/>
  <c r="M25" i="11"/>
  <c r="BA25" i="11" s="1"/>
  <c r="M35" i="8"/>
  <c r="F31" i="22"/>
  <c r="M31" i="11"/>
  <c r="BO31" i="11" s="1"/>
  <c r="M66" i="5"/>
  <c r="M36" i="9"/>
  <c r="M34" i="10"/>
  <c r="F30" i="22"/>
  <c r="M30" i="11"/>
  <c r="BJ30" i="11" s="1"/>
  <c r="M47" i="9"/>
  <c r="N60" i="7"/>
  <c r="BN20" i="11"/>
  <c r="BG26" i="11"/>
  <c r="F17" i="23"/>
  <c r="J18" i="3"/>
  <c r="A18" i="25"/>
  <c r="J22" i="22"/>
  <c r="K22" i="22" s="1"/>
  <c r="G21" i="23"/>
  <c r="H21" i="23" s="1"/>
  <c r="I21" i="23" s="1"/>
  <c r="AR20" i="11"/>
  <c r="AA20" i="11"/>
  <c r="BF20" i="11"/>
  <c r="BA20" i="11"/>
  <c r="W20" i="11"/>
  <c r="AF20" i="11"/>
  <c r="AO20" i="11"/>
  <c r="N25" i="10"/>
  <c r="Y26" i="11"/>
  <c r="AL26" i="11"/>
  <c r="AN26" i="11"/>
  <c r="V26" i="11"/>
  <c r="AS26" i="11"/>
  <c r="BF26" i="11"/>
  <c r="BO26" i="11"/>
  <c r="H24" i="22"/>
  <c r="H24" i="3"/>
  <c r="F24" i="3"/>
  <c r="N24" i="11"/>
  <c r="BE24" i="11"/>
  <c r="AM21" i="11"/>
  <c r="Y21" i="11"/>
  <c r="AH21" i="11"/>
  <c r="AQ21" i="11"/>
  <c r="AZ21" i="11"/>
  <c r="N39" i="10"/>
  <c r="AQ20" i="11"/>
  <c r="AZ20" i="11"/>
  <c r="BB20" i="11"/>
  <c r="P20" i="11"/>
  <c r="N42" i="8"/>
  <c r="BK26" i="11"/>
  <c r="N40" i="4"/>
  <c r="I20" i="22"/>
  <c r="BH20" i="11"/>
  <c r="AX20" i="11"/>
  <c r="R20" i="11"/>
  <c r="BI20" i="11"/>
  <c r="AE20" i="11"/>
  <c r="AN20" i="11"/>
  <c r="N33" i="8"/>
  <c r="BD26" i="11"/>
  <c r="Q26" i="11"/>
  <c r="AZ26" i="11"/>
  <c r="AF26" i="11"/>
  <c r="BC26" i="11"/>
  <c r="BN26" i="11"/>
  <c r="AL24" i="11"/>
  <c r="X24" i="11"/>
  <c r="AG24" i="11"/>
  <c r="AP24" i="11"/>
  <c r="BH24" i="11"/>
  <c r="U24" i="11"/>
  <c r="BM24" i="11"/>
  <c r="BH29" i="11"/>
  <c r="BL29" i="11"/>
  <c r="AT29" i="11"/>
  <c r="BK29" i="11"/>
  <c r="H21" i="22"/>
  <c r="F21" i="3"/>
  <c r="H21" i="3"/>
  <c r="N21" i="11"/>
  <c r="I21" i="22"/>
  <c r="BE21" i="11"/>
  <c r="AV21" i="11"/>
  <c r="AP21" i="11"/>
  <c r="AY21" i="11"/>
  <c r="BH21" i="11"/>
  <c r="V21" i="11"/>
  <c r="N63" i="5"/>
  <c r="N38" i="5"/>
  <c r="H20" i="22"/>
  <c r="H20" i="3"/>
  <c r="F20" i="3"/>
  <c r="N20" i="11"/>
  <c r="AK20" i="11"/>
  <c r="Y20" i="11"/>
  <c r="N30" i="10"/>
  <c r="F22" i="25"/>
  <c r="E22" i="25"/>
  <c r="D22" i="25"/>
  <c r="L22" i="25"/>
  <c r="C22" i="25"/>
  <c r="H22" i="25"/>
  <c r="G22" i="25"/>
  <c r="B22" i="25"/>
  <c r="I22" i="25"/>
  <c r="BO20" i="11"/>
  <c r="AI20" i="11"/>
  <c r="AS20" i="11"/>
  <c r="BJ20" i="11"/>
  <c r="X20" i="11"/>
  <c r="AG20" i="11"/>
  <c r="AU26" i="11"/>
  <c r="BP26" i="11"/>
  <c r="AD26" i="11"/>
  <c r="AG26" i="11"/>
  <c r="AX26" i="11"/>
  <c r="S20" i="11"/>
  <c r="BP20" i="11"/>
  <c r="AJ20" i="11"/>
  <c r="V20" i="11"/>
  <c r="AM20" i="11"/>
  <c r="AV20" i="11"/>
  <c r="BE20" i="11"/>
  <c r="N35" i="7"/>
  <c r="AB26" i="11"/>
  <c r="AC26" i="11"/>
  <c r="BJ26" i="11"/>
  <c r="AR26" i="11"/>
  <c r="BM26" i="11"/>
  <c r="S26" i="11"/>
  <c r="N61" i="7"/>
  <c r="H29" i="22"/>
  <c r="F29" i="3"/>
  <c r="H29" i="3"/>
  <c r="N29" i="11"/>
  <c r="I29" i="22"/>
  <c r="S29" i="11"/>
  <c r="BB29" i="11"/>
  <c r="Q29" i="11"/>
  <c r="Z29" i="11"/>
  <c r="BD21" i="11"/>
  <c r="W21" i="11"/>
  <c r="AE21" i="11"/>
  <c r="AX21" i="11"/>
  <c r="BG21" i="11"/>
  <c r="BP21" i="11"/>
  <c r="AD21" i="11"/>
  <c r="N66" i="4"/>
  <c r="N27" i="10"/>
  <c r="F16" i="25"/>
  <c r="D16" i="25"/>
  <c r="L16" i="25"/>
  <c r="C16" i="25"/>
  <c r="I16" i="25"/>
  <c r="H16" i="25"/>
  <c r="G16" i="25"/>
  <c r="E16" i="25"/>
  <c r="B16" i="25"/>
  <c r="F22" i="23"/>
  <c r="J23" i="3"/>
  <c r="A23" i="25"/>
  <c r="I30" i="22"/>
  <c r="AP20" i="11"/>
  <c r="AY20" i="11"/>
  <c r="U20" i="11"/>
  <c r="AL20" i="11"/>
  <c r="BC20" i="11"/>
  <c r="BL20" i="11"/>
  <c r="AT26" i="11"/>
  <c r="AJ26" i="11"/>
  <c r="AW26" i="11"/>
  <c r="AE26" i="11"/>
  <c r="BL26" i="11"/>
  <c r="Z26" i="11"/>
  <c r="P24" i="11"/>
  <c r="AN24" i="11"/>
  <c r="AV24" i="11"/>
  <c r="BF24" i="11"/>
  <c r="S24" i="11"/>
  <c r="AJ24" i="11"/>
  <c r="AS24" i="11"/>
  <c r="N34" i="9"/>
  <c r="BD29" i="11"/>
  <c r="AA29" i="11"/>
  <c r="AS29" i="11"/>
  <c r="AY29" i="11"/>
  <c r="W29" i="11"/>
  <c r="AG29" i="11"/>
  <c r="AP29" i="11"/>
  <c r="Q21" i="11"/>
  <c r="BL21" i="11"/>
  <c r="AF21" i="11"/>
  <c r="BN21" i="11"/>
  <c r="T21" i="11"/>
  <c r="AC21" i="11"/>
  <c r="AT21" i="11"/>
  <c r="G15" i="23"/>
  <c r="J16" i="22"/>
  <c r="K16" i="22" s="1"/>
  <c r="F18" i="23"/>
  <c r="J19" i="3"/>
  <c r="A19" i="25"/>
  <c r="T20" i="11"/>
  <c r="AH20" i="11"/>
  <c r="AC20" i="11"/>
  <c r="AT20" i="11"/>
  <c r="BK20" i="11"/>
  <c r="Q20" i="11"/>
  <c r="N31" i="10"/>
  <c r="H26" i="22"/>
  <c r="F26" i="3"/>
  <c r="H26" i="3"/>
  <c r="N26" i="11"/>
  <c r="AH26" i="11"/>
  <c r="AQ26" i="11"/>
  <c r="N32" i="9"/>
  <c r="AG21" i="11"/>
  <c r="X21" i="11"/>
  <c r="BC21" i="11"/>
  <c r="S21" i="11"/>
  <c r="AB21" i="11"/>
  <c r="AK21" i="11"/>
  <c r="BB21" i="11"/>
  <c r="N47" i="8"/>
  <c r="J33" i="10"/>
  <c r="J65" i="8"/>
  <c r="J28" i="11"/>
  <c r="J60" i="9"/>
  <c r="J41" i="5"/>
  <c r="J35" i="9"/>
  <c r="J69" i="5"/>
  <c r="J44" i="9"/>
  <c r="J32" i="10"/>
  <c r="J37" i="8"/>
  <c r="J36" i="10"/>
  <c r="J47" i="10"/>
  <c r="J61" i="8"/>
  <c r="J43" i="5"/>
  <c r="J45" i="4"/>
  <c r="J38" i="7"/>
  <c r="BA30" i="11" l="1"/>
  <c r="AK30" i="11"/>
  <c r="Y30" i="11"/>
  <c r="AC30" i="11"/>
  <c r="AD30" i="11"/>
  <c r="AT30" i="11"/>
  <c r="AS30" i="11"/>
  <c r="AW30" i="11"/>
  <c r="AA30" i="11"/>
  <c r="AH30" i="11"/>
  <c r="AJ30" i="11"/>
  <c r="AN30" i="11"/>
  <c r="U30" i="11"/>
  <c r="AR30" i="11"/>
  <c r="AP30" i="11"/>
  <c r="AU30" i="11"/>
  <c r="AC31" i="11"/>
  <c r="AZ31" i="11"/>
  <c r="BI27" i="11"/>
  <c r="R30" i="11"/>
  <c r="BL30" i="11"/>
  <c r="BB30" i="11"/>
  <c r="BK31" i="11"/>
  <c r="X31" i="11"/>
  <c r="BH31" i="11"/>
  <c r="AI27" i="11"/>
  <c r="BC27" i="11"/>
  <c r="I31" i="22"/>
  <c r="AF31" i="11"/>
  <c r="BN27" i="11"/>
  <c r="AI30" i="11"/>
  <c r="BK30" i="11"/>
  <c r="AE31" i="11"/>
  <c r="AG31" i="11"/>
  <c r="BA27" i="11"/>
  <c r="BL27" i="11"/>
  <c r="BD30" i="11"/>
  <c r="T30" i="11"/>
  <c r="U31" i="11"/>
  <c r="AO31" i="11"/>
  <c r="BB27" i="11"/>
  <c r="AF27" i="11"/>
  <c r="I27" i="22"/>
  <c r="J22" i="25"/>
  <c r="K22" i="25" s="1"/>
  <c r="AK31" i="11"/>
  <c r="BM31" i="11"/>
  <c r="BG27" i="11"/>
  <c r="BJ31" i="11"/>
  <c r="BC31" i="11"/>
  <c r="AQ31" i="11"/>
  <c r="AB27" i="11"/>
  <c r="J16" i="25"/>
  <c r="K16" i="25" s="1"/>
  <c r="Z31" i="11"/>
  <c r="AY31" i="11"/>
  <c r="AO27" i="11"/>
  <c r="AX25" i="11"/>
  <c r="AI25" i="11"/>
  <c r="AC25" i="11"/>
  <c r="AD39" i="11"/>
  <c r="BB39" i="11"/>
  <c r="AV39" i="11"/>
  <c r="AQ39" i="11"/>
  <c r="AG30" i="11"/>
  <c r="AF30" i="11"/>
  <c r="BP30" i="11"/>
  <c r="AT31" i="11"/>
  <c r="BI31" i="11"/>
  <c r="AA31" i="11"/>
  <c r="T25" i="11"/>
  <c r="AU25" i="11"/>
  <c r="AK25" i="11"/>
  <c r="AU39" i="11"/>
  <c r="R39" i="11"/>
  <c r="W39" i="11"/>
  <c r="BL39" i="11"/>
  <c r="BO39" i="11"/>
  <c r="AS27" i="11"/>
  <c r="AX27" i="11"/>
  <c r="AV27" i="11"/>
  <c r="BI25" i="11"/>
  <c r="AB39" i="11"/>
  <c r="I39" i="22"/>
  <c r="AL31" i="11"/>
  <c r="BD31" i="11"/>
  <c r="T31" i="11"/>
  <c r="BH25" i="11"/>
  <c r="BC25" i="11"/>
  <c r="BF25" i="11"/>
  <c r="AT25" i="11"/>
  <c r="AT39" i="11"/>
  <c r="U39" i="11"/>
  <c r="AP39" i="11"/>
  <c r="AO39" i="11"/>
  <c r="AZ39" i="11"/>
  <c r="AJ27" i="11"/>
  <c r="AD27" i="11"/>
  <c r="AZ25" i="11"/>
  <c r="P25" i="11"/>
  <c r="AH39" i="11"/>
  <c r="Y39" i="11"/>
  <c r="AE25" i="11"/>
  <c r="AG25" i="11"/>
  <c r="AJ25" i="11"/>
  <c r="AD25" i="11"/>
  <c r="AS39" i="11"/>
  <c r="AX39" i="11"/>
  <c r="Z39" i="11"/>
  <c r="AG39" i="11"/>
  <c r="AR39" i="11"/>
  <c r="Q30" i="11"/>
  <c r="BE30" i="11"/>
  <c r="BG30" i="11"/>
  <c r="AE30" i="11"/>
  <c r="R31" i="11"/>
  <c r="W31" i="11"/>
  <c r="Q31" i="11"/>
  <c r="AJ31" i="11"/>
  <c r="BL25" i="11"/>
  <c r="BM25" i="11"/>
  <c r="BP25" i="11"/>
  <c r="BB25" i="11"/>
  <c r="BI39" i="11"/>
  <c r="AK39" i="11"/>
  <c r="P39" i="11"/>
  <c r="BE39" i="11"/>
  <c r="AQ27" i="11"/>
  <c r="BF27" i="11"/>
  <c r="W27" i="11"/>
  <c r="I25" i="22"/>
  <c r="AO25" i="11"/>
  <c r="AR25" i="11"/>
  <c r="AM25" i="11"/>
  <c r="AC39" i="11"/>
  <c r="BA39" i="11"/>
  <c r="X39" i="11"/>
  <c r="S39" i="11"/>
  <c r="BM27" i="11"/>
  <c r="Q27" i="11"/>
  <c r="AM27" i="11"/>
  <c r="BC39" i="11"/>
  <c r="AP25" i="11"/>
  <c r="BN25" i="11"/>
  <c r="BG25" i="11"/>
  <c r="BK39" i="11"/>
  <c r="AL39" i="11"/>
  <c r="AF39" i="11"/>
  <c r="M38" i="7"/>
  <c r="G45" i="22"/>
  <c r="E45" i="3"/>
  <c r="M45" i="4"/>
  <c r="M43" i="5"/>
  <c r="M61" i="8"/>
  <c r="M47" i="10"/>
  <c r="M36" i="10"/>
  <c r="M37" i="8"/>
  <c r="M32" i="10"/>
  <c r="M44" i="9"/>
  <c r="M69" i="5"/>
  <c r="M35" i="9"/>
  <c r="M41" i="5"/>
  <c r="M60" i="9"/>
  <c r="F28" i="22"/>
  <c r="M28" i="11"/>
  <c r="BA28" i="11" s="1"/>
  <c r="M65" i="8"/>
  <c r="M33" i="10"/>
  <c r="E23" i="25"/>
  <c r="B23" i="25"/>
  <c r="C23" i="25"/>
  <c r="L23" i="25"/>
  <c r="H23" i="25"/>
  <c r="I23" i="25"/>
  <c r="G23" i="25"/>
  <c r="F23" i="25"/>
  <c r="D23" i="25"/>
  <c r="J23" i="22"/>
  <c r="K23" i="22" s="1"/>
  <c r="G22" i="23"/>
  <c r="H22" i="23" s="1"/>
  <c r="I22" i="23" s="1"/>
  <c r="F28" i="23"/>
  <c r="J29" i="3"/>
  <c r="A29" i="25"/>
  <c r="N43" i="4"/>
  <c r="H15" i="23"/>
  <c r="I15" i="23" s="1"/>
  <c r="AX30" i="11"/>
  <c r="X30" i="11"/>
  <c r="BF30" i="11"/>
  <c r="S30" i="11"/>
  <c r="AB30" i="11"/>
  <c r="AL30" i="11"/>
  <c r="BC30" i="11"/>
  <c r="AX31" i="11"/>
  <c r="AU31" i="11"/>
  <c r="AM31" i="11"/>
  <c r="P31" i="11"/>
  <c r="Y31" i="11"/>
  <c r="AI31" i="11"/>
  <c r="AR31" i="11"/>
  <c r="AN25" i="11"/>
  <c r="S25" i="11"/>
  <c r="AQ25" i="11"/>
  <c r="Y25" i="11"/>
  <c r="AV25" i="11"/>
  <c r="U25" i="11"/>
  <c r="AL25" i="11"/>
  <c r="H39" i="22"/>
  <c r="H39" i="3"/>
  <c r="F39" i="3"/>
  <c r="N39" i="11"/>
  <c r="AE39" i="11"/>
  <c r="V39" i="11"/>
  <c r="BF39" i="11"/>
  <c r="Q39" i="11"/>
  <c r="AA39" i="11"/>
  <c r="AJ39" i="11"/>
  <c r="BO27" i="11"/>
  <c r="Y27" i="11"/>
  <c r="BP27" i="11"/>
  <c r="AL27" i="11"/>
  <c r="T27" i="11"/>
  <c r="AU27" i="11"/>
  <c r="BD27" i="11"/>
  <c r="G17" i="23"/>
  <c r="H17" i="23" s="1"/>
  <c r="I17" i="23" s="1"/>
  <c r="J18" i="22"/>
  <c r="K18" i="22" s="1"/>
  <c r="N59" i="8"/>
  <c r="AG27" i="11"/>
  <c r="AA27" i="11"/>
  <c r="BH27" i="11"/>
  <c r="AP27" i="11"/>
  <c r="BK27" i="11"/>
  <c r="F18" i="25"/>
  <c r="H18" i="25"/>
  <c r="G18" i="25"/>
  <c r="L18" i="25"/>
  <c r="C18" i="25"/>
  <c r="D18" i="25"/>
  <c r="B18" i="25"/>
  <c r="I18" i="25"/>
  <c r="E18" i="25"/>
  <c r="N47" i="9"/>
  <c r="BI30" i="11"/>
  <c r="AQ30" i="11"/>
  <c r="AZ30" i="11"/>
  <c r="N34" i="10"/>
  <c r="AD31" i="11"/>
  <c r="BA31" i="11"/>
  <c r="AP31" i="11"/>
  <c r="AN31" i="11"/>
  <c r="AW31" i="11"/>
  <c r="BG31" i="11"/>
  <c r="BP31" i="11"/>
  <c r="AF25" i="11"/>
  <c r="AY25" i="11"/>
  <c r="X25" i="11"/>
  <c r="BE25" i="11"/>
  <c r="Q25" i="11"/>
  <c r="AS25" i="11"/>
  <c r="BJ25" i="11"/>
  <c r="AY39" i="11"/>
  <c r="BH39" i="11"/>
  <c r="N37" i="7"/>
  <c r="AR27" i="11"/>
  <c r="BE27" i="11"/>
  <c r="AK27" i="11"/>
  <c r="S27" i="11"/>
  <c r="AZ27" i="11"/>
  <c r="N28" i="10"/>
  <c r="I28" i="22"/>
  <c r="F25" i="23"/>
  <c r="J26" i="3"/>
  <c r="A26" i="25"/>
  <c r="F19" i="23"/>
  <c r="J20" i="3"/>
  <c r="A20" i="25"/>
  <c r="F20" i="23"/>
  <c r="J21" i="3"/>
  <c r="A21" i="25"/>
  <c r="F23" i="23"/>
  <c r="J24" i="3"/>
  <c r="A24" i="25"/>
  <c r="H30" i="22"/>
  <c r="H30" i="3"/>
  <c r="F30" i="3"/>
  <c r="N30" i="11"/>
  <c r="BM30" i="11"/>
  <c r="AO30" i="11"/>
  <c r="P30" i="11"/>
  <c r="AY30" i="11"/>
  <c r="BH30" i="11"/>
  <c r="W30" i="11"/>
  <c r="N36" i="9"/>
  <c r="BN31" i="11"/>
  <c r="V31" i="11"/>
  <c r="BF31" i="11"/>
  <c r="AV31" i="11"/>
  <c r="BE31" i="11"/>
  <c r="BK25" i="11"/>
  <c r="AB25" i="11"/>
  <c r="AH25" i="11"/>
  <c r="BO25" i="11"/>
  <c r="AA25" i="11"/>
  <c r="BJ39" i="11"/>
  <c r="BN39" i="11"/>
  <c r="AM39" i="11"/>
  <c r="AN39" i="11"/>
  <c r="AW39" i="11"/>
  <c r="BG39" i="11"/>
  <c r="BP39" i="11"/>
  <c r="H27" i="22"/>
  <c r="F27" i="3"/>
  <c r="H27" i="3"/>
  <c r="N27" i="11"/>
  <c r="U27" i="11"/>
  <c r="Z27" i="11"/>
  <c r="AW27" i="11"/>
  <c r="AC27" i="11"/>
  <c r="BJ27" i="11"/>
  <c r="X27" i="11"/>
  <c r="N57" i="7"/>
  <c r="G18" i="23"/>
  <c r="H18" i="23" s="1"/>
  <c r="I18" i="23" s="1"/>
  <c r="J19" i="22"/>
  <c r="K19" i="22" s="1"/>
  <c r="B19" i="25"/>
  <c r="E19" i="25"/>
  <c r="D19" i="25"/>
  <c r="L19" i="25"/>
  <c r="I19" i="25"/>
  <c r="G19" i="25"/>
  <c r="F19" i="25"/>
  <c r="C19" i="25"/>
  <c r="H19" i="25"/>
  <c r="N66" i="5"/>
  <c r="N35" i="8"/>
  <c r="N40" i="5"/>
  <c r="N60" i="8"/>
  <c r="BN30" i="11"/>
  <c r="Z30" i="11"/>
  <c r="AV30" i="11"/>
  <c r="BO30" i="11"/>
  <c r="V30" i="11"/>
  <c r="AM30" i="11"/>
  <c r="H31" i="22"/>
  <c r="H31" i="3"/>
  <c r="F31" i="3"/>
  <c r="N31" i="11"/>
  <c r="AH31" i="11"/>
  <c r="BB31" i="11"/>
  <c r="AS31" i="11"/>
  <c r="BL31" i="11"/>
  <c r="S31" i="11"/>
  <c r="AB31" i="11"/>
  <c r="H25" i="22"/>
  <c r="H25" i="3"/>
  <c r="F25" i="3"/>
  <c r="N25" i="11"/>
  <c r="R25" i="11"/>
  <c r="W25" i="11"/>
  <c r="BD25" i="11"/>
  <c r="Z25" i="11"/>
  <c r="AW25" i="11"/>
  <c r="V25" i="11"/>
  <c r="N65" i="7"/>
  <c r="BD39" i="11"/>
  <c r="BM39" i="11"/>
  <c r="T39" i="11"/>
  <c r="N33" i="9"/>
  <c r="AH27" i="11"/>
  <c r="V27" i="11"/>
  <c r="AT27" i="11"/>
  <c r="R27" i="11"/>
  <c r="AY27" i="11"/>
  <c r="AE27" i="11"/>
  <c r="AN27" i="11"/>
  <c r="N70" i="7"/>
  <c r="J38" i="8"/>
  <c r="J37" i="9"/>
  <c r="J66" i="7"/>
  <c r="J32" i="11"/>
  <c r="J40" i="7"/>
  <c r="J52" i="5"/>
  <c r="J46" i="4"/>
  <c r="J45" i="5"/>
  <c r="J35" i="10"/>
  <c r="J47" i="11"/>
  <c r="J60" i="10"/>
  <c r="J65" i="9"/>
  <c r="J33" i="11"/>
  <c r="J44" i="10"/>
  <c r="J18" i="25" l="1"/>
  <c r="K18" i="25" s="1"/>
  <c r="J19" i="25"/>
  <c r="K19" i="25" s="1"/>
  <c r="J23" i="25"/>
  <c r="K23" i="25" s="1"/>
  <c r="M44" i="10"/>
  <c r="F33" i="22"/>
  <c r="M33" i="11"/>
  <c r="AT33" i="11" s="1"/>
  <c r="M65" i="9"/>
  <c r="M60" i="10"/>
  <c r="F47" i="22"/>
  <c r="M47" i="11"/>
  <c r="AJ47" i="11" s="1"/>
  <c r="M35" i="10"/>
  <c r="M45" i="5"/>
  <c r="G46" i="22"/>
  <c r="E46" i="3"/>
  <c r="M46" i="4"/>
  <c r="M52" i="5"/>
  <c r="M40" i="7"/>
  <c r="F32" i="22"/>
  <c r="M32" i="11"/>
  <c r="BM32" i="11" s="1"/>
  <c r="M66" i="7"/>
  <c r="M37" i="9"/>
  <c r="M38" i="8"/>
  <c r="S28" i="11"/>
  <c r="AF28" i="11"/>
  <c r="P28" i="11"/>
  <c r="AW28" i="11"/>
  <c r="BH28" i="11"/>
  <c r="N36" i="10"/>
  <c r="G25" i="23"/>
  <c r="H25" i="23" s="1"/>
  <c r="I25" i="23" s="1"/>
  <c r="J26" i="22"/>
  <c r="K26" i="22" s="1"/>
  <c r="N33" i="10"/>
  <c r="AH28" i="11"/>
  <c r="F30" i="23"/>
  <c r="J31" i="3"/>
  <c r="A31" i="25"/>
  <c r="B21" i="25"/>
  <c r="H21" i="25"/>
  <c r="G21" i="25"/>
  <c r="F21" i="25"/>
  <c r="D21" i="25"/>
  <c r="L21" i="25"/>
  <c r="I21" i="25"/>
  <c r="E21" i="25"/>
  <c r="C21" i="25"/>
  <c r="N65" i="8"/>
  <c r="AX28" i="11"/>
  <c r="BK28" i="11"/>
  <c r="AT28" i="11"/>
  <c r="Z28" i="11"/>
  <c r="BG28" i="11"/>
  <c r="BP28" i="11"/>
  <c r="N60" i="9"/>
  <c r="N47" i="10"/>
  <c r="G20" i="23"/>
  <c r="J21" i="22"/>
  <c r="K21" i="22" s="1"/>
  <c r="AL28" i="11"/>
  <c r="R28" i="11"/>
  <c r="AY28" i="11"/>
  <c r="AG28" i="11"/>
  <c r="BO28" i="11"/>
  <c r="AV28" i="11"/>
  <c r="T28" i="11"/>
  <c r="AC28" i="11"/>
  <c r="N35" i="9"/>
  <c r="N43" i="5"/>
  <c r="V28" i="11"/>
  <c r="BD28" i="11"/>
  <c r="BN28" i="11"/>
  <c r="F20" i="25"/>
  <c r="B20" i="25"/>
  <c r="I20" i="25"/>
  <c r="G20" i="25"/>
  <c r="L20" i="25"/>
  <c r="H20" i="25"/>
  <c r="E20" i="25"/>
  <c r="D20" i="25"/>
  <c r="C20" i="25"/>
  <c r="E29" i="25"/>
  <c r="B29" i="25"/>
  <c r="F29" i="25"/>
  <c r="D29" i="25"/>
  <c r="C29" i="25"/>
  <c r="H29" i="25"/>
  <c r="G29" i="25"/>
  <c r="L29" i="25"/>
  <c r="I29" i="25"/>
  <c r="AN28" i="11"/>
  <c r="AD28" i="11"/>
  <c r="AQ28" i="11"/>
  <c r="Y28" i="11"/>
  <c r="BF28" i="11"/>
  <c r="AB28" i="11"/>
  <c r="AK28" i="11"/>
  <c r="N69" i="5"/>
  <c r="N45" i="4"/>
  <c r="N41" i="5"/>
  <c r="F29" i="23"/>
  <c r="J30" i="3"/>
  <c r="A30" i="25"/>
  <c r="G19" i="23"/>
  <c r="J20" i="22"/>
  <c r="K20" i="22" s="1"/>
  <c r="G28" i="23"/>
  <c r="H28" i="23" s="1"/>
  <c r="I28" i="23" s="1"/>
  <c r="J29" i="22"/>
  <c r="K29" i="22" s="1"/>
  <c r="AP28" i="11"/>
  <c r="BB28" i="11"/>
  <c r="BC28" i="11"/>
  <c r="AI28" i="11"/>
  <c r="Q28" i="11"/>
  <c r="AJ28" i="11"/>
  <c r="AS28" i="11"/>
  <c r="N44" i="9"/>
  <c r="N61" i="8"/>
  <c r="I24" i="25"/>
  <c r="F24" i="25"/>
  <c r="L24" i="25"/>
  <c r="B24" i="25"/>
  <c r="G24" i="25"/>
  <c r="D24" i="25"/>
  <c r="C24" i="25"/>
  <c r="E24" i="25"/>
  <c r="H24" i="25"/>
  <c r="BL28" i="11"/>
  <c r="AE28" i="11"/>
  <c r="BM28" i="11"/>
  <c r="AU28" i="11"/>
  <c r="AA28" i="11"/>
  <c r="AR28" i="11"/>
  <c r="N32" i="10"/>
  <c r="H28" i="22"/>
  <c r="H28" i="3"/>
  <c r="F28" i="3"/>
  <c r="N28" i="11"/>
  <c r="W28" i="11"/>
  <c r="U28" i="11"/>
  <c r="F24" i="23"/>
  <c r="J25" i="3"/>
  <c r="A25" i="25"/>
  <c r="F26" i="23"/>
  <c r="J27" i="3"/>
  <c r="A27" i="25"/>
  <c r="J24" i="22"/>
  <c r="K24" i="22" s="1"/>
  <c r="G23" i="23"/>
  <c r="I26" i="25"/>
  <c r="F26" i="25"/>
  <c r="H26" i="25"/>
  <c r="G26" i="25"/>
  <c r="D26" i="25"/>
  <c r="B26" i="25"/>
  <c r="L26" i="25"/>
  <c r="E26" i="25"/>
  <c r="C26" i="25"/>
  <c r="F38" i="23"/>
  <c r="J39" i="3"/>
  <c r="A39" i="25"/>
  <c r="AO28" i="11"/>
  <c r="BJ28" i="11"/>
  <c r="X28" i="11"/>
  <c r="BE28" i="11"/>
  <c r="AM28" i="11"/>
  <c r="AZ28" i="11"/>
  <c r="BI28" i="11"/>
  <c r="N37" i="8"/>
  <c r="N38" i="7"/>
  <c r="J60" i="11"/>
  <c r="J65" i="10"/>
  <c r="J38" i="9"/>
  <c r="J69" i="7"/>
  <c r="J37" i="10"/>
  <c r="J46" i="5"/>
  <c r="J35" i="11"/>
  <c r="J40" i="8"/>
  <c r="J48" i="4"/>
  <c r="J43" i="7"/>
  <c r="J34" i="11"/>
  <c r="J41" i="7"/>
  <c r="BD32" i="11" l="1"/>
  <c r="AZ32" i="11"/>
  <c r="BM33" i="11"/>
  <c r="AY33" i="11"/>
  <c r="I32" i="22"/>
  <c r="J24" i="25"/>
  <c r="K24" i="25" s="1"/>
  <c r="AV32" i="11"/>
  <c r="AP33" i="11"/>
  <c r="J20" i="25"/>
  <c r="K20" i="25" s="1"/>
  <c r="BO32" i="11"/>
  <c r="H19" i="23"/>
  <c r="I19" i="23" s="1"/>
  <c r="BP32" i="11"/>
  <c r="BL32" i="11"/>
  <c r="J21" i="25"/>
  <c r="K21" i="25" s="1"/>
  <c r="AB32" i="11"/>
  <c r="AC32" i="11"/>
  <c r="BI33" i="11"/>
  <c r="AQ32" i="11"/>
  <c r="AK32" i="11"/>
  <c r="AR32" i="11"/>
  <c r="AS32" i="11"/>
  <c r="AU32" i="11"/>
  <c r="BI32" i="11"/>
  <c r="J26" i="25"/>
  <c r="K26" i="25" s="1"/>
  <c r="J29" i="25"/>
  <c r="K29" i="25" s="1"/>
  <c r="AI32" i="11"/>
  <c r="X32" i="11"/>
  <c r="BH32" i="11"/>
  <c r="W32" i="11"/>
  <c r="AL32" i="11"/>
  <c r="Q32" i="11"/>
  <c r="V33" i="11"/>
  <c r="P47" i="11"/>
  <c r="AX32" i="11"/>
  <c r="AM32" i="11"/>
  <c r="AT32" i="11"/>
  <c r="AG32" i="11"/>
  <c r="BN32" i="11"/>
  <c r="Z32" i="11"/>
  <c r="BB32" i="11"/>
  <c r="BE32" i="11"/>
  <c r="W33" i="11"/>
  <c r="AE32" i="11"/>
  <c r="S32" i="11"/>
  <c r="U32" i="11"/>
  <c r="BJ32" i="11"/>
  <c r="BK33" i="11"/>
  <c r="M41" i="7"/>
  <c r="F34" i="22"/>
  <c r="M34" i="11"/>
  <c r="AY34" i="11" s="1"/>
  <c r="M43" i="7"/>
  <c r="G48" i="22"/>
  <c r="E48" i="3"/>
  <c r="M48" i="4"/>
  <c r="M40" i="8"/>
  <c r="F35" i="22"/>
  <c r="M35" i="11"/>
  <c r="P35" i="11" s="1"/>
  <c r="M46" i="5"/>
  <c r="M37" i="10"/>
  <c r="M69" i="7"/>
  <c r="M38" i="9"/>
  <c r="M65" i="10"/>
  <c r="F60" i="22"/>
  <c r="M60" i="11"/>
  <c r="BN60" i="11" s="1"/>
  <c r="E39" i="25"/>
  <c r="B39" i="25"/>
  <c r="C39" i="25"/>
  <c r="L39" i="25"/>
  <c r="K39" i="25"/>
  <c r="I39" i="25"/>
  <c r="H39" i="25"/>
  <c r="D39" i="25"/>
  <c r="G39" i="25"/>
  <c r="F39" i="25"/>
  <c r="E27" i="25"/>
  <c r="B27" i="25"/>
  <c r="H27" i="25"/>
  <c r="G27" i="25"/>
  <c r="F27" i="25"/>
  <c r="C27" i="25"/>
  <c r="I27" i="25"/>
  <c r="D27" i="25"/>
  <c r="L27" i="25"/>
  <c r="I33" i="22"/>
  <c r="H32" i="22"/>
  <c r="H32" i="3"/>
  <c r="F32" i="3"/>
  <c r="N32" i="11"/>
  <c r="BG32" i="11"/>
  <c r="AY32" i="11"/>
  <c r="BC32" i="11"/>
  <c r="BA32" i="11"/>
  <c r="P32" i="11"/>
  <c r="Y32" i="11"/>
  <c r="N52" i="5"/>
  <c r="Z47" i="11"/>
  <c r="AE47" i="11"/>
  <c r="V47" i="11"/>
  <c r="AF47" i="11"/>
  <c r="AO47" i="11"/>
  <c r="AY47" i="11"/>
  <c r="BH47" i="11"/>
  <c r="Y33" i="11"/>
  <c r="X33" i="11"/>
  <c r="AF33" i="11"/>
  <c r="AJ33" i="11"/>
  <c r="BF33" i="11"/>
  <c r="BO33" i="11"/>
  <c r="AD33" i="11"/>
  <c r="N46" i="4"/>
  <c r="BN47" i="11"/>
  <c r="AU47" i="11"/>
  <c r="AL47" i="11"/>
  <c r="AN47" i="11"/>
  <c r="AW47" i="11"/>
  <c r="BG47" i="11"/>
  <c r="BP47" i="11"/>
  <c r="AN33" i="11"/>
  <c r="AB33" i="11"/>
  <c r="AV33" i="11"/>
  <c r="AZ33" i="11"/>
  <c r="BN33" i="11"/>
  <c r="U33" i="11"/>
  <c r="AL33" i="11"/>
  <c r="BK47" i="11"/>
  <c r="BJ47" i="11"/>
  <c r="X47" i="11"/>
  <c r="AQ47" i="11"/>
  <c r="AZ47" i="11"/>
  <c r="AX33" i="11"/>
  <c r="AA32" i="11"/>
  <c r="R32" i="11"/>
  <c r="T32" i="11"/>
  <c r="AP32" i="11"/>
  <c r="V32" i="11"/>
  <c r="AF32" i="11"/>
  <c r="AO32" i="11"/>
  <c r="AD47" i="11"/>
  <c r="R47" i="11"/>
  <c r="BC47" i="11"/>
  <c r="AV47" i="11"/>
  <c r="BE47" i="11"/>
  <c r="BO47" i="11"/>
  <c r="BA47" i="11"/>
  <c r="AM33" i="11"/>
  <c r="AR33" i="11"/>
  <c r="BL33" i="11"/>
  <c r="BP33" i="11"/>
  <c r="S33" i="11"/>
  <c r="AC33" i="11"/>
  <c r="AC47" i="11"/>
  <c r="AI47" i="11"/>
  <c r="N40" i="7"/>
  <c r="BB47" i="11"/>
  <c r="AG47" i="11"/>
  <c r="H33" i="22"/>
  <c r="H33" i="3"/>
  <c r="F33" i="3"/>
  <c r="N33" i="11"/>
  <c r="BE33" i="11"/>
  <c r="P33" i="11"/>
  <c r="T33" i="11"/>
  <c r="BG33" i="11"/>
  <c r="J39" i="22"/>
  <c r="K39" i="22" s="1"/>
  <c r="G38" i="23"/>
  <c r="G26" i="23"/>
  <c r="H26" i="23" s="1"/>
  <c r="I26" i="23" s="1"/>
  <c r="J27" i="22"/>
  <c r="K27" i="22" s="1"/>
  <c r="F27" i="23"/>
  <c r="J28" i="3"/>
  <c r="A28" i="25"/>
  <c r="E25" i="25"/>
  <c r="B25" i="25"/>
  <c r="I25" i="25"/>
  <c r="H25" i="25"/>
  <c r="F25" i="25"/>
  <c r="L25" i="25"/>
  <c r="G25" i="25"/>
  <c r="D25" i="25"/>
  <c r="C25" i="25"/>
  <c r="I30" i="25"/>
  <c r="F30" i="25"/>
  <c r="D30" i="25"/>
  <c r="C30" i="25"/>
  <c r="L30" i="25"/>
  <c r="B30" i="25"/>
  <c r="H30" i="25"/>
  <c r="G30" i="25"/>
  <c r="E30" i="25"/>
  <c r="H20" i="23"/>
  <c r="I20" i="23" s="1"/>
  <c r="H23" i="23"/>
  <c r="I23" i="23" s="1"/>
  <c r="BK32" i="11"/>
  <c r="AH32" i="11"/>
  <c r="AJ32" i="11"/>
  <c r="BF32" i="11"/>
  <c r="AD32" i="11"/>
  <c r="AN32" i="11"/>
  <c r="AW32" i="11"/>
  <c r="AP47" i="11"/>
  <c r="AH47" i="11"/>
  <c r="W47" i="11"/>
  <c r="BD47" i="11"/>
  <c r="BM47" i="11"/>
  <c r="T47" i="11"/>
  <c r="BI47" i="11"/>
  <c r="AO33" i="11"/>
  <c r="BH33" i="11"/>
  <c r="Q33" i="11"/>
  <c r="R33" i="11"/>
  <c r="AA33" i="11"/>
  <c r="AK33" i="11"/>
  <c r="BB33" i="11"/>
  <c r="G30" i="23"/>
  <c r="J31" i="22"/>
  <c r="K31" i="22" s="1"/>
  <c r="Y47" i="11"/>
  <c r="N66" i="7"/>
  <c r="G24" i="23"/>
  <c r="J25" i="22"/>
  <c r="K25" i="22" s="1"/>
  <c r="G29" i="23"/>
  <c r="H29" i="23" s="1"/>
  <c r="I29" i="23" s="1"/>
  <c r="J30" i="22"/>
  <c r="K30" i="22" s="1"/>
  <c r="N45" i="5"/>
  <c r="AS47" i="11"/>
  <c r="AX47" i="11"/>
  <c r="AM47" i="11"/>
  <c r="BL47" i="11"/>
  <c r="S47" i="11"/>
  <c r="AB47" i="11"/>
  <c r="BC33" i="11"/>
  <c r="AE33" i="11"/>
  <c r="AG33" i="11"/>
  <c r="Z33" i="11"/>
  <c r="AI33" i="11"/>
  <c r="AS33" i="11"/>
  <c r="BJ33" i="11"/>
  <c r="N37" i="9"/>
  <c r="E31" i="25"/>
  <c r="B31" i="25"/>
  <c r="C31" i="25"/>
  <c r="L31" i="25"/>
  <c r="K31" i="25"/>
  <c r="H31" i="25"/>
  <c r="F31" i="25"/>
  <c r="D31" i="25"/>
  <c r="I31" i="25"/>
  <c r="G31" i="25"/>
  <c r="N38" i="8"/>
  <c r="N35" i="10"/>
  <c r="AT47" i="11"/>
  <c r="U47" i="11"/>
  <c r="BF47" i="11"/>
  <c r="Q47" i="11"/>
  <c r="AA47" i="11"/>
  <c r="N60" i="10"/>
  <c r="BD33" i="11"/>
  <c r="AU33" i="11"/>
  <c r="AW33" i="11"/>
  <c r="AH33" i="11"/>
  <c r="AQ33" i="11"/>
  <c r="BA33" i="11"/>
  <c r="H47" i="22"/>
  <c r="F47" i="3"/>
  <c r="H47" i="3"/>
  <c r="N47" i="11"/>
  <c r="I47" i="22"/>
  <c r="AK47" i="11"/>
  <c r="AR47" i="11"/>
  <c r="N65" i="9"/>
  <c r="N44" i="10"/>
  <c r="J41" i="8"/>
  <c r="J43" i="8"/>
  <c r="J45" i="7"/>
  <c r="J65" i="11"/>
  <c r="J36" i="11"/>
  <c r="J51" i="4"/>
  <c r="J37" i="11"/>
  <c r="J52" i="7"/>
  <c r="J40" i="9"/>
  <c r="J48" i="5"/>
  <c r="J69" i="8"/>
  <c r="J38" i="10"/>
  <c r="BK35" i="11" l="1"/>
  <c r="J25" i="25"/>
  <c r="K25" i="25" s="1"/>
  <c r="N65" i="10"/>
  <c r="BM35" i="11"/>
  <c r="J39" i="25"/>
  <c r="AS35" i="11"/>
  <c r="AK34" i="11"/>
  <c r="BH60" i="11"/>
  <c r="Q60" i="11"/>
  <c r="AU35" i="11"/>
  <c r="BL60" i="11"/>
  <c r="AD60" i="11"/>
  <c r="AG60" i="11"/>
  <c r="AT60" i="11"/>
  <c r="S35" i="11"/>
  <c r="BD35" i="11"/>
  <c r="BE34" i="11"/>
  <c r="U60" i="11"/>
  <c r="AY35" i="11"/>
  <c r="AR34" i="11"/>
  <c r="BO60" i="11"/>
  <c r="AK60" i="11"/>
  <c r="AO35" i="11"/>
  <c r="AB60" i="11"/>
  <c r="BK60" i="11"/>
  <c r="Z35" i="11"/>
  <c r="AH34" i="11"/>
  <c r="AQ60" i="11"/>
  <c r="X60" i="11"/>
  <c r="T35" i="11"/>
  <c r="AA34" i="11"/>
  <c r="AW34" i="11"/>
  <c r="AD34" i="11"/>
  <c r="H24" i="23"/>
  <c r="I24" i="23" s="1"/>
  <c r="J27" i="25"/>
  <c r="K27" i="25" s="1"/>
  <c r="BA60" i="11"/>
  <c r="R60" i="11"/>
  <c r="BP34" i="11"/>
  <c r="BK34" i="11"/>
  <c r="BA34" i="11"/>
  <c r="J31" i="25"/>
  <c r="J30" i="25"/>
  <c r="K30" i="25" s="1"/>
  <c r="AY60" i="11"/>
  <c r="AL60" i="11"/>
  <c r="Z60" i="11"/>
  <c r="AJ35" i="11"/>
  <c r="AJ34" i="11"/>
  <c r="X34" i="11"/>
  <c r="BJ34" i="11"/>
  <c r="BG60" i="11"/>
  <c r="BC60" i="11"/>
  <c r="AP60" i="11"/>
  <c r="AD35" i="11"/>
  <c r="AC35" i="11"/>
  <c r="AL34" i="11"/>
  <c r="R34" i="11"/>
  <c r="M38" i="10"/>
  <c r="M69" i="8"/>
  <c r="M48" i="5"/>
  <c r="M40" i="9"/>
  <c r="M52" i="7"/>
  <c r="F37" i="22"/>
  <c r="M37" i="11"/>
  <c r="Z37" i="11" s="1"/>
  <c r="G51" i="22"/>
  <c r="E51" i="3"/>
  <c r="M51" i="4"/>
  <c r="F36" i="22"/>
  <c r="M36" i="11"/>
  <c r="BP36" i="11" s="1"/>
  <c r="F65" i="22"/>
  <c r="M65" i="11"/>
  <c r="BK65" i="11" s="1"/>
  <c r="M45" i="7"/>
  <c r="M43" i="8"/>
  <c r="M41" i="8"/>
  <c r="I28" i="25"/>
  <c r="F28" i="25"/>
  <c r="G28" i="25"/>
  <c r="E28" i="25"/>
  <c r="D28" i="25"/>
  <c r="L28" i="25"/>
  <c r="B28" i="25"/>
  <c r="H28" i="25"/>
  <c r="C28" i="25"/>
  <c r="N38" i="9"/>
  <c r="G27" i="23"/>
  <c r="H27" i="23" s="1"/>
  <c r="J28" i="22"/>
  <c r="K28" i="22" s="1"/>
  <c r="AA60" i="11"/>
  <c r="T60" i="11"/>
  <c r="BJ60" i="11"/>
  <c r="W60" i="11"/>
  <c r="P60" i="11"/>
  <c r="Y60" i="11"/>
  <c r="AH60" i="11"/>
  <c r="N69" i="7"/>
  <c r="R35" i="11"/>
  <c r="AI35" i="11"/>
  <c r="BE35" i="11"/>
  <c r="AB35" i="11"/>
  <c r="AK35" i="11"/>
  <c r="BC35" i="11"/>
  <c r="BL35" i="11"/>
  <c r="AZ34" i="11"/>
  <c r="AG34" i="11"/>
  <c r="AB34" i="11"/>
  <c r="AT34" i="11"/>
  <c r="P34" i="11"/>
  <c r="Z34" i="11"/>
  <c r="AI34" i="11"/>
  <c r="N37" i="10"/>
  <c r="AQ34" i="11"/>
  <c r="F46" i="23"/>
  <c r="J47" i="3"/>
  <c r="A47" i="25"/>
  <c r="H30" i="23"/>
  <c r="I30" i="23" s="1"/>
  <c r="AI60" i="11"/>
  <c r="AC60" i="11"/>
  <c r="AJ60" i="11"/>
  <c r="BB60" i="11"/>
  <c r="AF60" i="11"/>
  <c r="AO60" i="11"/>
  <c r="AX60" i="11"/>
  <c r="N46" i="5"/>
  <c r="AG35" i="11"/>
  <c r="BO35" i="11"/>
  <c r="AP35" i="11"/>
  <c r="AR35" i="11"/>
  <c r="BA35" i="11"/>
  <c r="N40" i="8"/>
  <c r="Q34" i="11"/>
  <c r="V34" i="11"/>
  <c r="BH34" i="11"/>
  <c r="W34" i="11"/>
  <c r="AF34" i="11"/>
  <c r="AP34" i="11"/>
  <c r="F32" i="23"/>
  <c r="J33" i="3"/>
  <c r="A33" i="25"/>
  <c r="H38" i="23"/>
  <c r="I38" i="23" s="1"/>
  <c r="F31" i="23"/>
  <c r="J32" i="3"/>
  <c r="A32" i="25"/>
  <c r="AS60" i="11"/>
  <c r="AZ60" i="11"/>
  <c r="AE60" i="11"/>
  <c r="AN60" i="11"/>
  <c r="AW60" i="11"/>
  <c r="BF60" i="11"/>
  <c r="H35" i="22"/>
  <c r="F35" i="3"/>
  <c r="H35" i="3"/>
  <c r="N35" i="11"/>
  <c r="I35" i="22"/>
  <c r="AH35" i="11"/>
  <c r="V35" i="11"/>
  <c r="BF35" i="11"/>
  <c r="AZ35" i="11"/>
  <c r="BI35" i="11"/>
  <c r="X35" i="11"/>
  <c r="N48" i="4"/>
  <c r="H34" i="22"/>
  <c r="H34" i="3"/>
  <c r="F34" i="3"/>
  <c r="N34" i="11"/>
  <c r="I34" i="22"/>
  <c r="AE34" i="11"/>
  <c r="AN34" i="11"/>
  <c r="AX34" i="11"/>
  <c r="BG34" i="11"/>
  <c r="AR60" i="11"/>
  <c r="BI60" i="11"/>
  <c r="BP60" i="11"/>
  <c r="AM60" i="11"/>
  <c r="AV60" i="11"/>
  <c r="BE60" i="11"/>
  <c r="BJ35" i="11"/>
  <c r="AT35" i="11"/>
  <c r="AL35" i="11"/>
  <c r="AA35" i="11"/>
  <c r="BH35" i="11"/>
  <c r="W35" i="11"/>
  <c r="AF35" i="11"/>
  <c r="T34" i="11"/>
  <c r="BB34" i="11"/>
  <c r="AC34" i="11"/>
  <c r="AM34" i="11"/>
  <c r="AV34" i="11"/>
  <c r="BF34" i="11"/>
  <c r="BO34" i="11"/>
  <c r="H60" i="22"/>
  <c r="H60" i="3"/>
  <c r="F60" i="3"/>
  <c r="N60" i="11"/>
  <c r="I60" i="22"/>
  <c r="S60" i="11"/>
  <c r="V60" i="11"/>
  <c r="AU60" i="11"/>
  <c r="BD60" i="11"/>
  <c r="BM60" i="11"/>
  <c r="BN35" i="11"/>
  <c r="AW35" i="11"/>
  <c r="BB35" i="11"/>
  <c r="AQ35" i="11"/>
  <c r="BP35" i="11"/>
  <c r="AE35" i="11"/>
  <c r="AN35" i="11"/>
  <c r="BM34" i="11"/>
  <c r="Y34" i="11"/>
  <c r="AS34" i="11"/>
  <c r="AU34" i="11"/>
  <c r="BD34" i="11"/>
  <c r="BN34" i="11"/>
  <c r="Q35" i="11"/>
  <c r="AX35" i="11"/>
  <c r="Y35" i="11"/>
  <c r="BG35" i="11"/>
  <c r="U35" i="11"/>
  <c r="AM35" i="11"/>
  <c r="AV35" i="11"/>
  <c r="N43" i="7"/>
  <c r="U34" i="11"/>
  <c r="AO34" i="11"/>
  <c r="BI34" i="11"/>
  <c r="BC34" i="11"/>
  <c r="BL34" i="11"/>
  <c r="S34" i="11"/>
  <c r="N41" i="7"/>
  <c r="J70" i="8"/>
  <c r="J51" i="5"/>
  <c r="J38" i="11"/>
  <c r="J41" i="9"/>
  <c r="J49" i="8"/>
  <c r="J40" i="10"/>
  <c r="J43" i="9"/>
  <c r="J58" i="7"/>
  <c r="J44" i="11"/>
  <c r="J53" i="4"/>
  <c r="J45" i="8"/>
  <c r="J46" i="7"/>
  <c r="BE65" i="11" l="1"/>
  <c r="AY65" i="11"/>
  <c r="AO36" i="11"/>
  <c r="AM65" i="11"/>
  <c r="AV65" i="11"/>
  <c r="AS65" i="11"/>
  <c r="AW65" i="11"/>
  <c r="AX36" i="11"/>
  <c r="BA65" i="11"/>
  <c r="BH65" i="11"/>
  <c r="S65" i="11"/>
  <c r="AI65" i="11"/>
  <c r="BM65" i="11"/>
  <c r="T65" i="11"/>
  <c r="AR65" i="11"/>
  <c r="BO65" i="11"/>
  <c r="BH36" i="11"/>
  <c r="J28" i="25"/>
  <c r="K28" i="25" s="1"/>
  <c r="P65" i="11"/>
  <c r="X65" i="11"/>
  <c r="AD65" i="11"/>
  <c r="BB65" i="11"/>
  <c r="BP65" i="11"/>
  <c r="AG65" i="11"/>
  <c r="Y65" i="11"/>
  <c r="BJ65" i="11"/>
  <c r="Z65" i="11"/>
  <c r="AD36" i="11"/>
  <c r="AB65" i="11"/>
  <c r="BL65" i="11"/>
  <c r="AL65" i="11"/>
  <c r="BD65" i="11"/>
  <c r="AU65" i="11"/>
  <c r="U65" i="11"/>
  <c r="BF65" i="11"/>
  <c r="AF36" i="11"/>
  <c r="AN65" i="11"/>
  <c r="BC65" i="11"/>
  <c r="AK65" i="11"/>
  <c r="AC65" i="11"/>
  <c r="AE65" i="11"/>
  <c r="BN65" i="11"/>
  <c r="AL36" i="11"/>
  <c r="M46" i="7"/>
  <c r="M45" i="8"/>
  <c r="G53" i="22"/>
  <c r="E53" i="3"/>
  <c r="M53" i="4"/>
  <c r="F44" i="22"/>
  <c r="M44" i="11"/>
  <c r="BP44" i="11" s="1"/>
  <c r="M58" i="7"/>
  <c r="M43" i="9"/>
  <c r="M40" i="10"/>
  <c r="M49" i="8"/>
  <c r="M41" i="9"/>
  <c r="F38" i="22"/>
  <c r="M38" i="11"/>
  <c r="AE38" i="11" s="1"/>
  <c r="M51" i="5"/>
  <c r="M70" i="8"/>
  <c r="G32" i="23"/>
  <c r="H32" i="23" s="1"/>
  <c r="I32" i="23" s="1"/>
  <c r="J33" i="22"/>
  <c r="K33" i="22" s="1"/>
  <c r="G47" i="25"/>
  <c r="F47" i="25"/>
  <c r="K47" i="25"/>
  <c r="E47" i="25"/>
  <c r="D47" i="25"/>
  <c r="L47" i="25"/>
  <c r="I47" i="25"/>
  <c r="H47" i="25"/>
  <c r="C47" i="25"/>
  <c r="B47" i="25"/>
  <c r="N43" i="8"/>
  <c r="AN36" i="11"/>
  <c r="AV36" i="11"/>
  <c r="BB36" i="11"/>
  <c r="AW36" i="11"/>
  <c r="BF36" i="11"/>
  <c r="N51" i="4"/>
  <c r="U37" i="11"/>
  <c r="BD37" i="11"/>
  <c r="AC37" i="11"/>
  <c r="AD37" i="11"/>
  <c r="AU37" i="11"/>
  <c r="BE37" i="11"/>
  <c r="BN37" i="11"/>
  <c r="E33" i="25"/>
  <c r="B33" i="25"/>
  <c r="I33" i="25"/>
  <c r="H33" i="25"/>
  <c r="F33" i="25"/>
  <c r="C33" i="25"/>
  <c r="G33" i="25"/>
  <c r="D33" i="25"/>
  <c r="L33" i="25"/>
  <c r="AM37" i="11"/>
  <c r="N45" i="7"/>
  <c r="H36" i="22"/>
  <c r="N36" i="11"/>
  <c r="H36" i="3"/>
  <c r="F36" i="3"/>
  <c r="I36" i="22"/>
  <c r="AQ36" i="11"/>
  <c r="BL36" i="11"/>
  <c r="W36" i="11"/>
  <c r="BE36" i="11"/>
  <c r="BN36" i="11"/>
  <c r="U36" i="11"/>
  <c r="BP37" i="11"/>
  <c r="AA37" i="11"/>
  <c r="AS37" i="11"/>
  <c r="AL37" i="11"/>
  <c r="BC37" i="11"/>
  <c r="BM37" i="11"/>
  <c r="AN37" i="11"/>
  <c r="BF37" i="11"/>
  <c r="G46" i="23"/>
  <c r="J47" i="22"/>
  <c r="K47" i="22" s="1"/>
  <c r="AJ65" i="11"/>
  <c r="AT65" i="11"/>
  <c r="BI65" i="11"/>
  <c r="AO65" i="11"/>
  <c r="R65" i="11"/>
  <c r="AA65" i="11"/>
  <c r="X36" i="11"/>
  <c r="AT36" i="11"/>
  <c r="S36" i="11"/>
  <c r="AM36" i="11"/>
  <c r="BM36" i="11"/>
  <c r="T36" i="11"/>
  <c r="AC36" i="11"/>
  <c r="AI37" i="11"/>
  <c r="AQ37" i="11"/>
  <c r="BI37" i="11"/>
  <c r="AT37" i="11"/>
  <c r="BK37" i="11"/>
  <c r="R37" i="11"/>
  <c r="N52" i="7"/>
  <c r="F59" i="23"/>
  <c r="J60" i="3"/>
  <c r="A60" i="25"/>
  <c r="V37" i="11"/>
  <c r="F34" i="23"/>
  <c r="J35" i="3"/>
  <c r="A35" i="25"/>
  <c r="I32" i="25"/>
  <c r="F32" i="25"/>
  <c r="L32" i="25"/>
  <c r="B32" i="25"/>
  <c r="G32" i="25"/>
  <c r="H32" i="25"/>
  <c r="E32" i="25"/>
  <c r="D32" i="25"/>
  <c r="C32" i="25"/>
  <c r="BJ36" i="11"/>
  <c r="AE36" i="11"/>
  <c r="AI36" i="11"/>
  <c r="BC36" i="11"/>
  <c r="R36" i="11"/>
  <c r="AB36" i="11"/>
  <c r="AK36" i="11"/>
  <c r="T37" i="11"/>
  <c r="AJ37" i="11"/>
  <c r="BG37" i="11"/>
  <c r="P37" i="11"/>
  <c r="BB37" i="11"/>
  <c r="Q37" i="11"/>
  <c r="N40" i="9"/>
  <c r="N41" i="8"/>
  <c r="H37" i="22"/>
  <c r="F37" i="3"/>
  <c r="H37" i="3"/>
  <c r="N37" i="11"/>
  <c r="I37" i="22"/>
  <c r="G31" i="23"/>
  <c r="J32" i="22"/>
  <c r="K32" i="22" s="1"/>
  <c r="AH65" i="11"/>
  <c r="AQ65" i="11"/>
  <c r="BD36" i="11"/>
  <c r="AU36" i="11"/>
  <c r="AY36" i="11"/>
  <c r="Q36" i="11"/>
  <c r="Z36" i="11"/>
  <c r="AJ36" i="11"/>
  <c r="AS36" i="11"/>
  <c r="BO37" i="11"/>
  <c r="AK37" i="11"/>
  <c r="AB37" i="11"/>
  <c r="AF37" i="11"/>
  <c r="BJ37" i="11"/>
  <c r="Y37" i="11"/>
  <c r="AH37" i="11"/>
  <c r="N48" i="5"/>
  <c r="F33" i="23"/>
  <c r="J34" i="3"/>
  <c r="A34" i="25"/>
  <c r="I27" i="23"/>
  <c r="V65" i="11"/>
  <c r="AP65" i="11"/>
  <c r="BG36" i="11"/>
  <c r="BK36" i="11"/>
  <c r="BO36" i="11"/>
  <c r="Y36" i="11"/>
  <c r="AH36" i="11"/>
  <c r="AR36" i="11"/>
  <c r="BA36" i="11"/>
  <c r="AZ37" i="11"/>
  <c r="AY37" i="11"/>
  <c r="AR37" i="11"/>
  <c r="AV37" i="11"/>
  <c r="W37" i="11"/>
  <c r="AG37" i="11"/>
  <c r="AP37" i="11"/>
  <c r="N69" i="8"/>
  <c r="BA37" i="11"/>
  <c r="AW37" i="11"/>
  <c r="H65" i="22"/>
  <c r="H65" i="3"/>
  <c r="F65" i="3"/>
  <c r="N65" i="11"/>
  <c r="I65" i="22"/>
  <c r="W65" i="11"/>
  <c r="Q65" i="11"/>
  <c r="AZ65" i="11"/>
  <c r="AF65" i="11"/>
  <c r="AX65" i="11"/>
  <c r="BG65" i="11"/>
  <c r="AA36" i="11"/>
  <c r="P36" i="11"/>
  <c r="V36" i="11"/>
  <c r="AG36" i="11"/>
  <c r="AP36" i="11"/>
  <c r="AZ36" i="11"/>
  <c r="BI36" i="11"/>
  <c r="S37" i="11"/>
  <c r="X37" i="11"/>
  <c r="BH37" i="11"/>
  <c r="BL37" i="11"/>
  <c r="AE37" i="11"/>
  <c r="AO37" i="11"/>
  <c r="AX37" i="11"/>
  <c r="N38" i="10"/>
  <c r="J46" i="8"/>
  <c r="J41" i="10"/>
  <c r="J42" i="9"/>
  <c r="J53" i="5"/>
  <c r="J45" i="9"/>
  <c r="J48" i="7"/>
  <c r="J54" i="4"/>
  <c r="J63" i="7"/>
  <c r="J43" i="10"/>
  <c r="J40" i="11"/>
  <c r="J49" i="9"/>
  <c r="J50" i="8"/>
  <c r="J32" i="25" l="1"/>
  <c r="K32" i="25" s="1"/>
  <c r="BB44" i="11"/>
  <c r="AR44" i="11"/>
  <c r="AK44" i="11"/>
  <c r="AQ44" i="11"/>
  <c r="BA44" i="11"/>
  <c r="BC44" i="11"/>
  <c r="BG44" i="11"/>
  <c r="S44" i="11"/>
  <c r="BO44" i="11"/>
  <c r="J47" i="25"/>
  <c r="AA44" i="11"/>
  <c r="Y44" i="11"/>
  <c r="AD44" i="11"/>
  <c r="AW44" i="11"/>
  <c r="BJ44" i="11"/>
  <c r="R44" i="11"/>
  <c r="BK44" i="11"/>
  <c r="AH44" i="11"/>
  <c r="J33" i="25"/>
  <c r="K33" i="25" s="1"/>
  <c r="AM44" i="11"/>
  <c r="AV44" i="11"/>
  <c r="AB44" i="11"/>
  <c r="M50" i="8"/>
  <c r="M49" i="9"/>
  <c r="F40" i="22"/>
  <c r="M40" i="11"/>
  <c r="Q40" i="11" s="1"/>
  <c r="M43" i="10"/>
  <c r="M63" i="7"/>
  <c r="G54" i="22"/>
  <c r="E54" i="3"/>
  <c r="M54" i="4"/>
  <c r="M48" i="7"/>
  <c r="M45" i="9"/>
  <c r="M53" i="5"/>
  <c r="M42" i="9"/>
  <c r="M41" i="10"/>
  <c r="M46" i="8"/>
  <c r="N49" i="8"/>
  <c r="AF38" i="11"/>
  <c r="Q38" i="11"/>
  <c r="AN38" i="11"/>
  <c r="AC38" i="11"/>
  <c r="BG38" i="11"/>
  <c r="BP38" i="11"/>
  <c r="N40" i="10"/>
  <c r="BD44" i="11"/>
  <c r="AE44" i="11"/>
  <c r="AI44" i="11"/>
  <c r="AG44" i="11"/>
  <c r="AP44" i="11"/>
  <c r="AZ44" i="11"/>
  <c r="BI44" i="11"/>
  <c r="H38" i="22"/>
  <c r="H38" i="3"/>
  <c r="F38" i="3"/>
  <c r="N38" i="11"/>
  <c r="I38" i="22"/>
  <c r="AX38" i="11"/>
  <c r="X38" i="11"/>
  <c r="BF38" i="11"/>
  <c r="AY38" i="11"/>
  <c r="BH38" i="11"/>
  <c r="W38" i="11"/>
  <c r="F36" i="23"/>
  <c r="J37" i="3"/>
  <c r="A37" i="25"/>
  <c r="AH38" i="11"/>
  <c r="BL38" i="11"/>
  <c r="BD38" i="11"/>
  <c r="AS38" i="11"/>
  <c r="BO38" i="11"/>
  <c r="V38" i="11"/>
  <c r="AM38" i="11"/>
  <c r="N43" i="9"/>
  <c r="W44" i="11"/>
  <c r="AU44" i="11"/>
  <c r="AY44" i="11"/>
  <c r="AO44" i="11"/>
  <c r="AX44" i="11"/>
  <c r="BH44" i="11"/>
  <c r="L60" i="25"/>
  <c r="D60" i="25"/>
  <c r="K60" i="25"/>
  <c r="C60" i="25"/>
  <c r="B60" i="25"/>
  <c r="G60" i="25"/>
  <c r="F60" i="25"/>
  <c r="E60" i="25"/>
  <c r="I60" i="25"/>
  <c r="H60" i="25"/>
  <c r="H46" i="23"/>
  <c r="I46" i="23" s="1"/>
  <c r="BN38" i="11"/>
  <c r="R38" i="11"/>
  <c r="Y38" i="11"/>
  <c r="BI38" i="11"/>
  <c r="T38" i="11"/>
  <c r="AD38" i="11"/>
  <c r="AU38" i="11"/>
  <c r="N58" i="7"/>
  <c r="BF44" i="11"/>
  <c r="N53" i="4"/>
  <c r="H31" i="23"/>
  <c r="I31" i="23" s="1"/>
  <c r="G59" i="23"/>
  <c r="J60" i="22"/>
  <c r="K60" i="22" s="1"/>
  <c r="AG38" i="11"/>
  <c r="BM38" i="11"/>
  <c r="AO38" i="11"/>
  <c r="S38" i="11"/>
  <c r="AB38" i="11"/>
  <c r="AL38" i="11"/>
  <c r="BC38" i="11"/>
  <c r="H44" i="22"/>
  <c r="H44" i="3"/>
  <c r="F44" i="3"/>
  <c r="N44" i="11"/>
  <c r="I44" i="22"/>
  <c r="X44" i="11"/>
  <c r="P44" i="11"/>
  <c r="V44" i="11"/>
  <c r="BE44" i="11"/>
  <c r="BN44" i="11"/>
  <c r="U44" i="11"/>
  <c r="G34" i="23"/>
  <c r="J35" i="22"/>
  <c r="K35" i="22" s="1"/>
  <c r="F64" i="23"/>
  <c r="J65" i="3"/>
  <c r="A65" i="25"/>
  <c r="AV38" i="11"/>
  <c r="U38" i="11"/>
  <c r="BE38" i="11"/>
  <c r="AA38" i="11"/>
  <c r="AJ38" i="11"/>
  <c r="AT38" i="11"/>
  <c r="BK38" i="11"/>
  <c r="AF44" i="11"/>
  <c r="AL44" i="11"/>
  <c r="BM44" i="11"/>
  <c r="T44" i="11"/>
  <c r="AC44" i="11"/>
  <c r="N70" i="8"/>
  <c r="AW38" i="11"/>
  <c r="AK38" i="11"/>
  <c r="Z38" i="11"/>
  <c r="AI38" i="11"/>
  <c r="AR38" i="11"/>
  <c r="BB38" i="11"/>
  <c r="N45" i="8"/>
  <c r="I34" i="25"/>
  <c r="F34" i="25"/>
  <c r="H34" i="25"/>
  <c r="G34" i="25"/>
  <c r="D34" i="25"/>
  <c r="L34" i="25"/>
  <c r="E34" i="25"/>
  <c r="C34" i="25"/>
  <c r="B34" i="25"/>
  <c r="G33" i="23"/>
  <c r="J34" i="22"/>
  <c r="K34" i="22" s="1"/>
  <c r="E35" i="25"/>
  <c r="B35" i="25"/>
  <c r="H35" i="25"/>
  <c r="G35" i="25"/>
  <c r="F35" i="25"/>
  <c r="C35" i="25"/>
  <c r="L35" i="25"/>
  <c r="I35" i="25"/>
  <c r="D35" i="25"/>
  <c r="F35" i="23"/>
  <c r="J36" i="3"/>
  <c r="A36" i="25"/>
  <c r="N51" i="5"/>
  <c r="P38" i="11"/>
  <c r="BA38" i="11"/>
  <c r="AP38" i="11"/>
  <c r="AQ38" i="11"/>
  <c r="AZ38" i="11"/>
  <c r="BJ38" i="11"/>
  <c r="N41" i="9"/>
  <c r="AN44" i="11"/>
  <c r="AT44" i="11"/>
  <c r="BL44" i="11"/>
  <c r="Q44" i="11"/>
  <c r="Z44" i="11"/>
  <c r="AJ44" i="11"/>
  <c r="AS44" i="11"/>
  <c r="N46" i="7"/>
  <c r="J57" i="8"/>
  <c r="J43" i="11"/>
  <c r="J54" i="5"/>
  <c r="J50" i="9"/>
  <c r="J42" i="10"/>
  <c r="J41" i="11"/>
  <c r="J49" i="10"/>
  <c r="J55" i="4"/>
  <c r="J51" i="7"/>
  <c r="J46" i="9"/>
  <c r="J48" i="8"/>
  <c r="J45" i="10"/>
  <c r="S40" i="11" l="1"/>
  <c r="J60" i="25"/>
  <c r="BO40" i="11"/>
  <c r="W40" i="11"/>
  <c r="BG40" i="11"/>
  <c r="BC40" i="11"/>
  <c r="J35" i="25"/>
  <c r="K35" i="25" s="1"/>
  <c r="BF40" i="11"/>
  <c r="BI40" i="11"/>
  <c r="Z40" i="11"/>
  <c r="AD40" i="11"/>
  <c r="AU40" i="11"/>
  <c r="AL40" i="11"/>
  <c r="BK40" i="11"/>
  <c r="AN40" i="11"/>
  <c r="J34" i="25"/>
  <c r="K34" i="25" s="1"/>
  <c r="H59" i="23"/>
  <c r="I59" i="23" s="1"/>
  <c r="AY40" i="11"/>
  <c r="X40" i="11"/>
  <c r="AV40" i="11"/>
  <c r="AG40" i="11"/>
  <c r="AQ40" i="11"/>
  <c r="U40" i="11"/>
  <c r="AW40" i="11"/>
  <c r="M45" i="10"/>
  <c r="M48" i="8"/>
  <c r="M46" i="9"/>
  <c r="M51" i="7"/>
  <c r="G55" i="22"/>
  <c r="E55" i="3"/>
  <c r="M55" i="4"/>
  <c r="M49" i="10"/>
  <c r="F41" i="22"/>
  <c r="M41" i="11"/>
  <c r="AP41" i="11" s="1"/>
  <c r="M42" i="10"/>
  <c r="M50" i="9"/>
  <c r="M54" i="5"/>
  <c r="F43" i="22"/>
  <c r="M43" i="11"/>
  <c r="P43" i="11" s="1"/>
  <c r="M57" i="8"/>
  <c r="H33" i="23"/>
  <c r="I33" i="23" s="1"/>
  <c r="N45" i="9"/>
  <c r="E37" i="25"/>
  <c r="B37" i="25"/>
  <c r="F37" i="25"/>
  <c r="D37" i="25"/>
  <c r="C37" i="25"/>
  <c r="L37" i="25"/>
  <c r="I37" i="25"/>
  <c r="H37" i="25"/>
  <c r="G37" i="25"/>
  <c r="N48" i="7"/>
  <c r="AR40" i="11"/>
  <c r="AE40" i="11"/>
  <c r="AI40" i="11"/>
  <c r="AM40" i="11"/>
  <c r="V40" i="11"/>
  <c r="AF40" i="11"/>
  <c r="AO40" i="11"/>
  <c r="BE40" i="11"/>
  <c r="F37" i="23"/>
  <c r="J38" i="3"/>
  <c r="A38" i="25"/>
  <c r="N46" i="8"/>
  <c r="BH40" i="11"/>
  <c r="R40" i="11"/>
  <c r="T40" i="11"/>
  <c r="AC40" i="11"/>
  <c r="AT40" i="11"/>
  <c r="BD40" i="11"/>
  <c r="BM40" i="11"/>
  <c r="G36" i="23"/>
  <c r="H36" i="23" s="1"/>
  <c r="J37" i="22"/>
  <c r="K37" i="22" s="1"/>
  <c r="N54" i="4"/>
  <c r="I36" i="25"/>
  <c r="F36" i="25"/>
  <c r="G36" i="25"/>
  <c r="E36" i="25"/>
  <c r="D36" i="25"/>
  <c r="L36" i="25"/>
  <c r="B36" i="25"/>
  <c r="H36" i="25"/>
  <c r="C36" i="25"/>
  <c r="K36" i="25"/>
  <c r="H65" i="25"/>
  <c r="G65" i="25"/>
  <c r="F65" i="25"/>
  <c r="K65" i="25"/>
  <c r="C65" i="25"/>
  <c r="I65" i="25"/>
  <c r="B65" i="25"/>
  <c r="E65" i="25"/>
  <c r="D65" i="25"/>
  <c r="L65" i="25"/>
  <c r="H34" i="23"/>
  <c r="I34" i="23" s="1"/>
  <c r="N41" i="10"/>
  <c r="I41" i="22"/>
  <c r="N63" i="7"/>
  <c r="AA40" i="11"/>
  <c r="AH40" i="11"/>
  <c r="AJ40" i="11"/>
  <c r="AK40" i="11"/>
  <c r="BB40" i="11"/>
  <c r="BL40" i="11"/>
  <c r="F43" i="23"/>
  <c r="J44" i="3"/>
  <c r="A44" i="25"/>
  <c r="J65" i="22"/>
  <c r="K65" i="22" s="1"/>
  <c r="G64" i="23"/>
  <c r="N42" i="9"/>
  <c r="N43" i="10"/>
  <c r="AB40" i="11"/>
  <c r="AX40" i="11"/>
  <c r="AZ40" i="11"/>
  <c r="AS40" i="11"/>
  <c r="BJ40" i="11"/>
  <c r="N49" i="9"/>
  <c r="G35" i="23"/>
  <c r="H35" i="23" s="1"/>
  <c r="J36" i="22"/>
  <c r="K36" i="22" s="1"/>
  <c r="N53" i="5"/>
  <c r="H40" i="22"/>
  <c r="H40" i="3"/>
  <c r="F40" i="3"/>
  <c r="N40" i="11"/>
  <c r="I40" i="22"/>
  <c r="AP40" i="11"/>
  <c r="BN40" i="11"/>
  <c r="BP40" i="11"/>
  <c r="BA40" i="11"/>
  <c r="P40" i="11"/>
  <c r="Y40" i="11"/>
  <c r="N50" i="8"/>
  <c r="J45" i="11"/>
  <c r="J55" i="5"/>
  <c r="J57" i="9"/>
  <c r="J46" i="10"/>
  <c r="J48" i="9"/>
  <c r="J51" i="8"/>
  <c r="J53" i="7"/>
  <c r="J56" i="4"/>
  <c r="J42" i="11"/>
  <c r="J50" i="10"/>
  <c r="J37" i="25" l="1"/>
  <c r="K37" i="25" s="1"/>
  <c r="AM41" i="11"/>
  <c r="AZ41" i="11"/>
  <c r="AR41" i="11"/>
  <c r="BI41" i="11"/>
  <c r="AD41" i="11"/>
  <c r="AO43" i="11"/>
  <c r="Z43" i="11"/>
  <c r="AQ43" i="11"/>
  <c r="BF43" i="11"/>
  <c r="AE41" i="11"/>
  <c r="BJ43" i="11"/>
  <c r="AR43" i="11"/>
  <c r="AG41" i="11"/>
  <c r="J36" i="25"/>
  <c r="BM43" i="11"/>
  <c r="BH43" i="11"/>
  <c r="BF41" i="11"/>
  <c r="AG43" i="11"/>
  <c r="R43" i="11"/>
  <c r="AY41" i="11"/>
  <c r="AV43" i="11"/>
  <c r="BA43" i="11"/>
  <c r="S43" i="11"/>
  <c r="AM43" i="11"/>
  <c r="T41" i="11"/>
  <c r="BO41" i="11"/>
  <c r="AY43" i="11"/>
  <c r="AF43" i="11"/>
  <c r="I36" i="23"/>
  <c r="U43" i="11"/>
  <c r="BL41" i="11"/>
  <c r="J65" i="25"/>
  <c r="V43" i="11"/>
  <c r="W43" i="11"/>
  <c r="M50" i="10"/>
  <c r="F42" i="22"/>
  <c r="M42" i="11"/>
  <c r="BN42" i="11" s="1"/>
  <c r="G56" i="22"/>
  <c r="E56" i="3"/>
  <c r="M56" i="4"/>
  <c r="M53" i="7"/>
  <c r="M51" i="8"/>
  <c r="M48" i="9"/>
  <c r="M46" i="10"/>
  <c r="M57" i="9"/>
  <c r="M55" i="5"/>
  <c r="F45" i="22"/>
  <c r="M45" i="11"/>
  <c r="AX45" i="11" s="1"/>
  <c r="N42" i="10"/>
  <c r="N49" i="10"/>
  <c r="AT43" i="11"/>
  <c r="AD43" i="11"/>
  <c r="BO43" i="11"/>
  <c r="AP43" i="11"/>
  <c r="BP43" i="11"/>
  <c r="AE43" i="11"/>
  <c r="AN43" i="11"/>
  <c r="H41" i="22"/>
  <c r="H41" i="3"/>
  <c r="F41" i="3"/>
  <c r="N41" i="11"/>
  <c r="AN41" i="11"/>
  <c r="BH41" i="11"/>
  <c r="Q41" i="11"/>
  <c r="AX41" i="11"/>
  <c r="BG41" i="11"/>
  <c r="V41" i="11"/>
  <c r="N55" i="4"/>
  <c r="AW43" i="11"/>
  <c r="AH43" i="11"/>
  <c r="AL43" i="11"/>
  <c r="T43" i="11"/>
  <c r="AC43" i="11"/>
  <c r="AU43" i="11"/>
  <c r="BD43" i="11"/>
  <c r="X41" i="11"/>
  <c r="BC41" i="11"/>
  <c r="AU41" i="11"/>
  <c r="AW41" i="11"/>
  <c r="BN41" i="11"/>
  <c r="U41" i="11"/>
  <c r="AL41" i="11"/>
  <c r="I35" i="23"/>
  <c r="BG43" i="11"/>
  <c r="AX43" i="11"/>
  <c r="BB43" i="11"/>
  <c r="AB43" i="11"/>
  <c r="AK43" i="11"/>
  <c r="BC43" i="11"/>
  <c r="BL43" i="11"/>
  <c r="BD41" i="11"/>
  <c r="Y41" i="11"/>
  <c r="BK41" i="11"/>
  <c r="BM41" i="11"/>
  <c r="S41" i="11"/>
  <c r="AC41" i="11"/>
  <c r="AT41" i="11"/>
  <c r="N51" i="7"/>
  <c r="F39" i="23"/>
  <c r="J40" i="3"/>
  <c r="A40" i="25"/>
  <c r="H64" i="23"/>
  <c r="I64" i="23" s="1"/>
  <c r="Q43" i="11"/>
  <c r="BN43" i="11"/>
  <c r="Y43" i="11"/>
  <c r="AJ43" i="11"/>
  <c r="AS43" i="11"/>
  <c r="BK43" i="11"/>
  <c r="W41" i="11"/>
  <c r="AO41" i="11"/>
  <c r="P41" i="11"/>
  <c r="R41" i="11"/>
  <c r="AA41" i="11"/>
  <c r="AK41" i="11"/>
  <c r="BB41" i="11"/>
  <c r="N46" i="9"/>
  <c r="K44" i="25"/>
  <c r="I44" i="25"/>
  <c r="F44" i="25"/>
  <c r="G44" i="25"/>
  <c r="E44" i="25"/>
  <c r="D44" i="25"/>
  <c r="C44" i="25"/>
  <c r="B44" i="25"/>
  <c r="L44" i="25"/>
  <c r="H44" i="25"/>
  <c r="I38" i="25"/>
  <c r="F38" i="25"/>
  <c r="D38" i="25"/>
  <c r="C38" i="25"/>
  <c r="L38" i="25"/>
  <c r="B38" i="25"/>
  <c r="K38" i="25"/>
  <c r="H38" i="25"/>
  <c r="G38" i="25"/>
  <c r="E38" i="25"/>
  <c r="N57" i="8"/>
  <c r="N54" i="5"/>
  <c r="BP41" i="11"/>
  <c r="BE41" i="11"/>
  <c r="AF41" i="11"/>
  <c r="Z41" i="11"/>
  <c r="AI41" i="11"/>
  <c r="AS41" i="11"/>
  <c r="BJ41" i="11"/>
  <c r="N48" i="8"/>
  <c r="G43" i="23"/>
  <c r="H43" i="23" s="1"/>
  <c r="J44" i="22"/>
  <c r="K44" i="22" s="1"/>
  <c r="G37" i="23"/>
  <c r="H37" i="23" s="1"/>
  <c r="J38" i="22"/>
  <c r="K38" i="22" s="1"/>
  <c r="H43" i="22"/>
  <c r="H43" i="3"/>
  <c r="F43" i="3"/>
  <c r="N43" i="11"/>
  <c r="I43" i="22"/>
  <c r="AA43" i="11"/>
  <c r="AI43" i="11"/>
  <c r="BE43" i="11"/>
  <c r="AZ43" i="11"/>
  <c r="BI43" i="11"/>
  <c r="X43" i="11"/>
  <c r="N50" i="9"/>
  <c r="AJ41" i="11"/>
  <c r="AB41" i="11"/>
  <c r="AV41" i="11"/>
  <c r="AH41" i="11"/>
  <c r="AQ41" i="11"/>
  <c r="BA41" i="11"/>
  <c r="N45" i="10"/>
  <c r="J56" i="5"/>
  <c r="J62" i="4"/>
  <c r="J53" i="8"/>
  <c r="J54" i="7"/>
  <c r="J46" i="11"/>
  <c r="J51" i="9"/>
  <c r="J52" i="8"/>
  <c r="J48" i="10"/>
  <c r="J57" i="10"/>
  <c r="AZ42" i="11" l="1"/>
  <c r="AL42" i="11"/>
  <c r="BB42" i="11"/>
  <c r="I37" i="23"/>
  <c r="J38" i="25"/>
  <c r="J44" i="25"/>
  <c r="AC42" i="11"/>
  <c r="BK42" i="11"/>
  <c r="Q45" i="11"/>
  <c r="T42" i="11"/>
  <c r="R42" i="11"/>
  <c r="AW42" i="11"/>
  <c r="AA42" i="11"/>
  <c r="M57" i="10"/>
  <c r="M48" i="10"/>
  <c r="M52" i="8"/>
  <c r="M51" i="9"/>
  <c r="F46" i="22"/>
  <c r="M46" i="11"/>
  <c r="M54" i="7"/>
  <c r="M53" i="8"/>
  <c r="G62" i="22"/>
  <c r="E62" i="3"/>
  <c r="M62" i="4"/>
  <c r="M56" i="5"/>
  <c r="I43" i="23"/>
  <c r="AV45" i="11"/>
  <c r="BO45" i="11"/>
  <c r="BD45" i="11"/>
  <c r="AC45" i="11"/>
  <c r="BJ45" i="11"/>
  <c r="Y45" i="11"/>
  <c r="AH45" i="11"/>
  <c r="N46" i="10"/>
  <c r="AG42" i="11"/>
  <c r="Q42" i="11"/>
  <c r="Y42" i="11"/>
  <c r="AS42" i="11"/>
  <c r="P42" i="11"/>
  <c r="Z42" i="11"/>
  <c r="AI42" i="11"/>
  <c r="N57" i="9"/>
  <c r="F40" i="23"/>
  <c r="J41" i="3"/>
  <c r="A41" i="25"/>
  <c r="AJ45" i="11"/>
  <c r="AF45" i="11"/>
  <c r="AA45" i="11"/>
  <c r="AS45" i="11"/>
  <c r="W45" i="11"/>
  <c r="AG45" i="11"/>
  <c r="AP45" i="11"/>
  <c r="N48" i="9"/>
  <c r="BM42" i="11"/>
  <c r="BJ42" i="11"/>
  <c r="AO42" i="11"/>
  <c r="BI42" i="11"/>
  <c r="X42" i="11"/>
  <c r="AH42" i="11"/>
  <c r="AQ42" i="11"/>
  <c r="AY45" i="11"/>
  <c r="BP45" i="11"/>
  <c r="AQ45" i="11"/>
  <c r="BI45" i="11"/>
  <c r="AE45" i="11"/>
  <c r="AO45" i="11"/>
  <c r="N51" i="8"/>
  <c r="AD42" i="11"/>
  <c r="U42" i="11"/>
  <c r="BE42" i="11"/>
  <c r="W42" i="11"/>
  <c r="AF42" i="11"/>
  <c r="AP42" i="11"/>
  <c r="AY42" i="11"/>
  <c r="H45" i="22"/>
  <c r="F45" i="3"/>
  <c r="H45" i="3"/>
  <c r="N45" i="11"/>
  <c r="I45" i="22"/>
  <c r="P45" i="11"/>
  <c r="U45" i="11"/>
  <c r="BG45" i="11"/>
  <c r="V45" i="11"/>
  <c r="AM45" i="11"/>
  <c r="AW45" i="11"/>
  <c r="BF45" i="11"/>
  <c r="N53" i="7"/>
  <c r="BP42" i="11"/>
  <c r="AK42" i="11"/>
  <c r="AB42" i="11"/>
  <c r="AE42" i="11"/>
  <c r="AN42" i="11"/>
  <c r="AX42" i="11"/>
  <c r="BG42" i="11"/>
  <c r="F42" i="23"/>
  <c r="J43" i="3"/>
  <c r="A43" i="25"/>
  <c r="I40" i="25"/>
  <c r="F40" i="25"/>
  <c r="L40" i="25"/>
  <c r="B40" i="25"/>
  <c r="K40" i="25"/>
  <c r="H40" i="25"/>
  <c r="G40" i="25"/>
  <c r="E40" i="25"/>
  <c r="D40" i="25"/>
  <c r="C40" i="25"/>
  <c r="AZ45" i="11"/>
  <c r="AK45" i="11"/>
  <c r="AB45" i="11"/>
  <c r="AD45" i="11"/>
  <c r="AU45" i="11"/>
  <c r="BE45" i="11"/>
  <c r="BN45" i="11"/>
  <c r="N56" i="4"/>
  <c r="AJ42" i="11"/>
  <c r="BA42" i="11"/>
  <c r="AR42" i="11"/>
  <c r="AM42" i="11"/>
  <c r="AV42" i="11"/>
  <c r="BF42" i="11"/>
  <c r="BO42" i="11"/>
  <c r="T45" i="11"/>
  <c r="BB45" i="11"/>
  <c r="J40" i="22"/>
  <c r="K40" i="22" s="1"/>
  <c r="G39" i="23"/>
  <c r="H39" i="23" s="1"/>
  <c r="I39" i="23" s="1"/>
  <c r="S45" i="11"/>
  <c r="BA45" i="11"/>
  <c r="AR45" i="11"/>
  <c r="AL45" i="11"/>
  <c r="BC45" i="11"/>
  <c r="BM45" i="11"/>
  <c r="AT42" i="11"/>
  <c r="V42" i="11"/>
  <c r="BH42" i="11"/>
  <c r="AU42" i="11"/>
  <c r="BD42" i="11"/>
  <c r="AI45" i="11"/>
  <c r="AN45" i="11"/>
  <c r="Z45" i="11"/>
  <c r="BL45" i="11"/>
  <c r="X45" i="11"/>
  <c r="BH45" i="11"/>
  <c r="AT45" i="11"/>
  <c r="BK45" i="11"/>
  <c r="R45" i="11"/>
  <c r="N55" i="5"/>
  <c r="H42" i="22"/>
  <c r="H42" i="3"/>
  <c r="F42" i="3"/>
  <c r="N42" i="11"/>
  <c r="I42" i="22"/>
  <c r="BC42" i="11"/>
  <c r="BL42" i="11"/>
  <c r="S42" i="11"/>
  <c r="N50" i="10"/>
  <c r="J57" i="11"/>
  <c r="J62" i="5"/>
  <c r="J52" i="9"/>
  <c r="J58" i="8"/>
  <c r="J55" i="7"/>
  <c r="J51" i="10"/>
  <c r="J54" i="8"/>
  <c r="J53" i="9"/>
  <c r="J48" i="11"/>
  <c r="J64" i="4"/>
  <c r="J40" i="25" l="1"/>
  <c r="G64" i="22"/>
  <c r="E64" i="3"/>
  <c r="M64" i="4"/>
  <c r="F48" i="22"/>
  <c r="M48" i="11"/>
  <c r="R48" i="11" s="1"/>
  <c r="M53" i="9"/>
  <c r="M54" i="8"/>
  <c r="M51" i="10"/>
  <c r="M55" i="7"/>
  <c r="M58" i="8"/>
  <c r="M52" i="9"/>
  <c r="M62" i="5"/>
  <c r="F57" i="22"/>
  <c r="M57" i="11"/>
  <c r="N62" i="4"/>
  <c r="H46" i="22"/>
  <c r="H46" i="3"/>
  <c r="F46" i="3"/>
  <c r="N46" i="11"/>
  <c r="I46" i="22"/>
  <c r="AS46" i="11"/>
  <c r="X46" i="11"/>
  <c r="BF46" i="11"/>
  <c r="T46" i="11"/>
  <c r="AD46" i="11"/>
  <c r="AU46" i="11"/>
  <c r="F41" i="23"/>
  <c r="J42" i="3"/>
  <c r="A42" i="25"/>
  <c r="AW46" i="11"/>
  <c r="R46" i="11"/>
  <c r="AN46" i="11"/>
  <c r="S46" i="11"/>
  <c r="AB46" i="11"/>
  <c r="AL46" i="11"/>
  <c r="BC46" i="11"/>
  <c r="Q46" i="11"/>
  <c r="AH46" i="11"/>
  <c r="BD46" i="11"/>
  <c r="AA46" i="11"/>
  <c r="AJ46" i="11"/>
  <c r="AT46" i="11"/>
  <c r="BK46" i="11"/>
  <c r="F44" i="23"/>
  <c r="J45" i="3"/>
  <c r="A45" i="25"/>
  <c r="E41" i="25"/>
  <c r="B41" i="25"/>
  <c r="K41" i="25"/>
  <c r="I41" i="25"/>
  <c r="H41" i="25"/>
  <c r="G41" i="25"/>
  <c r="F41" i="25"/>
  <c r="C41" i="25"/>
  <c r="L41" i="25"/>
  <c r="D41" i="25"/>
  <c r="N53" i="8"/>
  <c r="BL46" i="11"/>
  <c r="AX46" i="11"/>
  <c r="Y46" i="11"/>
  <c r="AI46" i="11"/>
  <c r="AR46" i="11"/>
  <c r="BB46" i="11"/>
  <c r="J41" i="22"/>
  <c r="K41" i="22" s="1"/>
  <c r="G40" i="23"/>
  <c r="H40" i="23" s="1"/>
  <c r="I40" i="23" s="1"/>
  <c r="N54" i="7"/>
  <c r="AC46" i="11"/>
  <c r="BN46" i="11"/>
  <c r="AO46" i="11"/>
  <c r="AQ46" i="11"/>
  <c r="AZ46" i="11"/>
  <c r="BJ46" i="11"/>
  <c r="N51" i="9"/>
  <c r="E43" i="25"/>
  <c r="B43" i="25"/>
  <c r="H43" i="25"/>
  <c r="G43" i="25"/>
  <c r="F43" i="25"/>
  <c r="D43" i="25"/>
  <c r="C43" i="25"/>
  <c r="I43" i="25"/>
  <c r="L43" i="25"/>
  <c r="K43" i="25"/>
  <c r="AV46" i="11"/>
  <c r="BM46" i="11"/>
  <c r="U46" i="11"/>
  <c r="BE46" i="11"/>
  <c r="AY46" i="11"/>
  <c r="BH46" i="11"/>
  <c r="W46" i="11"/>
  <c r="N52" i="8"/>
  <c r="G42" i="23"/>
  <c r="J43" i="22"/>
  <c r="K43" i="22" s="1"/>
  <c r="BI46" i="11"/>
  <c r="AF46" i="11"/>
  <c r="AK46" i="11"/>
  <c r="Z46" i="11"/>
  <c r="BG46" i="11"/>
  <c r="BP46" i="11"/>
  <c r="AE46" i="11"/>
  <c r="N48" i="10"/>
  <c r="N56" i="5"/>
  <c r="P46" i="11"/>
  <c r="AG46" i="11"/>
  <c r="BA46" i="11"/>
  <c r="AP46" i="11"/>
  <c r="BO46" i="11"/>
  <c r="V46" i="11"/>
  <c r="AM46" i="11"/>
  <c r="N57" i="10"/>
  <c r="J64" i="5"/>
  <c r="J49" i="11"/>
  <c r="J56" i="7"/>
  <c r="J67" i="4"/>
  <c r="J53" i="10"/>
  <c r="J54" i="9"/>
  <c r="J52" i="10"/>
  <c r="J55" i="8"/>
  <c r="J58" i="9"/>
  <c r="J63" i="8"/>
  <c r="AP48" i="11" l="1"/>
  <c r="X48" i="11"/>
  <c r="AG48" i="11"/>
  <c r="AI48" i="11"/>
  <c r="J43" i="25"/>
  <c r="J41" i="25"/>
  <c r="BK48" i="11"/>
  <c r="AY48" i="11"/>
  <c r="BI48" i="11"/>
  <c r="M63" i="8"/>
  <c r="M58" i="9"/>
  <c r="M55" i="8"/>
  <c r="M52" i="10"/>
  <c r="M54" i="9"/>
  <c r="M53" i="10"/>
  <c r="G67" i="22"/>
  <c r="E67" i="3"/>
  <c r="M67" i="4"/>
  <c r="M56" i="7"/>
  <c r="F49" i="22"/>
  <c r="M49" i="11"/>
  <c r="BB49" i="11" s="1"/>
  <c r="M64" i="5"/>
  <c r="H57" i="22"/>
  <c r="H57" i="3"/>
  <c r="F57" i="3"/>
  <c r="N57" i="11"/>
  <c r="I57" i="22"/>
  <c r="U57" i="11"/>
  <c r="BB57" i="11"/>
  <c r="AK57" i="11"/>
  <c r="R57" i="11"/>
  <c r="AA57" i="11"/>
  <c r="G41" i="23"/>
  <c r="J42" i="22"/>
  <c r="K42" i="22" s="1"/>
  <c r="AC57" i="11"/>
  <c r="AN57" i="11"/>
  <c r="AE57" i="11"/>
  <c r="BL57" i="11"/>
  <c r="AU57" i="11"/>
  <c r="Z57" i="11"/>
  <c r="AI57" i="11"/>
  <c r="N58" i="8"/>
  <c r="AJ48" i="11"/>
  <c r="W48" i="11"/>
  <c r="AE48" i="11"/>
  <c r="V48" i="11"/>
  <c r="AF48" i="11"/>
  <c r="AO48" i="11"/>
  <c r="AX48" i="11"/>
  <c r="N52" i="9"/>
  <c r="AD57" i="11"/>
  <c r="Q57" i="11"/>
  <c r="AO57" i="11"/>
  <c r="X57" i="11"/>
  <c r="BE57" i="11"/>
  <c r="AH57" i="11"/>
  <c r="AQ57" i="11"/>
  <c r="N55" i="7"/>
  <c r="BC48" i="11"/>
  <c r="AR48" i="11"/>
  <c r="AZ48" i="11"/>
  <c r="AD48" i="11"/>
  <c r="AN48" i="11"/>
  <c r="AW48" i="11"/>
  <c r="BF48" i="11"/>
  <c r="F45" i="23"/>
  <c r="J46" i="3"/>
  <c r="A46" i="25"/>
  <c r="AG57" i="11"/>
  <c r="AS57" i="11"/>
  <c r="BA57" i="11"/>
  <c r="AJ57" i="11"/>
  <c r="P57" i="11"/>
  <c r="AP57" i="11"/>
  <c r="AY57" i="11"/>
  <c r="N51" i="10"/>
  <c r="BG48" i="11"/>
  <c r="BO48" i="11"/>
  <c r="U48" i="11"/>
  <c r="AL48" i="11"/>
  <c r="AV48" i="11"/>
  <c r="BE48" i="11"/>
  <c r="BN48" i="11"/>
  <c r="I42" i="25"/>
  <c r="F42" i="25"/>
  <c r="H42" i="25"/>
  <c r="G42" i="25"/>
  <c r="E42" i="25"/>
  <c r="D42" i="25"/>
  <c r="L42" i="25"/>
  <c r="K42" i="25"/>
  <c r="C42" i="25"/>
  <c r="B42" i="25"/>
  <c r="BJ57" i="11"/>
  <c r="BC57" i="11"/>
  <c r="T57" i="11"/>
  <c r="BK57" i="11"/>
  <c r="AT57" i="11"/>
  <c r="AB57" i="11"/>
  <c r="AX57" i="11"/>
  <c r="BG57" i="11"/>
  <c r="N54" i="8"/>
  <c r="BH48" i="11"/>
  <c r="AA48" i="11"/>
  <c r="AC48" i="11"/>
  <c r="AT48" i="11"/>
  <c r="BD48" i="11"/>
  <c r="BM48" i="11"/>
  <c r="BI57" i="11"/>
  <c r="AW57" i="11"/>
  <c r="V57" i="11"/>
  <c r="BD57" i="11"/>
  <c r="AL57" i="11"/>
  <c r="BF57" i="11"/>
  <c r="BO57" i="11"/>
  <c r="N53" i="9"/>
  <c r="S48" i="11"/>
  <c r="AU48" i="11"/>
  <c r="AK48" i="11"/>
  <c r="BB48" i="11"/>
  <c r="BL48" i="11"/>
  <c r="N64" i="4"/>
  <c r="H42" i="23"/>
  <c r="I42" i="23" s="1"/>
  <c r="G45" i="25"/>
  <c r="F45" i="25"/>
  <c r="H45" i="25"/>
  <c r="C45" i="25"/>
  <c r="I45" i="25"/>
  <c r="E45" i="25"/>
  <c r="D45" i="25"/>
  <c r="B45" i="25"/>
  <c r="L45" i="25"/>
  <c r="K45" i="25"/>
  <c r="AM57" i="11"/>
  <c r="W57" i="11"/>
  <c r="AF57" i="11"/>
  <c r="BP57" i="11"/>
  <c r="AV57" i="11"/>
  <c r="BN57" i="11"/>
  <c r="H48" i="22"/>
  <c r="H48" i="3"/>
  <c r="F48" i="3"/>
  <c r="N48" i="11"/>
  <c r="I48" i="22"/>
  <c r="T48" i="11"/>
  <c r="BP48" i="11"/>
  <c r="AS48" i="11"/>
  <c r="BJ48" i="11"/>
  <c r="Q48" i="11"/>
  <c r="Z48" i="11"/>
  <c r="G44" i="23"/>
  <c r="H44" i="23" s="1"/>
  <c r="J45" i="22"/>
  <c r="K45" i="22" s="1"/>
  <c r="BM57" i="11"/>
  <c r="AZ57" i="11"/>
  <c r="AR57" i="11"/>
  <c r="Y57" i="11"/>
  <c r="BH57" i="11"/>
  <c r="S57" i="11"/>
  <c r="N62" i="5"/>
  <c r="AM48" i="11"/>
  <c r="AQ48" i="11"/>
  <c r="AB48" i="11"/>
  <c r="BA48" i="11"/>
  <c r="P48" i="11"/>
  <c r="Y48" i="11"/>
  <c r="AH48" i="11"/>
  <c r="J63" i="9"/>
  <c r="J68" i="4"/>
  <c r="J50" i="11"/>
  <c r="J59" i="9"/>
  <c r="J56" i="8"/>
  <c r="J67" i="5"/>
  <c r="J55" i="9"/>
  <c r="J66" i="8"/>
  <c r="J52" i="11"/>
  <c r="J54" i="10"/>
  <c r="J62" i="7"/>
  <c r="Q49" i="11" l="1"/>
  <c r="BF49" i="11"/>
  <c r="BE49" i="11"/>
  <c r="BO49" i="11"/>
  <c r="J45" i="25"/>
  <c r="BI49" i="11"/>
  <c r="BJ49" i="11"/>
  <c r="AB49" i="11"/>
  <c r="Z49" i="11"/>
  <c r="BL49" i="11"/>
  <c r="AE49" i="11"/>
  <c r="AV49" i="11"/>
  <c r="BC49" i="11"/>
  <c r="BG49" i="11"/>
  <c r="AN49" i="11"/>
  <c r="AP49" i="11"/>
  <c r="U49" i="11"/>
  <c r="AM49" i="11"/>
  <c r="J42" i="25"/>
  <c r="BD49" i="11"/>
  <c r="BH49" i="11"/>
  <c r="AX49" i="11"/>
  <c r="AS49" i="11"/>
  <c r="AU49" i="11"/>
  <c r="AF49" i="11"/>
  <c r="AR49" i="11"/>
  <c r="BN49" i="11"/>
  <c r="V49" i="11"/>
  <c r="AG49" i="11"/>
  <c r="BM49" i="11"/>
  <c r="AI49" i="11"/>
  <c r="AD49" i="11"/>
  <c r="P49" i="11"/>
  <c r="Y49" i="11"/>
  <c r="AY49" i="11"/>
  <c r="AL49" i="11"/>
  <c r="M62" i="7"/>
  <c r="M54" i="10"/>
  <c r="F52" i="22"/>
  <c r="M52" i="11"/>
  <c r="BA52" i="11" s="1"/>
  <c r="M66" i="8"/>
  <c r="M55" i="9"/>
  <c r="M67" i="5"/>
  <c r="M56" i="8"/>
  <c r="M59" i="9"/>
  <c r="F50" i="22"/>
  <c r="M50" i="11"/>
  <c r="AJ50" i="11" s="1"/>
  <c r="G68" i="22"/>
  <c r="E68" i="3"/>
  <c r="M68" i="4"/>
  <c r="M63" i="9"/>
  <c r="F56" i="23"/>
  <c r="J57" i="3"/>
  <c r="A57" i="25"/>
  <c r="J46" i="22"/>
  <c r="K46" i="22" s="1"/>
  <c r="G45" i="23"/>
  <c r="F47" i="23"/>
  <c r="J48" i="3"/>
  <c r="A48" i="25"/>
  <c r="N53" i="10"/>
  <c r="H41" i="23"/>
  <c r="I41" i="23" s="1"/>
  <c r="N54" i="9"/>
  <c r="I44" i="23"/>
  <c r="AW49" i="11"/>
  <c r="T49" i="11"/>
  <c r="BP49" i="11"/>
  <c r="S49" i="11"/>
  <c r="AC49" i="11"/>
  <c r="AT49" i="11"/>
  <c r="BK49" i="11"/>
  <c r="N52" i="10"/>
  <c r="AZ49" i="11"/>
  <c r="AO49" i="11"/>
  <c r="R49" i="11"/>
  <c r="AA49" i="11"/>
  <c r="AK49" i="11"/>
  <c r="N55" i="8"/>
  <c r="K46" i="25"/>
  <c r="C46" i="25"/>
  <c r="B46" i="25"/>
  <c r="G46" i="25"/>
  <c r="F46" i="25"/>
  <c r="L46" i="25"/>
  <c r="I46" i="25"/>
  <c r="H46" i="25"/>
  <c r="E46" i="25"/>
  <c r="D46" i="25"/>
  <c r="N64" i="5"/>
  <c r="N56" i="7"/>
  <c r="N58" i="9"/>
  <c r="H49" i="22"/>
  <c r="H49" i="3"/>
  <c r="F49" i="3"/>
  <c r="N49" i="11"/>
  <c r="I49" i="22"/>
  <c r="AJ49" i="11"/>
  <c r="X49" i="11"/>
  <c r="AH49" i="11"/>
  <c r="AQ49" i="11"/>
  <c r="BA49" i="11"/>
  <c r="W49" i="11"/>
  <c r="N67" i="4"/>
  <c r="N63" i="8"/>
  <c r="J62" i="8"/>
  <c r="J53" i="11"/>
  <c r="J51" i="11"/>
  <c r="J63" i="10"/>
  <c r="J66" i="9"/>
  <c r="J55" i="10"/>
  <c r="J68" i="5"/>
  <c r="J59" i="10"/>
  <c r="J61" i="9"/>
  <c r="J56" i="9"/>
  <c r="J64" i="7"/>
  <c r="J71" i="4"/>
  <c r="BN50" i="11" l="1"/>
  <c r="AI50" i="11"/>
  <c r="AK50" i="11"/>
  <c r="AH52" i="11"/>
  <c r="T52" i="11"/>
  <c r="AF52" i="11"/>
  <c r="BP52" i="11"/>
  <c r="P52" i="11"/>
  <c r="AC52" i="11"/>
  <c r="AY52" i="11"/>
  <c r="AT50" i="11"/>
  <c r="AQ52" i="11"/>
  <c r="AD52" i="11"/>
  <c r="AA52" i="11"/>
  <c r="Y52" i="11"/>
  <c r="J46" i="25"/>
  <c r="Q50" i="11"/>
  <c r="AW52" i="11"/>
  <c r="BJ50" i="11"/>
  <c r="AL50" i="11"/>
  <c r="AQ50" i="11"/>
  <c r="AG52" i="11"/>
  <c r="V50" i="11"/>
  <c r="BI50" i="11"/>
  <c r="BG50" i="11"/>
  <c r="Y50" i="11"/>
  <c r="P50" i="11"/>
  <c r="AW50" i="11"/>
  <c r="X50" i="11"/>
  <c r="AD50" i="11"/>
  <c r="AN50" i="11"/>
  <c r="BG52" i="11"/>
  <c r="AZ52" i="11"/>
  <c r="AV50" i="11"/>
  <c r="AS50" i="11"/>
  <c r="BA50" i="11"/>
  <c r="AE50" i="11"/>
  <c r="BD50" i="11"/>
  <c r="T50" i="11"/>
  <c r="AN52" i="11"/>
  <c r="BM52" i="11"/>
  <c r="BI52" i="11"/>
  <c r="AM50" i="11"/>
  <c r="Z50" i="11"/>
  <c r="AR50" i="11"/>
  <c r="BM50" i="11"/>
  <c r="AG50" i="11"/>
  <c r="AU50" i="11"/>
  <c r="AH50" i="11"/>
  <c r="AZ50" i="11"/>
  <c r="BL52" i="11"/>
  <c r="AP52" i="11"/>
  <c r="AT52" i="11"/>
  <c r="U50" i="11"/>
  <c r="BB50" i="11"/>
  <c r="BK50" i="11"/>
  <c r="AX50" i="11"/>
  <c r="BP50" i="11"/>
  <c r="AI52" i="11"/>
  <c r="AU52" i="11"/>
  <c r="BF52" i="11"/>
  <c r="G71" i="22"/>
  <c r="E71" i="3"/>
  <c r="M71" i="4"/>
  <c r="M64" i="7"/>
  <c r="M56" i="9"/>
  <c r="M61" i="9"/>
  <c r="M59" i="10"/>
  <c r="M68" i="5"/>
  <c r="M55" i="10"/>
  <c r="M66" i="9"/>
  <c r="M63" i="10"/>
  <c r="F51" i="22"/>
  <c r="M51" i="11"/>
  <c r="AW51" i="11" s="1"/>
  <c r="F53" i="22"/>
  <c r="M53" i="11"/>
  <c r="BK53" i="11" s="1"/>
  <c r="M62" i="8"/>
  <c r="N68" i="4"/>
  <c r="H45" i="23"/>
  <c r="I45" i="23" s="1"/>
  <c r="BF50" i="11"/>
  <c r="BO50" i="11"/>
  <c r="BC52" i="11"/>
  <c r="S52" i="11"/>
  <c r="BO52" i="11"/>
  <c r="BE52" i="11"/>
  <c r="BN52" i="11"/>
  <c r="U52" i="11"/>
  <c r="AL52" i="11"/>
  <c r="L48" i="25"/>
  <c r="K48" i="25"/>
  <c r="C48" i="25"/>
  <c r="B48" i="25"/>
  <c r="G48" i="25"/>
  <c r="F48" i="25"/>
  <c r="E48" i="25"/>
  <c r="H48" i="25"/>
  <c r="D48" i="25"/>
  <c r="I48" i="25"/>
  <c r="H57" i="25"/>
  <c r="G57" i="25"/>
  <c r="F57" i="25"/>
  <c r="K57" i="25"/>
  <c r="C57" i="25"/>
  <c r="I57" i="25"/>
  <c r="B57" i="25"/>
  <c r="D57" i="25"/>
  <c r="L57" i="25"/>
  <c r="E57" i="25"/>
  <c r="AO50" i="11"/>
  <c r="AC50" i="11"/>
  <c r="BE50" i="11"/>
  <c r="BC50" i="11"/>
  <c r="BL50" i="11"/>
  <c r="S50" i="11"/>
  <c r="AB50" i="11"/>
  <c r="N56" i="8"/>
  <c r="BD52" i="11"/>
  <c r="BK52" i="11"/>
  <c r="AV52" i="11"/>
  <c r="R52" i="11"/>
  <c r="AB52" i="11"/>
  <c r="AK52" i="11"/>
  <c r="BB52" i="11"/>
  <c r="N59" i="9"/>
  <c r="F48" i="23"/>
  <c r="J49" i="3"/>
  <c r="A49" i="25"/>
  <c r="J48" i="22"/>
  <c r="K48" i="22" s="1"/>
  <c r="G47" i="23"/>
  <c r="H47" i="23" s="1"/>
  <c r="I47" i="23" s="1"/>
  <c r="J57" i="22"/>
  <c r="K57" i="22" s="1"/>
  <c r="G56" i="23"/>
  <c r="R50" i="11"/>
  <c r="AA50" i="11"/>
  <c r="N67" i="5"/>
  <c r="AE52" i="11"/>
  <c r="W52" i="11"/>
  <c r="Q52" i="11"/>
  <c r="Z52" i="11"/>
  <c r="AJ52" i="11"/>
  <c r="AS52" i="11"/>
  <c r="BJ52" i="11"/>
  <c r="N55" i="9"/>
  <c r="AR52" i="11"/>
  <c r="N66" i="8"/>
  <c r="N54" i="10"/>
  <c r="N63" i="9"/>
  <c r="H50" i="22"/>
  <c r="F50" i="3"/>
  <c r="H50" i="3"/>
  <c r="N50" i="11"/>
  <c r="I50" i="22"/>
  <c r="W50" i="11"/>
  <c r="AF50" i="11"/>
  <c r="AP50" i="11"/>
  <c r="AY50" i="11"/>
  <c r="BH50" i="11"/>
  <c r="H52" i="22"/>
  <c r="H52" i="3"/>
  <c r="F52" i="3"/>
  <c r="N52" i="11"/>
  <c r="I52" i="22"/>
  <c r="AM52" i="11"/>
  <c r="X52" i="11"/>
  <c r="AO52" i="11"/>
  <c r="AX52" i="11"/>
  <c r="BH52" i="11"/>
  <c r="V52" i="11"/>
  <c r="N62" i="7"/>
  <c r="J58" i="10"/>
  <c r="J67" i="7"/>
  <c r="J72" i="4"/>
  <c r="J55" i="11"/>
  <c r="J64" i="8"/>
  <c r="J62" i="9"/>
  <c r="J56" i="10"/>
  <c r="J54" i="11"/>
  <c r="J61" i="10"/>
  <c r="J71" i="5"/>
  <c r="J66" i="10"/>
  <c r="J69" i="9"/>
  <c r="BO53" i="11" l="1"/>
  <c r="BM53" i="11"/>
  <c r="J57" i="25"/>
  <c r="AR53" i="11"/>
  <c r="J48" i="25"/>
  <c r="BN53" i="11"/>
  <c r="AS53" i="11"/>
  <c r="Y53" i="11"/>
  <c r="H56" i="23"/>
  <c r="I56" i="23" s="1"/>
  <c r="AV53" i="11"/>
  <c r="Z53" i="11"/>
  <c r="AP53" i="11"/>
  <c r="AJ53" i="11"/>
  <c r="AQ53" i="11"/>
  <c r="P53" i="11"/>
  <c r="BI53" i="11"/>
  <c r="AT53" i="11"/>
  <c r="M69" i="9"/>
  <c r="M66" i="10"/>
  <c r="M71" i="5"/>
  <c r="M61" i="10"/>
  <c r="N61" i="10" s="1"/>
  <c r="F54" i="22"/>
  <c r="M54" i="11"/>
  <c r="BF54" i="11" s="1"/>
  <c r="M56" i="10"/>
  <c r="M62" i="9"/>
  <c r="M64" i="8"/>
  <c r="F55" i="22"/>
  <c r="M55" i="11"/>
  <c r="AG55" i="11" s="1"/>
  <c r="G72" i="22"/>
  <c r="E72" i="3"/>
  <c r="M72" i="4"/>
  <c r="M67" i="7"/>
  <c r="M58" i="10"/>
  <c r="H49" i="25"/>
  <c r="G49" i="25"/>
  <c r="F49" i="25"/>
  <c r="K49" i="25"/>
  <c r="C49" i="25"/>
  <c r="I49" i="25"/>
  <c r="B49" i="25"/>
  <c r="L49" i="25"/>
  <c r="E49" i="25"/>
  <c r="D49" i="25"/>
  <c r="N62" i="8"/>
  <c r="N66" i="9"/>
  <c r="N68" i="5"/>
  <c r="F49" i="23"/>
  <c r="J50" i="3"/>
  <c r="A50" i="25"/>
  <c r="BP53" i="11"/>
  <c r="AC53" i="11"/>
  <c r="AK53" i="11"/>
  <c r="W53" i="11"/>
  <c r="AG53" i="11"/>
  <c r="AX53" i="11"/>
  <c r="BB53" i="11"/>
  <c r="AL51" i="11"/>
  <c r="AT51" i="11"/>
  <c r="AI51" i="11"/>
  <c r="BP51" i="11"/>
  <c r="AE51" i="11"/>
  <c r="AN51" i="11"/>
  <c r="N59" i="10"/>
  <c r="F51" i="23"/>
  <c r="J52" i="3"/>
  <c r="A52" i="25"/>
  <c r="H51" i="22"/>
  <c r="F51" i="3"/>
  <c r="H51" i="3"/>
  <c r="N51" i="11"/>
  <c r="I51" i="22"/>
  <c r="BN51" i="11"/>
  <c r="AR51" i="11"/>
  <c r="P51" i="11"/>
  <c r="Y51" i="11"/>
  <c r="AP51" i="11"/>
  <c r="Z51" i="11"/>
  <c r="BB51" i="11"/>
  <c r="BH51" i="11"/>
  <c r="W51" i="11"/>
  <c r="AF51" i="11"/>
  <c r="AO51" i="11"/>
  <c r="U53" i="11"/>
  <c r="AZ53" i="11"/>
  <c r="BL53" i="11"/>
  <c r="AE53" i="11"/>
  <c r="AO53" i="11"/>
  <c r="BH53" i="11"/>
  <c r="BJ53" i="11"/>
  <c r="AQ51" i="11"/>
  <c r="BO51" i="11"/>
  <c r="BF51" i="11"/>
  <c r="U51" i="11"/>
  <c r="AM51" i="11"/>
  <c r="AV51" i="11"/>
  <c r="BE51" i="11"/>
  <c r="N61" i="9"/>
  <c r="X53" i="11"/>
  <c r="AF53" i="11"/>
  <c r="V53" i="11"/>
  <c r="AM53" i="11"/>
  <c r="AW53" i="11"/>
  <c r="S53" i="11"/>
  <c r="BC53" i="11"/>
  <c r="BG51" i="11"/>
  <c r="AA51" i="11"/>
  <c r="T51" i="11"/>
  <c r="AC51" i="11"/>
  <c r="AU51" i="11"/>
  <c r="BD51" i="11"/>
  <c r="BM51" i="11"/>
  <c r="N56" i="9"/>
  <c r="AY51" i="11"/>
  <c r="AN53" i="11"/>
  <c r="BA53" i="11"/>
  <c r="AD53" i="11"/>
  <c r="AU53" i="11"/>
  <c r="BG53" i="11"/>
  <c r="AA53" i="11"/>
  <c r="BJ51" i="11"/>
  <c r="AX51" i="11"/>
  <c r="AB51" i="11"/>
  <c r="AK51" i="11"/>
  <c r="BC51" i="11"/>
  <c r="BL51" i="11"/>
  <c r="N64" i="7"/>
  <c r="H53" i="22"/>
  <c r="F53" i="3"/>
  <c r="H53" i="3"/>
  <c r="N53" i="11"/>
  <c r="I53" i="22"/>
  <c r="AL53" i="11"/>
  <c r="BE53" i="11"/>
  <c r="R53" i="11"/>
  <c r="AI53" i="11"/>
  <c r="R51" i="11"/>
  <c r="AD51" i="11"/>
  <c r="AJ51" i="11"/>
  <c r="AS51" i="11"/>
  <c r="BK51" i="11"/>
  <c r="Q51" i="11"/>
  <c r="N63" i="10"/>
  <c r="N71" i="4"/>
  <c r="BA51" i="11"/>
  <c r="J49" i="22"/>
  <c r="K49" i="22" s="1"/>
  <c r="G48" i="23"/>
  <c r="H48" i="23" s="1"/>
  <c r="I48" i="23" s="1"/>
  <c r="T53" i="11"/>
  <c r="AB53" i="11"/>
  <c r="BF53" i="11"/>
  <c r="BD53" i="11"/>
  <c r="Q53" i="11"/>
  <c r="AH53" i="11"/>
  <c r="AY53" i="11"/>
  <c r="V51" i="11"/>
  <c r="S51" i="11"/>
  <c r="AH51" i="11"/>
  <c r="AZ51" i="11"/>
  <c r="BI51" i="11"/>
  <c r="X51" i="11"/>
  <c r="AG51" i="11"/>
  <c r="N55" i="10"/>
  <c r="J70" i="9"/>
  <c r="J67" i="8"/>
  <c r="J64" i="9"/>
  <c r="J69" i="10"/>
  <c r="J72" i="5"/>
  <c r="J59" i="11"/>
  <c r="J62" i="10"/>
  <c r="J56" i="11"/>
  <c r="J73" i="4"/>
  <c r="J68" i="7"/>
  <c r="AK54" i="11" l="1"/>
  <c r="S54" i="11"/>
  <c r="R54" i="11"/>
  <c r="W54" i="11"/>
  <c r="AN54" i="11"/>
  <c r="BM55" i="11"/>
  <c r="AS54" i="11"/>
  <c r="Q54" i="11"/>
  <c r="AC54" i="11"/>
  <c r="U54" i="11"/>
  <c r="AM55" i="11"/>
  <c r="BC54" i="11"/>
  <c r="BA54" i="11"/>
  <c r="AQ54" i="11"/>
  <c r="BG54" i="11"/>
  <c r="T55" i="11"/>
  <c r="BI55" i="11"/>
  <c r="AD54" i="11"/>
  <c r="BB54" i="11"/>
  <c r="T54" i="11"/>
  <c r="AJ55" i="11"/>
  <c r="AQ55" i="11"/>
  <c r="BI54" i="11"/>
  <c r="AH54" i="11"/>
  <c r="AB54" i="11"/>
  <c r="BJ55" i="11"/>
  <c r="V55" i="11"/>
  <c r="BD54" i="11"/>
  <c r="J49" i="25"/>
  <c r="BP55" i="11"/>
  <c r="AR55" i="11"/>
  <c r="Y54" i="11"/>
  <c r="AZ55" i="11"/>
  <c r="BD55" i="11"/>
  <c r="AB55" i="11"/>
  <c r="Q55" i="11"/>
  <c r="AG54" i="11"/>
  <c r="V54" i="11"/>
  <c r="P54" i="11"/>
  <c r="AZ54" i="11"/>
  <c r="AS55" i="11"/>
  <c r="BM54" i="11"/>
  <c r="AF54" i="11"/>
  <c r="AL54" i="11"/>
  <c r="BP54" i="11"/>
  <c r="BH55" i="11"/>
  <c r="BO55" i="11"/>
  <c r="AP54" i="11"/>
  <c r="M68" i="7"/>
  <c r="G73" i="22"/>
  <c r="E73" i="3"/>
  <c r="M73" i="4"/>
  <c r="F56" i="22"/>
  <c r="M56" i="11"/>
  <c r="BI56" i="11" s="1"/>
  <c r="M62" i="10"/>
  <c r="F59" i="22"/>
  <c r="M59" i="11"/>
  <c r="BA59" i="11" s="1"/>
  <c r="M72" i="5"/>
  <c r="M69" i="10"/>
  <c r="M64" i="9"/>
  <c r="M67" i="8"/>
  <c r="M70" i="9"/>
  <c r="N72" i="4"/>
  <c r="F50" i="23"/>
  <c r="J51" i="3"/>
  <c r="A51" i="25"/>
  <c r="AK55" i="11"/>
  <c r="R55" i="11"/>
  <c r="AY55" i="11"/>
  <c r="AH55" i="11"/>
  <c r="BC55" i="11"/>
  <c r="BL55" i="11"/>
  <c r="H54" i="22"/>
  <c r="H54" i="3"/>
  <c r="F54" i="3"/>
  <c r="N54" i="11"/>
  <c r="I54" i="22"/>
  <c r="BK54" i="11"/>
  <c r="AT54" i="11"/>
  <c r="Z54" i="11"/>
  <c r="AY54" i="11"/>
  <c r="BH54" i="11"/>
  <c r="L52" i="25"/>
  <c r="D52" i="25"/>
  <c r="K52" i="25"/>
  <c r="C52" i="25"/>
  <c r="B52" i="25"/>
  <c r="G52" i="25"/>
  <c r="F52" i="25"/>
  <c r="E52" i="25"/>
  <c r="I52" i="25"/>
  <c r="H52" i="25"/>
  <c r="AD55" i="11"/>
  <c r="AP55" i="11"/>
  <c r="AL55" i="11"/>
  <c r="U55" i="11"/>
  <c r="BB55" i="11"/>
  <c r="P55" i="11"/>
  <c r="Y55" i="11"/>
  <c r="N62" i="9"/>
  <c r="BN54" i="11"/>
  <c r="AV54" i="11"/>
  <c r="BO54" i="11"/>
  <c r="G51" i="23"/>
  <c r="H51" i="23" s="1"/>
  <c r="I51" i="23" s="1"/>
  <c r="J52" i="22"/>
  <c r="K52" i="22" s="1"/>
  <c r="L50" i="25"/>
  <c r="D50" i="25"/>
  <c r="K50" i="25"/>
  <c r="C50" i="25"/>
  <c r="B50" i="25"/>
  <c r="G50" i="25"/>
  <c r="F50" i="25"/>
  <c r="H50" i="25"/>
  <c r="E50" i="25"/>
  <c r="I50" i="25"/>
  <c r="AA55" i="11"/>
  <c r="AT55" i="11"/>
  <c r="AX55" i="11"/>
  <c r="AE55" i="11"/>
  <c r="BN55" i="11"/>
  <c r="X55" i="11"/>
  <c r="N56" i="10"/>
  <c r="G49" i="23"/>
  <c r="J50" i="22"/>
  <c r="K50" i="22" s="1"/>
  <c r="H55" i="22"/>
  <c r="F55" i="3"/>
  <c r="H55" i="3"/>
  <c r="N55" i="11"/>
  <c r="I55" i="22"/>
  <c r="AF55" i="11"/>
  <c r="AO55" i="11"/>
  <c r="N71" i="5"/>
  <c r="F52" i="23"/>
  <c r="J53" i="3"/>
  <c r="A53" i="25"/>
  <c r="N58" i="10"/>
  <c r="BF55" i="11"/>
  <c r="AU55" i="11"/>
  <c r="S55" i="11"/>
  <c r="BA55" i="11"/>
  <c r="W55" i="11"/>
  <c r="AN55" i="11"/>
  <c r="AW55" i="11"/>
  <c r="AX54" i="11"/>
  <c r="BJ54" i="11"/>
  <c r="AE54" i="11"/>
  <c r="BL54" i="11"/>
  <c r="AU54" i="11"/>
  <c r="AA54" i="11"/>
  <c r="AJ54" i="11"/>
  <c r="N66" i="10"/>
  <c r="N64" i="8"/>
  <c r="N67" i="7"/>
  <c r="BG55" i="11"/>
  <c r="Z55" i="11"/>
  <c r="AC55" i="11"/>
  <c r="BK55" i="11"/>
  <c r="AI55" i="11"/>
  <c r="AV55" i="11"/>
  <c r="BE55" i="11"/>
  <c r="AW54" i="11"/>
  <c r="AM54" i="11"/>
  <c r="AO54" i="11"/>
  <c r="X54" i="11"/>
  <c r="BE54" i="11"/>
  <c r="AI54" i="11"/>
  <c r="AR54" i="11"/>
  <c r="N69" i="9"/>
  <c r="J74" i="4"/>
  <c r="J68" i="8"/>
  <c r="J71" i="7"/>
  <c r="J58" i="11"/>
  <c r="J61" i="11"/>
  <c r="J73" i="5"/>
  <c r="J69" i="11"/>
  <c r="J70" i="10"/>
  <c r="J64" i="10"/>
  <c r="J67" i="9"/>
  <c r="E74" i="3" l="1"/>
  <c r="AE59" i="11"/>
  <c r="S59" i="11"/>
  <c r="AF59" i="11"/>
  <c r="AA59" i="11"/>
  <c r="M74" i="4"/>
  <c r="AT59" i="11"/>
  <c r="AB59" i="11"/>
  <c r="X59" i="11"/>
  <c r="BH59" i="11"/>
  <c r="J52" i="25"/>
  <c r="AH59" i="11"/>
  <c r="AS59" i="11"/>
  <c r="AV59" i="11"/>
  <c r="AM59" i="11"/>
  <c r="AD59" i="11"/>
  <c r="AP59" i="11"/>
  <c r="Y59" i="11"/>
  <c r="AQ59" i="11"/>
  <c r="Q59" i="11"/>
  <c r="AX59" i="11"/>
  <c r="AJ59" i="11"/>
  <c r="BD59" i="11"/>
  <c r="P59" i="11"/>
  <c r="AZ59" i="11"/>
  <c r="AU59" i="11"/>
  <c r="AO59" i="11"/>
  <c r="BP59" i="11"/>
  <c r="AF56" i="11"/>
  <c r="W56" i="11"/>
  <c r="AW56" i="11"/>
  <c r="Z56" i="11"/>
  <c r="AS56" i="11"/>
  <c r="P56" i="11"/>
  <c r="BC56" i="11"/>
  <c r="R56" i="11"/>
  <c r="BA56" i="11"/>
  <c r="BN56" i="11"/>
  <c r="J50" i="25"/>
  <c r="V59" i="11"/>
  <c r="AN59" i="11"/>
  <c r="AY59" i="11"/>
  <c r="BI59" i="11"/>
  <c r="AA56" i="11"/>
  <c r="AN56" i="11"/>
  <c r="AT56" i="11"/>
  <c r="T56" i="11"/>
  <c r="X56" i="11"/>
  <c r="AC56" i="11"/>
  <c r="H49" i="23"/>
  <c r="I49" i="23" s="1"/>
  <c r="AG59" i="11"/>
  <c r="BB59" i="11"/>
  <c r="BG59" i="11"/>
  <c r="AH56" i="11"/>
  <c r="AX56" i="11"/>
  <c r="BJ56" i="11"/>
  <c r="BE56" i="11"/>
  <c r="AM56" i="11"/>
  <c r="AY56" i="11"/>
  <c r="M67" i="9"/>
  <c r="M64" i="10"/>
  <c r="M70" i="10"/>
  <c r="N70" i="10" s="1"/>
  <c r="F69" i="22"/>
  <c r="M69" i="11"/>
  <c r="W69" i="11" s="1"/>
  <c r="M73" i="5"/>
  <c r="F61" i="22"/>
  <c r="M61" i="11"/>
  <c r="AX61" i="11" s="1"/>
  <c r="F58" i="22"/>
  <c r="M58" i="11"/>
  <c r="Y58" i="11" s="1"/>
  <c r="M71" i="7"/>
  <c r="M68" i="8"/>
  <c r="N70" i="9"/>
  <c r="F53" i="23"/>
  <c r="J54" i="3"/>
  <c r="A54" i="25"/>
  <c r="N67" i="8"/>
  <c r="AL59" i="11"/>
  <c r="BE59" i="11"/>
  <c r="BJ59" i="11"/>
  <c r="BM59" i="11"/>
  <c r="AI59" i="11"/>
  <c r="AR59" i="11"/>
  <c r="AR56" i="11"/>
  <c r="BM56" i="11"/>
  <c r="BO56" i="11"/>
  <c r="AB56" i="11"/>
  <c r="BK56" i="11"/>
  <c r="AK56" i="11"/>
  <c r="BB56" i="11"/>
  <c r="N64" i="9"/>
  <c r="G52" i="23"/>
  <c r="J53" i="22"/>
  <c r="K53" i="22" s="1"/>
  <c r="H51" i="25"/>
  <c r="G51" i="25"/>
  <c r="F51" i="25"/>
  <c r="K51" i="25"/>
  <c r="C51" i="25"/>
  <c r="B51" i="25"/>
  <c r="L51" i="25"/>
  <c r="I51" i="25"/>
  <c r="D51" i="25"/>
  <c r="E51" i="25"/>
  <c r="N69" i="10"/>
  <c r="H53" i="25"/>
  <c r="G53" i="25"/>
  <c r="F53" i="25"/>
  <c r="K53" i="25"/>
  <c r="C53" i="25"/>
  <c r="I53" i="25"/>
  <c r="B53" i="25"/>
  <c r="L53" i="25"/>
  <c r="E53" i="25"/>
  <c r="D53" i="25"/>
  <c r="F54" i="23"/>
  <c r="J55" i="3"/>
  <c r="A55" i="25"/>
  <c r="G50" i="23"/>
  <c r="H50" i="23" s="1"/>
  <c r="J51" i="22"/>
  <c r="K51" i="22" s="1"/>
  <c r="N72" i="5"/>
  <c r="N62" i="10"/>
  <c r="AQ56" i="11"/>
  <c r="AJ56" i="11"/>
  <c r="BH56" i="11"/>
  <c r="AP56" i="11"/>
  <c r="N73" i="4"/>
  <c r="H59" i="22"/>
  <c r="F59" i="3"/>
  <c r="H59" i="3"/>
  <c r="N59" i="11"/>
  <c r="I59" i="22"/>
  <c r="AW59" i="11"/>
  <c r="BF59" i="11"/>
  <c r="BL59" i="11"/>
  <c r="BC59" i="11"/>
  <c r="BO59" i="11"/>
  <c r="U59" i="11"/>
  <c r="H56" i="22"/>
  <c r="H56" i="3"/>
  <c r="F56" i="3"/>
  <c r="N56" i="11"/>
  <c r="I56" i="22"/>
  <c r="BD56" i="11"/>
  <c r="Y56" i="11"/>
  <c r="AV56" i="11"/>
  <c r="S56" i="11"/>
  <c r="AZ56" i="11"/>
  <c r="V56" i="11"/>
  <c r="C5" i="13"/>
  <c r="BK59" i="11"/>
  <c r="R59" i="11"/>
  <c r="W59" i="11"/>
  <c r="Z59" i="11"/>
  <c r="BN59" i="11"/>
  <c r="T59" i="11"/>
  <c r="AC59" i="11"/>
  <c r="Q56" i="11"/>
  <c r="AG56" i="11"/>
  <c r="AI56" i="11"/>
  <c r="BF56" i="11"/>
  <c r="AE56" i="11"/>
  <c r="BL56" i="11"/>
  <c r="AD56" i="11"/>
  <c r="AK59" i="11"/>
  <c r="BG56" i="11"/>
  <c r="AU56" i="11"/>
  <c r="BP56" i="11"/>
  <c r="AO56" i="11"/>
  <c r="U56" i="11"/>
  <c r="AL56" i="11"/>
  <c r="N68" i="7"/>
  <c r="J74" i="5"/>
  <c r="J67" i="10"/>
  <c r="J68" i="9"/>
  <c r="J70" i="11"/>
  <c r="J64" i="11"/>
  <c r="J71" i="8"/>
  <c r="J72" i="7"/>
  <c r="J62" i="11"/>
  <c r="BN58" i="11" l="1"/>
  <c r="AG58" i="11"/>
  <c r="AZ58" i="11"/>
  <c r="BF58" i="11"/>
  <c r="BG58" i="11"/>
  <c r="W58" i="11"/>
  <c r="BH58" i="11"/>
  <c r="AM58" i="11"/>
  <c r="R58" i="11"/>
  <c r="S58" i="11"/>
  <c r="AP58" i="11"/>
  <c r="AY58" i="11"/>
  <c r="AY61" i="11"/>
  <c r="AJ58" i="11"/>
  <c r="AQ58" i="11"/>
  <c r="BJ61" i="11"/>
  <c r="M74" i="5"/>
  <c r="AV61" i="11"/>
  <c r="AN61" i="11"/>
  <c r="J51" i="25"/>
  <c r="N74" i="4"/>
  <c r="BI61" i="11"/>
  <c r="BN61" i="11"/>
  <c r="J53" i="25"/>
  <c r="BL61" i="11"/>
  <c r="AF61" i="11"/>
  <c r="AZ61" i="11"/>
  <c r="BG61" i="11"/>
  <c r="AJ61" i="11"/>
  <c r="AM61" i="11"/>
  <c r="AB61" i="11"/>
  <c r="AP61" i="11"/>
  <c r="AT61" i="11"/>
  <c r="AT58" i="11"/>
  <c r="AB58" i="11"/>
  <c r="BA58" i="11"/>
  <c r="BK58" i="11"/>
  <c r="Z61" i="11"/>
  <c r="U61" i="11"/>
  <c r="BC61" i="11"/>
  <c r="AZ69" i="11"/>
  <c r="T58" i="11"/>
  <c r="AX58" i="11"/>
  <c r="AH58" i="11"/>
  <c r="AF58" i="11"/>
  <c r="T69" i="11"/>
  <c r="AW58" i="11"/>
  <c r="BI58" i="11"/>
  <c r="BP58" i="11"/>
  <c r="AV58" i="11"/>
  <c r="AH69" i="11"/>
  <c r="BL69" i="11"/>
  <c r="H52" i="23"/>
  <c r="I52" i="23" s="1"/>
  <c r="I50" i="23"/>
  <c r="AA58" i="11"/>
  <c r="AO58" i="11"/>
  <c r="AI61" i="11"/>
  <c r="BO61" i="11"/>
  <c r="BA69" i="11"/>
  <c r="F62" i="22"/>
  <c r="M62" i="11"/>
  <c r="AZ62" i="11" s="1"/>
  <c r="M72" i="7"/>
  <c r="M71" i="8"/>
  <c r="F64" i="22"/>
  <c r="M64" i="11"/>
  <c r="F70" i="22"/>
  <c r="M70" i="11"/>
  <c r="BH70" i="11" s="1"/>
  <c r="M68" i="9"/>
  <c r="M67" i="10"/>
  <c r="L54" i="25"/>
  <c r="D54" i="25"/>
  <c r="K54" i="25"/>
  <c r="C54" i="25"/>
  <c r="B54" i="25"/>
  <c r="G54" i="25"/>
  <c r="F54" i="25"/>
  <c r="I54" i="25"/>
  <c r="H54" i="25"/>
  <c r="E54" i="25"/>
  <c r="BO69" i="11"/>
  <c r="BP69" i="11"/>
  <c r="AN69" i="11"/>
  <c r="V69" i="11"/>
  <c r="AM69" i="11"/>
  <c r="J54" i="22"/>
  <c r="K54" i="22" s="1"/>
  <c r="G53" i="23"/>
  <c r="H53" i="23" s="1"/>
  <c r="H58" i="22"/>
  <c r="H58" i="3"/>
  <c r="F58" i="3"/>
  <c r="N58" i="11"/>
  <c r="I58" i="22"/>
  <c r="AE58" i="11"/>
  <c r="AN58" i="11"/>
  <c r="AQ61" i="11"/>
  <c r="AR61" i="11"/>
  <c r="R61" i="11"/>
  <c r="AK61" i="11"/>
  <c r="BE61" i="11"/>
  <c r="W61" i="11"/>
  <c r="AU61" i="11"/>
  <c r="AQ69" i="11"/>
  <c r="AP69" i="11"/>
  <c r="AF69" i="11"/>
  <c r="Q69" i="11"/>
  <c r="AX69" i="11"/>
  <c r="AD69" i="11"/>
  <c r="AU69" i="11"/>
  <c r="Q58" i="11"/>
  <c r="AD58" i="11"/>
  <c r="AC58" i="11"/>
  <c r="BO58" i="11"/>
  <c r="AI58" i="11"/>
  <c r="AU58" i="11"/>
  <c r="BD58" i="11"/>
  <c r="BH61" i="11"/>
  <c r="AA61" i="11"/>
  <c r="BA61" i="11"/>
  <c r="BD61" i="11"/>
  <c r="V61" i="11"/>
  <c r="AO61" i="11"/>
  <c r="BK61" i="11"/>
  <c r="BD69" i="11"/>
  <c r="X69" i="11"/>
  <c r="P69" i="11"/>
  <c r="AK69" i="11"/>
  <c r="S69" i="11"/>
  <c r="AT69" i="11"/>
  <c r="BK69" i="11"/>
  <c r="AA69" i="11"/>
  <c r="BH69" i="11"/>
  <c r="AL69" i="11"/>
  <c r="BC69" i="11"/>
  <c r="F58" i="23"/>
  <c r="J59" i="3"/>
  <c r="A59" i="25"/>
  <c r="V58" i="11"/>
  <c r="AS58" i="11"/>
  <c r="BC58" i="11"/>
  <c r="BL58" i="11"/>
  <c r="P61" i="11"/>
  <c r="AS61" i="11"/>
  <c r="S61" i="11"/>
  <c r="BM61" i="11"/>
  <c r="AD61" i="11"/>
  <c r="BM69" i="11"/>
  <c r="AR69" i="11"/>
  <c r="Z69" i="11"/>
  <c r="AW69" i="11"/>
  <c r="AC69" i="11"/>
  <c r="BB69" i="11"/>
  <c r="N68" i="8"/>
  <c r="N73" i="5"/>
  <c r="G54" i="23"/>
  <c r="J55" i="22"/>
  <c r="K55" i="22" s="1"/>
  <c r="N71" i="7"/>
  <c r="BM58" i="11"/>
  <c r="AR58" i="11"/>
  <c r="BB58" i="11"/>
  <c r="P58" i="11"/>
  <c r="H61" i="22"/>
  <c r="F61" i="3"/>
  <c r="H61" i="3"/>
  <c r="N61" i="11"/>
  <c r="I61" i="22"/>
  <c r="X61" i="11"/>
  <c r="Q61" i="11"/>
  <c r="BB61" i="11"/>
  <c r="AC61" i="11"/>
  <c r="AW61" i="11"/>
  <c r="BP61" i="11"/>
  <c r="U69" i="11"/>
  <c r="AI69" i="11"/>
  <c r="Y69" i="11"/>
  <c r="AV69" i="11"/>
  <c r="R69" i="11"/>
  <c r="AY69" i="11"/>
  <c r="N64" i="10"/>
  <c r="H55" i="25"/>
  <c r="G55" i="25"/>
  <c r="F55" i="25"/>
  <c r="K55" i="25"/>
  <c r="C55" i="25"/>
  <c r="B55" i="25"/>
  <c r="L55" i="25"/>
  <c r="I55" i="25"/>
  <c r="E55" i="25"/>
  <c r="D55" i="25"/>
  <c r="H69" i="22"/>
  <c r="F69" i="3"/>
  <c r="H69" i="3"/>
  <c r="N69" i="11"/>
  <c r="I69" i="22"/>
  <c r="BN69" i="11"/>
  <c r="AJ69" i="11"/>
  <c r="BG69" i="11"/>
  <c r="AO69" i="11"/>
  <c r="BJ69" i="11"/>
  <c r="F55" i="23"/>
  <c r="J56" i="3"/>
  <c r="A56" i="25"/>
  <c r="H54" i="23"/>
  <c r="I54" i="23" s="1"/>
  <c r="AK58" i="11"/>
  <c r="Z58" i="11"/>
  <c r="AL58" i="11"/>
  <c r="U58" i="11"/>
  <c r="BE58" i="11"/>
  <c r="BJ58" i="11"/>
  <c r="X58" i="11"/>
  <c r="AG61" i="11"/>
  <c r="Y61" i="11"/>
  <c r="AH61" i="11"/>
  <c r="T61" i="11"/>
  <c r="AL61" i="11"/>
  <c r="BF61" i="11"/>
  <c r="AE61" i="11"/>
  <c r="AG69" i="11"/>
  <c r="BE69" i="11"/>
  <c r="AS69" i="11"/>
  <c r="BF69" i="11"/>
  <c r="AB69" i="11"/>
  <c r="BI69" i="11"/>
  <c r="AE69" i="11"/>
  <c r="N67" i="9"/>
  <c r="J67" i="11"/>
  <c r="J68" i="10"/>
  <c r="J73" i="7"/>
  <c r="J63" i="11"/>
  <c r="J72" i="8"/>
  <c r="J66" i="11"/>
  <c r="J71" i="9"/>
  <c r="J55" i="25" l="1"/>
  <c r="I70" i="22"/>
  <c r="P62" i="11"/>
  <c r="AI62" i="11"/>
  <c r="N74" i="5"/>
  <c r="BC62" i="11"/>
  <c r="J54" i="25"/>
  <c r="T62" i="11"/>
  <c r="AV62" i="11"/>
  <c r="AT70" i="11"/>
  <c r="AN62" i="11"/>
  <c r="M71" i="9"/>
  <c r="F66" i="22"/>
  <c r="M66" i="11"/>
  <c r="BK66" i="11" s="1"/>
  <c r="M72" i="8"/>
  <c r="F63" i="22"/>
  <c r="M63" i="11"/>
  <c r="AW63" i="11" s="1"/>
  <c r="M73" i="7"/>
  <c r="M68" i="10"/>
  <c r="F67" i="22"/>
  <c r="M67" i="11"/>
  <c r="BP67" i="11" s="1"/>
  <c r="N68" i="9"/>
  <c r="AO70" i="11"/>
  <c r="AS70" i="11"/>
  <c r="Y70" i="11"/>
  <c r="T70" i="11"/>
  <c r="H64" i="22"/>
  <c r="H64" i="3"/>
  <c r="F64" i="3"/>
  <c r="N64" i="11"/>
  <c r="BC64" i="11"/>
  <c r="AG64" i="11"/>
  <c r="S64" i="11"/>
  <c r="AM64" i="11"/>
  <c r="BF64" i="11"/>
  <c r="V64" i="11"/>
  <c r="H59" i="25"/>
  <c r="G59" i="25"/>
  <c r="F59" i="25"/>
  <c r="K59" i="25"/>
  <c r="C59" i="25"/>
  <c r="B59" i="25"/>
  <c r="D59" i="25"/>
  <c r="L59" i="25"/>
  <c r="I59" i="25"/>
  <c r="E59" i="25"/>
  <c r="AX70" i="11"/>
  <c r="BA70" i="11"/>
  <c r="BK70" i="11"/>
  <c r="BC70" i="11"/>
  <c r="AK70" i="11"/>
  <c r="S70" i="11"/>
  <c r="AB70" i="11"/>
  <c r="X64" i="11"/>
  <c r="BH64" i="11"/>
  <c r="AY64" i="11"/>
  <c r="AB64" i="11"/>
  <c r="AV64" i="11"/>
  <c r="BO64" i="11"/>
  <c r="AD64" i="11"/>
  <c r="U62" i="11"/>
  <c r="AW62" i="11"/>
  <c r="BF62" i="11"/>
  <c r="Y62" i="11"/>
  <c r="AS62" i="11"/>
  <c r="BL62" i="11"/>
  <c r="AB62" i="11"/>
  <c r="AE70" i="11"/>
  <c r="BF70" i="11"/>
  <c r="N72" i="7"/>
  <c r="G58" i="23"/>
  <c r="H58" i="23" s="1"/>
  <c r="I58" i="23" s="1"/>
  <c r="J59" i="22"/>
  <c r="K59" i="22" s="1"/>
  <c r="F57" i="23"/>
  <c r="J58" i="3"/>
  <c r="A58" i="25"/>
  <c r="BI70" i="11"/>
  <c r="AF70" i="11"/>
  <c r="V70" i="11"/>
  <c r="BM70" i="11"/>
  <c r="AU70" i="11"/>
  <c r="AA70" i="11"/>
  <c r="AJ70" i="11"/>
  <c r="R64" i="11"/>
  <c r="Y64" i="11"/>
  <c r="P64" i="11"/>
  <c r="AK64" i="11"/>
  <c r="BE64" i="11"/>
  <c r="W64" i="11"/>
  <c r="AL64" i="11"/>
  <c r="BN62" i="11"/>
  <c r="BE62" i="11"/>
  <c r="W62" i="11"/>
  <c r="AH62" i="11"/>
  <c r="BB62" i="11"/>
  <c r="S62" i="11"/>
  <c r="AJ62" i="11"/>
  <c r="Q70" i="11"/>
  <c r="BB70" i="11"/>
  <c r="AP70" i="11"/>
  <c r="X70" i="11"/>
  <c r="BE70" i="11"/>
  <c r="AI70" i="11"/>
  <c r="AR70" i="11"/>
  <c r="AA64" i="11"/>
  <c r="AQ64" i="11"/>
  <c r="AH64" i="11"/>
  <c r="AU64" i="11"/>
  <c r="BN64" i="11"/>
  <c r="AF64" i="11"/>
  <c r="AT64" i="11"/>
  <c r="AD62" i="11"/>
  <c r="AF62" i="11"/>
  <c r="AO62" i="11"/>
  <c r="AQ62" i="11"/>
  <c r="BK62" i="11"/>
  <c r="AC62" i="11"/>
  <c r="AR62" i="11"/>
  <c r="L56" i="25"/>
  <c r="D56" i="25"/>
  <c r="K56" i="25"/>
  <c r="C56" i="25"/>
  <c r="B56" i="25"/>
  <c r="G56" i="25"/>
  <c r="F56" i="25"/>
  <c r="E56" i="25"/>
  <c r="I56" i="25"/>
  <c r="H56" i="25"/>
  <c r="I64" i="22"/>
  <c r="AC70" i="11"/>
  <c r="R70" i="11"/>
  <c r="BL70" i="11"/>
  <c r="AH70" i="11"/>
  <c r="P70" i="11"/>
  <c r="AQ70" i="11"/>
  <c r="AZ70" i="11"/>
  <c r="BL64" i="11"/>
  <c r="BI64" i="11"/>
  <c r="AZ64" i="11"/>
  <c r="BD64" i="11"/>
  <c r="U64" i="11"/>
  <c r="AO64" i="11"/>
  <c r="BB64" i="11"/>
  <c r="BO62" i="11"/>
  <c r="AX62" i="11"/>
  <c r="BG62" i="11"/>
  <c r="BA62" i="11"/>
  <c r="R62" i="11"/>
  <c r="AL62" i="11"/>
  <c r="Z70" i="11"/>
  <c r="AY70" i="11"/>
  <c r="AJ64" i="11"/>
  <c r="Z64" i="11"/>
  <c r="Q64" i="11"/>
  <c r="BM64" i="11"/>
  <c r="AE64" i="11"/>
  <c r="AX64" i="11"/>
  <c r="BJ64" i="11"/>
  <c r="H62" i="22"/>
  <c r="F62" i="3"/>
  <c r="H62" i="3"/>
  <c r="N62" i="11"/>
  <c r="I62" i="22"/>
  <c r="AG62" i="11"/>
  <c r="X62" i="11"/>
  <c r="BJ62" i="11"/>
  <c r="AA62" i="11"/>
  <c r="AU62" i="11"/>
  <c r="BH62" i="11"/>
  <c r="H70" i="22"/>
  <c r="F70" i="3"/>
  <c r="H70" i="3"/>
  <c r="N70" i="11"/>
  <c r="I53" i="23"/>
  <c r="AM70" i="11"/>
  <c r="BJ70" i="11"/>
  <c r="W70" i="11"/>
  <c r="BD70" i="11"/>
  <c r="AL70" i="11"/>
  <c r="BG70" i="11"/>
  <c r="BP70" i="11"/>
  <c r="AP64" i="11"/>
  <c r="AR64" i="11"/>
  <c r="AI64" i="11"/>
  <c r="T64" i="11"/>
  <c r="AN64" i="11"/>
  <c r="BG64" i="11"/>
  <c r="AE62" i="11"/>
  <c r="AY62" i="11"/>
  <c r="AP62" i="11"/>
  <c r="Q62" i="11"/>
  <c r="AK62" i="11"/>
  <c r="BD62" i="11"/>
  <c r="BP62" i="11"/>
  <c r="J56" i="22"/>
  <c r="K56" i="22" s="1"/>
  <c r="G55" i="23"/>
  <c r="H55" i="23" s="1"/>
  <c r="F60" i="23"/>
  <c r="J61" i="3"/>
  <c r="A61" i="25"/>
  <c r="AD70" i="11"/>
  <c r="AN70" i="11"/>
  <c r="F68" i="23"/>
  <c r="J69" i="3"/>
  <c r="A69" i="25"/>
  <c r="N67" i="10"/>
  <c r="AW70" i="11"/>
  <c r="U70" i="11"/>
  <c r="AG70" i="11"/>
  <c r="BN70" i="11"/>
  <c r="AV70" i="11"/>
  <c r="BO70" i="11"/>
  <c r="AS64" i="11"/>
  <c r="BK64" i="11"/>
  <c r="BA64" i="11"/>
  <c r="AC64" i="11"/>
  <c r="AW64" i="11"/>
  <c r="BP64" i="11"/>
  <c r="N71" i="8"/>
  <c r="AM62" i="11"/>
  <c r="V62" i="11"/>
  <c r="BI62" i="11"/>
  <c r="Z62" i="11"/>
  <c r="AT62" i="11"/>
  <c r="BM62" i="11"/>
  <c r="J74" i="7"/>
  <c r="J72" i="9"/>
  <c r="J73" i="8"/>
  <c r="J68" i="11"/>
  <c r="J71" i="10"/>
  <c r="J59" i="25" l="1"/>
  <c r="M74" i="7"/>
  <c r="AA67" i="11"/>
  <c r="BG67" i="11"/>
  <c r="AQ67" i="11"/>
  <c r="J56" i="25"/>
  <c r="Q67" i="11"/>
  <c r="BM67" i="11"/>
  <c r="AV67" i="11"/>
  <c r="T67" i="11"/>
  <c r="AY67" i="11"/>
  <c r="AC67" i="11"/>
  <c r="X66" i="11"/>
  <c r="Y66" i="11"/>
  <c r="AG66" i="11"/>
  <c r="I55" i="23"/>
  <c r="AQ66" i="11"/>
  <c r="BF66" i="11"/>
  <c r="Y67" i="11"/>
  <c r="AB66" i="11"/>
  <c r="S67" i="11"/>
  <c r="AU67" i="11"/>
  <c r="BI66" i="11"/>
  <c r="M71" i="10"/>
  <c r="F68" i="22"/>
  <c r="M68" i="11"/>
  <c r="AG68" i="11" s="1"/>
  <c r="M73" i="8"/>
  <c r="M72" i="9"/>
  <c r="AA63" i="11"/>
  <c r="AB63" i="11"/>
  <c r="BO63" i="11"/>
  <c r="AF63" i="11"/>
  <c r="BI63" i="11"/>
  <c r="Y63" i="11"/>
  <c r="H69" i="25"/>
  <c r="G69" i="25"/>
  <c r="F69" i="25"/>
  <c r="K69" i="25"/>
  <c r="C69" i="25"/>
  <c r="I69" i="25"/>
  <c r="B69" i="25"/>
  <c r="L69" i="25"/>
  <c r="E69" i="25"/>
  <c r="D69" i="25"/>
  <c r="V67" i="11"/>
  <c r="AW67" i="11"/>
  <c r="R67" i="11"/>
  <c r="X67" i="11"/>
  <c r="BE67" i="11"/>
  <c r="AB67" i="11"/>
  <c r="AK67" i="11"/>
  <c r="AK63" i="11"/>
  <c r="AJ63" i="11"/>
  <c r="AT63" i="11"/>
  <c r="V63" i="11"/>
  <c r="AP63" i="11"/>
  <c r="P63" i="11"/>
  <c r="AG63" i="11"/>
  <c r="AD66" i="11"/>
  <c r="BA66" i="11"/>
  <c r="BM66" i="11"/>
  <c r="BP66" i="11"/>
  <c r="AL66" i="11"/>
  <c r="W66" i="11"/>
  <c r="AF66" i="11"/>
  <c r="G68" i="23"/>
  <c r="H68" i="23" s="1"/>
  <c r="J69" i="22"/>
  <c r="K69" i="22" s="1"/>
  <c r="BL67" i="11"/>
  <c r="AD67" i="11"/>
  <c r="AN67" i="11"/>
  <c r="AH67" i="11"/>
  <c r="BO67" i="11"/>
  <c r="AJ67" i="11"/>
  <c r="AS67" i="11"/>
  <c r="AS63" i="11"/>
  <c r="T63" i="11"/>
  <c r="BL63" i="11"/>
  <c r="AE63" i="11"/>
  <c r="AY63" i="11"/>
  <c r="Z63" i="11"/>
  <c r="AO63" i="11"/>
  <c r="AI66" i="11"/>
  <c r="AH66" i="11"/>
  <c r="V66" i="11"/>
  <c r="Q66" i="11"/>
  <c r="AX66" i="11"/>
  <c r="AE66" i="11"/>
  <c r="AN66" i="11"/>
  <c r="AE67" i="11"/>
  <c r="AX67" i="11"/>
  <c r="BJ67" i="11"/>
  <c r="AT67" i="11"/>
  <c r="P67" i="11"/>
  <c r="AR67" i="11"/>
  <c r="BA67" i="11"/>
  <c r="BB63" i="11"/>
  <c r="AL63" i="11"/>
  <c r="AC63" i="11"/>
  <c r="AN63" i="11"/>
  <c r="BH63" i="11"/>
  <c r="AI63" i="11"/>
  <c r="AS66" i="11"/>
  <c r="BB66" i="11"/>
  <c r="AR66" i="11"/>
  <c r="AA66" i="11"/>
  <c r="BH66" i="11"/>
  <c r="AM66" i="11"/>
  <c r="AV66" i="11"/>
  <c r="H63" i="22"/>
  <c r="H63" i="3"/>
  <c r="F63" i="3"/>
  <c r="N63" i="11"/>
  <c r="I63" i="22"/>
  <c r="F69" i="23"/>
  <c r="J70" i="3"/>
  <c r="A70" i="25"/>
  <c r="AO67" i="11"/>
  <c r="AF67" i="11"/>
  <c r="W67" i="11"/>
  <c r="BD67" i="11"/>
  <c r="Z67" i="11"/>
  <c r="AZ67" i="11"/>
  <c r="BI67" i="11"/>
  <c r="BC63" i="11"/>
  <c r="BD63" i="11"/>
  <c r="AU63" i="11"/>
  <c r="AX63" i="11"/>
  <c r="X63" i="11"/>
  <c r="AR63" i="11"/>
  <c r="BE63" i="11"/>
  <c r="AZ66" i="11"/>
  <c r="T66" i="11"/>
  <c r="BN66" i="11"/>
  <c r="AK66" i="11"/>
  <c r="S66" i="11"/>
  <c r="AU66" i="11"/>
  <c r="BD66" i="11"/>
  <c r="AP67" i="11"/>
  <c r="BB67" i="11"/>
  <c r="AG67" i="11"/>
  <c r="BN67" i="11"/>
  <c r="AL67" i="11"/>
  <c r="BH67" i="11"/>
  <c r="R63" i="11"/>
  <c r="U63" i="11"/>
  <c r="BN63" i="11"/>
  <c r="BG63" i="11"/>
  <c r="AH63" i="11"/>
  <c r="BA63" i="11"/>
  <c r="BM63" i="11"/>
  <c r="BE66" i="11"/>
  <c r="AP66" i="11"/>
  <c r="Z66" i="11"/>
  <c r="AW66" i="11"/>
  <c r="AC66" i="11"/>
  <c r="BC66" i="11"/>
  <c r="BL66" i="11"/>
  <c r="L58" i="25"/>
  <c r="D58" i="25"/>
  <c r="K58" i="25"/>
  <c r="C58" i="25"/>
  <c r="B58" i="25"/>
  <c r="G58" i="25"/>
  <c r="F58" i="25"/>
  <c r="I58" i="25"/>
  <c r="H58" i="25"/>
  <c r="E58" i="25"/>
  <c r="F63" i="23"/>
  <c r="J64" i="3"/>
  <c r="A64" i="25"/>
  <c r="N68" i="10"/>
  <c r="BK63" i="11"/>
  <c r="AM63" i="11"/>
  <c r="AD63" i="11"/>
  <c r="BP63" i="11"/>
  <c r="AQ63" i="11"/>
  <c r="BJ63" i="11"/>
  <c r="BO66" i="11"/>
  <c r="BJ66" i="11"/>
  <c r="AJ66" i="11"/>
  <c r="BG66" i="11"/>
  <c r="AO66" i="11"/>
  <c r="H61" i="25"/>
  <c r="G61" i="25"/>
  <c r="F61" i="25"/>
  <c r="K61" i="25"/>
  <c r="C61" i="25"/>
  <c r="I61" i="25"/>
  <c r="B61" i="25"/>
  <c r="D61" i="25"/>
  <c r="L61" i="25"/>
  <c r="E61" i="25"/>
  <c r="G60" i="23"/>
  <c r="J61" i="22"/>
  <c r="K61" i="22" s="1"/>
  <c r="F61" i="23"/>
  <c r="J62" i="3"/>
  <c r="A62" i="25"/>
  <c r="G57" i="23"/>
  <c r="J58" i="22"/>
  <c r="K58" i="22" s="1"/>
  <c r="H67" i="22"/>
  <c r="H67" i="3"/>
  <c r="F67" i="3"/>
  <c r="N67" i="11"/>
  <c r="I67" i="22"/>
  <c r="BK67" i="11"/>
  <c r="AM67" i="11"/>
  <c r="BC67" i="11"/>
  <c r="AI67" i="11"/>
  <c r="BF67" i="11"/>
  <c r="U67" i="11"/>
  <c r="N73" i="7"/>
  <c r="S63" i="11"/>
  <c r="BF63" i="11"/>
  <c r="AV63" i="11"/>
  <c r="W63" i="11"/>
  <c r="AZ63" i="11"/>
  <c r="Q63" i="11"/>
  <c r="N72" i="8"/>
  <c r="H66" i="22"/>
  <c r="F66" i="3"/>
  <c r="H66" i="3"/>
  <c r="N66" i="11"/>
  <c r="I66" i="22"/>
  <c r="U66" i="11"/>
  <c r="AT66" i="11"/>
  <c r="R66" i="11"/>
  <c r="AY66" i="11"/>
  <c r="P66" i="11"/>
  <c r="N71" i="9"/>
  <c r="J74" i="8"/>
  <c r="J71" i="11"/>
  <c r="J73" i="9"/>
  <c r="J72" i="10"/>
  <c r="BD68" i="11" l="1"/>
  <c r="AQ68" i="11"/>
  <c r="M74" i="8"/>
  <c r="N74" i="8" s="1"/>
  <c r="AK68" i="11"/>
  <c r="J69" i="25"/>
  <c r="J61" i="25"/>
  <c r="N74" i="7"/>
  <c r="BH68" i="11"/>
  <c r="AS68" i="11"/>
  <c r="AO68" i="11"/>
  <c r="BK68" i="11"/>
  <c r="AA68" i="11"/>
  <c r="AP68" i="11"/>
  <c r="AV68" i="11"/>
  <c r="AX68" i="11"/>
  <c r="AJ68" i="11"/>
  <c r="BI68" i="11"/>
  <c r="AT68" i="11"/>
  <c r="AN68" i="11"/>
  <c r="I68" i="23"/>
  <c r="W68" i="11"/>
  <c r="AD68" i="11"/>
  <c r="Z68" i="11"/>
  <c r="J58" i="25"/>
  <c r="V68" i="11"/>
  <c r="BP68" i="11"/>
  <c r="AI68" i="11"/>
  <c r="Q68" i="11"/>
  <c r="AL68" i="11"/>
  <c r="BC68" i="11"/>
  <c r="M72" i="10"/>
  <c r="M73" i="9"/>
  <c r="F71" i="22"/>
  <c r="M71" i="11"/>
  <c r="Q71" i="11" s="1"/>
  <c r="G69" i="23"/>
  <c r="J70" i="22"/>
  <c r="K70" i="22" s="1"/>
  <c r="J64" i="22"/>
  <c r="K64" i="22" s="1"/>
  <c r="G63" i="23"/>
  <c r="H63" i="23" s="1"/>
  <c r="I63" i="23" s="1"/>
  <c r="H68" i="22"/>
  <c r="H68" i="3"/>
  <c r="F68" i="3"/>
  <c r="N68" i="11"/>
  <c r="I68" i="22"/>
  <c r="T68" i="11"/>
  <c r="BA68" i="11"/>
  <c r="Y68" i="11"/>
  <c r="AH68" i="11"/>
  <c r="F65" i="23"/>
  <c r="J66" i="3"/>
  <c r="A66" i="25"/>
  <c r="L62" i="25"/>
  <c r="D62" i="25"/>
  <c r="K62" i="25"/>
  <c r="C62" i="25"/>
  <c r="B62" i="25"/>
  <c r="G62" i="25"/>
  <c r="F62" i="25"/>
  <c r="I62" i="25"/>
  <c r="H62" i="25"/>
  <c r="E62" i="25"/>
  <c r="F62" i="23"/>
  <c r="J63" i="3"/>
  <c r="A63" i="25"/>
  <c r="H57" i="23"/>
  <c r="I57" i="23" s="1"/>
  <c r="H60" i="23"/>
  <c r="I60" i="23" s="1"/>
  <c r="BG68" i="11"/>
  <c r="BO68" i="11"/>
  <c r="S68" i="11"/>
  <c r="AZ68" i="11"/>
  <c r="AF68" i="11"/>
  <c r="AW68" i="11"/>
  <c r="BF68" i="11"/>
  <c r="AC68" i="11"/>
  <c r="BJ68" i="11"/>
  <c r="AR68" i="11"/>
  <c r="BE68" i="11"/>
  <c r="BN68" i="11"/>
  <c r="L64" i="25"/>
  <c r="D64" i="25"/>
  <c r="K64" i="25"/>
  <c r="C64" i="25"/>
  <c r="B64" i="25"/>
  <c r="G64" i="25"/>
  <c r="F64" i="25"/>
  <c r="E64" i="25"/>
  <c r="I64" i="25"/>
  <c r="H64" i="25"/>
  <c r="J62" i="22"/>
  <c r="K62" i="22" s="1"/>
  <c r="G61" i="23"/>
  <c r="H61" i="23" s="1"/>
  <c r="I61" i="23" s="1"/>
  <c r="N72" i="9"/>
  <c r="X68" i="11"/>
  <c r="AU68" i="11"/>
  <c r="AM68" i="11"/>
  <c r="U68" i="11"/>
  <c r="BB68" i="11"/>
  <c r="BM68" i="11"/>
  <c r="F66" i="23"/>
  <c r="J67" i="3"/>
  <c r="A67" i="25"/>
  <c r="L70" i="25"/>
  <c r="D70" i="25"/>
  <c r="K70" i="25"/>
  <c r="C70" i="25"/>
  <c r="B70" i="25"/>
  <c r="G70" i="25"/>
  <c r="F70" i="25"/>
  <c r="I70" i="25"/>
  <c r="H70" i="25"/>
  <c r="E70" i="25"/>
  <c r="N73" i="8"/>
  <c r="P68" i="11"/>
  <c r="AB68" i="11"/>
  <c r="AY68" i="11"/>
  <c r="AE68" i="11"/>
  <c r="BL68" i="11"/>
  <c r="R68" i="11"/>
  <c r="N71" i="10"/>
  <c r="J74" i="9"/>
  <c r="J72" i="11"/>
  <c r="J73" i="10"/>
  <c r="J62" i="25" l="1"/>
  <c r="BP71" i="11"/>
  <c r="J64" i="25"/>
  <c r="AP71" i="11"/>
  <c r="M74" i="9"/>
  <c r="U71" i="11"/>
  <c r="BL71" i="11"/>
  <c r="J70" i="25"/>
  <c r="AM71" i="11"/>
  <c r="AG71" i="11"/>
  <c r="V71" i="11"/>
  <c r="H69" i="23"/>
  <c r="I69" i="23" s="1"/>
  <c r="AT71" i="11"/>
  <c r="BB71" i="11"/>
  <c r="Z71" i="11"/>
  <c r="BC71" i="11"/>
  <c r="AB71" i="11"/>
  <c r="X71" i="11"/>
  <c r="M73" i="10"/>
  <c r="N73" i="10" s="1"/>
  <c r="F72" i="22"/>
  <c r="M72" i="11"/>
  <c r="AT72" i="11" s="1"/>
  <c r="L66" i="25"/>
  <c r="D66" i="25"/>
  <c r="K66" i="25"/>
  <c r="C66" i="25"/>
  <c r="B66" i="25"/>
  <c r="G66" i="25"/>
  <c r="F66" i="25"/>
  <c r="I66" i="25"/>
  <c r="H66" i="25"/>
  <c r="E66" i="25"/>
  <c r="AC71" i="11"/>
  <c r="BF71" i="11"/>
  <c r="AY71" i="11"/>
  <c r="AE71" i="11"/>
  <c r="BN71" i="11"/>
  <c r="AF71" i="11"/>
  <c r="AO71" i="11"/>
  <c r="G65" i="23"/>
  <c r="H65" i="23" s="1"/>
  <c r="I65" i="23" s="1"/>
  <c r="J66" i="22"/>
  <c r="K66" i="22" s="1"/>
  <c r="AU71" i="11"/>
  <c r="AJ71" i="11"/>
  <c r="BI71" i="11"/>
  <c r="AQ71" i="11"/>
  <c r="W71" i="11"/>
  <c r="AN71" i="11"/>
  <c r="AW71" i="11"/>
  <c r="H63" i="25"/>
  <c r="G63" i="25"/>
  <c r="F63" i="25"/>
  <c r="K63" i="25"/>
  <c r="C63" i="25"/>
  <c r="B63" i="25"/>
  <c r="E63" i="25"/>
  <c r="D63" i="25"/>
  <c r="I63" i="25"/>
  <c r="L63" i="25"/>
  <c r="BG71" i="11"/>
  <c r="BH71" i="11"/>
  <c r="T71" i="11"/>
  <c r="BA71" i="11"/>
  <c r="AI71" i="11"/>
  <c r="AV71" i="11"/>
  <c r="BE71" i="11"/>
  <c r="H67" i="25"/>
  <c r="G67" i="25"/>
  <c r="F67" i="25"/>
  <c r="K67" i="25"/>
  <c r="C67" i="25"/>
  <c r="B67" i="25"/>
  <c r="I67" i="25"/>
  <c r="E67" i="25"/>
  <c r="D67" i="25"/>
  <c r="L67" i="25"/>
  <c r="G66" i="23"/>
  <c r="H66" i="23" s="1"/>
  <c r="I66" i="23" s="1"/>
  <c r="J67" i="22"/>
  <c r="K67" i="22" s="1"/>
  <c r="G62" i="23"/>
  <c r="H62" i="23" s="1"/>
  <c r="I62" i="23" s="1"/>
  <c r="J63" i="22"/>
  <c r="K63" i="22" s="1"/>
  <c r="F67" i="23"/>
  <c r="J68" i="3"/>
  <c r="A68" i="25"/>
  <c r="S71" i="11"/>
  <c r="AK71" i="11"/>
  <c r="AD71" i="11"/>
  <c r="BK71" i="11"/>
  <c r="AS71" i="11"/>
  <c r="BD71" i="11"/>
  <c r="BM71" i="11"/>
  <c r="AA71" i="11"/>
  <c r="R71" i="11"/>
  <c r="AZ71" i="11"/>
  <c r="AH71" i="11"/>
  <c r="BO71" i="11"/>
  <c r="N73" i="9"/>
  <c r="H71" i="22"/>
  <c r="H71" i="3"/>
  <c r="F71" i="3"/>
  <c r="N71" i="11"/>
  <c r="I71" i="22"/>
  <c r="AX71" i="11"/>
  <c r="AL71" i="11"/>
  <c r="BJ71" i="11"/>
  <c r="AR71" i="11"/>
  <c r="P71" i="11"/>
  <c r="Y71" i="11"/>
  <c r="N72" i="10"/>
  <c r="J74" i="10"/>
  <c r="J73" i="11"/>
  <c r="M74" i="10" l="1"/>
  <c r="J63" i="25"/>
  <c r="N74" i="9"/>
  <c r="J67" i="25"/>
  <c r="J66" i="25"/>
  <c r="F73" i="22"/>
  <c r="M73" i="11"/>
  <c r="AI73" i="11" s="1"/>
  <c r="BB73" i="11"/>
  <c r="BF72" i="11"/>
  <c r="AZ72" i="11"/>
  <c r="BK72" i="11"/>
  <c r="BC72" i="11"/>
  <c r="AG72" i="11"/>
  <c r="X72" i="11"/>
  <c r="BG72" i="11"/>
  <c r="AD72" i="11"/>
  <c r="AW72" i="11"/>
  <c r="F70" i="23"/>
  <c r="J71" i="3"/>
  <c r="A71" i="25"/>
  <c r="AN72" i="11"/>
  <c r="AB72" i="11"/>
  <c r="BN72" i="11"/>
  <c r="AR72" i="11"/>
  <c r="AI72" i="11"/>
  <c r="U72" i="11"/>
  <c r="AL72" i="11"/>
  <c r="AO72" i="11"/>
  <c r="BL72" i="11"/>
  <c r="S72" i="11"/>
  <c r="BE72" i="11"/>
  <c r="AV72" i="11"/>
  <c r="AC72" i="11"/>
  <c r="H72" i="22"/>
  <c r="H72" i="3"/>
  <c r="F72" i="3"/>
  <c r="N72" i="11"/>
  <c r="I72" i="22"/>
  <c r="Z72" i="11"/>
  <c r="AP72" i="11"/>
  <c r="T72" i="11"/>
  <c r="V72" i="11"/>
  <c r="Y72" i="11"/>
  <c r="AJ72" i="11"/>
  <c r="AF72" i="11"/>
  <c r="BP72" i="11"/>
  <c r="BH72" i="11"/>
  <c r="AK72" i="11"/>
  <c r="BB72" i="11"/>
  <c r="L68" i="25"/>
  <c r="D68" i="25"/>
  <c r="K68" i="25"/>
  <c r="C68" i="25"/>
  <c r="B68" i="25"/>
  <c r="G68" i="25"/>
  <c r="F68" i="25"/>
  <c r="E68" i="25"/>
  <c r="I68" i="25"/>
  <c r="H68" i="25"/>
  <c r="AX72" i="11"/>
  <c r="BM72" i="11"/>
  <c r="AQ72" i="11"/>
  <c r="W72" i="11"/>
  <c r="Q72" i="11"/>
  <c r="AS72" i="11"/>
  <c r="BJ72" i="11"/>
  <c r="J68" i="22"/>
  <c r="K68" i="22" s="1"/>
  <c r="G67" i="23"/>
  <c r="H67" i="23" s="1"/>
  <c r="I67" i="23" s="1"/>
  <c r="P72" i="11"/>
  <c r="R72" i="11"/>
  <c r="BD72" i="11"/>
  <c r="AH72" i="11"/>
  <c r="AA72" i="11"/>
  <c r="BA72" i="11"/>
  <c r="AY72" i="11"/>
  <c r="AE72" i="11"/>
  <c r="BO72" i="11"/>
  <c r="AU72" i="11"/>
  <c r="AM72" i="11"/>
  <c r="BI72" i="11"/>
  <c r="J74" i="11"/>
  <c r="T73" i="11" l="1"/>
  <c r="J68" i="25"/>
  <c r="M74" i="11"/>
  <c r="X74" i="11" s="1"/>
  <c r="X73" i="11"/>
  <c r="BP73" i="11"/>
  <c r="N74" i="10"/>
  <c r="BI73" i="11"/>
  <c r="AF73" i="11"/>
  <c r="AU73" i="11"/>
  <c r="AO73" i="11"/>
  <c r="U73" i="11"/>
  <c r="BM73" i="11"/>
  <c r="BJ73" i="11"/>
  <c r="S73" i="11"/>
  <c r="AW73" i="11"/>
  <c r="AD73" i="11"/>
  <c r="Q73" i="11"/>
  <c r="V73" i="11"/>
  <c r="Y73" i="11"/>
  <c r="BA73" i="11"/>
  <c r="R73" i="11"/>
  <c r="AA73" i="11"/>
  <c r="AT73" i="11"/>
  <c r="BE73" i="11"/>
  <c r="AK73" i="11"/>
  <c r="AM73" i="11"/>
  <c r="BK73" i="11"/>
  <c r="Z73" i="11"/>
  <c r="H73" i="22"/>
  <c r="H73" i="3"/>
  <c r="F73" i="3"/>
  <c r="N73" i="11"/>
  <c r="I73" i="22"/>
  <c r="AH73" i="11"/>
  <c r="AQ73" i="11"/>
  <c r="AC73" i="11"/>
  <c r="BH73" i="11"/>
  <c r="BL73" i="11"/>
  <c r="AB73" i="11"/>
  <c r="W73" i="11"/>
  <c r="AP73" i="11"/>
  <c r="AY73" i="11"/>
  <c r="H71" i="25"/>
  <c r="G71" i="25"/>
  <c r="F71" i="25"/>
  <c r="K71" i="25"/>
  <c r="C71" i="25"/>
  <c r="B71" i="25"/>
  <c r="L71" i="25"/>
  <c r="I71" i="25"/>
  <c r="E71" i="25"/>
  <c r="D71" i="25"/>
  <c r="AN73" i="11"/>
  <c r="AG73" i="11"/>
  <c r="AX73" i="11"/>
  <c r="BG73" i="11"/>
  <c r="G70" i="23"/>
  <c r="H70" i="23" s="1"/>
  <c r="I70" i="23" s="1"/>
  <c r="J71" i="22"/>
  <c r="K71" i="22" s="1"/>
  <c r="AR73" i="11"/>
  <c r="AJ73" i="11"/>
  <c r="AL73" i="11"/>
  <c r="BD73" i="11"/>
  <c r="AS73" i="11"/>
  <c r="BF73" i="11"/>
  <c r="BO73" i="11"/>
  <c r="F71" i="23"/>
  <c r="J72" i="3"/>
  <c r="A72" i="25"/>
  <c r="P73" i="11"/>
  <c r="AV73" i="11"/>
  <c r="AZ73" i="11"/>
  <c r="AE73" i="11"/>
  <c r="BC73" i="11"/>
  <c r="BN73" i="11"/>
  <c r="BI74" i="11" l="1"/>
  <c r="BL74" i="11"/>
  <c r="BK74" i="11"/>
  <c r="AY74" i="11"/>
  <c r="P74" i="11"/>
  <c r="BD74" i="11"/>
  <c r="AH74" i="11"/>
  <c r="BJ74" i="11"/>
  <c r="AA74" i="11"/>
  <c r="AN74" i="11"/>
  <c r="H74" i="3"/>
  <c r="BG74" i="11"/>
  <c r="AP74" i="11"/>
  <c r="AS74" i="11"/>
  <c r="AU74" i="11"/>
  <c r="AF74" i="11"/>
  <c r="AD74" i="11"/>
  <c r="R74" i="11"/>
  <c r="U74" i="11"/>
  <c r="BC74" i="11"/>
  <c r="AZ74" i="11"/>
  <c r="AV74" i="11"/>
  <c r="F74" i="3"/>
  <c r="J74" i="3" s="1"/>
  <c r="T74" i="11"/>
  <c r="AQ74" i="11"/>
  <c r="AW74" i="11"/>
  <c r="AJ74" i="11"/>
  <c r="AI74" i="11"/>
  <c r="BN74" i="11"/>
  <c r="S74" i="11"/>
  <c r="BB74" i="11"/>
  <c r="J71" i="25"/>
  <c r="AG74" i="11"/>
  <c r="AT74" i="11"/>
  <c r="Z74" i="11"/>
  <c r="AO74" i="11"/>
  <c r="Q74" i="11"/>
  <c r="BP74" i="11"/>
  <c r="BM74" i="11"/>
  <c r="BO74" i="11"/>
  <c r="AR74" i="11"/>
  <c r="BF74" i="11"/>
  <c r="BH74" i="11"/>
  <c r="V74" i="11"/>
  <c r="BA74" i="11"/>
  <c r="AC74" i="11"/>
  <c r="AL74" i="11"/>
  <c r="AX74" i="11"/>
  <c r="AM74" i="11"/>
  <c r="Y74" i="11"/>
  <c r="AK74" i="11"/>
  <c r="BE74" i="11"/>
  <c r="AB74" i="11"/>
  <c r="W74" i="11"/>
  <c r="AE74" i="11"/>
  <c r="N74" i="11"/>
  <c r="F72" i="23"/>
  <c r="J73" i="3"/>
  <c r="D5" i="13"/>
  <c r="E5" i="13" s="1"/>
  <c r="A73" i="25"/>
  <c r="L72" i="25"/>
  <c r="D72" i="25"/>
  <c r="K72" i="25"/>
  <c r="C72" i="25"/>
  <c r="B72" i="25"/>
  <c r="G72" i="25"/>
  <c r="F72" i="25"/>
  <c r="E72" i="25"/>
  <c r="I72" i="25"/>
  <c r="H72" i="25"/>
  <c r="J72" i="22"/>
  <c r="K72" i="22" s="1"/>
  <c r="G71" i="23"/>
  <c r="H71" i="23" s="1"/>
  <c r="I71" i="23" s="1"/>
  <c r="J72" i="25" l="1"/>
  <c r="H73" i="25"/>
  <c r="G73" i="25"/>
  <c r="F73" i="25"/>
  <c r="K73" i="25"/>
  <c r="C73" i="25"/>
  <c r="I73" i="25"/>
  <c r="B73" i="25"/>
  <c r="L73" i="25"/>
  <c r="E73" i="25"/>
  <c r="D73" i="25"/>
  <c r="I12" i="24"/>
  <c r="J12" i="24" s="1"/>
  <c r="I7" i="24"/>
  <c r="J7" i="24" s="1"/>
  <c r="I8" i="24"/>
  <c r="J8" i="24" s="1"/>
  <c r="I5" i="24"/>
  <c r="J5" i="24" s="1"/>
  <c r="I9" i="24"/>
  <c r="J9" i="24" s="1"/>
  <c r="I11" i="24"/>
  <c r="J11" i="24" s="1"/>
  <c r="I6" i="24"/>
  <c r="J6" i="24" s="1"/>
  <c r="I10" i="24"/>
  <c r="J10" i="24" s="1"/>
  <c r="E9" i="13"/>
  <c r="E14" i="13"/>
  <c r="E16" i="13"/>
  <c r="E13" i="13"/>
  <c r="E10" i="13"/>
  <c r="E12" i="13"/>
  <c r="E11" i="13"/>
  <c r="E15" i="13"/>
  <c r="J73" i="22"/>
  <c r="K73" i="22" s="1"/>
  <c r="G72" i="23"/>
  <c r="H72" i="23" s="1"/>
  <c r="J73" i="25" l="1"/>
  <c r="I72" i="23"/>
  <c r="D50" i="13" s="1"/>
  <c r="E50" i="13" s="1"/>
  <c r="G6" i="24"/>
  <c r="H6" i="24" s="1"/>
  <c r="F10" i="13"/>
  <c r="G12" i="24"/>
  <c r="H12" i="24" s="1"/>
  <c r="F16" i="13"/>
  <c r="G10" i="24"/>
  <c r="H10" i="24" s="1"/>
  <c r="F14" i="13"/>
  <c r="G5" i="24"/>
  <c r="H5" i="24" s="1"/>
  <c r="F9" i="13"/>
  <c r="G9" i="24"/>
  <c r="H9" i="24" s="1"/>
  <c r="F13" i="13"/>
  <c r="G11" i="24"/>
  <c r="H11" i="24" s="1"/>
  <c r="F15" i="13"/>
  <c r="G7" i="24"/>
  <c r="H7" i="24" s="1"/>
  <c r="F11" i="13"/>
  <c r="G8" i="24"/>
  <c r="H8" i="24" s="1"/>
  <c r="F12" i="13"/>
  <c r="H52" i="13" l="1"/>
  <c r="D52" i="13"/>
  <c r="E52" i="13" s="1"/>
  <c r="H51" i="13"/>
  <c r="D51" i="13"/>
  <c r="E51" i="13" s="1"/>
  <c r="H50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J3" authorId="0" shapeId="0" xr:uid="{00000000-0006-0000-0200-000001000000}">
      <text>
        <r>
          <rPr>
            <sz val="11"/>
            <color theme="1"/>
            <rFont val="Calibri"/>
            <family val="2"/>
            <charset val="1"/>
          </rPr>
          <t>AUTO: QC End Date + 30 days buffer.
OVERRIDE: Type any date directly in this cell to set customer due date manually.
Blank cells use the auto formula. Typed dates override it.</t>
        </r>
      </text>
    </comment>
  </commentList>
</comments>
</file>

<file path=xl/sharedStrings.xml><?xml version="1.0" encoding="utf-8"?>
<sst xmlns="http://schemas.openxmlformats.org/spreadsheetml/2006/main" count="1884" uniqueCount="441">
  <si>
    <t>Global Start</t>
  </si>
  <si>
    <t>← Type to override auto date</t>
  </si>
  <si>
    <t>Job ID</t>
  </si>
  <si>
    <t>Size</t>
  </si>
  <si>
    <t>Type</t>
  </si>
  <si>
    <t>No of Parts</t>
  </si>
  <si>
    <t>Overall Start</t>
  </si>
  <si>
    <t>Overall End</t>
  </si>
  <si>
    <t>Priority</t>
  </si>
  <si>
    <t>End Month</t>
  </si>
  <si>
    <t>Status</t>
  </si>
  <si>
    <t>Due Date</t>
  </si>
  <si>
    <t>Customer</t>
  </si>
  <si>
    <t>BJ-104</t>
  </si>
  <si>
    <t>2P</t>
  </si>
  <si>
    <t>Medium</t>
  </si>
  <si>
    <t>Released</t>
  </si>
  <si>
    <t>Alpha Corp</t>
  </si>
  <si>
    <t>BJ-101</t>
  </si>
  <si>
    <t>SOL</t>
  </si>
  <si>
    <t>On Hold</t>
  </si>
  <si>
    <t>Beta Ltd</t>
  </si>
  <si>
    <t>BJ-105</t>
  </si>
  <si>
    <t>RW</t>
  </si>
  <si>
    <t>BJ-100</t>
  </si>
  <si>
    <t>SEG</t>
  </si>
  <si>
    <t>Low</t>
  </si>
  <si>
    <t>Gamma Inc</t>
  </si>
  <si>
    <t>BJ-102</t>
  </si>
  <si>
    <t>Cancelled</t>
  </si>
  <si>
    <t>BJ-103</t>
  </si>
  <si>
    <t>Delta Co</t>
  </si>
  <si>
    <t>BJ-108</t>
  </si>
  <si>
    <t>High</t>
  </si>
  <si>
    <t>BJ-106</t>
  </si>
  <si>
    <t>BJ-109</t>
  </si>
  <si>
    <t>BJ-110</t>
  </si>
  <si>
    <t>BJ-111</t>
  </si>
  <si>
    <t>BJ-107</t>
  </si>
  <si>
    <t>BJ-112</t>
  </si>
  <si>
    <t>BJ-114</t>
  </si>
  <si>
    <t>BJ-115</t>
  </si>
  <si>
    <t>BJ-116</t>
  </si>
  <si>
    <t>BJ-118</t>
  </si>
  <si>
    <t>BJ-119</t>
  </si>
  <si>
    <t>BJ-120</t>
  </si>
  <si>
    <t>BJ-113</t>
  </si>
  <si>
    <t>BJ-121</t>
  </si>
  <si>
    <t>BJ-123</t>
  </si>
  <si>
    <t>BJ-117</t>
  </si>
  <si>
    <t>BJ-122</t>
  </si>
  <si>
    <t>BJ-124</t>
  </si>
  <si>
    <t>BJ-126</t>
  </si>
  <si>
    <t>BJ-127</t>
  </si>
  <si>
    <t>BJ-128</t>
  </si>
  <si>
    <t>BJ-125</t>
  </si>
  <si>
    <t>BJ-129</t>
  </si>
  <si>
    <t>BJ-130</t>
  </si>
  <si>
    <t>BJ-133</t>
  </si>
  <si>
    <t>BJ-131</t>
  </si>
  <si>
    <t>BJ-134</t>
  </si>
  <si>
    <t>BJ-135</t>
  </si>
  <si>
    <t>BJ-132</t>
  </si>
  <si>
    <t>BJ-136</t>
  </si>
  <si>
    <t>BJ-137</t>
  </si>
  <si>
    <t>BJ-140</t>
  </si>
  <si>
    <t>BJ-138</t>
  </si>
  <si>
    <t>BJ-144</t>
  </si>
  <si>
    <t>BJ-146</t>
  </si>
  <si>
    <t>BJ-139</t>
  </si>
  <si>
    <t>BJ-141</t>
  </si>
  <si>
    <t>BJ-142</t>
  </si>
  <si>
    <t>BJ-147</t>
  </si>
  <si>
    <t>BJ-150</t>
  </si>
  <si>
    <t>BJ-151</t>
  </si>
  <si>
    <t>BJ-152</t>
  </si>
  <si>
    <t>BJ-143</t>
  </si>
  <si>
    <t>BJ-154</t>
  </si>
  <si>
    <t>BJ-156</t>
  </si>
  <si>
    <t>BJ-145</t>
  </si>
  <si>
    <t>BJ-153</t>
  </si>
  <si>
    <t>BJ-160</t>
  </si>
  <si>
    <t>BJ-158</t>
  </si>
  <si>
    <t>BJ-157</t>
  </si>
  <si>
    <t>BJ-159</t>
  </si>
  <si>
    <t>BJ-148</t>
  </si>
  <si>
    <t>BJ-161</t>
  </si>
  <si>
    <t>BJ-149</t>
  </si>
  <si>
    <t>BJ-163</t>
  </si>
  <si>
    <t>BJ-164</t>
  </si>
  <si>
    <t>BJ-168</t>
  </si>
  <si>
    <t>BJ-155</t>
  </si>
  <si>
    <t>BJ-167</t>
  </si>
  <si>
    <t>BJ-166</t>
  </si>
  <si>
    <t>BJ-162</t>
  </si>
  <si>
    <t>BJ-165</t>
  </si>
  <si>
    <t>BJ-169</t>
  </si>
  <si>
    <t>Lunch/Tea Break hrs</t>
  </si>
  <si>
    <t>Shift</t>
  </si>
  <si>
    <t>Category</t>
  </si>
  <si>
    <t>Start</t>
  </si>
  <si>
    <t>End</t>
  </si>
  <si>
    <t>String</t>
  </si>
  <si>
    <t>Gen Qty</t>
  </si>
  <si>
    <t>Cont Qty</t>
  </si>
  <si>
    <t>Net Hrs</t>
  </si>
  <si>
    <t>Avl hrs</t>
  </si>
  <si>
    <t>Shift A</t>
  </si>
  <si>
    <t>07:00 – 15:00</t>
  </si>
  <si>
    <t>Gen</t>
  </si>
  <si>
    <t>Shift B</t>
  </si>
  <si>
    <t>15:00 – 23:00</t>
  </si>
  <si>
    <t>Cont</t>
  </si>
  <si>
    <t>Shift C</t>
  </si>
  <si>
    <t>23:00 – 07:00</t>
  </si>
  <si>
    <t>Shift S1</t>
  </si>
  <si>
    <t>08:00 – 20:00</t>
  </si>
  <si>
    <t>Shift S2</t>
  </si>
  <si>
    <t>20:00 – 08:00</t>
  </si>
  <si>
    <t>RW2</t>
  </si>
  <si>
    <t>FLAP</t>
  </si>
  <si>
    <t>TUBE</t>
  </si>
  <si>
    <t>Operation</t>
  </si>
  <si>
    <t>Machine ID</t>
  </si>
  <si>
    <t>Next PM Date</t>
  </si>
  <si>
    <t>Dur</t>
  </si>
  <si>
    <t>Freq</t>
  </si>
  <si>
    <t>Worker Category</t>
  </si>
  <si>
    <t>Machine Min ID Limit</t>
  </si>
  <si>
    <t>Machine Max OD Limit (New)</t>
  </si>
  <si>
    <t>Compatible Size Range</t>
  </si>
  <si>
    <t>VTL</t>
  </si>
  <si>
    <t>VTL-MC-01</t>
  </si>
  <si>
    <t>Active</t>
  </si>
  <si>
    <t>General Workman</t>
  </si>
  <si>
    <t>VTL-MC-02</t>
  </si>
  <si>
    <t>VTL-MC-03</t>
  </si>
  <si>
    <t>VTL-MC-04</t>
  </si>
  <si>
    <t>SPM</t>
  </si>
  <si>
    <t>SPM-MC-01</t>
  </si>
  <si>
    <t>SPM-MC-02</t>
  </si>
  <si>
    <t>SPM-MC-03</t>
  </si>
  <si>
    <t>SPM-MC-04</t>
  </si>
  <si>
    <t>SPM-MC-05</t>
  </si>
  <si>
    <t>SPM-MC-06</t>
  </si>
  <si>
    <t>CARVING</t>
  </si>
  <si>
    <t>CARVING-MC-01</t>
  </si>
  <si>
    <t>CARVING-MC-02</t>
  </si>
  <si>
    <t>CARVING-MC-03</t>
  </si>
  <si>
    <t>CARVING-MC-04</t>
  </si>
  <si>
    <t>CARVING-MC-05</t>
  </si>
  <si>
    <t>CARVING-MC-06</t>
  </si>
  <si>
    <t>EDM</t>
  </si>
  <si>
    <t>EDM-MC-01</t>
  </si>
  <si>
    <t>EDM-MC-02</t>
  </si>
  <si>
    <t>EDM-MC-03</t>
  </si>
  <si>
    <t>EDM-MC-04</t>
  </si>
  <si>
    <t>EDM-MC-05</t>
  </si>
  <si>
    <t>EDM-MC-06</t>
  </si>
  <si>
    <t>EDM-MC-07</t>
  </si>
  <si>
    <t>EDM-MC-08</t>
  </si>
  <si>
    <t>EDM-MC-09</t>
  </si>
  <si>
    <t>EDM-MC-10</t>
  </si>
  <si>
    <t>EDM-MC-11</t>
  </si>
  <si>
    <t>EDM-MC-12</t>
  </si>
  <si>
    <t>EDM-MC-13</t>
  </si>
  <si>
    <t>EDM-MC-14</t>
  </si>
  <si>
    <t>EDM-MC-15</t>
  </si>
  <si>
    <t>EDM-MC-16</t>
  </si>
  <si>
    <t>EDM-MC-17</t>
  </si>
  <si>
    <t>EDM-MC-18</t>
  </si>
  <si>
    <t>EDM-MC-19</t>
  </si>
  <si>
    <t>EDM-MC-20</t>
  </si>
  <si>
    <t>EDM-MC-21</t>
  </si>
  <si>
    <t>EDM-MC-22</t>
  </si>
  <si>
    <t>EDM-MC-23</t>
  </si>
  <si>
    <t>EDM-MC-24</t>
  </si>
  <si>
    <t>EDM-MC-25</t>
  </si>
  <si>
    <t>EDM-MC-26</t>
  </si>
  <si>
    <t>EDM-MC-27</t>
  </si>
  <si>
    <t>EDM-MC-28</t>
  </si>
  <si>
    <t>EDM-MC-29</t>
  </si>
  <si>
    <t>EDM-MC-30</t>
  </si>
  <si>
    <t>ENG</t>
  </si>
  <si>
    <t>ENG-MC-01</t>
  </si>
  <si>
    <t>ENG-MC-02</t>
  </si>
  <si>
    <t>ENG-MC-03</t>
  </si>
  <si>
    <t>ENG-MC-04</t>
  </si>
  <si>
    <t>ENG-MC-05</t>
  </si>
  <si>
    <t>ENG-MC-06</t>
  </si>
  <si>
    <t>ENG-MC-07</t>
  </si>
  <si>
    <t>ENG-MC-08</t>
  </si>
  <si>
    <t>ENG-MC-09</t>
  </si>
  <si>
    <t>ENG-MC-10</t>
  </si>
  <si>
    <t>ENG-MC-11</t>
  </si>
  <si>
    <t>ENG-MC-12</t>
  </si>
  <si>
    <t>ENG-MC-13</t>
  </si>
  <si>
    <t>ENG-MC-14</t>
  </si>
  <si>
    <t>VENT</t>
  </si>
  <si>
    <t>VENT-MC-01</t>
  </si>
  <si>
    <t>Contract Workman</t>
  </si>
  <si>
    <t>VENT-MC-02</t>
  </si>
  <si>
    <t>VENT-MC-03</t>
  </si>
  <si>
    <t>VENT-MC-04</t>
  </si>
  <si>
    <t>VENT-MC-05</t>
  </si>
  <si>
    <t>VENT-MC-06</t>
  </si>
  <si>
    <t>VENT-MC-07</t>
  </si>
  <si>
    <t>VENT-MC-08</t>
  </si>
  <si>
    <t>FID</t>
  </si>
  <si>
    <t>FID-MC-01</t>
  </si>
  <si>
    <t>FID-MC-02</t>
  </si>
  <si>
    <t>FID-MC-03</t>
  </si>
  <si>
    <t>FID-MC-04</t>
  </si>
  <si>
    <t>FID-MC-05</t>
  </si>
  <si>
    <t>FID-MC-06</t>
  </si>
  <si>
    <t>FID-MC-07</t>
  </si>
  <si>
    <t>FID-MC-08</t>
  </si>
  <si>
    <t>FID-MC-09</t>
  </si>
  <si>
    <t>FID-MC-10</t>
  </si>
  <si>
    <t>QC</t>
  </si>
  <si>
    <t>QC-MC-01</t>
  </si>
  <si>
    <t>QC-MC-02</t>
  </si>
  <si>
    <t>QC-MC-03</t>
  </si>
  <si>
    <t>QC-MC-04</t>
  </si>
  <si>
    <t>QC-MC-05</t>
  </si>
  <si>
    <t>VTL — Monthly Load vs Capacity</t>
  </si>
  <si>
    <t>Apr-2026</t>
  </si>
  <si>
    <t>May-2026</t>
  </si>
  <si>
    <t>Jun-2026</t>
  </si>
  <si>
    <t>Jul-2026</t>
  </si>
  <si>
    <t>Aug-2026</t>
  </si>
  <si>
    <t>Sep-2026</t>
  </si>
  <si>
    <t>Oct-2026</t>
  </si>
  <si>
    <t>Nov-2026</t>
  </si>
  <si>
    <t>Dec-2026</t>
  </si>
  <si>
    <t>Jan-2027</t>
  </si>
  <si>
    <t>Parts</t>
  </si>
  <si>
    <t>Allocated Machine</t>
  </si>
  <si>
    <t>Worker</t>
  </si>
  <si>
    <t>PM Date</t>
  </si>
  <si>
    <t>PM Hrs</t>
  </si>
  <si>
    <t>Override</t>
  </si>
  <si>
    <t>Start Date</t>
  </si>
  <si>
    <t>Unit CT</t>
  </si>
  <si>
    <t>Total Load</t>
  </si>
  <si>
    <t>End Date</t>
  </si>
  <si>
    <t>Shift | Time</t>
  </si>
  <si>
    <t>Machine Helper (Pick Compatible)</t>
  </si>
  <si>
    <t>Load (Hrs)</t>
  </si>
  <si>
    <t>Capacity (Hrs)</t>
  </si>
  <si>
    <t>SPM — Monthly Load vs Capacity</t>
  </si>
  <si>
    <t>CARVING — Monthly Load vs Capacity</t>
  </si>
  <si>
    <t>EDM — Monthly Load vs Capacity</t>
  </si>
  <si>
    <t>ENG — Monthly Load vs Capacity</t>
  </si>
  <si>
    <t>VENT — Monthly Load vs Capacity</t>
  </si>
  <si>
    <t>FID — Monthly Load vs Capacity</t>
  </si>
  <si>
    <t>QC — Monthly Load vs Capacity</t>
  </si>
  <si>
    <t>PRODUCTION &amp; UTILIZATION DASHBOARD</t>
  </si>
  <si>
    <t>Total Jobs Planned</t>
  </si>
  <si>
    <t>Earliest Start</t>
  </si>
  <si>
    <t>Latest Finish</t>
  </si>
  <si>
    <t>Plan Duration (Days)</t>
  </si>
  <si>
    <t>Stage</t>
  </si>
  <si>
    <t>No. of Machines</t>
  </si>
  <si>
    <t>Total Load (Hrs)</t>
  </si>
  <si>
    <t>Utilization %</t>
  </si>
  <si>
    <t>Target 90%</t>
  </si>
  <si>
    <t>KEY PERFORMANCE INDICATORS</t>
  </si>
  <si>
    <t>KPI</t>
  </si>
  <si>
    <t>Target</t>
  </si>
  <si>
    <t>Actual</t>
  </si>
  <si>
    <t>On-Time Delivery %</t>
  </si>
  <si>
    <t>≥95%</t>
  </si>
  <si>
    <t>🔴 BOTTLENECK:</t>
  </si>
  <si>
    <t>Avg Machine Utilization %</t>
  </si>
  <si>
    <t>≥85%</t>
  </si>
  <si>
    <t>Max Utilization:</t>
  </si>
  <si>
    <t>Bottleneck Stage</t>
  </si>
  <si>
    <t>N/A</t>
  </si>
  <si>
    <t>🟢 LOWEST LOAD:</t>
  </si>
  <si>
    <t>Jobs On Hold / Cancelled</t>
  </si>
  <si>
    <t>0</t>
  </si>
  <si>
    <t>Open Downtimes</t>
  </si>
  <si>
    <t>Open Rejections</t>
  </si>
  <si>
    <t>—</t>
  </si>
  <si>
    <t>Out of Stock Materials</t>
  </si>
  <si>
    <t>Low Stock Materials</t>
  </si>
  <si>
    <t>Dur (Hrs)</t>
  </si>
  <si>
    <t>Days Left</t>
  </si>
  <si>
    <t>Alert Status</t>
  </si>
  <si>
    <t>Part No</t>
  </si>
  <si>
    <t>Min ID</t>
  </si>
  <si>
    <t>Max OD</t>
  </si>
  <si>
    <t>WORK IN PROGRESS TRACKER</t>
  </si>
  <si>
    <t>Today</t>
  </si>
  <si>
    <t>Current Stage</t>
  </si>
  <si>
    <t>Stage Start</t>
  </si>
  <si>
    <t>Stage End</t>
  </si>
  <si>
    <t>% Complete</t>
  </si>
  <si>
    <t>On Time?</t>
  </si>
  <si>
    <t>Remarks</t>
  </si>
  <si>
    <t>CUSTOMER DELIVERY TRACKER</t>
  </si>
  <si>
    <t>Planned End</t>
  </si>
  <si>
    <t>Buffer Days</t>
  </si>
  <si>
    <t>RAG Status</t>
  </si>
  <si>
    <t>Dispatched?</t>
  </si>
  <si>
    <t>Dispatch Date</t>
  </si>
  <si>
    <t>No</t>
  </si>
  <si>
    <t>WHAT-IF SCENARIO PLANNER</t>
  </si>
  <si>
    <t>SCENARIO INPUTS</t>
  </si>
  <si>
    <t>SCENARIO IMPACT</t>
  </si>
  <si>
    <t>Shift Hours — General Workman (hrs/day)</t>
  </si>
  <si>
    <t>Current Load</t>
  </si>
  <si>
    <t>Current Cap</t>
  </si>
  <si>
    <t>Current Util%</t>
  </si>
  <si>
    <t>Scenario Cap</t>
  </si>
  <si>
    <t>Scenario Util%</t>
  </si>
  <si>
    <t>Shift Hours — Contract Workman (hrs/day)</t>
  </si>
  <si>
    <t>Total Jobs in Plan</t>
  </si>
  <si>
    <t>Plan Start Date</t>
  </si>
  <si>
    <t>Additional Machines (VTL)</t>
  </si>
  <si>
    <t>Additional Machines (SPM)</t>
  </si>
  <si>
    <t>Additional Machines (EDM)</t>
  </si>
  <si>
    <t>% Productivity Gain (%)</t>
  </si>
  <si>
    <t>ROLLING 4-WEEK PRODUCTION HORIZON</t>
  </si>
  <si>
    <t>Horizon Start (Today):</t>
  </si>
  <si>
    <t>Horizon End (Today+28):</t>
  </si>
  <si>
    <t>Plan Start</t>
  </si>
  <si>
    <t>Plan End</t>
  </si>
  <si>
    <t>RAG</t>
  </si>
  <si>
    <t>RAW MATERIAL / BLANK STOCK REGISTER</t>
  </si>
  <si>
    <t>Material Grade</t>
  </si>
  <si>
    <t>Stock (Nos)</t>
  </si>
  <si>
    <t>Required (Nos)</t>
  </si>
  <si>
    <t>Deficit / Surplus</t>
  </si>
  <si>
    <t>EN36</t>
  </si>
  <si>
    <t>EN19</t>
  </si>
  <si>
    <t>EN24</t>
  </si>
  <si>
    <t>EN24T</t>
  </si>
  <si>
    <t>EN8</t>
  </si>
  <si>
    <t>* Stock (Nos) = manual input per job</t>
  </si>
  <si>
    <t>SHIFT ROSTER — 7-DAY WORKING PLAN</t>
  </si>
  <si>
    <t>Shift hours &amp; qty from Settings sheet</t>
  </si>
  <si>
    <t>Timing</t>
  </si>
  <si>
    <t>Net Hrs/Day</t>
  </si>
  <si>
    <t>Avl Hrs/Day</t>
  </si>
  <si>
    <t>Mon</t>
  </si>
  <si>
    <t>Tue</t>
  </si>
  <si>
    <t>Wed</t>
  </si>
  <si>
    <t>Thu</t>
  </si>
  <si>
    <t>Fri</t>
  </si>
  <si>
    <t>Sat</t>
  </si>
  <si>
    <t>Sun</t>
  </si>
  <si>
    <t>Weekly Gen Hrs</t>
  </si>
  <si>
    <t>Weekly Cont Hrs</t>
  </si>
  <si>
    <t>Total Weekly Hrs</t>
  </si>
  <si>
    <t>A</t>
  </si>
  <si>
    <t>OFF</t>
  </si>
  <si>
    <t>B</t>
  </si>
  <si>
    <t>C</t>
  </si>
  <si>
    <t>S1</t>
  </si>
  <si>
    <t>S2</t>
  </si>
  <si>
    <t>TOTAL</t>
  </si>
  <si>
    <t>LEGEND:</t>
  </si>
  <si>
    <t>MACHINE DOWNTIME / PM REGISTER</t>
  </si>
  <si>
    <t>PM Duration (Hrs)</t>
  </si>
  <si>
    <t>PM Frequency (Wks)</t>
  </si>
  <si>
    <t>Last Downtime Date</t>
  </si>
  <si>
    <t>Downtime (Hrs)</t>
  </si>
  <si>
    <t>Reason</t>
  </si>
  <si>
    <t>Action Taken</t>
  </si>
  <si>
    <t>Total Machines:</t>
  </si>
  <si>
    <t>Total PM Hrs:</t>
  </si>
  <si>
    <t>Open Downtimes:</t>
  </si>
  <si>
    <t>OPR_BR1</t>
  </si>
  <si>
    <t>OPR_BR2</t>
  </si>
  <si>
    <t>OPR_CR2</t>
  </si>
  <si>
    <t>OPR_CR3</t>
  </si>
  <si>
    <t>OPR_CR4</t>
  </si>
  <si>
    <t>OPR_RIM</t>
  </si>
  <si>
    <t>OPR_BPR</t>
  </si>
  <si>
    <t>JOB MASTER — RING PARTS</t>
  </si>
  <si>
    <t>RJ-101</t>
  </si>
  <si>
    <t>BR2</t>
  </si>
  <si>
    <t>RJ-102</t>
  </si>
  <si>
    <t>RJ-103</t>
  </si>
  <si>
    <t>CR3</t>
  </si>
  <si>
    <t>RJ-104</t>
  </si>
  <si>
    <t>BPR</t>
  </si>
  <si>
    <t>RJ-105</t>
  </si>
  <si>
    <t>RIM</t>
  </si>
  <si>
    <t>RJ-106</t>
  </si>
  <si>
    <t>Sigma Mfg</t>
  </si>
  <si>
    <t>RJ-107</t>
  </si>
  <si>
    <t>RJ-108</t>
  </si>
  <si>
    <t>BR1</t>
  </si>
  <si>
    <t>RJ-109</t>
  </si>
  <si>
    <t>RJ-110</t>
  </si>
  <si>
    <t>CR2</t>
  </si>
  <si>
    <t>RJ-111</t>
  </si>
  <si>
    <t>RJ-112</t>
  </si>
  <si>
    <t>CR4</t>
  </si>
  <si>
    <t>RJ-113</t>
  </si>
  <si>
    <t>RJ-114</t>
  </si>
  <si>
    <t>RJ-115</t>
  </si>
  <si>
    <t>RJ-116</t>
  </si>
  <si>
    <t>RJ-117</t>
  </si>
  <si>
    <t>RJ-118</t>
  </si>
  <si>
    <t>RJ-119</t>
  </si>
  <si>
    <t>RJ-120</t>
  </si>
  <si>
    <t>RJ-121</t>
  </si>
  <si>
    <t>RJ-122</t>
  </si>
  <si>
    <t>RJ-123</t>
  </si>
  <si>
    <t>RJ-124</t>
  </si>
  <si>
    <t>RJ-125</t>
  </si>
  <si>
    <t>RJ-126</t>
  </si>
  <si>
    <t>RJ-127</t>
  </si>
  <si>
    <t>RJ-128</t>
  </si>
  <si>
    <t>RJ-129</t>
  </si>
  <si>
    <t>RJ-130</t>
  </si>
  <si>
    <t>RJ-131</t>
  </si>
  <si>
    <t>RJ-132</t>
  </si>
  <si>
    <t>RJ-133</t>
  </si>
  <si>
    <t>RJ-134</t>
  </si>
  <si>
    <t>RJ-135</t>
  </si>
  <si>
    <t>RJ-136</t>
  </si>
  <si>
    <t>RJ-137</t>
  </si>
  <si>
    <t>RJ-138</t>
  </si>
  <si>
    <t>RJ-139</t>
  </si>
  <si>
    <t>RJ-140</t>
  </si>
  <si>
    <t>RJ-141</t>
  </si>
  <si>
    <t>RJ-142</t>
  </si>
  <si>
    <t>RJ-143</t>
  </si>
  <si>
    <t>RJ-144</t>
  </si>
  <si>
    <t>RJ-145</t>
  </si>
  <si>
    <t>RJ-146</t>
  </si>
  <si>
    <t>RJ-147</t>
  </si>
  <si>
    <t>RJ-148</t>
  </si>
  <si>
    <t>RJ-149</t>
  </si>
  <si>
    <t>RJ-150</t>
  </si>
  <si>
    <t>BJ-170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</si>
</sst>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dd\-mmm"/>
    <numFmt numFmtId="165" formatCode="hh:mm"/>
    <numFmt numFmtId="166" formatCode="dd/mm"/>
    <numFmt numFmtId="167" formatCode="dd\-mmm\-yyyy"/>
    <numFmt numFmtId="168" formatCode="dd\-mmm\-yy\ hh:mm"/>
    <numFmt numFmtId="169" formatCode="dd\-mmm\-yy"/>
    <numFmt numFmtId="170" formatCode="0.0"/>
    <numFmt numFmtId="171" formatCode="dd\-mmm\-yyyy\ hh:mm"/>
    <numFmt numFmtId="172" formatCode="#,##0.0"/>
    <numFmt numFmtId="173" formatCode="d\-mmm\-yy\ hh:mm"/>
  </numFmts>
  <fonts count="36" x14ac:knownFonts="1">
    <font>
      <sz val="11"/>
      <color theme="1"/>
      <name val="Calibri"/>
      <family val="2"/>
      <charset val="1"/>
    </font>
    <font>
      <b/>
      <sz val="18"/>
      <color rgb="FF1F4E78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4"/>
      <color rgb="FFC00000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2"/>
      <color rgb="FFFFFFFF"/>
      <name val="Cambria"/>
      <family val="1"/>
    </font>
    <font>
      <b/>
      <sz val="11"/>
      <color rgb="FFFFFFFF"/>
      <name val="Cambria"/>
      <family val="1"/>
    </font>
    <font>
      <b/>
      <sz val="10"/>
      <name val="Cambria"/>
      <family val="1"/>
    </font>
    <font>
      <b/>
      <sz val="11"/>
      <name val="Cambria"/>
      <family val="1"/>
    </font>
    <font>
      <b/>
      <sz val="14"/>
      <color rgb="FFFF0000"/>
      <name val="Cambria"/>
      <family val="1"/>
    </font>
    <font>
      <b/>
      <sz val="12"/>
      <color rgb="FFFF0000"/>
      <name val="Cambria"/>
      <family val="1"/>
    </font>
    <font>
      <b/>
      <sz val="12"/>
      <color rgb="FF276221"/>
      <name val="Cambria"/>
      <family val="1"/>
    </font>
    <font>
      <b/>
      <sz val="9"/>
      <color rgb="FF000000"/>
      <name val="Cambria"/>
      <family val="1"/>
    </font>
    <font>
      <b/>
      <sz val="8"/>
      <color rgb="FFFFFFFF"/>
      <name val="Cambria"/>
      <family val="1"/>
    </font>
    <font>
      <b/>
      <sz val="6"/>
      <color rgb="FFFFFFFF"/>
      <name val="Cambria"/>
      <family val="1"/>
    </font>
    <font>
      <i/>
      <sz val="8"/>
      <color rgb="FF9C5700"/>
      <name val="Cambria"/>
      <family val="1"/>
    </font>
    <font>
      <sz val="8"/>
      <color theme="1"/>
      <name val="Calibri"/>
      <family val="2"/>
      <charset val="1"/>
    </font>
    <font>
      <b/>
      <sz val="10"/>
      <color rgb="FFFFFFFF"/>
      <name val="Cambria"/>
      <family val="1"/>
    </font>
    <font>
      <b/>
      <sz val="10"/>
      <color rgb="FF9C5700"/>
      <name val="Cambria"/>
      <family val="1"/>
    </font>
    <font>
      <sz val="11"/>
      <name val="Cambria"/>
      <family val="1"/>
    </font>
    <font>
      <b/>
      <sz val="10"/>
      <color rgb="FF1F3864"/>
      <name val="Cambria"/>
      <family val="1"/>
    </font>
    <font>
      <b/>
      <sz val="9"/>
      <color rgb="FFFFFFFF"/>
      <name val="Cambria"/>
      <family val="1"/>
    </font>
    <font>
      <b/>
      <sz val="9"/>
      <name val="Cambria"/>
      <family val="1"/>
    </font>
    <font>
      <sz val="11"/>
      <color rgb="FF000000"/>
      <name val="Cambria"/>
      <family val="1"/>
    </font>
    <font>
      <sz val="11"/>
      <color rgb="FF000000"/>
      <name val="Calibri"/>
      <family val="2"/>
    </font>
    <font>
      <b/>
      <sz val="14"/>
      <color rgb="FFFFFFFF"/>
      <name val="Cambria"/>
      <family val="1"/>
    </font>
    <font>
      <b/>
      <sz val="11"/>
      <color rgb="FF1F3864"/>
      <name val="Cambria"/>
      <family val="1"/>
    </font>
    <font>
      <sz val="10"/>
      <name val="Cambria"/>
      <family val="1"/>
    </font>
    <font>
      <b/>
      <sz val="11"/>
      <color rgb="FFC55A11"/>
      <name val="Cambria"/>
      <family val="1"/>
    </font>
    <font>
      <b/>
      <sz val="13"/>
      <color rgb="FFFFFFFF"/>
      <name val="Cambria"/>
      <family val="1"/>
    </font>
    <font>
      <i/>
      <sz val="9"/>
      <color rgb="FF595959"/>
      <name val="Cambria"/>
      <family val="1"/>
    </font>
    <font>
      <sz val="9"/>
      <name val="Cambria"/>
      <family val="1"/>
    </font>
    <font>
      <b/>
      <sz val="12"/>
      <color rgb="FF1F4E79"/>
      <name val="Cambria"/>
      <family val="1"/>
    </font>
    <font>
      <b/>
      <sz val="7"/>
      <color rgb="FFFFFFFF"/>
      <name val="Cambria"/>
      <family val="1"/>
    </font>
    <font>
      <sz val="8"/>
      <color rgb="FF9C5700"/>
      <name val="Arial"/>
      <family val="2"/>
    </font>
    <font>
      <sz val="8"/>
      <name val="Calibri"/>
      <family val="2"/>
      <charset val="1"/>
    </font>
  </fonts>
  <fills count="28">
    <fill>
      <patternFill patternType="none"/>
    </fill>
    <fill>
      <patternFill patternType="gray125"/>
    </fill>
    <fill>
      <patternFill patternType="solid">
        <fgColor rgb="FFF2F2F2"/>
        <bgColor rgb="FFEBF1DE"/>
      </patternFill>
    </fill>
    <fill>
      <patternFill patternType="solid">
        <fgColor rgb="FF1F4E78"/>
        <bgColor rgb="FF1F4E79"/>
      </patternFill>
    </fill>
    <fill>
      <patternFill patternType="solid">
        <fgColor rgb="FF1F3864"/>
        <bgColor rgb="FF203864"/>
      </patternFill>
    </fill>
    <fill>
      <patternFill patternType="solid">
        <fgColor rgb="FF2E75B6"/>
        <bgColor rgb="FF4472C4"/>
      </patternFill>
    </fill>
    <fill>
      <patternFill patternType="solid">
        <fgColor rgb="FFE2EFDA"/>
        <bgColor rgb="FFEBF1DE"/>
      </patternFill>
    </fill>
    <fill>
      <patternFill patternType="solid">
        <fgColor rgb="FFD9E1F2"/>
        <bgColor rgb="FFDAEEF3"/>
      </patternFill>
    </fill>
    <fill>
      <patternFill patternType="solid">
        <fgColor rgb="FFFFD966"/>
        <bgColor rgb="FFFFEB9C"/>
      </patternFill>
    </fill>
    <fill>
      <patternFill patternType="solid">
        <fgColor rgb="FF375623"/>
        <bgColor rgb="FF276221"/>
      </patternFill>
    </fill>
    <fill>
      <patternFill patternType="solid">
        <fgColor rgb="FFFFEB9C"/>
        <bgColor rgb="FFFFF2CC"/>
      </patternFill>
    </fill>
    <fill>
      <patternFill patternType="solid">
        <fgColor rgb="FFFFFFC7"/>
        <bgColor rgb="FFFFF2CC"/>
      </patternFill>
    </fill>
    <fill>
      <patternFill patternType="solid">
        <fgColor rgb="FF1F4E79"/>
        <bgColor rgb="FF1F4E78"/>
      </patternFill>
    </fill>
    <fill>
      <patternFill patternType="solid">
        <fgColor rgb="FF833C00"/>
        <bgColor rgb="FF843C0C"/>
      </patternFill>
    </fill>
    <fill>
      <patternFill patternType="solid">
        <fgColor rgb="FF7030A0"/>
        <bgColor rgb="FF800080"/>
      </patternFill>
    </fill>
    <fill>
      <patternFill patternType="solid">
        <fgColor rgb="FF404040"/>
        <bgColor rgb="FF375623"/>
      </patternFill>
    </fill>
    <fill>
      <patternFill patternType="solid">
        <fgColor rgb="FF00FF00"/>
        <bgColor rgb="FF00FFFF"/>
      </patternFill>
    </fill>
    <fill>
      <patternFill patternType="solid">
        <fgColor rgb="FFFFF2CC"/>
        <bgColor rgb="FFFDE9D9"/>
      </patternFill>
    </fill>
    <fill>
      <patternFill patternType="solid">
        <fgColor rgb="FF203864"/>
        <bgColor rgb="FF1F3864"/>
      </patternFill>
    </fill>
    <fill>
      <patternFill patternType="solid">
        <fgColor rgb="FF17375E"/>
        <bgColor rgb="FF1F3864"/>
      </patternFill>
    </fill>
    <fill>
      <patternFill patternType="solid">
        <fgColor rgb="FF843C0C"/>
        <bgColor rgb="FF833C00"/>
      </patternFill>
    </fill>
    <fill>
      <patternFill patternType="solid">
        <fgColor rgb="FFDAEEF3"/>
        <bgColor rgb="FFE2EFDA"/>
      </patternFill>
    </fill>
    <fill>
      <patternFill patternType="solid">
        <fgColor rgb="FFD9D9D9"/>
        <bgColor rgb="FFD9E1F2"/>
      </patternFill>
    </fill>
    <fill>
      <patternFill patternType="solid">
        <fgColor rgb="FFFDE9D9"/>
        <bgColor rgb="FFFFF2CC"/>
      </patternFill>
    </fill>
    <fill>
      <patternFill patternType="solid">
        <fgColor rgb="FFEBF1DE"/>
        <bgColor rgb="FFE2EFDA"/>
      </patternFill>
    </fill>
    <fill>
      <patternFill patternType="solid">
        <fgColor rgb="FFC6E0B4"/>
        <bgColor rgb="FFC6EFCE"/>
      </patternFill>
    </fill>
    <fill>
      <patternFill patternType="solid">
        <fgColor rgb="FF9C5700"/>
        <bgColor rgb="FF9C6500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0">
    <xf numFmtId="0" fontId="0" fillId="0" borderId="0" xfId="0"/>
    <xf numFmtId="0" fontId="30" fillId="0" borderId="0" xfId="0" applyFont="1"/>
    <xf numFmtId="0" fontId="6" fillId="9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/>
    </xf>
    <xf numFmtId="0" fontId="7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8" fillId="0" borderId="0" xfId="0" applyFont="1"/>
    <xf numFmtId="0" fontId="9" fillId="0" borderId="0" xfId="0" applyFont="1"/>
    <xf numFmtId="9" fontId="10" fillId="0" borderId="0" xfId="0" applyNumberFormat="1" applyFont="1"/>
    <xf numFmtId="0" fontId="11" fillId="0" borderId="0" xfId="0" applyFont="1"/>
    <xf numFmtId="1" fontId="0" fillId="0" borderId="0" xfId="0" applyNumberFormat="1" applyAlignment="1">
      <alignment horizontal="center"/>
    </xf>
    <xf numFmtId="165" fontId="0" fillId="0" borderId="1" xfId="0" applyNumberFormat="1" applyBorder="1" applyAlignment="1">
      <alignment horizontal="center"/>
    </xf>
    <xf numFmtId="15" fontId="0" fillId="0" borderId="1" xfId="0" applyNumberFormat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12" fillId="7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164" fontId="13" fillId="3" borderId="1" xfId="0" applyNumberFormat="1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66" fontId="16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9" fillId="0" borderId="0" xfId="0" applyFont="1"/>
    <xf numFmtId="0" fontId="19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3" fontId="0" fillId="0" borderId="0" xfId="0" applyNumberFormat="1"/>
    <xf numFmtId="0" fontId="21" fillId="5" borderId="0" xfId="0" applyFont="1" applyFill="1" applyAlignment="1">
      <alignment horizontal="center"/>
    </xf>
    <xf numFmtId="0" fontId="21" fillId="12" borderId="1" xfId="0" applyFont="1" applyFill="1" applyBorder="1" applyAlignment="1">
      <alignment horizontal="center" vertical="center" wrapText="1"/>
    </xf>
    <xf numFmtId="3" fontId="21" fillId="13" borderId="1" xfId="0" applyNumberFormat="1" applyFont="1" applyFill="1" applyBorder="1" applyAlignment="1">
      <alignment horizontal="center" vertical="center" wrapText="1"/>
    </xf>
    <xf numFmtId="3" fontId="21" fillId="9" borderId="1" xfId="0" applyNumberFormat="1" applyFont="1" applyFill="1" applyBorder="1" applyAlignment="1">
      <alignment horizontal="center" vertical="center" wrapText="1"/>
    </xf>
    <xf numFmtId="3" fontId="21" fillId="14" borderId="1" xfId="0" applyNumberFormat="1" applyFont="1" applyFill="1" applyBorder="1" applyAlignment="1">
      <alignment horizontal="center" vertical="center" wrapText="1"/>
    </xf>
    <xf numFmtId="3" fontId="21" fillId="12" borderId="1" xfId="0" applyNumberFormat="1" applyFont="1" applyFill="1" applyBorder="1" applyAlignment="1">
      <alignment horizontal="center" vertical="center" wrapText="1"/>
    </xf>
    <xf numFmtId="3" fontId="21" fillId="15" borderId="1" xfId="0" applyNumberFormat="1" applyFont="1" applyFill="1" applyBorder="1" applyAlignment="1">
      <alignment horizontal="center" vertical="center" wrapText="1"/>
    </xf>
    <xf numFmtId="166" fontId="13" fillId="4" borderId="1" xfId="0" applyNumberFormat="1" applyFont="1" applyFill="1" applyBorder="1" applyAlignment="1">
      <alignment horizontal="center" vertical="center"/>
    </xf>
    <xf numFmtId="166" fontId="16" fillId="0" borderId="0" xfId="0" applyNumberFormat="1" applyFont="1" applyAlignment="1">
      <alignment horizontal="center"/>
    </xf>
    <xf numFmtId="0" fontId="22" fillId="0" borderId="0" xfId="0" applyFont="1"/>
    <xf numFmtId="3" fontId="19" fillId="0" borderId="0" xfId="0" applyNumberFormat="1" applyFont="1"/>
    <xf numFmtId="0" fontId="19" fillId="0" borderId="1" xfId="0" applyFont="1" applyBorder="1" applyAlignment="1">
      <alignment horizontal="center" vertical="center"/>
    </xf>
    <xf numFmtId="3" fontId="19" fillId="0" borderId="1" xfId="0" applyNumberFormat="1" applyFont="1" applyBorder="1" applyAlignment="1">
      <alignment horizontal="center" vertical="center"/>
    </xf>
    <xf numFmtId="167" fontId="19" fillId="0" borderId="1" xfId="0" applyNumberFormat="1" applyFont="1" applyBorder="1" applyAlignment="1">
      <alignment horizontal="center"/>
    </xf>
    <xf numFmtId="168" fontId="19" fillId="0" borderId="1" xfId="0" applyNumberFormat="1" applyFont="1" applyBorder="1" applyAlignment="1">
      <alignment horizontal="center"/>
    </xf>
    <xf numFmtId="0" fontId="23" fillId="16" borderId="0" xfId="0" applyFont="1" applyFill="1"/>
    <xf numFmtId="0" fontId="24" fillId="0" borderId="0" xfId="0" applyFont="1"/>
    <xf numFmtId="167" fontId="0" fillId="0" borderId="1" xfId="0" applyNumberFormat="1" applyBorder="1" applyAlignment="1">
      <alignment horizontal="center"/>
    </xf>
    <xf numFmtId="0" fontId="24" fillId="17" borderId="0" xfId="0" applyFont="1" applyFill="1"/>
    <xf numFmtId="168" fontId="0" fillId="0" borderId="1" xfId="0" applyNumberFormat="1" applyBorder="1" applyAlignment="1">
      <alignment horizontal="center"/>
    </xf>
    <xf numFmtId="0" fontId="2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0" fillId="17" borderId="0" xfId="0" applyFill="1"/>
    <xf numFmtId="0" fontId="6" fillId="5" borderId="1" xfId="0" applyFont="1" applyFill="1" applyBorder="1" applyAlignment="1">
      <alignment horizontal="center" vertical="center" wrapText="1"/>
    </xf>
    <xf numFmtId="167" fontId="26" fillId="0" borderId="0" xfId="0" applyNumberFormat="1" applyFont="1"/>
    <xf numFmtId="0" fontId="6" fillId="9" borderId="1" xfId="0" applyFont="1" applyFill="1" applyBorder="1" applyAlignment="1">
      <alignment horizontal="center" vertical="center" wrapText="1"/>
    </xf>
    <xf numFmtId="168" fontId="0" fillId="0" borderId="0" xfId="0" applyNumberFormat="1"/>
    <xf numFmtId="9" fontId="0" fillId="0" borderId="0" xfId="0" applyNumberFormat="1"/>
    <xf numFmtId="169" fontId="0" fillId="0" borderId="0" xfId="0" applyNumberFormat="1"/>
    <xf numFmtId="0" fontId="6" fillId="19" borderId="0" xfId="0" applyFont="1" applyFill="1" applyAlignment="1">
      <alignment horizontal="center" vertical="center" wrapText="1"/>
    </xf>
    <xf numFmtId="170" fontId="0" fillId="0" borderId="0" xfId="0" applyNumberFormat="1"/>
    <xf numFmtId="167" fontId="0" fillId="0" borderId="0" xfId="0" applyNumberFormat="1"/>
    <xf numFmtId="0" fontId="27" fillId="0" borderId="0" xfId="0" applyFont="1" applyAlignment="1">
      <alignment horizontal="left" vertical="center"/>
    </xf>
    <xf numFmtId="0" fontId="28" fillId="0" borderId="0" xfId="0" applyFont="1" applyAlignment="1">
      <alignment horizontal="center"/>
    </xf>
    <xf numFmtId="171" fontId="28" fillId="0" borderId="0" xfId="0" applyNumberFormat="1" applyFont="1" applyAlignment="1">
      <alignment horizontal="center"/>
    </xf>
    <xf numFmtId="167" fontId="28" fillId="0" borderId="0" xfId="0" applyNumberFormat="1" applyFont="1"/>
    <xf numFmtId="0" fontId="17" fillId="12" borderId="0" xfId="0" applyFont="1" applyFill="1" applyAlignment="1">
      <alignment horizontal="center" vertical="center" wrapText="1"/>
    </xf>
    <xf numFmtId="0" fontId="17" fillId="13" borderId="0" xfId="0" applyFont="1" applyFill="1" applyAlignment="1">
      <alignment horizontal="center" vertical="center" wrapText="1"/>
    </xf>
    <xf numFmtId="0" fontId="17" fillId="9" borderId="0" xfId="0" applyFont="1" applyFill="1" applyAlignment="1">
      <alignment horizontal="center" vertical="center" wrapText="1"/>
    </xf>
    <xf numFmtId="0" fontId="17" fillId="20" borderId="0" xfId="0" applyFont="1" applyFill="1" applyAlignment="1">
      <alignment horizontal="center" vertical="center" wrapText="1"/>
    </xf>
    <xf numFmtId="0" fontId="17" fillId="15" borderId="0" xfId="0" applyFont="1" applyFill="1" applyAlignment="1">
      <alignment horizontal="center" vertical="center" wrapText="1"/>
    </xf>
    <xf numFmtId="0" fontId="17" fillId="5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2" fillId="21" borderId="0" xfId="0" applyFont="1" applyFill="1" applyAlignment="1">
      <alignment horizontal="center" vertical="center"/>
    </xf>
    <xf numFmtId="0" fontId="31" fillId="22" borderId="0" xfId="0" applyFont="1" applyFill="1" applyAlignment="1">
      <alignment horizontal="center" vertical="center"/>
    </xf>
    <xf numFmtId="172" fontId="0" fillId="0" borderId="0" xfId="0" applyNumberFormat="1"/>
    <xf numFmtId="0" fontId="22" fillId="23" borderId="0" xfId="0" applyFont="1" applyFill="1" applyAlignment="1">
      <alignment horizontal="center" vertical="center"/>
    </xf>
    <xf numFmtId="0" fontId="22" fillId="6" borderId="0" xfId="0" applyFont="1" applyFill="1" applyAlignment="1">
      <alignment horizontal="center" vertical="center"/>
    </xf>
    <xf numFmtId="0" fontId="22" fillId="24" borderId="0" xfId="0" applyFont="1" applyFill="1" applyAlignment="1">
      <alignment horizontal="center" vertical="center"/>
    </xf>
    <xf numFmtId="0" fontId="22" fillId="25" borderId="0" xfId="0" applyFont="1" applyFill="1" applyAlignment="1">
      <alignment horizontal="center" vertical="center"/>
    </xf>
    <xf numFmtId="172" fontId="8" fillId="0" borderId="0" xfId="0" applyNumberFormat="1" applyFont="1"/>
    <xf numFmtId="0" fontId="31" fillId="21" borderId="0" xfId="0" applyFont="1" applyFill="1" applyAlignment="1">
      <alignment horizontal="center"/>
    </xf>
    <xf numFmtId="0" fontId="31" fillId="23" borderId="0" xfId="0" applyFont="1" applyFill="1" applyAlignment="1">
      <alignment horizontal="center"/>
    </xf>
    <xf numFmtId="0" fontId="31" fillId="6" borderId="0" xfId="0" applyFont="1" applyFill="1" applyAlignment="1">
      <alignment horizontal="center"/>
    </xf>
    <xf numFmtId="0" fontId="31" fillId="24" borderId="0" xfId="0" applyFont="1" applyFill="1" applyAlignment="1">
      <alignment horizontal="center"/>
    </xf>
    <xf numFmtId="0" fontId="31" fillId="25" borderId="0" xfId="0" applyFont="1" applyFill="1" applyAlignment="1">
      <alignment horizontal="center"/>
    </xf>
    <xf numFmtId="0" fontId="31" fillId="22" borderId="0" xfId="0" applyFont="1" applyFill="1" applyAlignment="1">
      <alignment horizontal="center"/>
    </xf>
    <xf numFmtId="0" fontId="32" fillId="0" borderId="0" xfId="0" applyFont="1"/>
    <xf numFmtId="0" fontId="17" fillId="12" borderId="1" xfId="0" applyFont="1" applyFill="1" applyBorder="1" applyAlignment="1">
      <alignment horizontal="center" vertical="center" wrapText="1"/>
    </xf>
    <xf numFmtId="0" fontId="17" fillId="4" borderId="0" xfId="0" applyFont="1" applyFill="1" applyAlignment="1">
      <alignment horizontal="center" vertical="center" wrapText="1"/>
    </xf>
    <xf numFmtId="0" fontId="17" fillId="14" borderId="0" xfId="0" applyFont="1" applyFill="1" applyAlignment="1">
      <alignment horizontal="center" vertical="center" wrapText="1"/>
    </xf>
    <xf numFmtId="0" fontId="17" fillId="26" borderId="0" xfId="0" applyFont="1" applyFill="1" applyAlignment="1">
      <alignment horizontal="center" vertical="center" wrapText="1"/>
    </xf>
    <xf numFmtId="0" fontId="17" fillId="19" borderId="0" xfId="0" applyFont="1" applyFill="1" applyAlignment="1">
      <alignment horizontal="center" vertical="center" wrapText="1"/>
    </xf>
    <xf numFmtId="164" fontId="33" fillId="4" borderId="0" xfId="0" applyNumberFormat="1" applyFont="1" applyFill="1" applyAlignment="1">
      <alignment horizontal="center" textRotation="90"/>
    </xf>
    <xf numFmtId="16" fontId="13" fillId="4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166" fontId="16" fillId="0" borderId="1" xfId="0" applyNumberFormat="1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 applyAlignment="1">
      <alignment horizontal="center" wrapText="1"/>
    </xf>
    <xf numFmtId="3" fontId="19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2" xfId="0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3" borderId="1" xfId="0" applyFont="1" applyFill="1" applyBorder="1" applyAlignment="1">
      <alignment horizontal="left" vertical="center" wrapText="1"/>
    </xf>
    <xf numFmtId="173" fontId="0" fillId="0" borderId="1" xfId="0" applyNumberFormat="1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0" fontId="34" fillId="0" borderId="0" xfId="0" applyFont="1" applyAlignment="1">
      <alignment horizontal="left" vertical="center"/>
    </xf>
    <xf numFmtId="0" fontId="8" fillId="3" borderId="1" xfId="0" applyFont="1" applyFill="1" applyBorder="1" applyAlignment="1">
      <alignment horizontal="left" vertical="center"/>
    </xf>
    <xf numFmtId="0" fontId="16" fillId="8" borderId="1" xfId="0" applyFont="1" applyFill="1" applyBorder="1" applyAlignment="1">
      <alignment horizontal="left" vertical="center"/>
    </xf>
    <xf numFmtId="0" fontId="17" fillId="9" borderId="0" xfId="0" applyFont="1" applyFill="1" applyAlignment="1">
      <alignment horizontal="left" vertical="center"/>
    </xf>
    <xf numFmtId="0" fontId="18" fillId="10" borderId="0" xfId="0" applyFont="1" applyFill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167" fontId="0" fillId="11" borderId="0" xfId="0" applyNumberFormat="1" applyFill="1" applyAlignment="1">
      <alignment horizontal="left" vertical="center"/>
    </xf>
    <xf numFmtId="173" fontId="0" fillId="27" borderId="1" xfId="0" applyNumberForma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5" fillId="4" borderId="0" xfId="0" applyFont="1" applyFill="1"/>
    <xf numFmtId="0" fontId="0" fillId="0" borderId="0" xfId="0"/>
    <xf numFmtId="0" fontId="0" fillId="0" borderId="0" xfId="0" applyAlignment="1">
      <alignment horizontal="center" vertical="center"/>
    </xf>
    <xf numFmtId="0" fontId="25" fillId="4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5" fillId="18" borderId="0" xfId="0" applyFont="1" applyFill="1" applyAlignment="1">
      <alignment horizontal="center" vertical="center" wrapText="1"/>
    </xf>
    <xf numFmtId="0" fontId="25" fillId="4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6" fillId="9" borderId="0" xfId="0" applyFont="1" applyFill="1" applyAlignment="1">
      <alignment horizontal="center" vertical="center" wrapText="1"/>
    </xf>
    <xf numFmtId="0" fontId="29" fillId="13" borderId="0" xfId="0" applyFont="1" applyFill="1" applyAlignment="1">
      <alignment horizontal="center" vertical="center" wrapText="1"/>
    </xf>
    <xf numFmtId="0" fontId="30" fillId="0" borderId="0" xfId="0" applyFont="1"/>
    <xf numFmtId="0" fontId="29" fillId="4" borderId="0" xfId="0" applyFont="1" applyFill="1" applyAlignment="1">
      <alignment horizontal="center" vertical="center" wrapText="1"/>
    </xf>
    <xf numFmtId="0" fontId="29" fillId="20" borderId="0" xfId="0" applyFont="1" applyFill="1" applyAlignment="1">
      <alignment horizontal="center" vertical="center" wrapText="1"/>
    </xf>
    <xf numFmtId="0" fontId="25" fillId="14" borderId="0" xfId="0" applyFont="1" applyFill="1" applyAlignment="1">
      <alignment horizontal="center" vertical="center" wrapText="1"/>
    </xf>
  </cellXfs>
  <cellStyles count="1">
    <cellStyle name="Normal" xfId="0" builtinId="0"/>
  </cellStyles>
  <dxfs count="50"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276221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276221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9C5700"/>
      </font>
      <fill>
        <patternFill>
          <bgColor rgb="FFFFEB9C"/>
        </patternFill>
      </fill>
    </dxf>
    <dxf>
      <font>
        <color rgb="FF276221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D9D9D9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276221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4472C4"/>
      </font>
      <fill>
        <patternFill>
          <bgColor rgb="FF4472C4"/>
        </patternFill>
      </fill>
    </dxf>
    <dxf>
      <font>
        <color rgb="FF4472C4"/>
      </font>
      <fill>
        <patternFill>
          <bgColor rgb="FF4472C4"/>
        </patternFill>
      </fill>
    </dxf>
    <dxf>
      <font>
        <color rgb="FF4472C4"/>
      </font>
      <fill>
        <patternFill>
          <bgColor rgb="FF4472C4"/>
        </patternFill>
      </fill>
    </dxf>
    <dxf>
      <font>
        <color rgb="FF4472C4"/>
      </font>
      <fill>
        <patternFill>
          <bgColor rgb="FF4472C4"/>
        </patternFill>
      </fill>
    </dxf>
    <dxf>
      <font>
        <color rgb="FF4472C4"/>
      </font>
      <fill>
        <patternFill>
          <bgColor rgb="FF4472C4"/>
        </patternFill>
      </fill>
    </dxf>
    <dxf>
      <font>
        <color rgb="FF4472C4"/>
      </font>
      <fill>
        <patternFill>
          <bgColor rgb="FF4472C4"/>
        </patternFill>
      </fill>
    </dxf>
    <dxf>
      <font>
        <color rgb="FF4472C4"/>
      </font>
      <fill>
        <patternFill>
          <bgColor rgb="FF4472C4"/>
        </patternFill>
      </fill>
    </dxf>
    <dxf>
      <font>
        <color rgb="FF4472C4"/>
      </font>
      <fill>
        <patternFill>
          <bgColor rgb="FF4472C4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color rgb="FF4472C4"/>
      </font>
      <fill>
        <patternFill patternType="solid">
          <fgColor rgb="FF4472C4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276221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D966"/>
      <rgbColor rgb="FFFF00FF"/>
      <rgbColor rgb="FFF2F2F2"/>
      <rgbColor rgb="FF9C0006"/>
      <rgbColor rgb="FF006100"/>
      <rgbColor rgb="FF000050"/>
      <rgbColor rgb="FF9C6500"/>
      <rgbColor rgb="FF800080"/>
      <rgbColor rgb="FF1F4E79"/>
      <rgbColor rgb="FFB3B3B3"/>
      <rgbColor rgb="FF7F7F7F"/>
      <rgbColor rgb="FF5B9BD5"/>
      <rgbColor rgb="FF7030A0"/>
      <rgbColor rgb="FFFFFFC7"/>
      <rgbColor rgb="FFDAEEF3"/>
      <rgbColor rgb="FF833C00"/>
      <rgbColor rgb="FFC55A11"/>
      <rgbColor rgb="FF2E75B6"/>
      <rgbColor rgb="FFD9D9D9"/>
      <rgbColor rgb="FF000080"/>
      <rgbColor rgb="FFFF00FF"/>
      <rgbColor rgb="FFFFF2CC"/>
      <rgbColor rgb="FF00FFFF"/>
      <rgbColor rgb="FF800080"/>
      <rgbColor rgb="FFC00000"/>
      <rgbColor rgb="FF1F4E78"/>
      <rgbColor rgb="FF0000FF"/>
      <rgbColor rgb="FF00B0F0"/>
      <rgbColor rgb="FFE2EFDA"/>
      <rgbColor rgb="FFC6EFCE"/>
      <rgbColor rgb="FFFFEB9C"/>
      <rgbColor rgb="FFC6E0B4"/>
      <rgbColor rgb="FFFDE9D9"/>
      <rgbColor rgb="FFD9E1F2"/>
      <rgbColor rgb="FFFFC7CE"/>
      <rgbColor rgb="FF4472C4"/>
      <rgbColor rgb="FFEBF1DE"/>
      <rgbColor rgb="FF92D050"/>
      <rgbColor rgb="FFFFC000"/>
      <rgbColor rgb="FF9C5700"/>
      <rgbColor rgb="FFED7D31"/>
      <rgbColor rgb="FF595959"/>
      <rgbColor rgb="FF70AD47"/>
      <rgbColor rgb="FF17375E"/>
      <rgbColor rgb="FF276221"/>
      <rgbColor rgb="FF1F3864"/>
      <rgbColor rgb="FF375623"/>
      <rgbColor rgb="FF993300"/>
      <rgbColor rgb="FF843C0C"/>
      <rgbColor rgb="FF203864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VTL — Monthly Load vs Available Capacity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VTL_Plan!$BW$3</c:f>
              <c:strCache>
                <c:ptCount val="1"/>
                <c:pt idx="0">
                  <c:v>Load (Hrs)</c:v>
                </c:pt>
              </c:strCache>
            </c:strRef>
          </c:tx>
          <c:spPr>
            <a:solidFill>
              <a:srgbClr val="ED7D31"/>
            </a:solidFill>
            <a:ln w="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VTL_Plan!$BX$2:$CG$2</c:f>
              <c:strCache>
                <c:ptCount val="10"/>
                <c:pt idx="0">
                  <c:v>Apr-2026</c:v>
                </c:pt>
                <c:pt idx="1">
                  <c:v>May-2026</c:v>
                </c:pt>
                <c:pt idx="2">
                  <c:v>Jun-2026</c:v>
                </c:pt>
                <c:pt idx="3">
                  <c:v>Jul-2026</c:v>
                </c:pt>
                <c:pt idx="4">
                  <c:v>Aug-2026</c:v>
                </c:pt>
                <c:pt idx="5">
                  <c:v>Sep-2026</c:v>
                </c:pt>
                <c:pt idx="6">
                  <c:v>Oct-2026</c:v>
                </c:pt>
                <c:pt idx="7">
                  <c:v>Nov-2026</c:v>
                </c:pt>
                <c:pt idx="8">
                  <c:v>Dec-2026</c:v>
                </c:pt>
                <c:pt idx="9">
                  <c:v>Jan-2027</c:v>
                </c:pt>
              </c:strCache>
            </c:strRef>
          </c:cat>
          <c:val>
            <c:numRef>
              <c:f>VTL_Plan!$BX$3:$CG$3</c:f>
              <c:numCache>
                <c:formatCode>#,##0</c:formatCode>
                <c:ptCount val="10"/>
                <c:pt idx="0">
                  <c:v>3330</c:v>
                </c:pt>
                <c:pt idx="1">
                  <c:v>1678</c:v>
                </c:pt>
                <c:pt idx="2">
                  <c:v>1614</c:v>
                </c:pt>
                <c:pt idx="3">
                  <c:v>1842</c:v>
                </c:pt>
                <c:pt idx="4">
                  <c:v>780</c:v>
                </c:pt>
                <c:pt idx="5">
                  <c:v>828</c:v>
                </c:pt>
                <c:pt idx="6">
                  <c:v>552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91-4716-B6C8-9D4A90D2645F}"/>
            </c:ext>
          </c:extLst>
        </c:ser>
        <c:ser>
          <c:idx val="1"/>
          <c:order val="1"/>
          <c:tx>
            <c:strRef>
              <c:f>VTL_Plan!$BW$4</c:f>
              <c:strCache>
                <c:ptCount val="1"/>
                <c:pt idx="0">
                  <c:v>Capacity (Hrs)</c:v>
                </c:pt>
              </c:strCache>
            </c:strRef>
          </c:tx>
          <c:spPr>
            <a:solidFill>
              <a:srgbClr val="4472C4"/>
            </a:solidFill>
            <a:ln w="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VTL_Plan!$BX$2:$CG$2</c:f>
              <c:strCache>
                <c:ptCount val="10"/>
                <c:pt idx="0">
                  <c:v>Apr-2026</c:v>
                </c:pt>
                <c:pt idx="1">
                  <c:v>May-2026</c:v>
                </c:pt>
                <c:pt idx="2">
                  <c:v>Jun-2026</c:v>
                </c:pt>
                <c:pt idx="3">
                  <c:v>Jul-2026</c:v>
                </c:pt>
                <c:pt idx="4">
                  <c:v>Aug-2026</c:v>
                </c:pt>
                <c:pt idx="5">
                  <c:v>Sep-2026</c:v>
                </c:pt>
                <c:pt idx="6">
                  <c:v>Oct-2026</c:v>
                </c:pt>
                <c:pt idx="7">
                  <c:v>Nov-2026</c:v>
                </c:pt>
                <c:pt idx="8">
                  <c:v>Dec-2026</c:v>
                </c:pt>
                <c:pt idx="9">
                  <c:v>Jan-2027</c:v>
                </c:pt>
              </c:strCache>
            </c:strRef>
          </c:cat>
          <c:val>
            <c:numRef>
              <c:f>VTL_Plan!$BX$4:$CG$4</c:f>
              <c:numCache>
                <c:formatCode>#,##0</c:formatCode>
                <c:ptCount val="10"/>
                <c:pt idx="0">
                  <c:v>2592</c:v>
                </c:pt>
                <c:pt idx="1">
                  <c:v>2678.4</c:v>
                </c:pt>
                <c:pt idx="2">
                  <c:v>2592</c:v>
                </c:pt>
                <c:pt idx="3">
                  <c:v>2678.4</c:v>
                </c:pt>
                <c:pt idx="4">
                  <c:v>2678.4</c:v>
                </c:pt>
                <c:pt idx="5">
                  <c:v>2592</c:v>
                </c:pt>
                <c:pt idx="6">
                  <c:v>2678.4</c:v>
                </c:pt>
                <c:pt idx="7">
                  <c:v>2592</c:v>
                </c:pt>
                <c:pt idx="8">
                  <c:v>2678.4</c:v>
                </c:pt>
                <c:pt idx="9">
                  <c:v>2678.4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91-4716-B6C8-9D4A90D264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5"/>
        <c:axId val="61202520"/>
        <c:axId val="40505428"/>
      </c:barChart>
      <c:catAx>
        <c:axId val="6120252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0505428"/>
        <c:crosses val="autoZero"/>
        <c:auto val="1"/>
        <c:lblAlgn val="ctr"/>
        <c:lblOffset val="100"/>
        <c:noMultiLvlLbl val="0"/>
      </c:catAx>
      <c:valAx>
        <c:axId val="4050542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  <a:prstDash val="solid"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Hours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1202520"/>
        <c:crosses val="autoZero"/>
        <c:crossBetween val="between"/>
      </c:valAx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SPM — Monthly Load vs Available Capacity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SPM_Plan!$BW$3</c:f>
              <c:strCache>
                <c:ptCount val="1"/>
                <c:pt idx="0">
                  <c:v>Load (Hrs)</c:v>
                </c:pt>
              </c:strCache>
            </c:strRef>
          </c:tx>
          <c:spPr>
            <a:solidFill>
              <a:srgbClr val="ED7D31"/>
            </a:solidFill>
            <a:ln w="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SPM_Plan!$BX$2:$CG$2</c:f>
              <c:strCache>
                <c:ptCount val="10"/>
                <c:pt idx="0">
                  <c:v>Apr-2026</c:v>
                </c:pt>
                <c:pt idx="1">
                  <c:v>May-2026</c:v>
                </c:pt>
                <c:pt idx="2">
                  <c:v>Jun-2026</c:v>
                </c:pt>
                <c:pt idx="3">
                  <c:v>Jul-2026</c:v>
                </c:pt>
                <c:pt idx="4">
                  <c:v>Aug-2026</c:v>
                </c:pt>
                <c:pt idx="5">
                  <c:v>Sep-2026</c:v>
                </c:pt>
                <c:pt idx="6">
                  <c:v>Oct-2026</c:v>
                </c:pt>
                <c:pt idx="7">
                  <c:v>Nov-2026</c:v>
                </c:pt>
                <c:pt idx="8">
                  <c:v>Dec-2026</c:v>
                </c:pt>
                <c:pt idx="9">
                  <c:v>Jan-2027</c:v>
                </c:pt>
              </c:strCache>
            </c:strRef>
          </c:cat>
          <c:val>
            <c:numRef>
              <c:f>SPM_Plan!$BX$3:$CG$3</c:f>
              <c:numCache>
                <c:formatCode>#,##0</c:formatCode>
                <c:ptCount val="10"/>
                <c:pt idx="0">
                  <c:v>1206</c:v>
                </c:pt>
                <c:pt idx="1">
                  <c:v>1580</c:v>
                </c:pt>
                <c:pt idx="2">
                  <c:v>1320</c:v>
                </c:pt>
                <c:pt idx="3">
                  <c:v>1162</c:v>
                </c:pt>
                <c:pt idx="4">
                  <c:v>1342</c:v>
                </c:pt>
                <c:pt idx="5">
                  <c:v>658</c:v>
                </c:pt>
                <c:pt idx="6">
                  <c:v>670</c:v>
                </c:pt>
                <c:pt idx="7">
                  <c:v>560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73-4291-BB78-50D9920B9BD3}"/>
            </c:ext>
          </c:extLst>
        </c:ser>
        <c:ser>
          <c:idx val="1"/>
          <c:order val="1"/>
          <c:tx>
            <c:strRef>
              <c:f>SPM_Plan!$BW$4</c:f>
              <c:strCache>
                <c:ptCount val="1"/>
                <c:pt idx="0">
                  <c:v>Capacity (Hrs)</c:v>
                </c:pt>
              </c:strCache>
            </c:strRef>
          </c:tx>
          <c:spPr>
            <a:solidFill>
              <a:srgbClr val="4472C4"/>
            </a:solidFill>
            <a:ln w="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SPM_Plan!$BX$2:$CG$2</c:f>
              <c:strCache>
                <c:ptCount val="10"/>
                <c:pt idx="0">
                  <c:v>Apr-2026</c:v>
                </c:pt>
                <c:pt idx="1">
                  <c:v>May-2026</c:v>
                </c:pt>
                <c:pt idx="2">
                  <c:v>Jun-2026</c:v>
                </c:pt>
                <c:pt idx="3">
                  <c:v>Jul-2026</c:v>
                </c:pt>
                <c:pt idx="4">
                  <c:v>Aug-2026</c:v>
                </c:pt>
                <c:pt idx="5">
                  <c:v>Sep-2026</c:v>
                </c:pt>
                <c:pt idx="6">
                  <c:v>Oct-2026</c:v>
                </c:pt>
                <c:pt idx="7">
                  <c:v>Nov-2026</c:v>
                </c:pt>
                <c:pt idx="8">
                  <c:v>Dec-2026</c:v>
                </c:pt>
                <c:pt idx="9">
                  <c:v>Jan-2027</c:v>
                </c:pt>
              </c:strCache>
            </c:strRef>
          </c:cat>
          <c:val>
            <c:numRef>
              <c:f>SPM_Plan!$BX$4:$CG$4</c:f>
              <c:numCache>
                <c:formatCode>#,##0</c:formatCode>
                <c:ptCount val="10"/>
                <c:pt idx="0">
                  <c:v>3888</c:v>
                </c:pt>
                <c:pt idx="1">
                  <c:v>4017.6</c:v>
                </c:pt>
                <c:pt idx="2">
                  <c:v>3888</c:v>
                </c:pt>
                <c:pt idx="3">
                  <c:v>4017.6</c:v>
                </c:pt>
                <c:pt idx="4">
                  <c:v>4017.6</c:v>
                </c:pt>
                <c:pt idx="5">
                  <c:v>3888</c:v>
                </c:pt>
                <c:pt idx="6">
                  <c:v>4017.6</c:v>
                </c:pt>
                <c:pt idx="7">
                  <c:v>3888</c:v>
                </c:pt>
                <c:pt idx="8">
                  <c:v>4017.6</c:v>
                </c:pt>
                <c:pt idx="9">
                  <c:v>4017.6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73-4291-BB78-50D9920B9B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5"/>
        <c:axId val="70113820"/>
        <c:axId val="52669292"/>
      </c:barChart>
      <c:catAx>
        <c:axId val="7011382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2669292"/>
        <c:crosses val="autoZero"/>
        <c:auto val="1"/>
        <c:lblAlgn val="ctr"/>
        <c:lblOffset val="100"/>
        <c:noMultiLvlLbl val="0"/>
      </c:catAx>
      <c:valAx>
        <c:axId val="5266929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  <a:prstDash val="solid"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Hours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0113820"/>
        <c:crosses val="autoZero"/>
        <c:crossBetween val="between"/>
      </c:valAx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CARVING — Monthly Load vs Available Capacity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CARVING_Plan!$BW$3</c:f>
              <c:strCache>
                <c:ptCount val="1"/>
                <c:pt idx="0">
                  <c:v>Load (Hrs)</c:v>
                </c:pt>
              </c:strCache>
            </c:strRef>
          </c:tx>
          <c:spPr>
            <a:solidFill>
              <a:srgbClr val="ED7D31"/>
            </a:solidFill>
            <a:ln w="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CARVING_Plan!$BX$2:$CG$2</c:f>
              <c:strCache>
                <c:ptCount val="10"/>
                <c:pt idx="0">
                  <c:v>Apr-2026</c:v>
                </c:pt>
                <c:pt idx="1">
                  <c:v>May-2026</c:v>
                </c:pt>
                <c:pt idx="2">
                  <c:v>Jun-2026</c:v>
                </c:pt>
                <c:pt idx="3">
                  <c:v>Jul-2026</c:v>
                </c:pt>
                <c:pt idx="4">
                  <c:v>Aug-2026</c:v>
                </c:pt>
                <c:pt idx="5">
                  <c:v>Sep-2026</c:v>
                </c:pt>
                <c:pt idx="6">
                  <c:v>Oct-2026</c:v>
                </c:pt>
                <c:pt idx="7">
                  <c:v>Nov-2026</c:v>
                </c:pt>
                <c:pt idx="8">
                  <c:v>Dec-2026</c:v>
                </c:pt>
                <c:pt idx="9">
                  <c:v>Jan-2027</c:v>
                </c:pt>
              </c:strCache>
            </c:strRef>
          </c:cat>
          <c:val>
            <c:numRef>
              <c:f>CARVING_Plan!$BX$3:$CG$3</c:f>
              <c:numCache>
                <c:formatCode>#,##0</c:formatCode>
                <c:ptCount val="10"/>
                <c:pt idx="0">
                  <c:v>4672</c:v>
                </c:pt>
                <c:pt idx="1">
                  <c:v>2978</c:v>
                </c:pt>
                <c:pt idx="2">
                  <c:v>972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26-4C9A-BD13-1DFD5197D11F}"/>
            </c:ext>
          </c:extLst>
        </c:ser>
        <c:ser>
          <c:idx val="1"/>
          <c:order val="1"/>
          <c:tx>
            <c:strRef>
              <c:f>CARVING_Plan!$BW$4</c:f>
              <c:strCache>
                <c:ptCount val="1"/>
                <c:pt idx="0">
                  <c:v>Capacity (Hrs)</c:v>
                </c:pt>
              </c:strCache>
            </c:strRef>
          </c:tx>
          <c:spPr>
            <a:solidFill>
              <a:srgbClr val="4472C4"/>
            </a:solidFill>
            <a:ln w="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CARVING_Plan!$BX$2:$CG$2</c:f>
              <c:strCache>
                <c:ptCount val="10"/>
                <c:pt idx="0">
                  <c:v>Apr-2026</c:v>
                </c:pt>
                <c:pt idx="1">
                  <c:v>May-2026</c:v>
                </c:pt>
                <c:pt idx="2">
                  <c:v>Jun-2026</c:v>
                </c:pt>
                <c:pt idx="3">
                  <c:v>Jul-2026</c:v>
                </c:pt>
                <c:pt idx="4">
                  <c:v>Aug-2026</c:v>
                </c:pt>
                <c:pt idx="5">
                  <c:v>Sep-2026</c:v>
                </c:pt>
                <c:pt idx="6">
                  <c:v>Oct-2026</c:v>
                </c:pt>
                <c:pt idx="7">
                  <c:v>Nov-2026</c:v>
                </c:pt>
                <c:pt idx="8">
                  <c:v>Dec-2026</c:v>
                </c:pt>
                <c:pt idx="9">
                  <c:v>Jan-2027</c:v>
                </c:pt>
              </c:strCache>
            </c:strRef>
          </c:cat>
          <c:val>
            <c:numRef>
              <c:f>CARVING_Plan!$BX$4:$CG$4</c:f>
              <c:numCache>
                <c:formatCode>#,##0</c:formatCode>
                <c:ptCount val="10"/>
                <c:pt idx="0">
                  <c:v>3888</c:v>
                </c:pt>
                <c:pt idx="1">
                  <c:v>4017.6</c:v>
                </c:pt>
                <c:pt idx="2">
                  <c:v>3888</c:v>
                </c:pt>
                <c:pt idx="3">
                  <c:v>4017.6</c:v>
                </c:pt>
                <c:pt idx="4">
                  <c:v>4017.6</c:v>
                </c:pt>
                <c:pt idx="5">
                  <c:v>3888</c:v>
                </c:pt>
                <c:pt idx="6">
                  <c:v>4017.6</c:v>
                </c:pt>
                <c:pt idx="7">
                  <c:v>3888</c:v>
                </c:pt>
                <c:pt idx="8">
                  <c:v>4017.6</c:v>
                </c:pt>
                <c:pt idx="9">
                  <c:v>4017.6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26-4C9A-BD13-1DFD5197D1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5"/>
        <c:axId val="82021723"/>
        <c:axId val="56444825"/>
      </c:barChart>
      <c:catAx>
        <c:axId val="8202172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6444825"/>
        <c:crosses val="autoZero"/>
        <c:auto val="1"/>
        <c:lblAlgn val="ctr"/>
        <c:lblOffset val="100"/>
        <c:noMultiLvlLbl val="0"/>
      </c:catAx>
      <c:valAx>
        <c:axId val="5644482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  <a:prstDash val="solid"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Hours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2021723"/>
        <c:crosses val="autoZero"/>
        <c:crossBetween val="between"/>
      </c:valAx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EDM — Monthly Load vs Available Capacity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EDM_Plan!$BW$3</c:f>
              <c:strCache>
                <c:ptCount val="1"/>
                <c:pt idx="0">
                  <c:v>Load (Hrs)</c:v>
                </c:pt>
              </c:strCache>
            </c:strRef>
          </c:tx>
          <c:spPr>
            <a:solidFill>
              <a:srgbClr val="ED7D31"/>
            </a:solidFill>
            <a:ln w="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EDM_Plan!$BX$2:$CG$2</c:f>
              <c:strCache>
                <c:ptCount val="10"/>
                <c:pt idx="0">
                  <c:v>Apr-2026</c:v>
                </c:pt>
                <c:pt idx="1">
                  <c:v>May-2026</c:v>
                </c:pt>
                <c:pt idx="2">
                  <c:v>Jun-2026</c:v>
                </c:pt>
                <c:pt idx="3">
                  <c:v>Jul-2026</c:v>
                </c:pt>
                <c:pt idx="4">
                  <c:v>Aug-2026</c:v>
                </c:pt>
                <c:pt idx="5">
                  <c:v>Sep-2026</c:v>
                </c:pt>
                <c:pt idx="6">
                  <c:v>Oct-2026</c:v>
                </c:pt>
                <c:pt idx="7">
                  <c:v>Nov-2026</c:v>
                </c:pt>
                <c:pt idx="8">
                  <c:v>Dec-2026</c:v>
                </c:pt>
                <c:pt idx="9">
                  <c:v>Jan-2027</c:v>
                </c:pt>
              </c:strCache>
            </c:strRef>
          </c:cat>
          <c:val>
            <c:numRef>
              <c:f>EDM_Plan!$BX$3:$CG$3</c:f>
              <c:numCache>
                <c:formatCode>#,##0</c:formatCode>
                <c:ptCount val="10"/>
                <c:pt idx="0">
                  <c:v>676</c:v>
                </c:pt>
                <c:pt idx="1">
                  <c:v>1042</c:v>
                </c:pt>
                <c:pt idx="2">
                  <c:v>1702</c:v>
                </c:pt>
                <c:pt idx="3">
                  <c:v>1804</c:v>
                </c:pt>
                <c:pt idx="4">
                  <c:v>816</c:v>
                </c:pt>
                <c:pt idx="5">
                  <c:v>1540</c:v>
                </c:pt>
                <c:pt idx="6">
                  <c:v>336</c:v>
                </c:pt>
                <c:pt idx="7">
                  <c:v>1428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86-49F4-8541-2577B8F2694C}"/>
            </c:ext>
          </c:extLst>
        </c:ser>
        <c:ser>
          <c:idx val="1"/>
          <c:order val="1"/>
          <c:tx>
            <c:strRef>
              <c:f>EDM_Plan!$BW$4</c:f>
              <c:strCache>
                <c:ptCount val="1"/>
                <c:pt idx="0">
                  <c:v>Capacity (Hrs)</c:v>
                </c:pt>
              </c:strCache>
            </c:strRef>
          </c:tx>
          <c:spPr>
            <a:solidFill>
              <a:srgbClr val="4472C4"/>
            </a:solidFill>
            <a:ln w="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EDM_Plan!$BX$2:$CG$2</c:f>
              <c:strCache>
                <c:ptCount val="10"/>
                <c:pt idx="0">
                  <c:v>Apr-2026</c:v>
                </c:pt>
                <c:pt idx="1">
                  <c:v>May-2026</c:v>
                </c:pt>
                <c:pt idx="2">
                  <c:v>Jun-2026</c:v>
                </c:pt>
                <c:pt idx="3">
                  <c:v>Jul-2026</c:v>
                </c:pt>
                <c:pt idx="4">
                  <c:v>Aug-2026</c:v>
                </c:pt>
                <c:pt idx="5">
                  <c:v>Sep-2026</c:v>
                </c:pt>
                <c:pt idx="6">
                  <c:v>Oct-2026</c:v>
                </c:pt>
                <c:pt idx="7">
                  <c:v>Nov-2026</c:v>
                </c:pt>
                <c:pt idx="8">
                  <c:v>Dec-2026</c:v>
                </c:pt>
                <c:pt idx="9">
                  <c:v>Jan-2027</c:v>
                </c:pt>
              </c:strCache>
            </c:strRef>
          </c:cat>
          <c:val>
            <c:numRef>
              <c:f>EDM_Plan!$BX$4:$CG$4</c:f>
              <c:numCache>
                <c:formatCode>#,##0</c:formatCode>
                <c:ptCount val="10"/>
                <c:pt idx="0">
                  <c:v>19440</c:v>
                </c:pt>
                <c:pt idx="1">
                  <c:v>20088</c:v>
                </c:pt>
                <c:pt idx="2">
                  <c:v>19440</c:v>
                </c:pt>
                <c:pt idx="3">
                  <c:v>20088</c:v>
                </c:pt>
                <c:pt idx="4">
                  <c:v>20088</c:v>
                </c:pt>
                <c:pt idx="5">
                  <c:v>19440</c:v>
                </c:pt>
                <c:pt idx="6">
                  <c:v>20088</c:v>
                </c:pt>
                <c:pt idx="7">
                  <c:v>19440</c:v>
                </c:pt>
                <c:pt idx="8">
                  <c:v>20088</c:v>
                </c:pt>
                <c:pt idx="9">
                  <c:v>20088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86-49F4-8541-2577B8F269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5"/>
        <c:axId val="15330160"/>
        <c:axId val="28498414"/>
      </c:barChart>
      <c:catAx>
        <c:axId val="1533016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8498414"/>
        <c:crosses val="autoZero"/>
        <c:auto val="1"/>
        <c:lblAlgn val="ctr"/>
        <c:lblOffset val="100"/>
        <c:noMultiLvlLbl val="0"/>
      </c:catAx>
      <c:valAx>
        <c:axId val="2849841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  <a:prstDash val="solid"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Hours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330160"/>
        <c:crosses val="autoZero"/>
        <c:crossBetween val="between"/>
      </c:valAx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ENG — Monthly Load vs Available Capacity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ENG_Plan!$BW$3</c:f>
              <c:strCache>
                <c:ptCount val="1"/>
                <c:pt idx="0">
                  <c:v>Load (Hrs)</c:v>
                </c:pt>
              </c:strCache>
            </c:strRef>
          </c:tx>
          <c:spPr>
            <a:solidFill>
              <a:srgbClr val="ED7D31"/>
            </a:solidFill>
            <a:ln w="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ENG_Plan!$BX$2:$CG$2</c:f>
              <c:strCache>
                <c:ptCount val="10"/>
                <c:pt idx="0">
                  <c:v>Apr-2026</c:v>
                </c:pt>
                <c:pt idx="1">
                  <c:v>May-2026</c:v>
                </c:pt>
                <c:pt idx="2">
                  <c:v>Jun-2026</c:v>
                </c:pt>
                <c:pt idx="3">
                  <c:v>Jul-2026</c:v>
                </c:pt>
                <c:pt idx="4">
                  <c:v>Aug-2026</c:v>
                </c:pt>
                <c:pt idx="5">
                  <c:v>Sep-2026</c:v>
                </c:pt>
                <c:pt idx="6">
                  <c:v>Oct-2026</c:v>
                </c:pt>
                <c:pt idx="7">
                  <c:v>Nov-2026</c:v>
                </c:pt>
                <c:pt idx="8">
                  <c:v>Dec-2026</c:v>
                </c:pt>
                <c:pt idx="9">
                  <c:v>Jan-2027</c:v>
                </c:pt>
              </c:strCache>
            </c:strRef>
          </c:cat>
          <c:val>
            <c:numRef>
              <c:f>ENG_Plan!$BX$3:$CG$3</c:f>
              <c:numCache>
                <c:formatCode>#,##0</c:formatCode>
                <c:ptCount val="10"/>
                <c:pt idx="0">
                  <c:v>278</c:v>
                </c:pt>
                <c:pt idx="1">
                  <c:v>884</c:v>
                </c:pt>
                <c:pt idx="2">
                  <c:v>836</c:v>
                </c:pt>
                <c:pt idx="3">
                  <c:v>1238</c:v>
                </c:pt>
                <c:pt idx="4">
                  <c:v>916</c:v>
                </c:pt>
                <c:pt idx="5">
                  <c:v>1236</c:v>
                </c:pt>
                <c:pt idx="6">
                  <c:v>500</c:v>
                </c:pt>
                <c:pt idx="7">
                  <c:v>730</c:v>
                </c:pt>
                <c:pt idx="8">
                  <c:v>784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1B-427D-9A26-8AEA9D35A311}"/>
            </c:ext>
          </c:extLst>
        </c:ser>
        <c:ser>
          <c:idx val="1"/>
          <c:order val="1"/>
          <c:tx>
            <c:strRef>
              <c:f>ENG_Plan!$BW$4</c:f>
              <c:strCache>
                <c:ptCount val="1"/>
                <c:pt idx="0">
                  <c:v>Capacity (Hrs)</c:v>
                </c:pt>
              </c:strCache>
            </c:strRef>
          </c:tx>
          <c:spPr>
            <a:solidFill>
              <a:srgbClr val="4472C4"/>
            </a:solidFill>
            <a:ln w="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ENG_Plan!$BX$2:$CG$2</c:f>
              <c:strCache>
                <c:ptCount val="10"/>
                <c:pt idx="0">
                  <c:v>Apr-2026</c:v>
                </c:pt>
                <c:pt idx="1">
                  <c:v>May-2026</c:v>
                </c:pt>
                <c:pt idx="2">
                  <c:v>Jun-2026</c:v>
                </c:pt>
                <c:pt idx="3">
                  <c:v>Jul-2026</c:v>
                </c:pt>
                <c:pt idx="4">
                  <c:v>Aug-2026</c:v>
                </c:pt>
                <c:pt idx="5">
                  <c:v>Sep-2026</c:v>
                </c:pt>
                <c:pt idx="6">
                  <c:v>Oct-2026</c:v>
                </c:pt>
                <c:pt idx="7">
                  <c:v>Nov-2026</c:v>
                </c:pt>
                <c:pt idx="8">
                  <c:v>Dec-2026</c:v>
                </c:pt>
                <c:pt idx="9">
                  <c:v>Jan-2027</c:v>
                </c:pt>
              </c:strCache>
            </c:strRef>
          </c:cat>
          <c:val>
            <c:numRef>
              <c:f>ENG_Plan!$BX$4:$CG$4</c:f>
              <c:numCache>
                <c:formatCode>#,##0</c:formatCode>
                <c:ptCount val="10"/>
                <c:pt idx="0">
                  <c:v>9072</c:v>
                </c:pt>
                <c:pt idx="1">
                  <c:v>9374.4</c:v>
                </c:pt>
                <c:pt idx="2">
                  <c:v>9072</c:v>
                </c:pt>
                <c:pt idx="3">
                  <c:v>9374.4</c:v>
                </c:pt>
                <c:pt idx="4">
                  <c:v>9374.4</c:v>
                </c:pt>
                <c:pt idx="5">
                  <c:v>9072</c:v>
                </c:pt>
                <c:pt idx="6">
                  <c:v>9374.4</c:v>
                </c:pt>
                <c:pt idx="7">
                  <c:v>9072</c:v>
                </c:pt>
                <c:pt idx="8">
                  <c:v>9374.4</c:v>
                </c:pt>
                <c:pt idx="9">
                  <c:v>9374.4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1B-427D-9A26-8AEA9D35A3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5"/>
        <c:axId val="63100687"/>
        <c:axId val="38881442"/>
      </c:barChart>
      <c:catAx>
        <c:axId val="6310068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8881442"/>
        <c:crosses val="autoZero"/>
        <c:auto val="1"/>
        <c:lblAlgn val="ctr"/>
        <c:lblOffset val="100"/>
        <c:noMultiLvlLbl val="0"/>
      </c:catAx>
      <c:valAx>
        <c:axId val="3888144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  <a:prstDash val="solid"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Hours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3100687"/>
        <c:crosses val="autoZero"/>
        <c:crossBetween val="between"/>
      </c:valAx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VENT — Monthly Load vs Available Capacity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VENT_Plan!$BW$3</c:f>
              <c:strCache>
                <c:ptCount val="1"/>
                <c:pt idx="0">
                  <c:v>Load (Hrs)</c:v>
                </c:pt>
              </c:strCache>
            </c:strRef>
          </c:tx>
          <c:spPr>
            <a:solidFill>
              <a:srgbClr val="ED7D31"/>
            </a:solidFill>
            <a:ln w="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VENT_Plan!$BX$2:$CG$2</c:f>
              <c:strCache>
                <c:ptCount val="10"/>
                <c:pt idx="0">
                  <c:v>Apr-2026</c:v>
                </c:pt>
                <c:pt idx="1">
                  <c:v>May-2026</c:v>
                </c:pt>
                <c:pt idx="2">
                  <c:v>Jun-2026</c:v>
                </c:pt>
                <c:pt idx="3">
                  <c:v>Jul-2026</c:v>
                </c:pt>
                <c:pt idx="4">
                  <c:v>Aug-2026</c:v>
                </c:pt>
                <c:pt idx="5">
                  <c:v>Sep-2026</c:v>
                </c:pt>
                <c:pt idx="6">
                  <c:v>Oct-2026</c:v>
                </c:pt>
                <c:pt idx="7">
                  <c:v>Nov-2026</c:v>
                </c:pt>
                <c:pt idx="8">
                  <c:v>Dec-2026</c:v>
                </c:pt>
                <c:pt idx="9">
                  <c:v>Jan-2027</c:v>
                </c:pt>
              </c:strCache>
            </c:strRef>
          </c:cat>
          <c:val>
            <c:numRef>
              <c:f>VENT_Plan!$BX$3:$CG$3</c:f>
              <c:numCache>
                <c:formatCode>#,##0</c:formatCode>
                <c:ptCount val="10"/>
                <c:pt idx="0">
                  <c:v>122</c:v>
                </c:pt>
                <c:pt idx="1">
                  <c:v>882</c:v>
                </c:pt>
                <c:pt idx="2">
                  <c:v>460</c:v>
                </c:pt>
                <c:pt idx="3">
                  <c:v>876</c:v>
                </c:pt>
                <c:pt idx="4">
                  <c:v>1354</c:v>
                </c:pt>
                <c:pt idx="5">
                  <c:v>980</c:v>
                </c:pt>
                <c:pt idx="6">
                  <c:v>932</c:v>
                </c:pt>
                <c:pt idx="7">
                  <c:v>512</c:v>
                </c:pt>
                <c:pt idx="8">
                  <c:v>1230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AD-43BE-BBF3-0A0DAEE72A8F}"/>
            </c:ext>
          </c:extLst>
        </c:ser>
        <c:ser>
          <c:idx val="1"/>
          <c:order val="1"/>
          <c:tx>
            <c:strRef>
              <c:f>VENT_Plan!$BW$4</c:f>
              <c:strCache>
                <c:ptCount val="1"/>
                <c:pt idx="0">
                  <c:v>Capacity (Hrs)</c:v>
                </c:pt>
              </c:strCache>
            </c:strRef>
          </c:tx>
          <c:spPr>
            <a:solidFill>
              <a:srgbClr val="4472C4"/>
            </a:solidFill>
            <a:ln w="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VENT_Plan!$BX$2:$CG$2</c:f>
              <c:strCache>
                <c:ptCount val="10"/>
                <c:pt idx="0">
                  <c:v>Apr-2026</c:v>
                </c:pt>
                <c:pt idx="1">
                  <c:v>May-2026</c:v>
                </c:pt>
                <c:pt idx="2">
                  <c:v>Jun-2026</c:v>
                </c:pt>
                <c:pt idx="3">
                  <c:v>Jul-2026</c:v>
                </c:pt>
                <c:pt idx="4">
                  <c:v>Aug-2026</c:v>
                </c:pt>
                <c:pt idx="5">
                  <c:v>Sep-2026</c:v>
                </c:pt>
                <c:pt idx="6">
                  <c:v>Oct-2026</c:v>
                </c:pt>
                <c:pt idx="7">
                  <c:v>Nov-2026</c:v>
                </c:pt>
                <c:pt idx="8">
                  <c:v>Dec-2026</c:v>
                </c:pt>
                <c:pt idx="9">
                  <c:v>Jan-2027</c:v>
                </c:pt>
              </c:strCache>
            </c:strRef>
          </c:cat>
          <c:val>
            <c:numRef>
              <c:f>VENT_Plan!$BX$4:$CG$4</c:f>
              <c:numCache>
                <c:formatCode>#,##0</c:formatCode>
                <c:ptCount val="10"/>
                <c:pt idx="0">
                  <c:v>5184</c:v>
                </c:pt>
                <c:pt idx="1">
                  <c:v>5356.8</c:v>
                </c:pt>
                <c:pt idx="2">
                  <c:v>5184</c:v>
                </c:pt>
                <c:pt idx="3">
                  <c:v>5356.8</c:v>
                </c:pt>
                <c:pt idx="4">
                  <c:v>5356.8</c:v>
                </c:pt>
                <c:pt idx="5">
                  <c:v>5184</c:v>
                </c:pt>
                <c:pt idx="6">
                  <c:v>5356.8</c:v>
                </c:pt>
                <c:pt idx="7">
                  <c:v>5184</c:v>
                </c:pt>
                <c:pt idx="8">
                  <c:v>5356.8</c:v>
                </c:pt>
                <c:pt idx="9">
                  <c:v>5356.8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AD-43BE-BBF3-0A0DAEE72A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5"/>
        <c:axId val="79722267"/>
        <c:axId val="78536815"/>
      </c:barChart>
      <c:catAx>
        <c:axId val="7972226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8536815"/>
        <c:crosses val="autoZero"/>
        <c:auto val="1"/>
        <c:lblAlgn val="ctr"/>
        <c:lblOffset val="100"/>
        <c:noMultiLvlLbl val="0"/>
      </c:catAx>
      <c:valAx>
        <c:axId val="7853681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  <a:prstDash val="solid"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Hours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9722267"/>
        <c:crosses val="autoZero"/>
        <c:crossBetween val="between"/>
      </c:valAx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FID — Monthly Load vs Available Capacity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FID_Plan!$BW$3</c:f>
              <c:strCache>
                <c:ptCount val="1"/>
                <c:pt idx="0">
                  <c:v>Load (Hrs)</c:v>
                </c:pt>
              </c:strCache>
            </c:strRef>
          </c:tx>
          <c:spPr>
            <a:solidFill>
              <a:srgbClr val="ED7D31"/>
            </a:solidFill>
            <a:ln w="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FID_Plan!$BX$2:$CG$2</c:f>
              <c:strCache>
                <c:ptCount val="10"/>
                <c:pt idx="0">
                  <c:v>Apr-2026</c:v>
                </c:pt>
                <c:pt idx="1">
                  <c:v>May-2026</c:v>
                </c:pt>
                <c:pt idx="2">
                  <c:v>Jun-2026</c:v>
                </c:pt>
                <c:pt idx="3">
                  <c:v>Jul-2026</c:v>
                </c:pt>
                <c:pt idx="4">
                  <c:v>Aug-2026</c:v>
                </c:pt>
                <c:pt idx="5">
                  <c:v>Sep-2026</c:v>
                </c:pt>
                <c:pt idx="6">
                  <c:v>Oct-2026</c:v>
                </c:pt>
                <c:pt idx="7">
                  <c:v>Nov-2026</c:v>
                </c:pt>
                <c:pt idx="8">
                  <c:v>Dec-2026</c:v>
                </c:pt>
                <c:pt idx="9">
                  <c:v>Jan-2027</c:v>
                </c:pt>
              </c:strCache>
            </c:strRef>
          </c:cat>
          <c:val>
            <c:numRef>
              <c:f>FID_Plan!$BX$3:$CG$3</c:f>
              <c:numCache>
                <c:formatCode>#,##0</c:formatCode>
                <c:ptCount val="10"/>
                <c:pt idx="0">
                  <c:v>56</c:v>
                </c:pt>
                <c:pt idx="1">
                  <c:v>544</c:v>
                </c:pt>
                <c:pt idx="2">
                  <c:v>670</c:v>
                </c:pt>
                <c:pt idx="3">
                  <c:v>492</c:v>
                </c:pt>
                <c:pt idx="4">
                  <c:v>1038</c:v>
                </c:pt>
                <c:pt idx="5">
                  <c:v>996</c:v>
                </c:pt>
                <c:pt idx="6">
                  <c:v>1228</c:v>
                </c:pt>
                <c:pt idx="7">
                  <c:v>506</c:v>
                </c:pt>
                <c:pt idx="8">
                  <c:v>410</c:v>
                </c:pt>
                <c:pt idx="9">
                  <c:v>542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00-4141-96AC-5CB03906FA7D}"/>
            </c:ext>
          </c:extLst>
        </c:ser>
        <c:ser>
          <c:idx val="1"/>
          <c:order val="1"/>
          <c:tx>
            <c:strRef>
              <c:f>FID_Plan!$BW$4</c:f>
              <c:strCache>
                <c:ptCount val="1"/>
                <c:pt idx="0">
                  <c:v>Capacity (Hrs)</c:v>
                </c:pt>
              </c:strCache>
            </c:strRef>
          </c:tx>
          <c:spPr>
            <a:solidFill>
              <a:srgbClr val="4472C4"/>
            </a:solidFill>
            <a:ln w="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FID_Plan!$BX$2:$CG$2</c:f>
              <c:strCache>
                <c:ptCount val="10"/>
                <c:pt idx="0">
                  <c:v>Apr-2026</c:v>
                </c:pt>
                <c:pt idx="1">
                  <c:v>May-2026</c:v>
                </c:pt>
                <c:pt idx="2">
                  <c:v>Jun-2026</c:v>
                </c:pt>
                <c:pt idx="3">
                  <c:v>Jul-2026</c:v>
                </c:pt>
                <c:pt idx="4">
                  <c:v>Aug-2026</c:v>
                </c:pt>
                <c:pt idx="5">
                  <c:v>Sep-2026</c:v>
                </c:pt>
                <c:pt idx="6">
                  <c:v>Oct-2026</c:v>
                </c:pt>
                <c:pt idx="7">
                  <c:v>Nov-2026</c:v>
                </c:pt>
                <c:pt idx="8">
                  <c:v>Dec-2026</c:v>
                </c:pt>
                <c:pt idx="9">
                  <c:v>Jan-2027</c:v>
                </c:pt>
              </c:strCache>
            </c:strRef>
          </c:cat>
          <c:val>
            <c:numRef>
              <c:f>FID_Plan!$BX$4:$CG$4</c:f>
              <c:numCache>
                <c:formatCode>#,##0</c:formatCode>
                <c:ptCount val="10"/>
                <c:pt idx="0">
                  <c:v>6480</c:v>
                </c:pt>
                <c:pt idx="1">
                  <c:v>6696</c:v>
                </c:pt>
                <c:pt idx="2">
                  <c:v>6480</c:v>
                </c:pt>
                <c:pt idx="3">
                  <c:v>6696</c:v>
                </c:pt>
                <c:pt idx="4">
                  <c:v>6696</c:v>
                </c:pt>
                <c:pt idx="5">
                  <c:v>6480</c:v>
                </c:pt>
                <c:pt idx="6">
                  <c:v>6696</c:v>
                </c:pt>
                <c:pt idx="7">
                  <c:v>6480</c:v>
                </c:pt>
                <c:pt idx="8">
                  <c:v>6696</c:v>
                </c:pt>
                <c:pt idx="9">
                  <c:v>6696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00-4141-96AC-5CB03906FA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5"/>
        <c:axId val="30824032"/>
        <c:axId val="17731668"/>
      </c:barChart>
      <c:catAx>
        <c:axId val="3082403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7731668"/>
        <c:crosses val="autoZero"/>
        <c:auto val="1"/>
        <c:lblAlgn val="ctr"/>
        <c:lblOffset val="100"/>
        <c:noMultiLvlLbl val="0"/>
      </c:catAx>
      <c:valAx>
        <c:axId val="1773166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  <a:prstDash val="solid"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Hours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0824032"/>
        <c:crosses val="autoZero"/>
        <c:crossBetween val="between"/>
      </c:valAx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QC — Monthly Load vs Available Capacity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QC_Plan!$BW$3</c:f>
              <c:strCache>
                <c:ptCount val="1"/>
                <c:pt idx="0">
                  <c:v>Load (Hrs)</c:v>
                </c:pt>
              </c:strCache>
            </c:strRef>
          </c:tx>
          <c:spPr>
            <a:solidFill>
              <a:srgbClr val="ED7D31"/>
            </a:solidFill>
            <a:ln w="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QC_Plan!$BX$2:$CG$2</c:f>
              <c:strCache>
                <c:ptCount val="10"/>
                <c:pt idx="0">
                  <c:v>Apr-2026</c:v>
                </c:pt>
                <c:pt idx="1">
                  <c:v>May-2026</c:v>
                </c:pt>
                <c:pt idx="2">
                  <c:v>Jun-2026</c:v>
                </c:pt>
                <c:pt idx="3">
                  <c:v>Jul-2026</c:v>
                </c:pt>
                <c:pt idx="4">
                  <c:v>Aug-2026</c:v>
                </c:pt>
                <c:pt idx="5">
                  <c:v>Sep-2026</c:v>
                </c:pt>
                <c:pt idx="6">
                  <c:v>Oct-2026</c:v>
                </c:pt>
                <c:pt idx="7">
                  <c:v>Nov-2026</c:v>
                </c:pt>
                <c:pt idx="8">
                  <c:v>Dec-2026</c:v>
                </c:pt>
                <c:pt idx="9">
                  <c:v>Jan-2027</c:v>
                </c:pt>
              </c:strCache>
            </c:strRef>
          </c:cat>
          <c:val>
            <c:numRef>
              <c:f>QC_Plan!$BX$3:$CG$3</c:f>
              <c:numCache>
                <c:formatCode>#,##0</c:formatCode>
                <c:ptCount val="10"/>
                <c:pt idx="0">
                  <c:v>66</c:v>
                </c:pt>
                <c:pt idx="1">
                  <c:v>302</c:v>
                </c:pt>
                <c:pt idx="2">
                  <c:v>554</c:v>
                </c:pt>
                <c:pt idx="3">
                  <c:v>156</c:v>
                </c:pt>
                <c:pt idx="4">
                  <c:v>920</c:v>
                </c:pt>
                <c:pt idx="5">
                  <c:v>654</c:v>
                </c:pt>
                <c:pt idx="6">
                  <c:v>1084</c:v>
                </c:pt>
                <c:pt idx="7">
                  <c:v>564</c:v>
                </c:pt>
                <c:pt idx="8">
                  <c:v>258</c:v>
                </c:pt>
                <c:pt idx="9">
                  <c:v>880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58-498F-ABB1-D0710F3BD644}"/>
            </c:ext>
          </c:extLst>
        </c:ser>
        <c:ser>
          <c:idx val="1"/>
          <c:order val="1"/>
          <c:tx>
            <c:strRef>
              <c:f>QC_Plan!$BW$4</c:f>
              <c:strCache>
                <c:ptCount val="1"/>
                <c:pt idx="0">
                  <c:v>Capacity (Hrs)</c:v>
                </c:pt>
              </c:strCache>
            </c:strRef>
          </c:tx>
          <c:spPr>
            <a:solidFill>
              <a:srgbClr val="4472C4"/>
            </a:solidFill>
            <a:ln w="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QC_Plan!$BX$2:$CG$2</c:f>
              <c:strCache>
                <c:ptCount val="10"/>
                <c:pt idx="0">
                  <c:v>Apr-2026</c:v>
                </c:pt>
                <c:pt idx="1">
                  <c:v>May-2026</c:v>
                </c:pt>
                <c:pt idx="2">
                  <c:v>Jun-2026</c:v>
                </c:pt>
                <c:pt idx="3">
                  <c:v>Jul-2026</c:v>
                </c:pt>
                <c:pt idx="4">
                  <c:v>Aug-2026</c:v>
                </c:pt>
                <c:pt idx="5">
                  <c:v>Sep-2026</c:v>
                </c:pt>
                <c:pt idx="6">
                  <c:v>Oct-2026</c:v>
                </c:pt>
                <c:pt idx="7">
                  <c:v>Nov-2026</c:v>
                </c:pt>
                <c:pt idx="8">
                  <c:v>Dec-2026</c:v>
                </c:pt>
                <c:pt idx="9">
                  <c:v>Jan-2027</c:v>
                </c:pt>
              </c:strCache>
            </c:strRef>
          </c:cat>
          <c:val>
            <c:numRef>
              <c:f>QC_Plan!$BX$4:$CG$4</c:f>
              <c:numCache>
                <c:formatCode>#,##0</c:formatCode>
                <c:ptCount val="10"/>
                <c:pt idx="0">
                  <c:v>3240</c:v>
                </c:pt>
                <c:pt idx="1">
                  <c:v>3348</c:v>
                </c:pt>
                <c:pt idx="2">
                  <c:v>3240</c:v>
                </c:pt>
                <c:pt idx="3">
                  <c:v>3348</c:v>
                </c:pt>
                <c:pt idx="4">
                  <c:v>3348</c:v>
                </c:pt>
                <c:pt idx="5">
                  <c:v>3240</c:v>
                </c:pt>
                <c:pt idx="6">
                  <c:v>3348</c:v>
                </c:pt>
                <c:pt idx="7">
                  <c:v>3240</c:v>
                </c:pt>
                <c:pt idx="8">
                  <c:v>3348</c:v>
                </c:pt>
                <c:pt idx="9">
                  <c:v>3348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58-498F-ABB1-D0710F3BD6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5"/>
        <c:axId val="2974279"/>
        <c:axId val="13518995"/>
      </c:barChart>
      <c:catAx>
        <c:axId val="297427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518995"/>
        <c:crosses val="autoZero"/>
        <c:auto val="1"/>
        <c:lblAlgn val="ctr"/>
        <c:lblOffset val="100"/>
        <c:noMultiLvlLbl val="0"/>
      </c:catAx>
      <c:valAx>
        <c:axId val="1351899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  <a:prstDash val="solid"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Hours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974279"/>
        <c:crosses val="autoZero"/>
        <c:crossBetween val="between"/>
      </c:valAx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Machine Utilization % by Stage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Dashboard!$F$8</c:f>
              <c:strCache>
                <c:ptCount val="1"/>
                <c:pt idx="0">
                  <c:v>Utilization %</c:v>
                </c:pt>
              </c:strCache>
            </c:strRef>
          </c:tx>
          <c:spPr>
            <a:solidFill>
              <a:srgbClr val="4472C4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Dashboard!$B$9:$B$16</c:f>
              <c:strCache>
                <c:ptCount val="8"/>
                <c:pt idx="0">
                  <c:v>VTL</c:v>
                </c:pt>
                <c:pt idx="1">
                  <c:v>SPM</c:v>
                </c:pt>
                <c:pt idx="2">
                  <c:v>CARVING</c:v>
                </c:pt>
                <c:pt idx="3">
                  <c:v>EDM</c:v>
                </c:pt>
                <c:pt idx="4">
                  <c:v>ENG</c:v>
                </c:pt>
                <c:pt idx="5">
                  <c:v>VENT</c:v>
                </c:pt>
                <c:pt idx="6">
                  <c:v>FID</c:v>
                </c:pt>
                <c:pt idx="7">
                  <c:v>QC</c:v>
                </c:pt>
              </c:strCache>
            </c:strRef>
          </c:cat>
          <c:val>
            <c:numRef>
              <c:f>Dashboard!$F$9:$F$16</c:f>
              <c:numCache>
                <c:formatCode>0%</c:formatCode>
                <c:ptCount val="8"/>
                <c:pt idx="0">
                  <c:v>0.33559577677224733</c:v>
                </c:pt>
                <c:pt idx="1">
                  <c:v>0.3347159376571141</c:v>
                </c:pt>
                <c:pt idx="2">
                  <c:v>0.26910507792860733</c:v>
                </c:pt>
                <c:pt idx="3">
                  <c:v>5.4700854700854701E-2</c:v>
                </c:pt>
                <c:pt idx="4">
                  <c:v>0.1259965524671407</c:v>
                </c:pt>
                <c:pt idx="5">
                  <c:v>0.17585784313725492</c:v>
                </c:pt>
                <c:pt idx="6">
                  <c:v>0.13940422322775264</c:v>
                </c:pt>
                <c:pt idx="7">
                  <c:v>0.24600301659125187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66-4B08-8956-E6A2B187662E}"/>
            </c:ext>
          </c:extLst>
        </c:ser>
        <c:ser>
          <c:idx val="1"/>
          <c:order val="1"/>
          <c:tx>
            <c:strRef>
              <c:f>Dashboard!$G$8</c:f>
              <c:strCache>
                <c:ptCount val="1"/>
                <c:pt idx="0">
                  <c:v>Target 90%</c:v>
                </c:pt>
              </c:strCache>
            </c:strRef>
          </c:tx>
          <c:spPr>
            <a:solidFill>
              <a:srgbClr val="000050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Dashboard!$B$9:$B$16</c:f>
              <c:strCache>
                <c:ptCount val="8"/>
                <c:pt idx="0">
                  <c:v>VTL</c:v>
                </c:pt>
                <c:pt idx="1">
                  <c:v>SPM</c:v>
                </c:pt>
                <c:pt idx="2">
                  <c:v>CARVING</c:v>
                </c:pt>
                <c:pt idx="3">
                  <c:v>EDM</c:v>
                </c:pt>
                <c:pt idx="4">
                  <c:v>ENG</c:v>
                </c:pt>
                <c:pt idx="5">
                  <c:v>VENT</c:v>
                </c:pt>
                <c:pt idx="6">
                  <c:v>FID</c:v>
                </c:pt>
                <c:pt idx="7">
                  <c:v>QC</c:v>
                </c:pt>
              </c:strCache>
            </c:strRef>
          </c:cat>
          <c:val>
            <c:numRef>
              <c:f>Dashboard!$G$9:$G$16</c:f>
              <c:numCache>
                <c:formatCode>General</c:formatCode>
                <c:ptCount val="8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0.9</c:v>
                </c:pt>
                <c:pt idx="6">
                  <c:v>0.9</c:v>
                </c:pt>
                <c:pt idx="7">
                  <c:v>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66-4B08-8956-E6A2B18766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823360"/>
        <c:axId val="67010494"/>
      </c:barChart>
      <c:catAx>
        <c:axId val="2082336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Operation Stage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7010494"/>
        <c:crosses val="autoZero"/>
        <c:auto val="1"/>
        <c:lblAlgn val="ctr"/>
        <c:lblOffset val="100"/>
        <c:noMultiLvlLbl val="0"/>
      </c:catAx>
      <c:valAx>
        <c:axId val="67010494"/>
        <c:scaling>
          <c:orientation val="minMax"/>
          <c:max val="1.2"/>
        </c:scaling>
        <c:delete val="0"/>
        <c:axPos val="l"/>
        <c:majorGridlines>
          <c:spPr>
            <a:ln w="0">
              <a:solidFill>
                <a:srgbClr val="B3B3B3"/>
              </a:solidFill>
              <a:prstDash val="solid"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Utilization %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823360"/>
        <c:crosses val="autoZero"/>
        <c:crossBetween val="between"/>
      </c:valAx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Capacity vs Load by Operation (Hrs)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Dashboard!$D$8</c:f>
              <c:strCache>
                <c:ptCount val="1"/>
                <c:pt idx="0">
                  <c:v>Total Load (Hrs)</c:v>
                </c:pt>
              </c:strCache>
            </c:strRef>
          </c:tx>
          <c:spPr>
            <a:solidFill>
              <a:srgbClr val="ED7D31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Dashboard!$B$9:$B$16</c:f>
              <c:strCache>
                <c:ptCount val="8"/>
                <c:pt idx="0">
                  <c:v>VTL</c:v>
                </c:pt>
                <c:pt idx="1">
                  <c:v>SPM</c:v>
                </c:pt>
                <c:pt idx="2">
                  <c:v>CARVING</c:v>
                </c:pt>
                <c:pt idx="3">
                  <c:v>EDM</c:v>
                </c:pt>
                <c:pt idx="4">
                  <c:v>ENG</c:v>
                </c:pt>
                <c:pt idx="5">
                  <c:v>VENT</c:v>
                </c:pt>
                <c:pt idx="6">
                  <c:v>FID</c:v>
                </c:pt>
                <c:pt idx="7">
                  <c:v>QC</c:v>
                </c:pt>
              </c:strCache>
            </c:strRef>
          </c:cat>
          <c:val>
            <c:numRef>
              <c:f>Dashboard!$D$9:$D$16</c:f>
              <c:numCache>
                <c:formatCode>#,##0</c:formatCode>
                <c:ptCount val="8"/>
                <c:pt idx="0">
                  <c:v>7120</c:v>
                </c:pt>
                <c:pt idx="1">
                  <c:v>10652</c:v>
                </c:pt>
                <c:pt idx="2">
                  <c:v>8564</c:v>
                </c:pt>
                <c:pt idx="3">
                  <c:v>8704</c:v>
                </c:pt>
                <c:pt idx="4">
                  <c:v>9356</c:v>
                </c:pt>
                <c:pt idx="5">
                  <c:v>7462</c:v>
                </c:pt>
                <c:pt idx="6">
                  <c:v>7394</c:v>
                </c:pt>
                <c:pt idx="7">
                  <c:v>6524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1C-481E-9721-28F9A42A9246}"/>
            </c:ext>
          </c:extLst>
        </c:ser>
        <c:ser>
          <c:idx val="1"/>
          <c:order val="1"/>
          <c:tx>
            <c:strRef>
              <c:f>Dashboard!$E$8</c:f>
              <c:strCache>
                <c:ptCount val="1"/>
                <c:pt idx="0">
                  <c:v>Capacity (Hrs)</c:v>
                </c:pt>
              </c:strCache>
            </c:strRef>
          </c:tx>
          <c:spPr>
            <a:solidFill>
              <a:srgbClr val="70AD47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Dashboard!$B$9:$B$16</c:f>
              <c:strCache>
                <c:ptCount val="8"/>
                <c:pt idx="0">
                  <c:v>VTL</c:v>
                </c:pt>
                <c:pt idx="1">
                  <c:v>SPM</c:v>
                </c:pt>
                <c:pt idx="2">
                  <c:v>CARVING</c:v>
                </c:pt>
                <c:pt idx="3">
                  <c:v>EDM</c:v>
                </c:pt>
                <c:pt idx="4">
                  <c:v>ENG</c:v>
                </c:pt>
                <c:pt idx="5">
                  <c:v>VENT</c:v>
                </c:pt>
                <c:pt idx="6">
                  <c:v>FID</c:v>
                </c:pt>
                <c:pt idx="7">
                  <c:v>QC</c:v>
                </c:pt>
              </c:strCache>
            </c:strRef>
          </c:cat>
          <c:val>
            <c:numRef>
              <c:f>Dashboard!$E$9:$E$16</c:f>
              <c:numCache>
                <c:formatCode>#,##0</c:formatCode>
                <c:ptCount val="8"/>
                <c:pt idx="0">
                  <c:v>21216</c:v>
                </c:pt>
                <c:pt idx="1">
                  <c:v>31824</c:v>
                </c:pt>
                <c:pt idx="2">
                  <c:v>31824</c:v>
                </c:pt>
                <c:pt idx="3">
                  <c:v>159120</c:v>
                </c:pt>
                <c:pt idx="4">
                  <c:v>74256</c:v>
                </c:pt>
                <c:pt idx="5">
                  <c:v>42432</c:v>
                </c:pt>
                <c:pt idx="6">
                  <c:v>53040</c:v>
                </c:pt>
                <c:pt idx="7">
                  <c:v>26520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1C-481E-9721-28F9A42A92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10"/>
        <c:axId val="90592833"/>
        <c:axId val="14643181"/>
      </c:barChart>
      <c:catAx>
        <c:axId val="9059283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Operation Stage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4643181"/>
        <c:crosses val="autoZero"/>
        <c:auto val="1"/>
        <c:lblAlgn val="ctr"/>
        <c:lblOffset val="100"/>
        <c:noMultiLvlLbl val="0"/>
      </c:catAx>
      <c:valAx>
        <c:axId val="1464318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  <a:prstDash val="solid"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Hours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0592833"/>
        <c:crosses val="autoZero"/>
        <c:crossBetween val="between"/>
      </c:valAx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Current vs Scenario Utilization %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WhatIf_Scenario!$H$4</c:f>
              <c:strCache>
                <c:ptCount val="1"/>
                <c:pt idx="0">
                  <c:v>Current Util%</c:v>
                </c:pt>
              </c:strCache>
            </c:strRef>
          </c:tx>
          <c:spPr>
            <a:solidFill>
              <a:srgbClr val="ED7D31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WhatIf_Scenario!$E$5:$E$12</c:f>
              <c:strCache>
                <c:ptCount val="8"/>
                <c:pt idx="0">
                  <c:v>VTL</c:v>
                </c:pt>
                <c:pt idx="1">
                  <c:v>SPM</c:v>
                </c:pt>
                <c:pt idx="2">
                  <c:v>CARVING</c:v>
                </c:pt>
                <c:pt idx="3">
                  <c:v>EDM</c:v>
                </c:pt>
                <c:pt idx="4">
                  <c:v>ENG</c:v>
                </c:pt>
                <c:pt idx="5">
                  <c:v>VENT</c:v>
                </c:pt>
                <c:pt idx="6">
                  <c:v>FID</c:v>
                </c:pt>
                <c:pt idx="7">
                  <c:v>QC</c:v>
                </c:pt>
              </c:strCache>
            </c:strRef>
          </c:cat>
          <c:val>
            <c:numRef>
              <c:f>WhatIf_Scenario!$H$5:$H$12</c:f>
              <c:numCache>
                <c:formatCode>0%</c:formatCode>
                <c:ptCount val="8"/>
                <c:pt idx="0">
                  <c:v>0.33559577677224733</c:v>
                </c:pt>
                <c:pt idx="1">
                  <c:v>0.3347159376571141</c:v>
                </c:pt>
                <c:pt idx="2">
                  <c:v>0.26910507792860733</c:v>
                </c:pt>
                <c:pt idx="3">
                  <c:v>5.4700854700854701E-2</c:v>
                </c:pt>
                <c:pt idx="4">
                  <c:v>0.1259965524671407</c:v>
                </c:pt>
                <c:pt idx="5">
                  <c:v>0.17585784313725492</c:v>
                </c:pt>
                <c:pt idx="6">
                  <c:v>0.13940422322775264</c:v>
                </c:pt>
                <c:pt idx="7">
                  <c:v>0.24600301659125187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B7-4859-AA08-AD8AB7F4C8D1}"/>
            </c:ext>
          </c:extLst>
        </c:ser>
        <c:ser>
          <c:idx val="1"/>
          <c:order val="1"/>
          <c:tx>
            <c:strRef>
              <c:f>WhatIf_Scenario!$J$4</c:f>
              <c:strCache>
                <c:ptCount val="1"/>
                <c:pt idx="0">
                  <c:v>Scenario Util%</c:v>
                </c:pt>
              </c:strCache>
            </c:strRef>
          </c:tx>
          <c:spPr>
            <a:solidFill>
              <a:srgbClr val="70AD47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WhatIf_Scenario!$E$5:$E$12</c:f>
              <c:strCache>
                <c:ptCount val="8"/>
                <c:pt idx="0">
                  <c:v>VTL</c:v>
                </c:pt>
                <c:pt idx="1">
                  <c:v>SPM</c:v>
                </c:pt>
                <c:pt idx="2">
                  <c:v>CARVING</c:v>
                </c:pt>
                <c:pt idx="3">
                  <c:v>EDM</c:v>
                </c:pt>
                <c:pt idx="4">
                  <c:v>ENG</c:v>
                </c:pt>
                <c:pt idx="5">
                  <c:v>VENT</c:v>
                </c:pt>
                <c:pt idx="6">
                  <c:v>FID</c:v>
                </c:pt>
                <c:pt idx="7">
                  <c:v>QC</c:v>
                </c:pt>
              </c:strCache>
            </c:strRef>
          </c:cat>
          <c:val>
            <c:numRef>
              <c:f>WhatIf_Scenario!$J$5:$J$12</c:f>
              <c:numCache>
                <c:formatCode>0%</c:formatCode>
                <c:ptCount val="8"/>
                <c:pt idx="0">
                  <c:v>0.37288419641360815</c:v>
                </c:pt>
                <c:pt idx="1">
                  <c:v>0.37190659739679344</c:v>
                </c:pt>
                <c:pt idx="2">
                  <c:v>0.29900564214289704</c:v>
                </c:pt>
                <c:pt idx="3">
                  <c:v>6.0778727445394115E-2</c:v>
                </c:pt>
                <c:pt idx="4">
                  <c:v>0.13999616940793411</c:v>
                </c:pt>
                <c:pt idx="5">
                  <c:v>0.19539760348583876</c:v>
                </c:pt>
                <c:pt idx="6">
                  <c:v>0.15489358136416959</c:v>
                </c:pt>
                <c:pt idx="7">
                  <c:v>0.27333668510139097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B7-4859-AA08-AD8AB7F4C8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9503955"/>
        <c:axId val="79808342"/>
      </c:barChart>
      <c:catAx>
        <c:axId val="5950395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9808342"/>
        <c:crosses val="autoZero"/>
        <c:auto val="1"/>
        <c:lblAlgn val="ctr"/>
        <c:lblOffset val="100"/>
        <c:noMultiLvlLbl val="0"/>
      </c:catAx>
      <c:valAx>
        <c:axId val="7980834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  <a:prstDash val="solid"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Utilization %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9503955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75</xdr:col>
      <xdr:colOff>26894</xdr:colOff>
      <xdr:row>4</xdr:row>
      <xdr:rowOff>125507</xdr:rowOff>
    </xdr:from>
    <xdr:to>
      <xdr:col>84</xdr:col>
      <xdr:colOff>519952</xdr:colOff>
      <xdr:row>14</xdr:row>
      <xdr:rowOff>179294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75</xdr:col>
      <xdr:colOff>32657</xdr:colOff>
      <xdr:row>4</xdr:row>
      <xdr:rowOff>174171</xdr:rowOff>
    </xdr:from>
    <xdr:to>
      <xdr:col>85</xdr:col>
      <xdr:colOff>32657</xdr:colOff>
      <xdr:row>14</xdr:row>
      <xdr:rowOff>87085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75</xdr:col>
      <xdr:colOff>8964</xdr:colOff>
      <xdr:row>4</xdr:row>
      <xdr:rowOff>98613</xdr:rowOff>
    </xdr:from>
    <xdr:to>
      <xdr:col>84</xdr:col>
      <xdr:colOff>439271</xdr:colOff>
      <xdr:row>12</xdr:row>
      <xdr:rowOff>259976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75</xdr:col>
      <xdr:colOff>22860</xdr:colOff>
      <xdr:row>4</xdr:row>
      <xdr:rowOff>114300</xdr:rowOff>
    </xdr:from>
    <xdr:to>
      <xdr:col>84</xdr:col>
      <xdr:colOff>533400</xdr:colOff>
      <xdr:row>12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74</xdr:col>
      <xdr:colOff>816430</xdr:colOff>
      <xdr:row>4</xdr:row>
      <xdr:rowOff>97972</xdr:rowOff>
    </xdr:from>
    <xdr:to>
      <xdr:col>84</xdr:col>
      <xdr:colOff>544286</xdr:colOff>
      <xdr:row>12</xdr:row>
      <xdr:rowOff>250372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75</xdr:col>
      <xdr:colOff>27708</xdr:colOff>
      <xdr:row>4</xdr:row>
      <xdr:rowOff>166255</xdr:rowOff>
    </xdr:from>
    <xdr:to>
      <xdr:col>84</xdr:col>
      <xdr:colOff>374072</xdr:colOff>
      <xdr:row>13</xdr:row>
      <xdr:rowOff>304800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75</xdr:col>
      <xdr:colOff>21771</xdr:colOff>
      <xdr:row>5</xdr:row>
      <xdr:rowOff>0</xdr:rowOff>
    </xdr:from>
    <xdr:to>
      <xdr:col>85</xdr:col>
      <xdr:colOff>32656</xdr:colOff>
      <xdr:row>12</xdr:row>
      <xdr:rowOff>152399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75</xdr:col>
      <xdr:colOff>43543</xdr:colOff>
      <xdr:row>4</xdr:row>
      <xdr:rowOff>163286</xdr:rowOff>
    </xdr:from>
    <xdr:to>
      <xdr:col>85</xdr:col>
      <xdr:colOff>87085</xdr:colOff>
      <xdr:row>17</xdr:row>
      <xdr:rowOff>10885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554182</xdr:colOff>
      <xdr:row>17</xdr:row>
      <xdr:rowOff>124691</xdr:rowOff>
    </xdr:from>
    <xdr:to>
      <xdr:col>16</xdr:col>
      <xdr:colOff>803564</xdr:colOff>
      <xdr:row>33</xdr:row>
      <xdr:rowOff>41564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540326</xdr:colOff>
      <xdr:row>1</xdr:row>
      <xdr:rowOff>69274</xdr:rowOff>
    </xdr:from>
    <xdr:to>
      <xdr:col>16</xdr:col>
      <xdr:colOff>775855</xdr:colOff>
      <xdr:row>16</xdr:row>
      <xdr:rowOff>110837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12</xdr:row>
      <xdr:rowOff>20880</xdr:rowOff>
    </xdr:from>
    <xdr:to>
      <xdr:col>12</xdr:col>
      <xdr:colOff>329760</xdr:colOff>
      <xdr:row>34</xdr:row>
      <xdr:rowOff>141840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18"/>
  <sheetViews>
    <sheetView zoomScaleNormal="100" workbookViewId="0">
      <selection activeCell="I7" sqref="I7"/>
    </sheetView>
  </sheetViews>
  <sheetFormatPr defaultColWidth="8.6640625" defaultRowHeight="14.4" x14ac:dyDescent="0.3"/>
  <cols>
    <col min="1" max="1" width="7" bestFit="1" customWidth="1"/>
    <col min="2" max="2" width="8.5546875" bestFit="1" customWidth="1"/>
    <col min="3" max="4" width="5.5546875" bestFit="1" customWidth="1"/>
    <col min="5" max="5" width="12" bestFit="1" customWidth="1"/>
    <col min="6" max="6" width="7.77734375" bestFit="1" customWidth="1"/>
    <col min="7" max="7" width="8.44140625" bestFit="1" customWidth="1"/>
    <col min="8" max="8" width="17.77734375" bestFit="1" customWidth="1"/>
    <col min="9" max="9" width="13" style="78" customWidth="1"/>
    <col min="10" max="10" width="13" customWidth="1"/>
    <col min="11" max="11" width="8.109375" style="78" customWidth="1"/>
    <col min="12" max="100" width="13" customWidth="1"/>
  </cols>
  <sheetData>
    <row r="2" spans="1:13" ht="15" customHeight="1" x14ac:dyDescent="0.3">
      <c r="H2" s="9" t="s">
        <v>97</v>
      </c>
      <c r="I2" s="78">
        <v>0.8</v>
      </c>
    </row>
    <row r="3" spans="1:13" ht="15" customHeight="1" x14ac:dyDescent="0.3">
      <c r="A3" s="9" t="s">
        <v>98</v>
      </c>
      <c r="B3" s="9" t="s">
        <v>99</v>
      </c>
      <c r="C3" s="9" t="s">
        <v>100</v>
      </c>
      <c r="D3" s="9" t="s">
        <v>101</v>
      </c>
      <c r="E3" s="9" t="s">
        <v>102</v>
      </c>
      <c r="F3" s="9" t="s">
        <v>103</v>
      </c>
      <c r="G3" s="9" t="s">
        <v>104</v>
      </c>
      <c r="H3" s="9" t="s">
        <v>105</v>
      </c>
      <c r="I3" s="9" t="s">
        <v>106</v>
      </c>
      <c r="J3" s="9" t="str">
        <f>B3</f>
        <v>Category</v>
      </c>
      <c r="K3" s="9" t="s">
        <v>105</v>
      </c>
      <c r="L3" s="9" t="s">
        <v>4</v>
      </c>
      <c r="M3" s="9" t="s">
        <v>3</v>
      </c>
    </row>
    <row r="4" spans="1:13" ht="15" customHeight="1" x14ac:dyDescent="0.3">
      <c r="A4" s="10" t="s">
        <v>107</v>
      </c>
      <c r="B4" s="10" t="str">
        <f>J$4</f>
        <v>Gen</v>
      </c>
      <c r="C4" s="21">
        <v>0.29166666666666669</v>
      </c>
      <c r="D4" s="21">
        <v>0.625</v>
      </c>
      <c r="E4" s="10" t="s">
        <v>108</v>
      </c>
      <c r="F4" s="10">
        <f>IF(B4="General Workman",40,0)</f>
        <v>0</v>
      </c>
      <c r="G4" s="10">
        <f>IF(B4="Contract Workman",60,0)</f>
        <v>0</v>
      </c>
      <c r="H4" s="10">
        <f>ROUND((IF(D4&lt;C4,D4+1,D4)-C4)*24,0)</f>
        <v>8</v>
      </c>
      <c r="I4" s="10">
        <f>H4-I$2</f>
        <v>7.2</v>
      </c>
      <c r="J4" s="10" t="s">
        <v>109</v>
      </c>
      <c r="K4" s="108">
        <f>SUM(I4:I6)</f>
        <v>21.6</v>
      </c>
      <c r="L4" s="10" t="s">
        <v>14</v>
      </c>
      <c r="M4" s="10">
        <v>9</v>
      </c>
    </row>
    <row r="5" spans="1:13" ht="15" customHeight="1" x14ac:dyDescent="0.3">
      <c r="A5" s="10" t="s">
        <v>110</v>
      </c>
      <c r="B5" s="10" t="str">
        <f>J$4</f>
        <v>Gen</v>
      </c>
      <c r="C5" s="21">
        <v>0.625</v>
      </c>
      <c r="D5" s="21">
        <v>0.95833333333333337</v>
      </c>
      <c r="E5" s="10" t="s">
        <v>111</v>
      </c>
      <c r="F5" s="10">
        <f>IF(B5="General Workman",40,0)</f>
        <v>0</v>
      </c>
      <c r="G5" s="10">
        <f>IF(B5="Contract Workman",60,0)</f>
        <v>0</v>
      </c>
      <c r="H5" s="10">
        <f>ROUND((IF(D5&lt;C5,D5+1,D5)-C5)*24,0)</f>
        <v>8</v>
      </c>
      <c r="I5" s="10">
        <f>H5-I$2</f>
        <v>7.2</v>
      </c>
      <c r="J5" s="10" t="s">
        <v>112</v>
      </c>
      <c r="K5" s="108">
        <f>SUM(I7:I8)</f>
        <v>22.4</v>
      </c>
      <c r="L5" s="10" t="s">
        <v>25</v>
      </c>
      <c r="M5" s="10">
        <v>15</v>
      </c>
    </row>
    <row r="6" spans="1:13" ht="15" customHeight="1" x14ac:dyDescent="0.3">
      <c r="A6" s="10" t="s">
        <v>113</v>
      </c>
      <c r="B6" s="10" t="str">
        <f>J$4</f>
        <v>Gen</v>
      </c>
      <c r="C6" s="21">
        <v>0.95833333333333337</v>
      </c>
      <c r="D6" s="21">
        <v>0.29166666666666669</v>
      </c>
      <c r="E6" s="10" t="s">
        <v>114</v>
      </c>
      <c r="F6" s="10">
        <f>IF(B6="General Workman",40,0)</f>
        <v>0</v>
      </c>
      <c r="G6" s="10">
        <f>IF(B6="Contract Workman",60,0)</f>
        <v>0</v>
      </c>
      <c r="H6" s="10">
        <f>ROUND((IF(D6&lt;C6,D6+1,D6)-C6)*24,0)</f>
        <v>8</v>
      </c>
      <c r="I6" s="10">
        <f>H6-I$2</f>
        <v>7.2</v>
      </c>
      <c r="L6" s="10" t="s">
        <v>19</v>
      </c>
      <c r="M6" s="10">
        <v>17</v>
      </c>
    </row>
    <row r="7" spans="1:13" ht="15" customHeight="1" x14ac:dyDescent="0.3">
      <c r="A7" s="10" t="s">
        <v>115</v>
      </c>
      <c r="B7" s="10" t="str">
        <f>J$5</f>
        <v>Cont</v>
      </c>
      <c r="C7" s="21">
        <v>0.33333333333333331</v>
      </c>
      <c r="D7" s="21">
        <v>0.83333333333333337</v>
      </c>
      <c r="E7" s="10" t="s">
        <v>116</v>
      </c>
      <c r="F7" s="10">
        <f>IF(B7="General Workman",40,0)</f>
        <v>0</v>
      </c>
      <c r="G7" s="10">
        <f>IF(B7="Contract Workman",60,0)</f>
        <v>0</v>
      </c>
      <c r="H7" s="10">
        <f>ROUND((IF(D7&lt;C7,D7+1,D7)-C7)*24,0)</f>
        <v>12</v>
      </c>
      <c r="I7" s="10">
        <f>H7-I$2</f>
        <v>11.2</v>
      </c>
      <c r="L7" s="10" t="s">
        <v>23</v>
      </c>
      <c r="M7" s="10">
        <v>20</v>
      </c>
    </row>
    <row r="8" spans="1:13" ht="15" customHeight="1" x14ac:dyDescent="0.3">
      <c r="A8" s="10" t="s">
        <v>117</v>
      </c>
      <c r="B8" s="10" t="str">
        <f>J$5</f>
        <v>Cont</v>
      </c>
      <c r="C8" s="21">
        <v>0.83333333333333337</v>
      </c>
      <c r="D8" s="21">
        <v>0.33333333333333331</v>
      </c>
      <c r="E8" s="10" t="s">
        <v>118</v>
      </c>
      <c r="F8" s="10">
        <f>IF(B8="General Workman",40,0)</f>
        <v>0</v>
      </c>
      <c r="G8" s="10">
        <f>IF(B8="Contract Workman",60,0)</f>
        <v>0</v>
      </c>
      <c r="H8" s="10">
        <f>ROUND((IF(D8&lt;C8,D8+1,D8)-C8)*24,0)</f>
        <v>12</v>
      </c>
      <c r="I8" s="10">
        <f>H8-I$2</f>
        <v>11.2</v>
      </c>
      <c r="L8" s="30" t="s">
        <v>119</v>
      </c>
      <c r="M8" s="10">
        <v>25</v>
      </c>
    </row>
    <row r="9" spans="1:13" ht="15" customHeight="1" x14ac:dyDescent="0.3">
      <c r="L9" s="30" t="s">
        <v>120</v>
      </c>
      <c r="M9" s="10">
        <v>28</v>
      </c>
    </row>
    <row r="10" spans="1:13" ht="15" customHeight="1" x14ac:dyDescent="0.3">
      <c r="L10" s="30" t="s">
        <v>121</v>
      </c>
      <c r="M10" s="10">
        <v>30</v>
      </c>
    </row>
    <row r="11" spans="1:13" ht="15" customHeight="1" x14ac:dyDescent="0.3">
      <c r="M11" s="10">
        <v>34</v>
      </c>
    </row>
    <row r="12" spans="1:13" ht="15" customHeight="1" x14ac:dyDescent="0.3">
      <c r="M12" s="10">
        <v>42</v>
      </c>
    </row>
    <row r="13" spans="1:13" ht="15" customHeight="1" x14ac:dyDescent="0.3">
      <c r="M13" s="10">
        <v>46</v>
      </c>
    </row>
    <row r="14" spans="1:13" ht="15" customHeight="1" x14ac:dyDescent="0.3">
      <c r="M14" s="10">
        <v>50</v>
      </c>
    </row>
    <row r="15" spans="1:13" ht="15" customHeight="1" x14ac:dyDescent="0.3">
      <c r="M15" s="10">
        <v>54</v>
      </c>
    </row>
    <row r="16" spans="1:13" ht="15" customHeight="1" x14ac:dyDescent="0.3">
      <c r="M16" s="10">
        <v>57</v>
      </c>
    </row>
    <row r="17" spans="13:13" ht="15" customHeight="1" x14ac:dyDescent="0.3">
      <c r="M17" s="10">
        <v>63</v>
      </c>
    </row>
    <row r="18" spans="13:13" ht="15" customHeight="1" x14ac:dyDescent="0.3">
      <c r="M18" s="10">
        <v>70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J86"/>
  <sheetViews>
    <sheetView zoomScaleNormal="100" workbookViewId="0">
      <selection activeCell="J3" sqref="J3"/>
    </sheetView>
  </sheetViews>
  <sheetFormatPr defaultColWidth="8.6640625" defaultRowHeight="14.4" x14ac:dyDescent="0.3"/>
  <cols>
    <col min="1" max="6" width="13" customWidth="1"/>
    <col min="7" max="7" width="16.6640625" bestFit="1" customWidth="1"/>
    <col min="8" max="8" width="11.77734375" style="14" customWidth="1"/>
    <col min="9" max="9" width="18.33203125" style="14" customWidth="1"/>
    <col min="10" max="10" width="43.33203125" style="110" bestFit="1" customWidth="1"/>
    <col min="11" max="100" width="13" customWidth="1"/>
  </cols>
  <sheetData>
    <row r="3" spans="1:10" ht="30.6" customHeight="1" x14ac:dyDescent="0.3">
      <c r="A3" s="101" t="s">
        <v>122</v>
      </c>
      <c r="B3" s="101" t="s">
        <v>123</v>
      </c>
      <c r="C3" s="101" t="s">
        <v>124</v>
      </c>
      <c r="D3" s="101" t="s">
        <v>125</v>
      </c>
      <c r="E3" s="101" t="s">
        <v>126</v>
      </c>
      <c r="F3" s="101" t="s">
        <v>10</v>
      </c>
      <c r="G3" s="101" t="s">
        <v>127</v>
      </c>
      <c r="H3" s="101" t="s">
        <v>128</v>
      </c>
      <c r="I3" s="101" t="s">
        <v>129</v>
      </c>
      <c r="J3" s="111" t="s">
        <v>130</v>
      </c>
    </row>
    <row r="4" spans="1:10" ht="15" customHeight="1" x14ac:dyDescent="0.3">
      <c r="A4" s="10" t="s">
        <v>131</v>
      </c>
      <c r="B4" s="10" t="s">
        <v>132</v>
      </c>
      <c r="C4" s="22">
        <v>46133</v>
      </c>
      <c r="D4" s="10">
        <v>6</v>
      </c>
      <c r="E4" s="10">
        <v>4</v>
      </c>
      <c r="F4" s="10" t="s">
        <v>133</v>
      </c>
      <c r="G4" s="23" t="s">
        <v>134</v>
      </c>
      <c r="H4" s="14">
        <v>100</v>
      </c>
      <c r="I4" s="14">
        <v>1600</v>
      </c>
      <c r="J4" s="110" t="str">
        <f>IFERROR(LEFT(IF((OPR_2P!$J$4&gt;=H4)*(OPR_2P!$K$4&lt;=I4), OPR_2P!$A$4 &amp; ", ", "") &amp; IF((OPR_2P!$J$5&gt;=H4)*(OPR_2P!$K$5&lt;=I4), OPR_2P!$A$5 &amp; ", ", "") &amp; IF((OPR_2P!$J$6&gt;=H4)*(OPR_2P!$K$6&lt;=I4), OPR_2P!$A$6 &amp; ", ", "") &amp; IF((OPR_2P!$J$7&gt;=H4)*(OPR_2P!$K$7&lt;=I4), OPR_2P!$A$7 &amp; ", ", "") &amp; IF((OPR_2P!$J$8&gt;=H4)*(OPR_2P!$K$8&lt;=I4), OPR_2P!$A$8 &amp; ", ", "") &amp; IF((OPR_2P!$J$9&gt;=H4)*(OPR_2P!$K$9&lt;=I4), OPR_2P!$A$9 &amp; ", ", "") &amp; IF((OPR_2P!$J$10&gt;=H4)*(OPR_2P!$K$10&lt;=I4), OPR_2P!$A$10 &amp; ", ", "") &amp; IF((OPR_2P!$J$11&gt;=H4)*(OPR_2P!$K$11&lt;=I4), OPR_2P!$A$11 &amp; ", ", "") &amp; IF((OPR_2P!$J$12&gt;=H4)*(OPR_2P!$K$12&lt;=I4), OPR_2P!$A$12 &amp; ", ", "") &amp; IF((OPR_2P!$J$13&gt;=H4)*(OPR_2P!$K$13&lt;=I4), OPR_2P!$A$13 &amp; ", ", "") &amp; IF((OPR_2P!$J$14&gt;=H4)*(OPR_2P!$K$14&lt;=I4), OPR_2P!$A$14 &amp; ", ", "") &amp; IF((OPR_2P!$J$15&gt;=H4)*(OPR_2P!$K$15&lt;=I4), OPR_2P!$A$15 &amp; ", ", "") &amp; IF((OPR_2P!$J$16&gt;=H4)*(OPR_2P!$K$16&lt;=I4), OPR_2P!$A$16 &amp; ", ", "") &amp; IF((OPR_2P!$J$17&gt;=H4)*(OPR_2P!$K$17&lt;=I4), OPR_2P!$A$17 &amp; ", ", "") &amp; IF((OPR_2P!$J$18&gt;=H4)*(OPR_2P!$K$18&lt;=I4), OPR_2P!$A$18 &amp; ", ", ""), LEN(IF((OPR_2P!$J$4&gt;=H4)*(OPR_2P!$K$4&lt;=I4), OPR_2P!$A$4 &amp; ", ", "") &amp; IF((OPR_2P!$J$5&gt;=H4)*(OPR_2P!$K$5&lt;=I4), OPR_2P!$A$5 &amp; ", ", "") &amp; IF((OPR_2P!$J$6&gt;=H4)*(OPR_2P!$K$6&lt;=I4), OPR_2P!$A$6 &amp; ", ", "") &amp; IF((OPR_2P!$J$7&gt;=H4)*(OPR_2P!$K$7&lt;=I4), OPR_2P!$A$7 &amp; ", ", "") &amp; IF((OPR_2P!$J$8&gt;=H4)*(OPR_2P!$K$8&lt;=I4), OPR_2P!$A$8 &amp; ", ", "") &amp; IF((OPR_2P!$J$9&gt;=H4)*(OPR_2P!$K$9&lt;=I4), OPR_2P!$A$9 &amp; ", ", "") &amp; IF((OPR_2P!$J$10&gt;=H4)*(OPR_2P!$K$10&lt;=I4), OPR_2P!$A$10 &amp; ", ", "") &amp; IF((OPR_2P!$J$11&gt;=H4)*(OPR_2P!$K$11&lt;=I4), OPR_2P!$A$11 &amp; ", ", "") &amp; IF((OPR_2P!$J$12&gt;=H4)*(OPR_2P!$K$12&lt;=I4), OPR_2P!$A$12 &amp; ", ", "") &amp; IF((OPR_2P!$J$13&gt;=H4)*(OPR_2P!$K$13&lt;=I4), OPR_2P!$A$13 &amp; ", ", "") &amp; IF((OPR_2P!$J$14&gt;=H4)*(OPR_2P!$K$14&lt;=I4), OPR_2P!$A$14 &amp; ", ", "") &amp; IF((OPR_2P!$J$15&gt;=H4)*(OPR_2P!$K$15&lt;=I4), OPR_2P!$A$15 &amp; ", ", "") &amp; IF((OPR_2P!$J$16&gt;=H4)*(OPR_2P!$K$16&lt;=I4), OPR_2P!$A$16 &amp; ", ", "") &amp; IF((OPR_2P!$J$17&gt;=H4)*(OPR_2P!$K$17&lt;=I4), OPR_2P!$A$17 &amp; ", ", "") &amp; IF((OPR_2P!$J$18&gt;=H4)*(OPR_2P!$K$18&lt;=I4), OPR_2P!$A$18 &amp; ", ", ""))-2), "None")</f>
        <v>9, 15, 17, 20, 25, 28</v>
      </c>
    </row>
    <row r="5" spans="1:10" ht="15" customHeight="1" x14ac:dyDescent="0.3">
      <c r="A5" s="10" t="s">
        <v>131</v>
      </c>
      <c r="B5" s="10" t="s">
        <v>135</v>
      </c>
      <c r="C5" s="22">
        <v>46521</v>
      </c>
      <c r="D5" s="10">
        <v>6</v>
      </c>
      <c r="E5" s="10">
        <v>4</v>
      </c>
      <c r="F5" s="10" t="s">
        <v>133</v>
      </c>
      <c r="G5" s="23" t="s">
        <v>134</v>
      </c>
      <c r="H5" s="14">
        <v>600</v>
      </c>
      <c r="I5" s="14">
        <v>2500</v>
      </c>
      <c r="J5" s="110" t="str">
        <f>IFERROR(LEFT(IF((OPR_2P!$J$4&gt;=H5)*(OPR_2P!$K$4&lt;=I5), OPR_2P!$A$4 &amp; ", ", "") &amp; IF((OPR_2P!$J$5&gt;=H5)*(OPR_2P!$K$5&lt;=I5), OPR_2P!$A$5 &amp; ", ", "") &amp; IF((OPR_2P!$J$6&gt;=H5)*(OPR_2P!$K$6&lt;=I5), OPR_2P!$A$6 &amp; ", ", "") &amp; IF((OPR_2P!$J$7&gt;=H5)*(OPR_2P!$K$7&lt;=I5), OPR_2P!$A$7 &amp; ", ", "") &amp; IF((OPR_2P!$J$8&gt;=H5)*(OPR_2P!$K$8&lt;=I5), OPR_2P!$A$8 &amp; ", ", "") &amp; IF((OPR_2P!$J$9&gt;=H5)*(OPR_2P!$K$9&lt;=I5), OPR_2P!$A$9 &amp; ", ", "") &amp; IF((OPR_2P!$J$10&gt;=H5)*(OPR_2P!$K$10&lt;=I5), OPR_2P!$A$10 &amp; ", ", "") &amp; IF((OPR_2P!$J$11&gt;=H5)*(OPR_2P!$K$11&lt;=I5), OPR_2P!$A$11 &amp; ", ", "") &amp; IF((OPR_2P!$J$12&gt;=H5)*(OPR_2P!$K$12&lt;=I5), OPR_2P!$A$12 &amp; ", ", "") &amp; IF((OPR_2P!$J$13&gt;=H5)*(OPR_2P!$K$13&lt;=I5), OPR_2P!$A$13 &amp; ", ", "") &amp; IF((OPR_2P!$J$14&gt;=H5)*(OPR_2P!$K$14&lt;=I5), OPR_2P!$A$14 &amp; ", ", "") &amp; IF((OPR_2P!$J$15&gt;=H5)*(OPR_2P!$K$15&lt;=I5), OPR_2P!$A$15 &amp; ", ", "") &amp; IF((OPR_2P!$J$16&gt;=H5)*(OPR_2P!$K$16&lt;=I5), OPR_2P!$A$16 &amp; ", ", "") &amp; IF((OPR_2P!$J$17&gt;=H5)*(OPR_2P!$K$17&lt;=I5), OPR_2P!$A$17 &amp; ", ", "") &amp; IF((OPR_2P!$J$18&gt;=H5)*(OPR_2P!$K$18&lt;=I5), OPR_2P!$A$18 &amp; ", ", ""), LEN(IF((OPR_2P!$J$4&gt;=H5)*(OPR_2P!$K$4&lt;=I5), OPR_2P!$A$4 &amp; ", ", "") &amp; IF((OPR_2P!$J$5&gt;=H5)*(OPR_2P!$K$5&lt;=I5), OPR_2P!$A$5 &amp; ", ", "") &amp; IF((OPR_2P!$J$6&gt;=H5)*(OPR_2P!$K$6&lt;=I5), OPR_2P!$A$6 &amp; ", ", "") &amp; IF((OPR_2P!$J$7&gt;=H5)*(OPR_2P!$K$7&lt;=I5), OPR_2P!$A$7 &amp; ", ", "") &amp; IF((OPR_2P!$J$8&gt;=H5)*(OPR_2P!$K$8&lt;=I5), OPR_2P!$A$8 &amp; ", ", "") &amp; IF((OPR_2P!$J$9&gt;=H5)*(OPR_2P!$K$9&lt;=I5), OPR_2P!$A$9 &amp; ", ", "") &amp; IF((OPR_2P!$J$10&gt;=H5)*(OPR_2P!$K$10&lt;=I5), OPR_2P!$A$10 &amp; ", ", "") &amp; IF((OPR_2P!$J$11&gt;=H5)*(OPR_2P!$K$11&lt;=I5), OPR_2P!$A$11 &amp; ", ", "") &amp; IF((OPR_2P!$J$12&gt;=H5)*(OPR_2P!$K$12&lt;=I5), OPR_2P!$A$12 &amp; ", ", "") &amp; IF((OPR_2P!$J$13&gt;=H5)*(OPR_2P!$K$13&lt;=I5), OPR_2P!$A$13 &amp; ", ", "") &amp; IF((OPR_2P!$J$14&gt;=H5)*(OPR_2P!$K$14&lt;=I5), OPR_2P!$A$14 &amp; ", ", "") &amp; IF((OPR_2P!$J$15&gt;=H5)*(OPR_2P!$K$15&lt;=I5), OPR_2P!$A$15 &amp; ", ", "") &amp; IF((OPR_2P!$J$16&gt;=H5)*(OPR_2P!$K$16&lt;=I5), OPR_2P!$A$16 &amp; ", ", "") &amp; IF((OPR_2P!$J$17&gt;=H5)*(OPR_2P!$K$17&lt;=I5), OPR_2P!$A$17 &amp; ", ", "") &amp; IF((OPR_2P!$J$18&gt;=H5)*(OPR_2P!$K$18&lt;=I5), OPR_2P!$A$18 &amp; ", ", ""))-2), "None")</f>
        <v>20, 25, 28, 30, 34, 42, 46</v>
      </c>
    </row>
    <row r="6" spans="1:10" ht="15" customHeight="1" x14ac:dyDescent="0.3">
      <c r="A6" s="10" t="s">
        <v>131</v>
      </c>
      <c r="B6" s="10" t="s">
        <v>136</v>
      </c>
      <c r="C6" s="22">
        <v>46174</v>
      </c>
      <c r="D6" s="10">
        <v>6</v>
      </c>
      <c r="E6" s="10">
        <v>4</v>
      </c>
      <c r="F6" s="10" t="s">
        <v>133</v>
      </c>
      <c r="G6" s="23" t="s">
        <v>134</v>
      </c>
      <c r="H6" s="14">
        <v>800</v>
      </c>
      <c r="I6" s="14">
        <v>3500</v>
      </c>
      <c r="J6" s="110" t="str">
        <f>IFERROR(LEFT(IF((OPR_2P!$J$4&gt;=H6)*(OPR_2P!$K$4&lt;=I6), OPR_2P!$A$4 &amp; ", ", "") &amp; IF((OPR_2P!$J$5&gt;=H6)*(OPR_2P!$K$5&lt;=I6), OPR_2P!$A$5 &amp; ", ", "") &amp; IF((OPR_2P!$J$6&gt;=H6)*(OPR_2P!$K$6&lt;=I6), OPR_2P!$A$6 &amp; ", ", "") &amp; IF((OPR_2P!$J$7&gt;=H6)*(OPR_2P!$K$7&lt;=I6), OPR_2P!$A$7 &amp; ", ", "") &amp; IF((OPR_2P!$J$8&gt;=H6)*(OPR_2P!$K$8&lt;=I6), OPR_2P!$A$8 &amp; ", ", "") &amp; IF((OPR_2P!$J$9&gt;=H6)*(OPR_2P!$K$9&lt;=I6), OPR_2P!$A$9 &amp; ", ", "") &amp; IF((OPR_2P!$J$10&gt;=H6)*(OPR_2P!$K$10&lt;=I6), OPR_2P!$A$10 &amp; ", ", "") &amp; IF((OPR_2P!$J$11&gt;=H6)*(OPR_2P!$K$11&lt;=I6), OPR_2P!$A$11 &amp; ", ", "") &amp; IF((OPR_2P!$J$12&gt;=H6)*(OPR_2P!$K$12&lt;=I6), OPR_2P!$A$12 &amp; ", ", "") &amp; IF((OPR_2P!$J$13&gt;=H6)*(OPR_2P!$K$13&lt;=I6), OPR_2P!$A$13 &amp; ", ", "") &amp; IF((OPR_2P!$J$14&gt;=H6)*(OPR_2P!$K$14&lt;=I6), OPR_2P!$A$14 &amp; ", ", "") &amp; IF((OPR_2P!$J$15&gt;=H6)*(OPR_2P!$K$15&lt;=I6), OPR_2P!$A$15 &amp; ", ", "") &amp; IF((OPR_2P!$J$16&gt;=H6)*(OPR_2P!$K$16&lt;=I6), OPR_2P!$A$16 &amp; ", ", "") &amp; IF((OPR_2P!$J$17&gt;=H6)*(OPR_2P!$K$17&lt;=I6), OPR_2P!$A$17 &amp; ", ", "") &amp; IF((OPR_2P!$J$18&gt;=H6)*(OPR_2P!$K$18&lt;=I6), OPR_2P!$A$18 &amp; ", ", ""), LEN(IF((OPR_2P!$J$4&gt;=H6)*(OPR_2P!$K$4&lt;=I6), OPR_2P!$A$4 &amp; ", ", "") &amp; IF((OPR_2P!$J$5&gt;=H6)*(OPR_2P!$K$5&lt;=I6), OPR_2P!$A$5 &amp; ", ", "") &amp; IF((OPR_2P!$J$6&gt;=H6)*(OPR_2P!$K$6&lt;=I6), OPR_2P!$A$6 &amp; ", ", "") &amp; IF((OPR_2P!$J$7&gt;=H6)*(OPR_2P!$K$7&lt;=I6), OPR_2P!$A$7 &amp; ", ", "") &amp; IF((OPR_2P!$J$8&gt;=H6)*(OPR_2P!$K$8&lt;=I6), OPR_2P!$A$8 &amp; ", ", "") &amp; IF((OPR_2P!$J$9&gt;=H6)*(OPR_2P!$K$9&lt;=I6), OPR_2P!$A$9 &amp; ", ", "") &amp; IF((OPR_2P!$J$10&gt;=H6)*(OPR_2P!$K$10&lt;=I6), OPR_2P!$A$10 &amp; ", ", "") &amp; IF((OPR_2P!$J$11&gt;=H6)*(OPR_2P!$K$11&lt;=I6), OPR_2P!$A$11 &amp; ", ", "") &amp; IF((OPR_2P!$J$12&gt;=H6)*(OPR_2P!$K$12&lt;=I6), OPR_2P!$A$12 &amp; ", ", "") &amp; IF((OPR_2P!$J$13&gt;=H6)*(OPR_2P!$K$13&lt;=I6), OPR_2P!$A$13 &amp; ", ", "") &amp; IF((OPR_2P!$J$14&gt;=H6)*(OPR_2P!$K$14&lt;=I6), OPR_2P!$A$14 &amp; ", ", "") &amp; IF((OPR_2P!$J$15&gt;=H6)*(OPR_2P!$K$15&lt;=I6), OPR_2P!$A$15 &amp; ", ", "") &amp; IF((OPR_2P!$J$16&gt;=H6)*(OPR_2P!$K$16&lt;=I6), OPR_2P!$A$16 &amp; ", ", "") &amp; IF((OPR_2P!$J$17&gt;=H6)*(OPR_2P!$K$17&lt;=I6), OPR_2P!$A$17 &amp; ", ", "") &amp; IF((OPR_2P!$J$18&gt;=H6)*(OPR_2P!$K$18&lt;=I6), OPR_2P!$A$18 &amp; ", ", ""))-2), "None")</f>
        <v>25, 28, 30, 34, 42, 46, 50, 54, 57, 63, 70</v>
      </c>
    </row>
    <row r="7" spans="1:10" ht="15" customHeight="1" x14ac:dyDescent="0.3">
      <c r="A7" s="10" t="s">
        <v>131</v>
      </c>
      <c r="B7" s="10" t="s">
        <v>137</v>
      </c>
      <c r="C7" s="22">
        <v>46517</v>
      </c>
      <c r="D7" s="10">
        <v>6</v>
      </c>
      <c r="E7" s="10">
        <v>4</v>
      </c>
      <c r="F7" s="10" t="s">
        <v>133</v>
      </c>
      <c r="G7" s="23" t="s">
        <v>134</v>
      </c>
      <c r="H7" s="14">
        <v>1000</v>
      </c>
      <c r="I7" s="14">
        <v>4500</v>
      </c>
      <c r="J7" s="110" t="str">
        <f>IFERROR(LEFT(IF((OPR_2P!$J$4&gt;=H7)*(OPR_2P!$K$4&lt;=I7), OPR_2P!$A$4 &amp; ", ", "") &amp; IF((OPR_2P!$J$5&gt;=H7)*(OPR_2P!$K$5&lt;=I7), OPR_2P!$A$5 &amp; ", ", "") &amp; IF((OPR_2P!$J$6&gt;=H7)*(OPR_2P!$K$6&lt;=I7), OPR_2P!$A$6 &amp; ", ", "") &amp; IF((OPR_2P!$J$7&gt;=H7)*(OPR_2P!$K$7&lt;=I7), OPR_2P!$A$7 &amp; ", ", "") &amp; IF((OPR_2P!$J$8&gt;=H7)*(OPR_2P!$K$8&lt;=I7), OPR_2P!$A$8 &amp; ", ", "") &amp; IF((OPR_2P!$J$9&gt;=H7)*(OPR_2P!$K$9&lt;=I7), OPR_2P!$A$9 &amp; ", ", "") &amp; IF((OPR_2P!$J$10&gt;=H7)*(OPR_2P!$K$10&lt;=I7), OPR_2P!$A$10 &amp; ", ", "") &amp; IF((OPR_2P!$J$11&gt;=H7)*(OPR_2P!$K$11&lt;=I7), OPR_2P!$A$11 &amp; ", ", "") &amp; IF((OPR_2P!$J$12&gt;=H7)*(OPR_2P!$K$12&lt;=I7), OPR_2P!$A$12 &amp; ", ", "") &amp; IF((OPR_2P!$J$13&gt;=H7)*(OPR_2P!$K$13&lt;=I7), OPR_2P!$A$13 &amp; ", ", "") &amp; IF((OPR_2P!$J$14&gt;=H7)*(OPR_2P!$K$14&lt;=I7), OPR_2P!$A$14 &amp; ", ", "") &amp; IF((OPR_2P!$J$15&gt;=H7)*(OPR_2P!$K$15&lt;=I7), OPR_2P!$A$15 &amp; ", ", "") &amp; IF((OPR_2P!$J$16&gt;=H7)*(OPR_2P!$K$16&lt;=I7), OPR_2P!$A$16 &amp; ", ", "") &amp; IF((OPR_2P!$J$17&gt;=H7)*(OPR_2P!$K$17&lt;=I7), OPR_2P!$A$17 &amp; ", ", "") &amp; IF((OPR_2P!$J$18&gt;=H7)*(OPR_2P!$K$18&lt;=I7), OPR_2P!$A$18 &amp; ", ", ""), LEN(IF((OPR_2P!$J$4&gt;=H7)*(OPR_2P!$K$4&lt;=I7), OPR_2P!$A$4 &amp; ", ", "") &amp; IF((OPR_2P!$J$5&gt;=H7)*(OPR_2P!$K$5&lt;=I7), OPR_2P!$A$5 &amp; ", ", "") &amp; IF((OPR_2P!$J$6&gt;=H7)*(OPR_2P!$K$6&lt;=I7), OPR_2P!$A$6 &amp; ", ", "") &amp; IF((OPR_2P!$J$7&gt;=H7)*(OPR_2P!$K$7&lt;=I7), OPR_2P!$A$7 &amp; ", ", "") &amp; IF((OPR_2P!$J$8&gt;=H7)*(OPR_2P!$K$8&lt;=I7), OPR_2P!$A$8 &amp; ", ", "") &amp; IF((OPR_2P!$J$9&gt;=H7)*(OPR_2P!$K$9&lt;=I7), OPR_2P!$A$9 &amp; ", ", "") &amp; IF((OPR_2P!$J$10&gt;=H7)*(OPR_2P!$K$10&lt;=I7), OPR_2P!$A$10 &amp; ", ", "") &amp; IF((OPR_2P!$J$11&gt;=H7)*(OPR_2P!$K$11&lt;=I7), OPR_2P!$A$11 &amp; ", ", "") &amp; IF((OPR_2P!$J$12&gt;=H7)*(OPR_2P!$K$12&lt;=I7), OPR_2P!$A$12 &amp; ", ", "") &amp; IF((OPR_2P!$J$13&gt;=H7)*(OPR_2P!$K$13&lt;=I7), OPR_2P!$A$13 &amp; ", ", "") &amp; IF((OPR_2P!$J$14&gt;=H7)*(OPR_2P!$K$14&lt;=I7), OPR_2P!$A$14 &amp; ", ", "") &amp; IF((OPR_2P!$J$15&gt;=H7)*(OPR_2P!$K$15&lt;=I7), OPR_2P!$A$15 &amp; ", ", "") &amp; IF((OPR_2P!$J$16&gt;=H7)*(OPR_2P!$K$16&lt;=I7), OPR_2P!$A$16 &amp; ", ", "") &amp; IF((OPR_2P!$J$17&gt;=H7)*(OPR_2P!$K$17&lt;=I7), OPR_2P!$A$17 &amp; ", ", "") &amp; IF((OPR_2P!$J$18&gt;=H7)*(OPR_2P!$K$18&lt;=I7), OPR_2P!$A$18 &amp; ", ", ""))-2), "None")</f>
        <v>28, 30, 34, 42, 46, 50, 54, 57, 63, 70</v>
      </c>
    </row>
    <row r="8" spans="1:10" ht="15" customHeight="1" x14ac:dyDescent="0.3">
      <c r="A8" s="10" t="s">
        <v>138</v>
      </c>
      <c r="B8" s="10" t="s">
        <v>139</v>
      </c>
      <c r="C8" s="22">
        <v>46285</v>
      </c>
      <c r="D8" s="10">
        <v>6</v>
      </c>
      <c r="E8" s="10">
        <v>4</v>
      </c>
      <c r="F8" s="10" t="s">
        <v>133</v>
      </c>
      <c r="G8" s="23" t="s">
        <v>134</v>
      </c>
      <c r="H8" s="14">
        <v>100</v>
      </c>
      <c r="I8" s="14">
        <v>3500</v>
      </c>
      <c r="J8" s="110" t="str">
        <f>IFERROR(LEFT(IF((OPR_2P!$J$4&gt;=H8)*(OPR_2P!$K$4&lt;=I8), OPR_2P!$A$4 &amp; ", ", "") &amp; IF((OPR_2P!$J$5&gt;=H8)*(OPR_2P!$K$5&lt;=I8), OPR_2P!$A$5 &amp; ", ", "") &amp; IF((OPR_2P!$J$6&gt;=H8)*(OPR_2P!$K$6&lt;=I8), OPR_2P!$A$6 &amp; ", ", "") &amp; IF((OPR_2P!$J$7&gt;=H8)*(OPR_2P!$K$7&lt;=I8), OPR_2P!$A$7 &amp; ", ", "") &amp; IF((OPR_2P!$J$8&gt;=H8)*(OPR_2P!$K$8&lt;=I8), OPR_2P!$A$8 &amp; ", ", "") &amp; IF((OPR_2P!$J$9&gt;=H8)*(OPR_2P!$K$9&lt;=I8), OPR_2P!$A$9 &amp; ", ", "") &amp; IF((OPR_2P!$J$10&gt;=H8)*(OPR_2P!$K$10&lt;=I8), OPR_2P!$A$10 &amp; ", ", "") &amp; IF((OPR_2P!$J$11&gt;=H8)*(OPR_2P!$K$11&lt;=I8), OPR_2P!$A$11 &amp; ", ", "") &amp; IF((OPR_2P!$J$12&gt;=H8)*(OPR_2P!$K$12&lt;=I8), OPR_2P!$A$12 &amp; ", ", "") &amp; IF((OPR_2P!$J$13&gt;=H8)*(OPR_2P!$K$13&lt;=I8), OPR_2P!$A$13 &amp; ", ", "") &amp; IF((OPR_2P!$J$14&gt;=H8)*(OPR_2P!$K$14&lt;=I8), OPR_2P!$A$14 &amp; ", ", "") &amp; IF((OPR_2P!$J$15&gt;=H8)*(OPR_2P!$K$15&lt;=I8), OPR_2P!$A$15 &amp; ", ", "") &amp; IF((OPR_2P!$J$16&gt;=H8)*(OPR_2P!$K$16&lt;=I8), OPR_2P!$A$16 &amp; ", ", "") &amp; IF((OPR_2P!$J$17&gt;=H8)*(OPR_2P!$K$17&lt;=I8), OPR_2P!$A$17 &amp; ", ", "") &amp; IF((OPR_2P!$J$18&gt;=H8)*(OPR_2P!$K$18&lt;=I8), OPR_2P!$A$18 &amp; ", ", ""), LEN(IF((OPR_2P!$J$4&gt;=H8)*(OPR_2P!$K$4&lt;=I8), OPR_2P!$A$4 &amp; ", ", "") &amp; IF((OPR_2P!$J$5&gt;=H8)*(OPR_2P!$K$5&lt;=I8), OPR_2P!$A$5 &amp; ", ", "") &amp; IF((OPR_2P!$J$6&gt;=H8)*(OPR_2P!$K$6&lt;=I8), OPR_2P!$A$6 &amp; ", ", "") &amp; IF((OPR_2P!$J$7&gt;=H8)*(OPR_2P!$K$7&lt;=I8), OPR_2P!$A$7 &amp; ", ", "") &amp; IF((OPR_2P!$J$8&gt;=H8)*(OPR_2P!$K$8&lt;=I8), OPR_2P!$A$8 &amp; ", ", "") &amp; IF((OPR_2P!$J$9&gt;=H8)*(OPR_2P!$K$9&lt;=I8), OPR_2P!$A$9 &amp; ", ", "") &amp; IF((OPR_2P!$J$10&gt;=H8)*(OPR_2P!$K$10&lt;=I8), OPR_2P!$A$10 &amp; ", ", "") &amp; IF((OPR_2P!$J$11&gt;=H8)*(OPR_2P!$K$11&lt;=I8), OPR_2P!$A$11 &amp; ", ", "") &amp; IF((OPR_2P!$J$12&gt;=H8)*(OPR_2P!$K$12&lt;=I8), OPR_2P!$A$12 &amp; ", ", "") &amp; IF((OPR_2P!$J$13&gt;=H8)*(OPR_2P!$K$13&lt;=I8), OPR_2P!$A$13 &amp; ", ", "") &amp; IF((OPR_2P!$J$14&gt;=H8)*(OPR_2P!$K$14&lt;=I8), OPR_2P!$A$14 &amp; ", ", "") &amp; IF((OPR_2P!$J$15&gt;=H8)*(OPR_2P!$K$15&lt;=I8), OPR_2P!$A$15 &amp; ", ", "") &amp; IF((OPR_2P!$J$16&gt;=H8)*(OPR_2P!$K$16&lt;=I8), OPR_2P!$A$16 &amp; ", ", "") &amp; IF((OPR_2P!$J$17&gt;=H8)*(OPR_2P!$K$17&lt;=I8), OPR_2P!$A$17 &amp; ", ", "") &amp; IF((OPR_2P!$J$18&gt;=H8)*(OPR_2P!$K$18&lt;=I8), OPR_2P!$A$18 &amp; ", ", ""))-2), "None")</f>
        <v>9, 15, 17, 20, 25, 28, 30, 34, 42, 46, 50, 54, 57, 63, 70</v>
      </c>
    </row>
    <row r="9" spans="1:10" ht="15" customHeight="1" x14ac:dyDescent="0.3">
      <c r="A9" s="10" t="s">
        <v>138</v>
      </c>
      <c r="B9" s="10" t="s">
        <v>140</v>
      </c>
      <c r="C9" s="22">
        <v>46459</v>
      </c>
      <c r="D9" s="10">
        <v>6</v>
      </c>
      <c r="E9" s="10">
        <v>4</v>
      </c>
      <c r="F9" s="10" t="s">
        <v>133</v>
      </c>
      <c r="G9" s="23" t="s">
        <v>134</v>
      </c>
      <c r="H9" s="14">
        <v>100</v>
      </c>
      <c r="I9" s="14">
        <v>3500</v>
      </c>
      <c r="J9" s="110" t="str">
        <f>IFERROR(LEFT(IF((OPR_2P!$J$4&gt;=H9)*(OPR_2P!$K$4&lt;=I9), OPR_2P!$A$4 &amp; ", ", "") &amp; IF((OPR_2P!$J$5&gt;=H9)*(OPR_2P!$K$5&lt;=I9), OPR_2P!$A$5 &amp; ", ", "") &amp; IF((OPR_2P!$J$6&gt;=H9)*(OPR_2P!$K$6&lt;=I9), OPR_2P!$A$6 &amp; ", ", "") &amp; IF((OPR_2P!$J$7&gt;=H9)*(OPR_2P!$K$7&lt;=I9), OPR_2P!$A$7 &amp; ", ", "") &amp; IF((OPR_2P!$J$8&gt;=H9)*(OPR_2P!$K$8&lt;=I9), OPR_2P!$A$8 &amp; ", ", "") &amp; IF((OPR_2P!$J$9&gt;=H9)*(OPR_2P!$K$9&lt;=I9), OPR_2P!$A$9 &amp; ", ", "") &amp; IF((OPR_2P!$J$10&gt;=H9)*(OPR_2P!$K$10&lt;=I9), OPR_2P!$A$10 &amp; ", ", "") &amp; IF((OPR_2P!$J$11&gt;=H9)*(OPR_2P!$K$11&lt;=I9), OPR_2P!$A$11 &amp; ", ", "") &amp; IF((OPR_2P!$J$12&gt;=H9)*(OPR_2P!$K$12&lt;=I9), OPR_2P!$A$12 &amp; ", ", "") &amp; IF((OPR_2P!$J$13&gt;=H9)*(OPR_2P!$K$13&lt;=I9), OPR_2P!$A$13 &amp; ", ", "") &amp; IF((OPR_2P!$J$14&gt;=H9)*(OPR_2P!$K$14&lt;=I9), OPR_2P!$A$14 &amp; ", ", "") &amp; IF((OPR_2P!$J$15&gt;=H9)*(OPR_2P!$K$15&lt;=I9), OPR_2P!$A$15 &amp; ", ", "") &amp; IF((OPR_2P!$J$16&gt;=H9)*(OPR_2P!$K$16&lt;=I9), OPR_2P!$A$16 &amp; ", ", "") &amp; IF((OPR_2P!$J$17&gt;=H9)*(OPR_2P!$K$17&lt;=I9), OPR_2P!$A$17 &amp; ", ", "") &amp; IF((OPR_2P!$J$18&gt;=H9)*(OPR_2P!$K$18&lt;=I9), OPR_2P!$A$18 &amp; ", ", ""), LEN(IF((OPR_2P!$J$4&gt;=H9)*(OPR_2P!$K$4&lt;=I9), OPR_2P!$A$4 &amp; ", ", "") &amp; IF((OPR_2P!$J$5&gt;=H9)*(OPR_2P!$K$5&lt;=I9), OPR_2P!$A$5 &amp; ", ", "") &amp; IF((OPR_2P!$J$6&gt;=H9)*(OPR_2P!$K$6&lt;=I9), OPR_2P!$A$6 &amp; ", ", "") &amp; IF((OPR_2P!$J$7&gt;=H9)*(OPR_2P!$K$7&lt;=I9), OPR_2P!$A$7 &amp; ", ", "") &amp; IF((OPR_2P!$J$8&gt;=H9)*(OPR_2P!$K$8&lt;=I9), OPR_2P!$A$8 &amp; ", ", "") &amp; IF((OPR_2P!$J$9&gt;=H9)*(OPR_2P!$K$9&lt;=I9), OPR_2P!$A$9 &amp; ", ", "") &amp; IF((OPR_2P!$J$10&gt;=H9)*(OPR_2P!$K$10&lt;=I9), OPR_2P!$A$10 &amp; ", ", "") &amp; IF((OPR_2P!$J$11&gt;=H9)*(OPR_2P!$K$11&lt;=I9), OPR_2P!$A$11 &amp; ", ", "") &amp; IF((OPR_2P!$J$12&gt;=H9)*(OPR_2P!$K$12&lt;=I9), OPR_2P!$A$12 &amp; ", ", "") &amp; IF((OPR_2P!$J$13&gt;=H9)*(OPR_2P!$K$13&lt;=I9), OPR_2P!$A$13 &amp; ", ", "") &amp; IF((OPR_2P!$J$14&gt;=H9)*(OPR_2P!$K$14&lt;=I9), OPR_2P!$A$14 &amp; ", ", "") &amp; IF((OPR_2P!$J$15&gt;=H9)*(OPR_2P!$K$15&lt;=I9), OPR_2P!$A$15 &amp; ", ", "") &amp; IF((OPR_2P!$J$16&gt;=H9)*(OPR_2P!$K$16&lt;=I9), OPR_2P!$A$16 &amp; ", ", "") &amp; IF((OPR_2P!$J$17&gt;=H9)*(OPR_2P!$K$17&lt;=I9), OPR_2P!$A$17 &amp; ", ", "") &amp; IF((OPR_2P!$J$18&gt;=H9)*(OPR_2P!$K$18&lt;=I9), OPR_2P!$A$18 &amp; ", ", ""))-2), "None")</f>
        <v>9, 15, 17, 20, 25, 28, 30, 34, 42, 46, 50, 54, 57, 63, 70</v>
      </c>
    </row>
    <row r="10" spans="1:10" ht="15" customHeight="1" x14ac:dyDescent="0.3">
      <c r="A10" s="10" t="s">
        <v>138</v>
      </c>
      <c r="B10" s="10" t="s">
        <v>141</v>
      </c>
      <c r="C10" s="22">
        <v>46104</v>
      </c>
      <c r="D10" s="10">
        <v>6</v>
      </c>
      <c r="E10" s="10">
        <v>4</v>
      </c>
      <c r="F10" s="10" t="s">
        <v>133</v>
      </c>
      <c r="G10" s="23" t="s">
        <v>134</v>
      </c>
      <c r="H10" s="14">
        <v>100</v>
      </c>
      <c r="I10" s="14">
        <v>4500</v>
      </c>
      <c r="J10" s="110" t="str">
        <f>IFERROR(LEFT(IF((OPR_2P!$J$4&gt;=H10)*(OPR_2P!$K$4&lt;=I10), OPR_2P!$A$4 &amp; ", ", "") &amp; IF((OPR_2P!$J$5&gt;=H10)*(OPR_2P!$K$5&lt;=I10), OPR_2P!$A$5 &amp; ", ", "") &amp; IF((OPR_2P!$J$6&gt;=H10)*(OPR_2P!$K$6&lt;=I10), OPR_2P!$A$6 &amp; ", ", "") &amp; IF((OPR_2P!$J$7&gt;=H10)*(OPR_2P!$K$7&lt;=I10), OPR_2P!$A$7 &amp; ", ", "") &amp; IF((OPR_2P!$J$8&gt;=H10)*(OPR_2P!$K$8&lt;=I10), OPR_2P!$A$8 &amp; ", ", "") &amp; IF((OPR_2P!$J$9&gt;=H10)*(OPR_2P!$K$9&lt;=I10), OPR_2P!$A$9 &amp; ", ", "") &amp; IF((OPR_2P!$J$10&gt;=H10)*(OPR_2P!$K$10&lt;=I10), OPR_2P!$A$10 &amp; ", ", "") &amp; IF((OPR_2P!$J$11&gt;=H10)*(OPR_2P!$K$11&lt;=I10), OPR_2P!$A$11 &amp; ", ", "") &amp; IF((OPR_2P!$J$12&gt;=H10)*(OPR_2P!$K$12&lt;=I10), OPR_2P!$A$12 &amp; ", ", "") &amp; IF((OPR_2P!$J$13&gt;=H10)*(OPR_2P!$K$13&lt;=I10), OPR_2P!$A$13 &amp; ", ", "") &amp; IF((OPR_2P!$J$14&gt;=H10)*(OPR_2P!$K$14&lt;=I10), OPR_2P!$A$14 &amp; ", ", "") &amp; IF((OPR_2P!$J$15&gt;=H10)*(OPR_2P!$K$15&lt;=I10), OPR_2P!$A$15 &amp; ", ", "") &amp; IF((OPR_2P!$J$16&gt;=H10)*(OPR_2P!$K$16&lt;=I10), OPR_2P!$A$16 &amp; ", ", "") &amp; IF((OPR_2P!$J$17&gt;=H10)*(OPR_2P!$K$17&lt;=I10), OPR_2P!$A$17 &amp; ", ", "") &amp; IF((OPR_2P!$J$18&gt;=H10)*(OPR_2P!$K$18&lt;=I10), OPR_2P!$A$18 &amp; ", ", ""), LEN(IF((OPR_2P!$J$4&gt;=H10)*(OPR_2P!$K$4&lt;=I10), OPR_2P!$A$4 &amp; ", ", "") &amp; IF((OPR_2P!$J$5&gt;=H10)*(OPR_2P!$K$5&lt;=I10), OPR_2P!$A$5 &amp; ", ", "") &amp; IF((OPR_2P!$J$6&gt;=H10)*(OPR_2P!$K$6&lt;=I10), OPR_2P!$A$6 &amp; ", ", "") &amp; IF((OPR_2P!$J$7&gt;=H10)*(OPR_2P!$K$7&lt;=I10), OPR_2P!$A$7 &amp; ", ", "") &amp; IF((OPR_2P!$J$8&gt;=H10)*(OPR_2P!$K$8&lt;=I10), OPR_2P!$A$8 &amp; ", ", "") &amp; IF((OPR_2P!$J$9&gt;=H10)*(OPR_2P!$K$9&lt;=I10), OPR_2P!$A$9 &amp; ", ", "") &amp; IF((OPR_2P!$J$10&gt;=H10)*(OPR_2P!$K$10&lt;=I10), OPR_2P!$A$10 &amp; ", ", "") &amp; IF((OPR_2P!$J$11&gt;=H10)*(OPR_2P!$K$11&lt;=I10), OPR_2P!$A$11 &amp; ", ", "") &amp; IF((OPR_2P!$J$12&gt;=H10)*(OPR_2P!$K$12&lt;=I10), OPR_2P!$A$12 &amp; ", ", "") &amp; IF((OPR_2P!$J$13&gt;=H10)*(OPR_2P!$K$13&lt;=I10), OPR_2P!$A$13 &amp; ", ", "") &amp; IF((OPR_2P!$J$14&gt;=H10)*(OPR_2P!$K$14&lt;=I10), OPR_2P!$A$14 &amp; ", ", "") &amp; IF((OPR_2P!$J$15&gt;=H10)*(OPR_2P!$K$15&lt;=I10), OPR_2P!$A$15 &amp; ", ", "") &amp; IF((OPR_2P!$J$16&gt;=H10)*(OPR_2P!$K$16&lt;=I10), OPR_2P!$A$16 &amp; ", ", "") &amp; IF((OPR_2P!$J$17&gt;=H10)*(OPR_2P!$K$17&lt;=I10), OPR_2P!$A$17 &amp; ", ", "") &amp; IF((OPR_2P!$J$18&gt;=H10)*(OPR_2P!$K$18&lt;=I10), OPR_2P!$A$18 &amp; ", ", ""))-2), "None")</f>
        <v>9, 15, 17, 20, 25, 28, 30, 34, 42, 46, 50, 54, 57, 63, 70</v>
      </c>
    </row>
    <row r="11" spans="1:10" ht="15" customHeight="1" x14ac:dyDescent="0.3">
      <c r="A11" s="10" t="s">
        <v>138</v>
      </c>
      <c r="B11" s="10" t="s">
        <v>142</v>
      </c>
      <c r="C11" s="22">
        <v>46197</v>
      </c>
      <c r="D11" s="10">
        <v>6</v>
      </c>
      <c r="E11" s="10">
        <v>4</v>
      </c>
      <c r="F11" s="10" t="s">
        <v>133</v>
      </c>
      <c r="G11" s="23" t="s">
        <v>134</v>
      </c>
      <c r="H11" s="14">
        <v>100</v>
      </c>
      <c r="I11" s="14">
        <v>4500</v>
      </c>
      <c r="J11" s="110" t="str">
        <f>IFERROR(LEFT(IF((OPR_2P!$J$4&gt;=H11)*(OPR_2P!$K$4&lt;=I11), OPR_2P!$A$4 &amp; ", ", "") &amp; IF((OPR_2P!$J$5&gt;=H11)*(OPR_2P!$K$5&lt;=I11), OPR_2P!$A$5 &amp; ", ", "") &amp; IF((OPR_2P!$J$6&gt;=H11)*(OPR_2P!$K$6&lt;=I11), OPR_2P!$A$6 &amp; ", ", "") &amp; IF((OPR_2P!$J$7&gt;=H11)*(OPR_2P!$K$7&lt;=I11), OPR_2P!$A$7 &amp; ", ", "") &amp; IF((OPR_2P!$J$8&gt;=H11)*(OPR_2P!$K$8&lt;=I11), OPR_2P!$A$8 &amp; ", ", "") &amp; IF((OPR_2P!$J$9&gt;=H11)*(OPR_2P!$K$9&lt;=I11), OPR_2P!$A$9 &amp; ", ", "") &amp; IF((OPR_2P!$J$10&gt;=H11)*(OPR_2P!$K$10&lt;=I11), OPR_2P!$A$10 &amp; ", ", "") &amp; IF((OPR_2P!$J$11&gt;=H11)*(OPR_2P!$K$11&lt;=I11), OPR_2P!$A$11 &amp; ", ", "") &amp; IF((OPR_2P!$J$12&gt;=H11)*(OPR_2P!$K$12&lt;=I11), OPR_2P!$A$12 &amp; ", ", "") &amp; IF((OPR_2P!$J$13&gt;=H11)*(OPR_2P!$K$13&lt;=I11), OPR_2P!$A$13 &amp; ", ", "") &amp; IF((OPR_2P!$J$14&gt;=H11)*(OPR_2P!$K$14&lt;=I11), OPR_2P!$A$14 &amp; ", ", "") &amp; IF((OPR_2P!$J$15&gt;=H11)*(OPR_2P!$K$15&lt;=I11), OPR_2P!$A$15 &amp; ", ", "") &amp; IF((OPR_2P!$J$16&gt;=H11)*(OPR_2P!$K$16&lt;=I11), OPR_2P!$A$16 &amp; ", ", "") &amp; IF((OPR_2P!$J$17&gt;=H11)*(OPR_2P!$K$17&lt;=I11), OPR_2P!$A$17 &amp; ", ", "") &amp; IF((OPR_2P!$J$18&gt;=H11)*(OPR_2P!$K$18&lt;=I11), OPR_2P!$A$18 &amp; ", ", ""), LEN(IF((OPR_2P!$J$4&gt;=H11)*(OPR_2P!$K$4&lt;=I11), OPR_2P!$A$4 &amp; ", ", "") &amp; IF((OPR_2P!$J$5&gt;=H11)*(OPR_2P!$K$5&lt;=I11), OPR_2P!$A$5 &amp; ", ", "") &amp; IF((OPR_2P!$J$6&gt;=H11)*(OPR_2P!$K$6&lt;=I11), OPR_2P!$A$6 &amp; ", ", "") &amp; IF((OPR_2P!$J$7&gt;=H11)*(OPR_2P!$K$7&lt;=I11), OPR_2P!$A$7 &amp; ", ", "") &amp; IF((OPR_2P!$J$8&gt;=H11)*(OPR_2P!$K$8&lt;=I11), OPR_2P!$A$8 &amp; ", ", "") &amp; IF((OPR_2P!$J$9&gt;=H11)*(OPR_2P!$K$9&lt;=I11), OPR_2P!$A$9 &amp; ", ", "") &amp; IF((OPR_2P!$J$10&gt;=H11)*(OPR_2P!$K$10&lt;=I11), OPR_2P!$A$10 &amp; ", ", "") &amp; IF((OPR_2P!$J$11&gt;=H11)*(OPR_2P!$K$11&lt;=I11), OPR_2P!$A$11 &amp; ", ", "") &amp; IF((OPR_2P!$J$12&gt;=H11)*(OPR_2P!$K$12&lt;=I11), OPR_2P!$A$12 &amp; ", ", "") &amp; IF((OPR_2P!$J$13&gt;=H11)*(OPR_2P!$K$13&lt;=I11), OPR_2P!$A$13 &amp; ", ", "") &amp; IF((OPR_2P!$J$14&gt;=H11)*(OPR_2P!$K$14&lt;=I11), OPR_2P!$A$14 &amp; ", ", "") &amp; IF((OPR_2P!$J$15&gt;=H11)*(OPR_2P!$K$15&lt;=I11), OPR_2P!$A$15 &amp; ", ", "") &amp; IF((OPR_2P!$J$16&gt;=H11)*(OPR_2P!$K$16&lt;=I11), OPR_2P!$A$16 &amp; ", ", "") &amp; IF((OPR_2P!$J$17&gt;=H11)*(OPR_2P!$K$17&lt;=I11), OPR_2P!$A$17 &amp; ", ", "") &amp; IF((OPR_2P!$J$18&gt;=H11)*(OPR_2P!$K$18&lt;=I11), OPR_2P!$A$18 &amp; ", ", ""))-2), "None")</f>
        <v>9, 15, 17, 20, 25, 28, 30, 34, 42, 46, 50, 54, 57, 63, 70</v>
      </c>
    </row>
    <row r="12" spans="1:10" ht="15" customHeight="1" x14ac:dyDescent="0.3">
      <c r="A12" s="10" t="s">
        <v>138</v>
      </c>
      <c r="B12" s="10" t="s">
        <v>143</v>
      </c>
      <c r="C12" s="22">
        <v>46271</v>
      </c>
      <c r="D12" s="10">
        <v>6</v>
      </c>
      <c r="E12" s="10">
        <v>4</v>
      </c>
      <c r="F12" s="10" t="s">
        <v>133</v>
      </c>
      <c r="G12" s="23" t="s">
        <v>134</v>
      </c>
      <c r="H12" s="14">
        <v>100</v>
      </c>
      <c r="I12" s="14">
        <v>4500</v>
      </c>
      <c r="J12" s="110" t="str">
        <f>IFERROR(LEFT(IF((OPR_2P!$J$4&gt;=H12)*(OPR_2P!$K$4&lt;=I12), OPR_2P!$A$4 &amp; ", ", "") &amp; IF((OPR_2P!$J$5&gt;=H12)*(OPR_2P!$K$5&lt;=I12), OPR_2P!$A$5 &amp; ", ", "") &amp; IF((OPR_2P!$J$6&gt;=H12)*(OPR_2P!$K$6&lt;=I12), OPR_2P!$A$6 &amp; ", ", "") &amp; IF((OPR_2P!$J$7&gt;=H12)*(OPR_2P!$K$7&lt;=I12), OPR_2P!$A$7 &amp; ", ", "") &amp; IF((OPR_2P!$J$8&gt;=H12)*(OPR_2P!$K$8&lt;=I12), OPR_2P!$A$8 &amp; ", ", "") &amp; IF((OPR_2P!$J$9&gt;=H12)*(OPR_2P!$K$9&lt;=I12), OPR_2P!$A$9 &amp; ", ", "") &amp; IF((OPR_2P!$J$10&gt;=H12)*(OPR_2P!$K$10&lt;=I12), OPR_2P!$A$10 &amp; ", ", "") &amp; IF((OPR_2P!$J$11&gt;=H12)*(OPR_2P!$K$11&lt;=I12), OPR_2P!$A$11 &amp; ", ", "") &amp; IF((OPR_2P!$J$12&gt;=H12)*(OPR_2P!$K$12&lt;=I12), OPR_2P!$A$12 &amp; ", ", "") &amp; IF((OPR_2P!$J$13&gt;=H12)*(OPR_2P!$K$13&lt;=I12), OPR_2P!$A$13 &amp; ", ", "") &amp; IF((OPR_2P!$J$14&gt;=H12)*(OPR_2P!$K$14&lt;=I12), OPR_2P!$A$14 &amp; ", ", "") &amp; IF((OPR_2P!$J$15&gt;=H12)*(OPR_2P!$K$15&lt;=I12), OPR_2P!$A$15 &amp; ", ", "") &amp; IF((OPR_2P!$J$16&gt;=H12)*(OPR_2P!$K$16&lt;=I12), OPR_2P!$A$16 &amp; ", ", "") &amp; IF((OPR_2P!$J$17&gt;=H12)*(OPR_2P!$K$17&lt;=I12), OPR_2P!$A$17 &amp; ", ", "") &amp; IF((OPR_2P!$J$18&gt;=H12)*(OPR_2P!$K$18&lt;=I12), OPR_2P!$A$18 &amp; ", ", ""), LEN(IF((OPR_2P!$J$4&gt;=H12)*(OPR_2P!$K$4&lt;=I12), OPR_2P!$A$4 &amp; ", ", "") &amp; IF((OPR_2P!$J$5&gt;=H12)*(OPR_2P!$K$5&lt;=I12), OPR_2P!$A$5 &amp; ", ", "") &amp; IF((OPR_2P!$J$6&gt;=H12)*(OPR_2P!$K$6&lt;=I12), OPR_2P!$A$6 &amp; ", ", "") &amp; IF((OPR_2P!$J$7&gt;=H12)*(OPR_2P!$K$7&lt;=I12), OPR_2P!$A$7 &amp; ", ", "") &amp; IF((OPR_2P!$J$8&gt;=H12)*(OPR_2P!$K$8&lt;=I12), OPR_2P!$A$8 &amp; ", ", "") &amp; IF((OPR_2P!$J$9&gt;=H12)*(OPR_2P!$K$9&lt;=I12), OPR_2P!$A$9 &amp; ", ", "") &amp; IF((OPR_2P!$J$10&gt;=H12)*(OPR_2P!$K$10&lt;=I12), OPR_2P!$A$10 &amp; ", ", "") &amp; IF((OPR_2P!$J$11&gt;=H12)*(OPR_2P!$K$11&lt;=I12), OPR_2P!$A$11 &amp; ", ", "") &amp; IF((OPR_2P!$J$12&gt;=H12)*(OPR_2P!$K$12&lt;=I12), OPR_2P!$A$12 &amp; ", ", "") &amp; IF((OPR_2P!$J$13&gt;=H12)*(OPR_2P!$K$13&lt;=I12), OPR_2P!$A$13 &amp; ", ", "") &amp; IF((OPR_2P!$J$14&gt;=H12)*(OPR_2P!$K$14&lt;=I12), OPR_2P!$A$14 &amp; ", ", "") &amp; IF((OPR_2P!$J$15&gt;=H12)*(OPR_2P!$K$15&lt;=I12), OPR_2P!$A$15 &amp; ", ", "") &amp; IF((OPR_2P!$J$16&gt;=H12)*(OPR_2P!$K$16&lt;=I12), OPR_2P!$A$16 &amp; ", ", "") &amp; IF((OPR_2P!$J$17&gt;=H12)*(OPR_2P!$K$17&lt;=I12), OPR_2P!$A$17 &amp; ", ", "") &amp; IF((OPR_2P!$J$18&gt;=H12)*(OPR_2P!$K$18&lt;=I12), OPR_2P!$A$18 &amp; ", ", ""))-2), "None")</f>
        <v>9, 15, 17, 20, 25, 28, 30, 34, 42, 46, 50, 54, 57, 63, 70</v>
      </c>
    </row>
    <row r="13" spans="1:10" ht="15" customHeight="1" x14ac:dyDescent="0.3">
      <c r="A13" s="10" t="s">
        <v>138</v>
      </c>
      <c r="B13" s="10" t="s">
        <v>144</v>
      </c>
      <c r="C13" s="22">
        <v>46176</v>
      </c>
      <c r="D13" s="10">
        <v>6</v>
      </c>
      <c r="E13" s="10">
        <v>4</v>
      </c>
      <c r="F13" s="10" t="s">
        <v>133</v>
      </c>
      <c r="G13" s="23" t="s">
        <v>134</v>
      </c>
      <c r="H13" s="14">
        <v>100</v>
      </c>
      <c r="I13" s="14">
        <v>4500</v>
      </c>
      <c r="J13" s="110" t="str">
        <f>IFERROR(LEFT(IF((OPR_2P!$J$4&gt;=H13)*(OPR_2P!$K$4&lt;=I13), OPR_2P!$A$4 &amp; ", ", "") &amp; IF((OPR_2P!$J$5&gt;=H13)*(OPR_2P!$K$5&lt;=I13), OPR_2P!$A$5 &amp; ", ", "") &amp; IF((OPR_2P!$J$6&gt;=H13)*(OPR_2P!$K$6&lt;=I13), OPR_2P!$A$6 &amp; ", ", "") &amp; IF((OPR_2P!$J$7&gt;=H13)*(OPR_2P!$K$7&lt;=I13), OPR_2P!$A$7 &amp; ", ", "") &amp; IF((OPR_2P!$J$8&gt;=H13)*(OPR_2P!$K$8&lt;=I13), OPR_2P!$A$8 &amp; ", ", "") &amp; IF((OPR_2P!$J$9&gt;=H13)*(OPR_2P!$K$9&lt;=I13), OPR_2P!$A$9 &amp; ", ", "") &amp; IF((OPR_2P!$J$10&gt;=H13)*(OPR_2P!$K$10&lt;=I13), OPR_2P!$A$10 &amp; ", ", "") &amp; IF((OPR_2P!$J$11&gt;=H13)*(OPR_2P!$K$11&lt;=I13), OPR_2P!$A$11 &amp; ", ", "") &amp; IF((OPR_2P!$J$12&gt;=H13)*(OPR_2P!$K$12&lt;=I13), OPR_2P!$A$12 &amp; ", ", "") &amp; IF((OPR_2P!$J$13&gt;=H13)*(OPR_2P!$K$13&lt;=I13), OPR_2P!$A$13 &amp; ", ", "") &amp; IF((OPR_2P!$J$14&gt;=H13)*(OPR_2P!$K$14&lt;=I13), OPR_2P!$A$14 &amp; ", ", "") &amp; IF((OPR_2P!$J$15&gt;=H13)*(OPR_2P!$K$15&lt;=I13), OPR_2P!$A$15 &amp; ", ", "") &amp; IF((OPR_2P!$J$16&gt;=H13)*(OPR_2P!$K$16&lt;=I13), OPR_2P!$A$16 &amp; ", ", "") &amp; IF((OPR_2P!$J$17&gt;=H13)*(OPR_2P!$K$17&lt;=I13), OPR_2P!$A$17 &amp; ", ", "") &amp; IF((OPR_2P!$J$18&gt;=H13)*(OPR_2P!$K$18&lt;=I13), OPR_2P!$A$18 &amp; ", ", ""), LEN(IF((OPR_2P!$J$4&gt;=H13)*(OPR_2P!$K$4&lt;=I13), OPR_2P!$A$4 &amp; ", ", "") &amp; IF((OPR_2P!$J$5&gt;=H13)*(OPR_2P!$K$5&lt;=I13), OPR_2P!$A$5 &amp; ", ", "") &amp; IF((OPR_2P!$J$6&gt;=H13)*(OPR_2P!$K$6&lt;=I13), OPR_2P!$A$6 &amp; ", ", "") &amp; IF((OPR_2P!$J$7&gt;=H13)*(OPR_2P!$K$7&lt;=I13), OPR_2P!$A$7 &amp; ", ", "") &amp; IF((OPR_2P!$J$8&gt;=H13)*(OPR_2P!$K$8&lt;=I13), OPR_2P!$A$8 &amp; ", ", "") &amp; IF((OPR_2P!$J$9&gt;=H13)*(OPR_2P!$K$9&lt;=I13), OPR_2P!$A$9 &amp; ", ", "") &amp; IF((OPR_2P!$J$10&gt;=H13)*(OPR_2P!$K$10&lt;=I13), OPR_2P!$A$10 &amp; ", ", "") &amp; IF((OPR_2P!$J$11&gt;=H13)*(OPR_2P!$K$11&lt;=I13), OPR_2P!$A$11 &amp; ", ", "") &amp; IF((OPR_2P!$J$12&gt;=H13)*(OPR_2P!$K$12&lt;=I13), OPR_2P!$A$12 &amp; ", ", "") &amp; IF((OPR_2P!$J$13&gt;=H13)*(OPR_2P!$K$13&lt;=I13), OPR_2P!$A$13 &amp; ", ", "") &amp; IF((OPR_2P!$J$14&gt;=H13)*(OPR_2P!$K$14&lt;=I13), OPR_2P!$A$14 &amp; ", ", "") &amp; IF((OPR_2P!$J$15&gt;=H13)*(OPR_2P!$K$15&lt;=I13), OPR_2P!$A$15 &amp; ", ", "") &amp; IF((OPR_2P!$J$16&gt;=H13)*(OPR_2P!$K$16&lt;=I13), OPR_2P!$A$16 &amp; ", ", "") &amp; IF((OPR_2P!$J$17&gt;=H13)*(OPR_2P!$K$17&lt;=I13), OPR_2P!$A$17 &amp; ", ", "") &amp; IF((OPR_2P!$J$18&gt;=H13)*(OPR_2P!$K$18&lt;=I13), OPR_2P!$A$18 &amp; ", ", ""))-2), "None")</f>
        <v>9, 15, 17, 20, 25, 28, 30, 34, 42, 46, 50, 54, 57, 63, 70</v>
      </c>
    </row>
    <row r="14" spans="1:10" ht="15" customHeight="1" x14ac:dyDescent="0.3">
      <c r="A14" s="10" t="s">
        <v>145</v>
      </c>
      <c r="B14" s="10" t="s">
        <v>146</v>
      </c>
      <c r="C14" s="22">
        <v>46418</v>
      </c>
      <c r="D14" s="10">
        <v>6</v>
      </c>
      <c r="E14" s="10">
        <v>4</v>
      </c>
      <c r="F14" s="10" t="s">
        <v>133</v>
      </c>
      <c r="G14" s="23" t="s">
        <v>134</v>
      </c>
      <c r="H14" s="14">
        <v>100</v>
      </c>
      <c r="I14" s="14">
        <v>4500</v>
      </c>
      <c r="J14" s="110" t="str">
        <f>IFERROR(LEFT(IF((OPR_2P!$J$4&gt;=H14)*(OPR_2P!$K$4&lt;=I14), OPR_2P!$A$4 &amp; ", ", "") &amp; IF((OPR_2P!$J$5&gt;=H14)*(OPR_2P!$K$5&lt;=I14), OPR_2P!$A$5 &amp; ", ", "") &amp; IF((OPR_2P!$J$6&gt;=H14)*(OPR_2P!$K$6&lt;=I14), OPR_2P!$A$6 &amp; ", ", "") &amp; IF((OPR_2P!$J$7&gt;=H14)*(OPR_2P!$K$7&lt;=I14), OPR_2P!$A$7 &amp; ", ", "") &amp; IF((OPR_2P!$J$8&gt;=H14)*(OPR_2P!$K$8&lt;=I14), OPR_2P!$A$8 &amp; ", ", "") &amp; IF((OPR_2P!$J$9&gt;=H14)*(OPR_2P!$K$9&lt;=I14), OPR_2P!$A$9 &amp; ", ", "") &amp; IF((OPR_2P!$J$10&gt;=H14)*(OPR_2P!$K$10&lt;=I14), OPR_2P!$A$10 &amp; ", ", "") &amp; IF((OPR_2P!$J$11&gt;=H14)*(OPR_2P!$K$11&lt;=I14), OPR_2P!$A$11 &amp; ", ", "") &amp; IF((OPR_2P!$J$12&gt;=H14)*(OPR_2P!$K$12&lt;=I14), OPR_2P!$A$12 &amp; ", ", "") &amp; IF((OPR_2P!$J$13&gt;=H14)*(OPR_2P!$K$13&lt;=I14), OPR_2P!$A$13 &amp; ", ", "") &amp; IF((OPR_2P!$J$14&gt;=H14)*(OPR_2P!$K$14&lt;=I14), OPR_2P!$A$14 &amp; ", ", "") &amp; IF((OPR_2P!$J$15&gt;=H14)*(OPR_2P!$K$15&lt;=I14), OPR_2P!$A$15 &amp; ", ", "") &amp; IF((OPR_2P!$J$16&gt;=H14)*(OPR_2P!$K$16&lt;=I14), OPR_2P!$A$16 &amp; ", ", "") &amp; IF((OPR_2P!$J$17&gt;=H14)*(OPR_2P!$K$17&lt;=I14), OPR_2P!$A$17 &amp; ", ", "") &amp; IF((OPR_2P!$J$18&gt;=H14)*(OPR_2P!$K$18&lt;=I14), OPR_2P!$A$18 &amp; ", ", ""), LEN(IF((OPR_2P!$J$4&gt;=H14)*(OPR_2P!$K$4&lt;=I14), OPR_2P!$A$4 &amp; ", ", "") &amp; IF((OPR_2P!$J$5&gt;=H14)*(OPR_2P!$K$5&lt;=I14), OPR_2P!$A$5 &amp; ", ", "") &amp; IF((OPR_2P!$J$6&gt;=H14)*(OPR_2P!$K$6&lt;=I14), OPR_2P!$A$6 &amp; ", ", "") &amp; IF((OPR_2P!$J$7&gt;=H14)*(OPR_2P!$K$7&lt;=I14), OPR_2P!$A$7 &amp; ", ", "") &amp; IF((OPR_2P!$J$8&gt;=H14)*(OPR_2P!$K$8&lt;=I14), OPR_2P!$A$8 &amp; ", ", "") &amp; IF((OPR_2P!$J$9&gt;=H14)*(OPR_2P!$K$9&lt;=I14), OPR_2P!$A$9 &amp; ", ", "") &amp; IF((OPR_2P!$J$10&gt;=H14)*(OPR_2P!$K$10&lt;=I14), OPR_2P!$A$10 &amp; ", ", "") &amp; IF((OPR_2P!$J$11&gt;=H14)*(OPR_2P!$K$11&lt;=I14), OPR_2P!$A$11 &amp; ", ", "") &amp; IF((OPR_2P!$J$12&gt;=H14)*(OPR_2P!$K$12&lt;=I14), OPR_2P!$A$12 &amp; ", ", "") &amp; IF((OPR_2P!$J$13&gt;=H14)*(OPR_2P!$K$13&lt;=I14), OPR_2P!$A$13 &amp; ", ", "") &amp; IF((OPR_2P!$J$14&gt;=H14)*(OPR_2P!$K$14&lt;=I14), OPR_2P!$A$14 &amp; ", ", "") &amp; IF((OPR_2P!$J$15&gt;=H14)*(OPR_2P!$K$15&lt;=I14), OPR_2P!$A$15 &amp; ", ", "") &amp; IF((OPR_2P!$J$16&gt;=H14)*(OPR_2P!$K$16&lt;=I14), OPR_2P!$A$16 &amp; ", ", "") &amp; IF((OPR_2P!$J$17&gt;=H14)*(OPR_2P!$K$17&lt;=I14), OPR_2P!$A$17 &amp; ", ", "") &amp; IF((OPR_2P!$J$18&gt;=H14)*(OPR_2P!$K$18&lt;=I14), OPR_2P!$A$18 &amp; ", ", ""))-2), "None")</f>
        <v>9, 15, 17, 20, 25, 28, 30, 34, 42, 46, 50, 54, 57, 63, 70</v>
      </c>
    </row>
    <row r="15" spans="1:10" ht="15" customHeight="1" x14ac:dyDescent="0.3">
      <c r="A15" s="10" t="s">
        <v>145</v>
      </c>
      <c r="B15" s="10" t="s">
        <v>147</v>
      </c>
      <c r="C15" s="22">
        <v>46282</v>
      </c>
      <c r="D15" s="10">
        <v>6</v>
      </c>
      <c r="E15" s="10">
        <v>4</v>
      </c>
      <c r="F15" s="10" t="s">
        <v>133</v>
      </c>
      <c r="G15" s="23" t="s">
        <v>134</v>
      </c>
      <c r="H15" s="14">
        <v>100</v>
      </c>
      <c r="I15" s="14">
        <v>4500</v>
      </c>
      <c r="J15" s="110" t="str">
        <f>IFERROR(LEFT(IF((OPR_2P!$J$4&gt;=H15)*(OPR_2P!$K$4&lt;=I15), OPR_2P!$A$4 &amp; ", ", "") &amp; IF((OPR_2P!$J$5&gt;=H15)*(OPR_2P!$K$5&lt;=I15), OPR_2P!$A$5 &amp; ", ", "") &amp; IF((OPR_2P!$J$6&gt;=H15)*(OPR_2P!$K$6&lt;=I15), OPR_2P!$A$6 &amp; ", ", "") &amp; IF((OPR_2P!$J$7&gt;=H15)*(OPR_2P!$K$7&lt;=I15), OPR_2P!$A$7 &amp; ", ", "") &amp; IF((OPR_2P!$J$8&gt;=H15)*(OPR_2P!$K$8&lt;=I15), OPR_2P!$A$8 &amp; ", ", "") &amp; IF((OPR_2P!$J$9&gt;=H15)*(OPR_2P!$K$9&lt;=I15), OPR_2P!$A$9 &amp; ", ", "") &amp; IF((OPR_2P!$J$10&gt;=H15)*(OPR_2P!$K$10&lt;=I15), OPR_2P!$A$10 &amp; ", ", "") &amp; IF((OPR_2P!$J$11&gt;=H15)*(OPR_2P!$K$11&lt;=I15), OPR_2P!$A$11 &amp; ", ", "") &amp; IF((OPR_2P!$J$12&gt;=H15)*(OPR_2P!$K$12&lt;=I15), OPR_2P!$A$12 &amp; ", ", "") &amp; IF((OPR_2P!$J$13&gt;=H15)*(OPR_2P!$K$13&lt;=I15), OPR_2P!$A$13 &amp; ", ", "") &amp; IF((OPR_2P!$J$14&gt;=H15)*(OPR_2P!$K$14&lt;=I15), OPR_2P!$A$14 &amp; ", ", "") &amp; IF((OPR_2P!$J$15&gt;=H15)*(OPR_2P!$K$15&lt;=I15), OPR_2P!$A$15 &amp; ", ", "") &amp; IF((OPR_2P!$J$16&gt;=H15)*(OPR_2P!$K$16&lt;=I15), OPR_2P!$A$16 &amp; ", ", "") &amp; IF((OPR_2P!$J$17&gt;=H15)*(OPR_2P!$K$17&lt;=I15), OPR_2P!$A$17 &amp; ", ", "") &amp; IF((OPR_2P!$J$18&gt;=H15)*(OPR_2P!$K$18&lt;=I15), OPR_2P!$A$18 &amp; ", ", ""), LEN(IF((OPR_2P!$J$4&gt;=H15)*(OPR_2P!$K$4&lt;=I15), OPR_2P!$A$4 &amp; ", ", "") &amp; IF((OPR_2P!$J$5&gt;=H15)*(OPR_2P!$K$5&lt;=I15), OPR_2P!$A$5 &amp; ", ", "") &amp; IF((OPR_2P!$J$6&gt;=H15)*(OPR_2P!$K$6&lt;=I15), OPR_2P!$A$6 &amp; ", ", "") &amp; IF((OPR_2P!$J$7&gt;=H15)*(OPR_2P!$K$7&lt;=I15), OPR_2P!$A$7 &amp; ", ", "") &amp; IF((OPR_2P!$J$8&gt;=H15)*(OPR_2P!$K$8&lt;=I15), OPR_2P!$A$8 &amp; ", ", "") &amp; IF((OPR_2P!$J$9&gt;=H15)*(OPR_2P!$K$9&lt;=I15), OPR_2P!$A$9 &amp; ", ", "") &amp; IF((OPR_2P!$J$10&gt;=H15)*(OPR_2P!$K$10&lt;=I15), OPR_2P!$A$10 &amp; ", ", "") &amp; IF((OPR_2P!$J$11&gt;=H15)*(OPR_2P!$K$11&lt;=I15), OPR_2P!$A$11 &amp; ", ", "") &amp; IF((OPR_2P!$J$12&gt;=H15)*(OPR_2P!$K$12&lt;=I15), OPR_2P!$A$12 &amp; ", ", "") &amp; IF((OPR_2P!$J$13&gt;=H15)*(OPR_2P!$K$13&lt;=I15), OPR_2P!$A$13 &amp; ", ", "") &amp; IF((OPR_2P!$J$14&gt;=H15)*(OPR_2P!$K$14&lt;=I15), OPR_2P!$A$14 &amp; ", ", "") &amp; IF((OPR_2P!$J$15&gt;=H15)*(OPR_2P!$K$15&lt;=I15), OPR_2P!$A$15 &amp; ", ", "") &amp; IF((OPR_2P!$J$16&gt;=H15)*(OPR_2P!$K$16&lt;=I15), OPR_2P!$A$16 &amp; ", ", "") &amp; IF((OPR_2P!$J$17&gt;=H15)*(OPR_2P!$K$17&lt;=I15), OPR_2P!$A$17 &amp; ", ", "") &amp; IF((OPR_2P!$J$18&gt;=H15)*(OPR_2P!$K$18&lt;=I15), OPR_2P!$A$18 &amp; ", ", ""))-2), "None")</f>
        <v>9, 15, 17, 20, 25, 28, 30, 34, 42, 46, 50, 54, 57, 63, 70</v>
      </c>
    </row>
    <row r="16" spans="1:10" ht="15" customHeight="1" x14ac:dyDescent="0.3">
      <c r="A16" s="10" t="s">
        <v>145</v>
      </c>
      <c r="B16" s="10" t="s">
        <v>148</v>
      </c>
      <c r="C16" s="22">
        <v>46296</v>
      </c>
      <c r="D16" s="10">
        <v>6</v>
      </c>
      <c r="E16" s="10">
        <v>4</v>
      </c>
      <c r="F16" s="10" t="s">
        <v>133</v>
      </c>
      <c r="G16" s="23" t="s">
        <v>134</v>
      </c>
      <c r="H16" s="14">
        <v>100</v>
      </c>
      <c r="I16" s="14">
        <v>4500</v>
      </c>
      <c r="J16" s="110" t="str">
        <f>IFERROR(LEFT(IF((OPR_2P!$J$4&gt;=H16)*(OPR_2P!$K$4&lt;=I16), OPR_2P!$A$4 &amp; ", ", "") &amp; IF((OPR_2P!$J$5&gt;=H16)*(OPR_2P!$K$5&lt;=I16), OPR_2P!$A$5 &amp; ", ", "") &amp; IF((OPR_2P!$J$6&gt;=H16)*(OPR_2P!$K$6&lt;=I16), OPR_2P!$A$6 &amp; ", ", "") &amp; IF((OPR_2P!$J$7&gt;=H16)*(OPR_2P!$K$7&lt;=I16), OPR_2P!$A$7 &amp; ", ", "") &amp; IF((OPR_2P!$J$8&gt;=H16)*(OPR_2P!$K$8&lt;=I16), OPR_2P!$A$8 &amp; ", ", "") &amp; IF((OPR_2P!$J$9&gt;=H16)*(OPR_2P!$K$9&lt;=I16), OPR_2P!$A$9 &amp; ", ", "") &amp; IF((OPR_2P!$J$10&gt;=H16)*(OPR_2P!$K$10&lt;=I16), OPR_2P!$A$10 &amp; ", ", "") &amp; IF((OPR_2P!$J$11&gt;=H16)*(OPR_2P!$K$11&lt;=I16), OPR_2P!$A$11 &amp; ", ", "") &amp; IF((OPR_2P!$J$12&gt;=H16)*(OPR_2P!$K$12&lt;=I16), OPR_2P!$A$12 &amp; ", ", "") &amp; IF((OPR_2P!$J$13&gt;=H16)*(OPR_2P!$K$13&lt;=I16), OPR_2P!$A$13 &amp; ", ", "") &amp; IF((OPR_2P!$J$14&gt;=H16)*(OPR_2P!$K$14&lt;=I16), OPR_2P!$A$14 &amp; ", ", "") &amp; IF((OPR_2P!$J$15&gt;=H16)*(OPR_2P!$K$15&lt;=I16), OPR_2P!$A$15 &amp; ", ", "") &amp; IF((OPR_2P!$J$16&gt;=H16)*(OPR_2P!$K$16&lt;=I16), OPR_2P!$A$16 &amp; ", ", "") &amp; IF((OPR_2P!$J$17&gt;=H16)*(OPR_2P!$K$17&lt;=I16), OPR_2P!$A$17 &amp; ", ", "") &amp; IF((OPR_2P!$J$18&gt;=H16)*(OPR_2P!$K$18&lt;=I16), OPR_2P!$A$18 &amp; ", ", ""), LEN(IF((OPR_2P!$J$4&gt;=H16)*(OPR_2P!$K$4&lt;=I16), OPR_2P!$A$4 &amp; ", ", "") &amp; IF((OPR_2P!$J$5&gt;=H16)*(OPR_2P!$K$5&lt;=I16), OPR_2P!$A$5 &amp; ", ", "") &amp; IF((OPR_2P!$J$6&gt;=H16)*(OPR_2P!$K$6&lt;=I16), OPR_2P!$A$6 &amp; ", ", "") &amp; IF((OPR_2P!$J$7&gt;=H16)*(OPR_2P!$K$7&lt;=I16), OPR_2P!$A$7 &amp; ", ", "") &amp; IF((OPR_2P!$J$8&gt;=H16)*(OPR_2P!$K$8&lt;=I16), OPR_2P!$A$8 &amp; ", ", "") &amp; IF((OPR_2P!$J$9&gt;=H16)*(OPR_2P!$K$9&lt;=I16), OPR_2P!$A$9 &amp; ", ", "") &amp; IF((OPR_2P!$J$10&gt;=H16)*(OPR_2P!$K$10&lt;=I16), OPR_2P!$A$10 &amp; ", ", "") &amp; IF((OPR_2P!$J$11&gt;=H16)*(OPR_2P!$K$11&lt;=I16), OPR_2P!$A$11 &amp; ", ", "") &amp; IF((OPR_2P!$J$12&gt;=H16)*(OPR_2P!$K$12&lt;=I16), OPR_2P!$A$12 &amp; ", ", "") &amp; IF((OPR_2P!$J$13&gt;=H16)*(OPR_2P!$K$13&lt;=I16), OPR_2P!$A$13 &amp; ", ", "") &amp; IF((OPR_2P!$J$14&gt;=H16)*(OPR_2P!$K$14&lt;=I16), OPR_2P!$A$14 &amp; ", ", "") &amp; IF((OPR_2P!$J$15&gt;=H16)*(OPR_2P!$K$15&lt;=I16), OPR_2P!$A$15 &amp; ", ", "") &amp; IF((OPR_2P!$J$16&gt;=H16)*(OPR_2P!$K$16&lt;=I16), OPR_2P!$A$16 &amp; ", ", "") &amp; IF((OPR_2P!$J$17&gt;=H16)*(OPR_2P!$K$17&lt;=I16), OPR_2P!$A$17 &amp; ", ", "") &amp; IF((OPR_2P!$J$18&gt;=H16)*(OPR_2P!$K$18&lt;=I16), OPR_2P!$A$18 &amp; ", ", ""))-2), "None")</f>
        <v>9, 15, 17, 20, 25, 28, 30, 34, 42, 46, 50, 54, 57, 63, 70</v>
      </c>
    </row>
    <row r="17" spans="1:10" ht="15" customHeight="1" x14ac:dyDescent="0.3">
      <c r="A17" s="10" t="s">
        <v>145</v>
      </c>
      <c r="B17" s="10" t="s">
        <v>149</v>
      </c>
      <c r="C17" s="22">
        <v>46237</v>
      </c>
      <c r="D17" s="10">
        <v>6</v>
      </c>
      <c r="E17" s="10">
        <v>4</v>
      </c>
      <c r="F17" s="10" t="s">
        <v>133</v>
      </c>
      <c r="G17" s="23" t="s">
        <v>134</v>
      </c>
      <c r="H17" s="14">
        <v>100</v>
      </c>
      <c r="I17" s="14">
        <v>4500</v>
      </c>
      <c r="J17" s="110" t="str">
        <f>IFERROR(LEFT(IF((OPR_2P!$J$4&gt;=H17)*(OPR_2P!$K$4&lt;=I17), OPR_2P!$A$4 &amp; ", ", "") &amp; IF((OPR_2P!$J$5&gt;=H17)*(OPR_2P!$K$5&lt;=I17), OPR_2P!$A$5 &amp; ", ", "") &amp; IF((OPR_2P!$J$6&gt;=H17)*(OPR_2P!$K$6&lt;=I17), OPR_2P!$A$6 &amp; ", ", "") &amp; IF((OPR_2P!$J$7&gt;=H17)*(OPR_2P!$K$7&lt;=I17), OPR_2P!$A$7 &amp; ", ", "") &amp; IF((OPR_2P!$J$8&gt;=H17)*(OPR_2P!$K$8&lt;=I17), OPR_2P!$A$8 &amp; ", ", "") &amp; IF((OPR_2P!$J$9&gt;=H17)*(OPR_2P!$K$9&lt;=I17), OPR_2P!$A$9 &amp; ", ", "") &amp; IF((OPR_2P!$J$10&gt;=H17)*(OPR_2P!$K$10&lt;=I17), OPR_2P!$A$10 &amp; ", ", "") &amp; IF((OPR_2P!$J$11&gt;=H17)*(OPR_2P!$K$11&lt;=I17), OPR_2P!$A$11 &amp; ", ", "") &amp; IF((OPR_2P!$J$12&gt;=H17)*(OPR_2P!$K$12&lt;=I17), OPR_2P!$A$12 &amp; ", ", "") &amp; IF((OPR_2P!$J$13&gt;=H17)*(OPR_2P!$K$13&lt;=I17), OPR_2P!$A$13 &amp; ", ", "") &amp; IF((OPR_2P!$J$14&gt;=H17)*(OPR_2P!$K$14&lt;=I17), OPR_2P!$A$14 &amp; ", ", "") &amp; IF((OPR_2P!$J$15&gt;=H17)*(OPR_2P!$K$15&lt;=I17), OPR_2P!$A$15 &amp; ", ", "") &amp; IF((OPR_2P!$J$16&gt;=H17)*(OPR_2P!$K$16&lt;=I17), OPR_2P!$A$16 &amp; ", ", "") &amp; IF((OPR_2P!$J$17&gt;=H17)*(OPR_2P!$K$17&lt;=I17), OPR_2P!$A$17 &amp; ", ", "") &amp; IF((OPR_2P!$J$18&gt;=H17)*(OPR_2P!$K$18&lt;=I17), OPR_2P!$A$18 &amp; ", ", ""), LEN(IF((OPR_2P!$J$4&gt;=H17)*(OPR_2P!$K$4&lt;=I17), OPR_2P!$A$4 &amp; ", ", "") &amp; IF((OPR_2P!$J$5&gt;=H17)*(OPR_2P!$K$5&lt;=I17), OPR_2P!$A$5 &amp; ", ", "") &amp; IF((OPR_2P!$J$6&gt;=H17)*(OPR_2P!$K$6&lt;=I17), OPR_2P!$A$6 &amp; ", ", "") &amp; IF((OPR_2P!$J$7&gt;=H17)*(OPR_2P!$K$7&lt;=I17), OPR_2P!$A$7 &amp; ", ", "") &amp; IF((OPR_2P!$J$8&gt;=H17)*(OPR_2P!$K$8&lt;=I17), OPR_2P!$A$8 &amp; ", ", "") &amp; IF((OPR_2P!$J$9&gt;=H17)*(OPR_2P!$K$9&lt;=I17), OPR_2P!$A$9 &amp; ", ", "") &amp; IF((OPR_2P!$J$10&gt;=H17)*(OPR_2P!$K$10&lt;=I17), OPR_2P!$A$10 &amp; ", ", "") &amp; IF((OPR_2P!$J$11&gt;=H17)*(OPR_2P!$K$11&lt;=I17), OPR_2P!$A$11 &amp; ", ", "") &amp; IF((OPR_2P!$J$12&gt;=H17)*(OPR_2P!$K$12&lt;=I17), OPR_2P!$A$12 &amp; ", ", "") &amp; IF((OPR_2P!$J$13&gt;=H17)*(OPR_2P!$K$13&lt;=I17), OPR_2P!$A$13 &amp; ", ", "") &amp; IF((OPR_2P!$J$14&gt;=H17)*(OPR_2P!$K$14&lt;=I17), OPR_2P!$A$14 &amp; ", ", "") &amp; IF((OPR_2P!$J$15&gt;=H17)*(OPR_2P!$K$15&lt;=I17), OPR_2P!$A$15 &amp; ", ", "") &amp; IF((OPR_2P!$J$16&gt;=H17)*(OPR_2P!$K$16&lt;=I17), OPR_2P!$A$16 &amp; ", ", "") &amp; IF((OPR_2P!$J$17&gt;=H17)*(OPR_2P!$K$17&lt;=I17), OPR_2P!$A$17 &amp; ", ", "") &amp; IF((OPR_2P!$J$18&gt;=H17)*(OPR_2P!$K$18&lt;=I17), OPR_2P!$A$18 &amp; ", ", ""))-2), "None")</f>
        <v>9, 15, 17, 20, 25, 28, 30, 34, 42, 46, 50, 54, 57, 63, 70</v>
      </c>
    </row>
    <row r="18" spans="1:10" ht="15" customHeight="1" x14ac:dyDescent="0.3">
      <c r="A18" s="10" t="s">
        <v>145</v>
      </c>
      <c r="B18" s="10" t="s">
        <v>150</v>
      </c>
      <c r="C18" s="22">
        <v>46238</v>
      </c>
      <c r="D18" s="10">
        <v>6</v>
      </c>
      <c r="E18" s="10">
        <v>4</v>
      </c>
      <c r="F18" s="10" t="s">
        <v>133</v>
      </c>
      <c r="G18" s="23" t="s">
        <v>134</v>
      </c>
      <c r="H18" s="14">
        <v>100</v>
      </c>
      <c r="I18" s="14">
        <v>4500</v>
      </c>
      <c r="J18" s="110" t="str">
        <f>IFERROR(LEFT(IF((OPR_2P!$J$4&gt;=H18)*(OPR_2P!$K$4&lt;=I18), OPR_2P!$A$4 &amp; ", ", "") &amp; IF((OPR_2P!$J$5&gt;=H18)*(OPR_2P!$K$5&lt;=I18), OPR_2P!$A$5 &amp; ", ", "") &amp; IF((OPR_2P!$J$6&gt;=H18)*(OPR_2P!$K$6&lt;=I18), OPR_2P!$A$6 &amp; ", ", "") &amp; IF((OPR_2P!$J$7&gt;=H18)*(OPR_2P!$K$7&lt;=I18), OPR_2P!$A$7 &amp; ", ", "") &amp; IF((OPR_2P!$J$8&gt;=H18)*(OPR_2P!$K$8&lt;=I18), OPR_2P!$A$8 &amp; ", ", "") &amp; IF((OPR_2P!$J$9&gt;=H18)*(OPR_2P!$K$9&lt;=I18), OPR_2P!$A$9 &amp; ", ", "") &amp; IF((OPR_2P!$J$10&gt;=H18)*(OPR_2P!$K$10&lt;=I18), OPR_2P!$A$10 &amp; ", ", "") &amp; IF((OPR_2P!$J$11&gt;=H18)*(OPR_2P!$K$11&lt;=I18), OPR_2P!$A$11 &amp; ", ", "") &amp; IF((OPR_2P!$J$12&gt;=H18)*(OPR_2P!$K$12&lt;=I18), OPR_2P!$A$12 &amp; ", ", "") &amp; IF((OPR_2P!$J$13&gt;=H18)*(OPR_2P!$K$13&lt;=I18), OPR_2P!$A$13 &amp; ", ", "") &amp; IF((OPR_2P!$J$14&gt;=H18)*(OPR_2P!$K$14&lt;=I18), OPR_2P!$A$14 &amp; ", ", "") &amp; IF((OPR_2P!$J$15&gt;=H18)*(OPR_2P!$K$15&lt;=I18), OPR_2P!$A$15 &amp; ", ", "") &amp; IF((OPR_2P!$J$16&gt;=H18)*(OPR_2P!$K$16&lt;=I18), OPR_2P!$A$16 &amp; ", ", "") &amp; IF((OPR_2P!$J$17&gt;=H18)*(OPR_2P!$K$17&lt;=I18), OPR_2P!$A$17 &amp; ", ", "") &amp; IF((OPR_2P!$J$18&gt;=H18)*(OPR_2P!$K$18&lt;=I18), OPR_2P!$A$18 &amp; ", ", ""), LEN(IF((OPR_2P!$J$4&gt;=H18)*(OPR_2P!$K$4&lt;=I18), OPR_2P!$A$4 &amp; ", ", "") &amp; IF((OPR_2P!$J$5&gt;=H18)*(OPR_2P!$K$5&lt;=I18), OPR_2P!$A$5 &amp; ", ", "") &amp; IF((OPR_2P!$J$6&gt;=H18)*(OPR_2P!$K$6&lt;=I18), OPR_2P!$A$6 &amp; ", ", "") &amp; IF((OPR_2P!$J$7&gt;=H18)*(OPR_2P!$K$7&lt;=I18), OPR_2P!$A$7 &amp; ", ", "") &amp; IF((OPR_2P!$J$8&gt;=H18)*(OPR_2P!$K$8&lt;=I18), OPR_2P!$A$8 &amp; ", ", "") &amp; IF((OPR_2P!$J$9&gt;=H18)*(OPR_2P!$K$9&lt;=I18), OPR_2P!$A$9 &amp; ", ", "") &amp; IF((OPR_2P!$J$10&gt;=H18)*(OPR_2P!$K$10&lt;=I18), OPR_2P!$A$10 &amp; ", ", "") &amp; IF((OPR_2P!$J$11&gt;=H18)*(OPR_2P!$K$11&lt;=I18), OPR_2P!$A$11 &amp; ", ", "") &amp; IF((OPR_2P!$J$12&gt;=H18)*(OPR_2P!$K$12&lt;=I18), OPR_2P!$A$12 &amp; ", ", "") &amp; IF((OPR_2P!$J$13&gt;=H18)*(OPR_2P!$K$13&lt;=I18), OPR_2P!$A$13 &amp; ", ", "") &amp; IF((OPR_2P!$J$14&gt;=H18)*(OPR_2P!$K$14&lt;=I18), OPR_2P!$A$14 &amp; ", ", "") &amp; IF((OPR_2P!$J$15&gt;=H18)*(OPR_2P!$K$15&lt;=I18), OPR_2P!$A$15 &amp; ", ", "") &amp; IF((OPR_2P!$J$16&gt;=H18)*(OPR_2P!$K$16&lt;=I18), OPR_2P!$A$16 &amp; ", ", "") &amp; IF((OPR_2P!$J$17&gt;=H18)*(OPR_2P!$K$17&lt;=I18), OPR_2P!$A$17 &amp; ", ", "") &amp; IF((OPR_2P!$J$18&gt;=H18)*(OPR_2P!$K$18&lt;=I18), OPR_2P!$A$18 &amp; ", ", ""))-2), "None")</f>
        <v>9, 15, 17, 20, 25, 28, 30, 34, 42, 46, 50, 54, 57, 63, 70</v>
      </c>
    </row>
    <row r="19" spans="1:10" ht="15" customHeight="1" x14ac:dyDescent="0.3">
      <c r="A19" s="10" t="s">
        <v>145</v>
      </c>
      <c r="B19" s="10" t="s">
        <v>151</v>
      </c>
      <c r="C19" s="22">
        <v>46397</v>
      </c>
      <c r="D19" s="10">
        <v>6</v>
      </c>
      <c r="E19" s="10">
        <v>4</v>
      </c>
      <c r="F19" s="10" t="s">
        <v>133</v>
      </c>
      <c r="G19" s="23" t="s">
        <v>134</v>
      </c>
      <c r="H19" s="14">
        <v>100</v>
      </c>
      <c r="I19" s="14">
        <v>4500</v>
      </c>
      <c r="J19" s="110" t="str">
        <f>IFERROR(LEFT(IF((OPR_2P!$J$4&gt;=H19)*(OPR_2P!$K$4&lt;=I19), OPR_2P!$A$4 &amp; ", ", "") &amp; IF((OPR_2P!$J$5&gt;=H19)*(OPR_2P!$K$5&lt;=I19), OPR_2P!$A$5 &amp; ", ", "") &amp; IF((OPR_2P!$J$6&gt;=H19)*(OPR_2P!$K$6&lt;=I19), OPR_2P!$A$6 &amp; ", ", "") &amp; IF((OPR_2P!$J$7&gt;=H19)*(OPR_2P!$K$7&lt;=I19), OPR_2P!$A$7 &amp; ", ", "") &amp; IF((OPR_2P!$J$8&gt;=H19)*(OPR_2P!$K$8&lt;=I19), OPR_2P!$A$8 &amp; ", ", "") &amp; IF((OPR_2P!$J$9&gt;=H19)*(OPR_2P!$K$9&lt;=I19), OPR_2P!$A$9 &amp; ", ", "") &amp; IF((OPR_2P!$J$10&gt;=H19)*(OPR_2P!$K$10&lt;=I19), OPR_2P!$A$10 &amp; ", ", "") &amp; IF((OPR_2P!$J$11&gt;=H19)*(OPR_2P!$K$11&lt;=I19), OPR_2P!$A$11 &amp; ", ", "") &amp; IF((OPR_2P!$J$12&gt;=H19)*(OPR_2P!$K$12&lt;=I19), OPR_2P!$A$12 &amp; ", ", "") &amp; IF((OPR_2P!$J$13&gt;=H19)*(OPR_2P!$K$13&lt;=I19), OPR_2P!$A$13 &amp; ", ", "") &amp; IF((OPR_2P!$J$14&gt;=H19)*(OPR_2P!$K$14&lt;=I19), OPR_2P!$A$14 &amp; ", ", "") &amp; IF((OPR_2P!$J$15&gt;=H19)*(OPR_2P!$K$15&lt;=I19), OPR_2P!$A$15 &amp; ", ", "") &amp; IF((OPR_2P!$J$16&gt;=H19)*(OPR_2P!$K$16&lt;=I19), OPR_2P!$A$16 &amp; ", ", "") &amp; IF((OPR_2P!$J$17&gt;=H19)*(OPR_2P!$K$17&lt;=I19), OPR_2P!$A$17 &amp; ", ", "") &amp; IF((OPR_2P!$J$18&gt;=H19)*(OPR_2P!$K$18&lt;=I19), OPR_2P!$A$18 &amp; ", ", ""), LEN(IF((OPR_2P!$J$4&gt;=H19)*(OPR_2P!$K$4&lt;=I19), OPR_2P!$A$4 &amp; ", ", "") &amp; IF((OPR_2P!$J$5&gt;=H19)*(OPR_2P!$K$5&lt;=I19), OPR_2P!$A$5 &amp; ", ", "") &amp; IF((OPR_2P!$J$6&gt;=H19)*(OPR_2P!$K$6&lt;=I19), OPR_2P!$A$6 &amp; ", ", "") &amp; IF((OPR_2P!$J$7&gt;=H19)*(OPR_2P!$K$7&lt;=I19), OPR_2P!$A$7 &amp; ", ", "") &amp; IF((OPR_2P!$J$8&gt;=H19)*(OPR_2P!$K$8&lt;=I19), OPR_2P!$A$8 &amp; ", ", "") &amp; IF((OPR_2P!$J$9&gt;=H19)*(OPR_2P!$K$9&lt;=I19), OPR_2P!$A$9 &amp; ", ", "") &amp; IF((OPR_2P!$J$10&gt;=H19)*(OPR_2P!$K$10&lt;=I19), OPR_2P!$A$10 &amp; ", ", "") &amp; IF((OPR_2P!$J$11&gt;=H19)*(OPR_2P!$K$11&lt;=I19), OPR_2P!$A$11 &amp; ", ", "") &amp; IF((OPR_2P!$J$12&gt;=H19)*(OPR_2P!$K$12&lt;=I19), OPR_2P!$A$12 &amp; ", ", "") &amp; IF((OPR_2P!$J$13&gt;=H19)*(OPR_2P!$K$13&lt;=I19), OPR_2P!$A$13 &amp; ", ", "") &amp; IF((OPR_2P!$J$14&gt;=H19)*(OPR_2P!$K$14&lt;=I19), OPR_2P!$A$14 &amp; ", ", "") &amp; IF((OPR_2P!$J$15&gt;=H19)*(OPR_2P!$K$15&lt;=I19), OPR_2P!$A$15 &amp; ", ", "") &amp; IF((OPR_2P!$J$16&gt;=H19)*(OPR_2P!$K$16&lt;=I19), OPR_2P!$A$16 &amp; ", ", "") &amp; IF((OPR_2P!$J$17&gt;=H19)*(OPR_2P!$K$17&lt;=I19), OPR_2P!$A$17 &amp; ", ", "") &amp; IF((OPR_2P!$J$18&gt;=H19)*(OPR_2P!$K$18&lt;=I19), OPR_2P!$A$18 &amp; ", ", ""))-2), "None")</f>
        <v>9, 15, 17, 20, 25, 28, 30, 34, 42, 46, 50, 54, 57, 63, 70</v>
      </c>
    </row>
    <row r="20" spans="1:10" ht="15" customHeight="1" x14ac:dyDescent="0.3">
      <c r="A20" s="10" t="s">
        <v>152</v>
      </c>
      <c r="B20" s="10" t="s">
        <v>153</v>
      </c>
      <c r="C20" s="22">
        <v>46092</v>
      </c>
      <c r="D20" s="10">
        <v>6</v>
      </c>
      <c r="E20" s="10">
        <v>4</v>
      </c>
      <c r="F20" s="10" t="s">
        <v>133</v>
      </c>
      <c r="G20" s="23" t="s">
        <v>134</v>
      </c>
      <c r="H20" s="14">
        <v>100</v>
      </c>
      <c r="I20" s="14">
        <v>1600</v>
      </c>
      <c r="J20" s="110" t="str">
        <f>IFERROR(LEFT(IF((OPR_2P!$J$4&gt;=H20)*(OPR_2P!$K$4&lt;=I20), OPR_2P!$A$4 &amp; ", ", "") &amp; IF((OPR_2P!$J$5&gt;=H20)*(OPR_2P!$K$5&lt;=I20), OPR_2P!$A$5 &amp; ", ", "") &amp; IF((OPR_2P!$J$6&gt;=H20)*(OPR_2P!$K$6&lt;=I20), OPR_2P!$A$6 &amp; ", ", "") &amp; IF((OPR_2P!$J$7&gt;=H20)*(OPR_2P!$K$7&lt;=I20), OPR_2P!$A$7 &amp; ", ", "") &amp; IF((OPR_2P!$J$8&gt;=H20)*(OPR_2P!$K$8&lt;=I20), OPR_2P!$A$8 &amp; ", ", "") &amp; IF((OPR_2P!$J$9&gt;=H20)*(OPR_2P!$K$9&lt;=I20), OPR_2P!$A$9 &amp; ", ", "") &amp; IF((OPR_2P!$J$10&gt;=H20)*(OPR_2P!$K$10&lt;=I20), OPR_2P!$A$10 &amp; ", ", "") &amp; IF((OPR_2P!$J$11&gt;=H20)*(OPR_2P!$K$11&lt;=I20), OPR_2P!$A$11 &amp; ", ", "") &amp; IF((OPR_2P!$J$12&gt;=H20)*(OPR_2P!$K$12&lt;=I20), OPR_2P!$A$12 &amp; ", ", "") &amp; IF((OPR_2P!$J$13&gt;=H20)*(OPR_2P!$K$13&lt;=I20), OPR_2P!$A$13 &amp; ", ", "") &amp; IF((OPR_2P!$J$14&gt;=H20)*(OPR_2P!$K$14&lt;=I20), OPR_2P!$A$14 &amp; ", ", "") &amp; IF((OPR_2P!$J$15&gt;=H20)*(OPR_2P!$K$15&lt;=I20), OPR_2P!$A$15 &amp; ", ", "") &amp; IF((OPR_2P!$J$16&gt;=H20)*(OPR_2P!$K$16&lt;=I20), OPR_2P!$A$16 &amp; ", ", "") &amp; IF((OPR_2P!$J$17&gt;=H20)*(OPR_2P!$K$17&lt;=I20), OPR_2P!$A$17 &amp; ", ", "") &amp; IF((OPR_2P!$J$18&gt;=H20)*(OPR_2P!$K$18&lt;=I20), OPR_2P!$A$18 &amp; ", ", ""), LEN(IF((OPR_2P!$J$4&gt;=H20)*(OPR_2P!$K$4&lt;=I20), OPR_2P!$A$4 &amp; ", ", "") &amp; IF((OPR_2P!$J$5&gt;=H20)*(OPR_2P!$K$5&lt;=I20), OPR_2P!$A$5 &amp; ", ", "") &amp; IF((OPR_2P!$J$6&gt;=H20)*(OPR_2P!$K$6&lt;=I20), OPR_2P!$A$6 &amp; ", ", "") &amp; IF((OPR_2P!$J$7&gt;=H20)*(OPR_2P!$K$7&lt;=I20), OPR_2P!$A$7 &amp; ", ", "") &amp; IF((OPR_2P!$J$8&gt;=H20)*(OPR_2P!$K$8&lt;=I20), OPR_2P!$A$8 &amp; ", ", "") &amp; IF((OPR_2P!$J$9&gt;=H20)*(OPR_2P!$K$9&lt;=I20), OPR_2P!$A$9 &amp; ", ", "") &amp; IF((OPR_2P!$J$10&gt;=H20)*(OPR_2P!$K$10&lt;=I20), OPR_2P!$A$10 &amp; ", ", "") &amp; IF((OPR_2P!$J$11&gt;=H20)*(OPR_2P!$K$11&lt;=I20), OPR_2P!$A$11 &amp; ", ", "") &amp; IF((OPR_2P!$J$12&gt;=H20)*(OPR_2P!$K$12&lt;=I20), OPR_2P!$A$12 &amp; ", ", "") &amp; IF((OPR_2P!$J$13&gt;=H20)*(OPR_2P!$K$13&lt;=I20), OPR_2P!$A$13 &amp; ", ", "") &amp; IF((OPR_2P!$J$14&gt;=H20)*(OPR_2P!$K$14&lt;=I20), OPR_2P!$A$14 &amp; ", ", "") &amp; IF((OPR_2P!$J$15&gt;=H20)*(OPR_2P!$K$15&lt;=I20), OPR_2P!$A$15 &amp; ", ", "") &amp; IF((OPR_2P!$J$16&gt;=H20)*(OPR_2P!$K$16&lt;=I20), OPR_2P!$A$16 &amp; ", ", "") &amp; IF((OPR_2P!$J$17&gt;=H20)*(OPR_2P!$K$17&lt;=I20), OPR_2P!$A$17 &amp; ", ", "") &amp; IF((OPR_2P!$J$18&gt;=H20)*(OPR_2P!$K$18&lt;=I20), OPR_2P!$A$18 &amp; ", ", ""))-2), "None")</f>
        <v>9, 15, 17, 20, 25, 28</v>
      </c>
    </row>
    <row r="21" spans="1:10" ht="15" customHeight="1" x14ac:dyDescent="0.3">
      <c r="A21" s="10" t="s">
        <v>152</v>
      </c>
      <c r="B21" s="10" t="s">
        <v>154</v>
      </c>
      <c r="C21" s="22">
        <v>46160</v>
      </c>
      <c r="D21" s="10">
        <v>6</v>
      </c>
      <c r="E21" s="10">
        <v>4</v>
      </c>
      <c r="F21" s="10" t="s">
        <v>133</v>
      </c>
      <c r="G21" s="23" t="s">
        <v>134</v>
      </c>
      <c r="H21" s="14">
        <v>100</v>
      </c>
      <c r="I21" s="14">
        <v>1600</v>
      </c>
      <c r="J21" s="110" t="str">
        <f>IFERROR(LEFT(IF((OPR_2P!$J$4&gt;=H21)*(OPR_2P!$K$4&lt;=I21), OPR_2P!$A$4 &amp; ", ", "") &amp; IF((OPR_2P!$J$5&gt;=H21)*(OPR_2P!$K$5&lt;=I21), OPR_2P!$A$5 &amp; ", ", "") &amp; IF((OPR_2P!$J$6&gt;=H21)*(OPR_2P!$K$6&lt;=I21), OPR_2P!$A$6 &amp; ", ", "") &amp; IF((OPR_2P!$J$7&gt;=H21)*(OPR_2P!$K$7&lt;=I21), OPR_2P!$A$7 &amp; ", ", "") &amp; IF((OPR_2P!$J$8&gt;=H21)*(OPR_2P!$K$8&lt;=I21), OPR_2P!$A$8 &amp; ", ", "") &amp; IF((OPR_2P!$J$9&gt;=H21)*(OPR_2P!$K$9&lt;=I21), OPR_2P!$A$9 &amp; ", ", "") &amp; IF((OPR_2P!$J$10&gt;=H21)*(OPR_2P!$K$10&lt;=I21), OPR_2P!$A$10 &amp; ", ", "") &amp; IF((OPR_2P!$J$11&gt;=H21)*(OPR_2P!$K$11&lt;=I21), OPR_2P!$A$11 &amp; ", ", "") &amp; IF((OPR_2P!$J$12&gt;=H21)*(OPR_2P!$K$12&lt;=I21), OPR_2P!$A$12 &amp; ", ", "") &amp; IF((OPR_2P!$J$13&gt;=H21)*(OPR_2P!$K$13&lt;=I21), OPR_2P!$A$13 &amp; ", ", "") &amp; IF((OPR_2P!$J$14&gt;=H21)*(OPR_2P!$K$14&lt;=I21), OPR_2P!$A$14 &amp; ", ", "") &amp; IF((OPR_2P!$J$15&gt;=H21)*(OPR_2P!$K$15&lt;=I21), OPR_2P!$A$15 &amp; ", ", "") &amp; IF((OPR_2P!$J$16&gt;=H21)*(OPR_2P!$K$16&lt;=I21), OPR_2P!$A$16 &amp; ", ", "") &amp; IF((OPR_2P!$J$17&gt;=H21)*(OPR_2P!$K$17&lt;=I21), OPR_2P!$A$17 &amp; ", ", "") &amp; IF((OPR_2P!$J$18&gt;=H21)*(OPR_2P!$K$18&lt;=I21), OPR_2P!$A$18 &amp; ", ", ""), LEN(IF((OPR_2P!$J$4&gt;=H21)*(OPR_2P!$K$4&lt;=I21), OPR_2P!$A$4 &amp; ", ", "") &amp; IF((OPR_2P!$J$5&gt;=H21)*(OPR_2P!$K$5&lt;=I21), OPR_2P!$A$5 &amp; ", ", "") &amp; IF((OPR_2P!$J$6&gt;=H21)*(OPR_2P!$K$6&lt;=I21), OPR_2P!$A$6 &amp; ", ", "") &amp; IF((OPR_2P!$J$7&gt;=H21)*(OPR_2P!$K$7&lt;=I21), OPR_2P!$A$7 &amp; ", ", "") &amp; IF((OPR_2P!$J$8&gt;=H21)*(OPR_2P!$K$8&lt;=I21), OPR_2P!$A$8 &amp; ", ", "") &amp; IF((OPR_2P!$J$9&gt;=H21)*(OPR_2P!$K$9&lt;=I21), OPR_2P!$A$9 &amp; ", ", "") &amp; IF((OPR_2P!$J$10&gt;=H21)*(OPR_2P!$K$10&lt;=I21), OPR_2P!$A$10 &amp; ", ", "") &amp; IF((OPR_2P!$J$11&gt;=H21)*(OPR_2P!$K$11&lt;=I21), OPR_2P!$A$11 &amp; ", ", "") &amp; IF((OPR_2P!$J$12&gt;=H21)*(OPR_2P!$K$12&lt;=I21), OPR_2P!$A$12 &amp; ", ", "") &amp; IF((OPR_2P!$J$13&gt;=H21)*(OPR_2P!$K$13&lt;=I21), OPR_2P!$A$13 &amp; ", ", "") &amp; IF((OPR_2P!$J$14&gt;=H21)*(OPR_2P!$K$14&lt;=I21), OPR_2P!$A$14 &amp; ", ", "") &amp; IF((OPR_2P!$J$15&gt;=H21)*(OPR_2P!$K$15&lt;=I21), OPR_2P!$A$15 &amp; ", ", "") &amp; IF((OPR_2P!$J$16&gt;=H21)*(OPR_2P!$K$16&lt;=I21), OPR_2P!$A$16 &amp; ", ", "") &amp; IF((OPR_2P!$J$17&gt;=H21)*(OPR_2P!$K$17&lt;=I21), OPR_2P!$A$17 &amp; ", ", "") &amp; IF((OPR_2P!$J$18&gt;=H21)*(OPR_2P!$K$18&lt;=I21), OPR_2P!$A$18 &amp; ", ", ""))-2), "None")</f>
        <v>9, 15, 17, 20, 25, 28</v>
      </c>
    </row>
    <row r="22" spans="1:10" ht="15" customHeight="1" x14ac:dyDescent="0.3">
      <c r="A22" s="10" t="s">
        <v>152</v>
      </c>
      <c r="B22" s="10" t="s">
        <v>155</v>
      </c>
      <c r="C22" s="22">
        <v>46057</v>
      </c>
      <c r="D22" s="10">
        <v>6</v>
      </c>
      <c r="E22" s="10">
        <v>4</v>
      </c>
      <c r="F22" s="10" t="s">
        <v>133</v>
      </c>
      <c r="G22" s="23" t="s">
        <v>134</v>
      </c>
      <c r="H22" s="14">
        <v>100</v>
      </c>
      <c r="I22" s="14">
        <v>1600</v>
      </c>
      <c r="J22" s="110" t="str">
        <f>IFERROR(LEFT(IF((OPR_2P!$J$4&gt;=H22)*(OPR_2P!$K$4&lt;=I22), OPR_2P!$A$4 &amp; ", ", "") &amp; IF((OPR_2P!$J$5&gt;=H22)*(OPR_2P!$K$5&lt;=I22), OPR_2P!$A$5 &amp; ", ", "") &amp; IF((OPR_2P!$J$6&gt;=H22)*(OPR_2P!$K$6&lt;=I22), OPR_2P!$A$6 &amp; ", ", "") &amp; IF((OPR_2P!$J$7&gt;=H22)*(OPR_2P!$K$7&lt;=I22), OPR_2P!$A$7 &amp; ", ", "") &amp; IF((OPR_2P!$J$8&gt;=H22)*(OPR_2P!$K$8&lt;=I22), OPR_2P!$A$8 &amp; ", ", "") &amp; IF((OPR_2P!$J$9&gt;=H22)*(OPR_2P!$K$9&lt;=I22), OPR_2P!$A$9 &amp; ", ", "") &amp; IF((OPR_2P!$J$10&gt;=H22)*(OPR_2P!$K$10&lt;=I22), OPR_2P!$A$10 &amp; ", ", "") &amp; IF((OPR_2P!$J$11&gt;=H22)*(OPR_2P!$K$11&lt;=I22), OPR_2P!$A$11 &amp; ", ", "") &amp; IF((OPR_2P!$J$12&gt;=H22)*(OPR_2P!$K$12&lt;=I22), OPR_2P!$A$12 &amp; ", ", "") &amp; IF((OPR_2P!$J$13&gt;=H22)*(OPR_2P!$K$13&lt;=I22), OPR_2P!$A$13 &amp; ", ", "") &amp; IF((OPR_2P!$J$14&gt;=H22)*(OPR_2P!$K$14&lt;=I22), OPR_2P!$A$14 &amp; ", ", "") &amp; IF((OPR_2P!$J$15&gt;=H22)*(OPR_2P!$K$15&lt;=I22), OPR_2P!$A$15 &amp; ", ", "") &amp; IF((OPR_2P!$J$16&gt;=H22)*(OPR_2P!$K$16&lt;=I22), OPR_2P!$A$16 &amp; ", ", "") &amp; IF((OPR_2P!$J$17&gt;=H22)*(OPR_2P!$K$17&lt;=I22), OPR_2P!$A$17 &amp; ", ", "") &amp; IF((OPR_2P!$J$18&gt;=H22)*(OPR_2P!$K$18&lt;=I22), OPR_2P!$A$18 &amp; ", ", ""), LEN(IF((OPR_2P!$J$4&gt;=H22)*(OPR_2P!$K$4&lt;=I22), OPR_2P!$A$4 &amp; ", ", "") &amp; IF((OPR_2P!$J$5&gt;=H22)*(OPR_2P!$K$5&lt;=I22), OPR_2P!$A$5 &amp; ", ", "") &amp; IF((OPR_2P!$J$6&gt;=H22)*(OPR_2P!$K$6&lt;=I22), OPR_2P!$A$6 &amp; ", ", "") &amp; IF((OPR_2P!$J$7&gt;=H22)*(OPR_2P!$K$7&lt;=I22), OPR_2P!$A$7 &amp; ", ", "") &amp; IF((OPR_2P!$J$8&gt;=H22)*(OPR_2P!$K$8&lt;=I22), OPR_2P!$A$8 &amp; ", ", "") &amp; IF((OPR_2P!$J$9&gt;=H22)*(OPR_2P!$K$9&lt;=I22), OPR_2P!$A$9 &amp; ", ", "") &amp; IF((OPR_2P!$J$10&gt;=H22)*(OPR_2P!$K$10&lt;=I22), OPR_2P!$A$10 &amp; ", ", "") &amp; IF((OPR_2P!$J$11&gt;=H22)*(OPR_2P!$K$11&lt;=I22), OPR_2P!$A$11 &amp; ", ", "") &amp; IF((OPR_2P!$J$12&gt;=H22)*(OPR_2P!$K$12&lt;=I22), OPR_2P!$A$12 &amp; ", ", "") &amp; IF((OPR_2P!$J$13&gt;=H22)*(OPR_2P!$K$13&lt;=I22), OPR_2P!$A$13 &amp; ", ", "") &amp; IF((OPR_2P!$J$14&gt;=H22)*(OPR_2P!$K$14&lt;=I22), OPR_2P!$A$14 &amp; ", ", "") &amp; IF((OPR_2P!$J$15&gt;=H22)*(OPR_2P!$K$15&lt;=I22), OPR_2P!$A$15 &amp; ", ", "") &amp; IF((OPR_2P!$J$16&gt;=H22)*(OPR_2P!$K$16&lt;=I22), OPR_2P!$A$16 &amp; ", ", "") &amp; IF((OPR_2P!$J$17&gt;=H22)*(OPR_2P!$K$17&lt;=I22), OPR_2P!$A$17 &amp; ", ", "") &amp; IF((OPR_2P!$J$18&gt;=H22)*(OPR_2P!$K$18&lt;=I22), OPR_2P!$A$18 &amp; ", ", ""))-2), "None")</f>
        <v>9, 15, 17, 20, 25, 28</v>
      </c>
    </row>
    <row r="23" spans="1:10" ht="15" customHeight="1" x14ac:dyDescent="0.3">
      <c r="A23" s="10" t="s">
        <v>152</v>
      </c>
      <c r="B23" s="10" t="s">
        <v>156</v>
      </c>
      <c r="C23" s="22">
        <v>46111</v>
      </c>
      <c r="D23" s="10">
        <v>6</v>
      </c>
      <c r="E23" s="10">
        <v>4</v>
      </c>
      <c r="F23" s="10" t="s">
        <v>133</v>
      </c>
      <c r="G23" s="23" t="s">
        <v>134</v>
      </c>
      <c r="H23" s="14">
        <v>100</v>
      </c>
      <c r="I23" s="14">
        <v>1600</v>
      </c>
      <c r="J23" s="110" t="str">
        <f>IFERROR(LEFT(IF((OPR_2P!$J$4&gt;=H23)*(OPR_2P!$K$4&lt;=I23), OPR_2P!$A$4 &amp; ", ", "") &amp; IF((OPR_2P!$J$5&gt;=H23)*(OPR_2P!$K$5&lt;=I23), OPR_2P!$A$5 &amp; ", ", "") &amp; IF((OPR_2P!$J$6&gt;=H23)*(OPR_2P!$K$6&lt;=I23), OPR_2P!$A$6 &amp; ", ", "") &amp; IF((OPR_2P!$J$7&gt;=H23)*(OPR_2P!$K$7&lt;=I23), OPR_2P!$A$7 &amp; ", ", "") &amp; IF((OPR_2P!$J$8&gt;=H23)*(OPR_2P!$K$8&lt;=I23), OPR_2P!$A$8 &amp; ", ", "") &amp; IF((OPR_2P!$J$9&gt;=H23)*(OPR_2P!$K$9&lt;=I23), OPR_2P!$A$9 &amp; ", ", "") &amp; IF((OPR_2P!$J$10&gt;=H23)*(OPR_2P!$K$10&lt;=I23), OPR_2P!$A$10 &amp; ", ", "") &amp; IF((OPR_2P!$J$11&gt;=H23)*(OPR_2P!$K$11&lt;=I23), OPR_2P!$A$11 &amp; ", ", "") &amp; IF((OPR_2P!$J$12&gt;=H23)*(OPR_2P!$K$12&lt;=I23), OPR_2P!$A$12 &amp; ", ", "") &amp; IF((OPR_2P!$J$13&gt;=H23)*(OPR_2P!$K$13&lt;=I23), OPR_2P!$A$13 &amp; ", ", "") &amp; IF((OPR_2P!$J$14&gt;=H23)*(OPR_2P!$K$14&lt;=I23), OPR_2P!$A$14 &amp; ", ", "") &amp; IF((OPR_2P!$J$15&gt;=H23)*(OPR_2P!$K$15&lt;=I23), OPR_2P!$A$15 &amp; ", ", "") &amp; IF((OPR_2P!$J$16&gt;=H23)*(OPR_2P!$K$16&lt;=I23), OPR_2P!$A$16 &amp; ", ", "") &amp; IF((OPR_2P!$J$17&gt;=H23)*(OPR_2P!$K$17&lt;=I23), OPR_2P!$A$17 &amp; ", ", "") &amp; IF((OPR_2P!$J$18&gt;=H23)*(OPR_2P!$K$18&lt;=I23), OPR_2P!$A$18 &amp; ", ", ""), LEN(IF((OPR_2P!$J$4&gt;=H23)*(OPR_2P!$K$4&lt;=I23), OPR_2P!$A$4 &amp; ", ", "") &amp; IF((OPR_2P!$J$5&gt;=H23)*(OPR_2P!$K$5&lt;=I23), OPR_2P!$A$5 &amp; ", ", "") &amp; IF((OPR_2P!$J$6&gt;=H23)*(OPR_2P!$K$6&lt;=I23), OPR_2P!$A$6 &amp; ", ", "") &amp; IF((OPR_2P!$J$7&gt;=H23)*(OPR_2P!$K$7&lt;=I23), OPR_2P!$A$7 &amp; ", ", "") &amp; IF((OPR_2P!$J$8&gt;=H23)*(OPR_2P!$K$8&lt;=I23), OPR_2P!$A$8 &amp; ", ", "") &amp; IF((OPR_2P!$J$9&gt;=H23)*(OPR_2P!$K$9&lt;=I23), OPR_2P!$A$9 &amp; ", ", "") &amp; IF((OPR_2P!$J$10&gt;=H23)*(OPR_2P!$K$10&lt;=I23), OPR_2P!$A$10 &amp; ", ", "") &amp; IF((OPR_2P!$J$11&gt;=H23)*(OPR_2P!$K$11&lt;=I23), OPR_2P!$A$11 &amp; ", ", "") &amp; IF((OPR_2P!$J$12&gt;=H23)*(OPR_2P!$K$12&lt;=I23), OPR_2P!$A$12 &amp; ", ", "") &amp; IF((OPR_2P!$J$13&gt;=H23)*(OPR_2P!$K$13&lt;=I23), OPR_2P!$A$13 &amp; ", ", "") &amp; IF((OPR_2P!$J$14&gt;=H23)*(OPR_2P!$K$14&lt;=I23), OPR_2P!$A$14 &amp; ", ", "") &amp; IF((OPR_2P!$J$15&gt;=H23)*(OPR_2P!$K$15&lt;=I23), OPR_2P!$A$15 &amp; ", ", "") &amp; IF((OPR_2P!$J$16&gt;=H23)*(OPR_2P!$K$16&lt;=I23), OPR_2P!$A$16 &amp; ", ", "") &amp; IF((OPR_2P!$J$17&gt;=H23)*(OPR_2P!$K$17&lt;=I23), OPR_2P!$A$17 &amp; ", ", "") &amp; IF((OPR_2P!$J$18&gt;=H23)*(OPR_2P!$K$18&lt;=I23), OPR_2P!$A$18 &amp; ", ", ""))-2), "None")</f>
        <v>9, 15, 17, 20, 25, 28</v>
      </c>
    </row>
    <row r="24" spans="1:10" ht="15" customHeight="1" x14ac:dyDescent="0.3">
      <c r="A24" s="10" t="s">
        <v>152</v>
      </c>
      <c r="B24" s="10" t="s">
        <v>157</v>
      </c>
      <c r="C24" s="22">
        <v>46225</v>
      </c>
      <c r="D24" s="10">
        <v>6</v>
      </c>
      <c r="E24" s="10">
        <v>4</v>
      </c>
      <c r="F24" s="10" t="s">
        <v>133</v>
      </c>
      <c r="G24" s="23" t="s">
        <v>134</v>
      </c>
      <c r="H24" s="14">
        <v>100</v>
      </c>
      <c r="I24" s="14">
        <v>1600</v>
      </c>
      <c r="J24" s="110" t="str">
        <f>IFERROR(LEFT(IF((OPR_2P!$J$4&gt;=H24)*(OPR_2P!$K$4&lt;=I24), OPR_2P!$A$4 &amp; ", ", "") &amp; IF((OPR_2P!$J$5&gt;=H24)*(OPR_2P!$K$5&lt;=I24), OPR_2P!$A$5 &amp; ", ", "") &amp; IF((OPR_2P!$J$6&gt;=H24)*(OPR_2P!$K$6&lt;=I24), OPR_2P!$A$6 &amp; ", ", "") &amp; IF((OPR_2P!$J$7&gt;=H24)*(OPR_2P!$K$7&lt;=I24), OPR_2P!$A$7 &amp; ", ", "") &amp; IF((OPR_2P!$J$8&gt;=H24)*(OPR_2P!$K$8&lt;=I24), OPR_2P!$A$8 &amp; ", ", "") &amp; IF((OPR_2P!$J$9&gt;=H24)*(OPR_2P!$K$9&lt;=I24), OPR_2P!$A$9 &amp; ", ", "") &amp; IF((OPR_2P!$J$10&gt;=H24)*(OPR_2P!$K$10&lt;=I24), OPR_2P!$A$10 &amp; ", ", "") &amp; IF((OPR_2P!$J$11&gt;=H24)*(OPR_2P!$K$11&lt;=I24), OPR_2P!$A$11 &amp; ", ", "") &amp; IF((OPR_2P!$J$12&gt;=H24)*(OPR_2P!$K$12&lt;=I24), OPR_2P!$A$12 &amp; ", ", "") &amp; IF((OPR_2P!$J$13&gt;=H24)*(OPR_2P!$K$13&lt;=I24), OPR_2P!$A$13 &amp; ", ", "") &amp; IF((OPR_2P!$J$14&gt;=H24)*(OPR_2P!$K$14&lt;=I24), OPR_2P!$A$14 &amp; ", ", "") &amp; IF((OPR_2P!$J$15&gt;=H24)*(OPR_2P!$K$15&lt;=I24), OPR_2P!$A$15 &amp; ", ", "") &amp; IF((OPR_2P!$J$16&gt;=H24)*(OPR_2P!$K$16&lt;=I24), OPR_2P!$A$16 &amp; ", ", "") &amp; IF((OPR_2P!$J$17&gt;=H24)*(OPR_2P!$K$17&lt;=I24), OPR_2P!$A$17 &amp; ", ", "") &amp; IF((OPR_2P!$J$18&gt;=H24)*(OPR_2P!$K$18&lt;=I24), OPR_2P!$A$18 &amp; ", ", ""), LEN(IF((OPR_2P!$J$4&gt;=H24)*(OPR_2P!$K$4&lt;=I24), OPR_2P!$A$4 &amp; ", ", "") &amp; IF((OPR_2P!$J$5&gt;=H24)*(OPR_2P!$K$5&lt;=I24), OPR_2P!$A$5 &amp; ", ", "") &amp; IF((OPR_2P!$J$6&gt;=H24)*(OPR_2P!$K$6&lt;=I24), OPR_2P!$A$6 &amp; ", ", "") &amp; IF((OPR_2P!$J$7&gt;=H24)*(OPR_2P!$K$7&lt;=I24), OPR_2P!$A$7 &amp; ", ", "") &amp; IF((OPR_2P!$J$8&gt;=H24)*(OPR_2P!$K$8&lt;=I24), OPR_2P!$A$8 &amp; ", ", "") &amp; IF((OPR_2P!$J$9&gt;=H24)*(OPR_2P!$K$9&lt;=I24), OPR_2P!$A$9 &amp; ", ", "") &amp; IF((OPR_2P!$J$10&gt;=H24)*(OPR_2P!$K$10&lt;=I24), OPR_2P!$A$10 &amp; ", ", "") &amp; IF((OPR_2P!$J$11&gt;=H24)*(OPR_2P!$K$11&lt;=I24), OPR_2P!$A$11 &amp; ", ", "") &amp; IF((OPR_2P!$J$12&gt;=H24)*(OPR_2P!$K$12&lt;=I24), OPR_2P!$A$12 &amp; ", ", "") &amp; IF((OPR_2P!$J$13&gt;=H24)*(OPR_2P!$K$13&lt;=I24), OPR_2P!$A$13 &amp; ", ", "") &amp; IF((OPR_2P!$J$14&gt;=H24)*(OPR_2P!$K$14&lt;=I24), OPR_2P!$A$14 &amp; ", ", "") &amp; IF((OPR_2P!$J$15&gt;=H24)*(OPR_2P!$K$15&lt;=I24), OPR_2P!$A$15 &amp; ", ", "") &amp; IF((OPR_2P!$J$16&gt;=H24)*(OPR_2P!$K$16&lt;=I24), OPR_2P!$A$16 &amp; ", ", "") &amp; IF((OPR_2P!$J$17&gt;=H24)*(OPR_2P!$K$17&lt;=I24), OPR_2P!$A$17 &amp; ", ", "") &amp; IF((OPR_2P!$J$18&gt;=H24)*(OPR_2P!$K$18&lt;=I24), OPR_2P!$A$18 &amp; ", ", ""))-2), "None")</f>
        <v>9, 15, 17, 20, 25, 28</v>
      </c>
    </row>
    <row r="25" spans="1:10" ht="15" customHeight="1" x14ac:dyDescent="0.3">
      <c r="A25" s="10" t="s">
        <v>152</v>
      </c>
      <c r="B25" s="10" t="s">
        <v>158</v>
      </c>
      <c r="C25" s="22">
        <v>46330</v>
      </c>
      <c r="D25" s="10">
        <v>6</v>
      </c>
      <c r="E25" s="10">
        <v>4</v>
      </c>
      <c r="F25" s="10" t="s">
        <v>133</v>
      </c>
      <c r="G25" s="23" t="s">
        <v>134</v>
      </c>
      <c r="H25" s="14">
        <v>100</v>
      </c>
      <c r="I25" s="14">
        <v>1600</v>
      </c>
      <c r="J25" s="110" t="str">
        <f>IFERROR(LEFT(IF((OPR_2P!$J$4&gt;=H25)*(OPR_2P!$K$4&lt;=I25), OPR_2P!$A$4 &amp; ", ", "") &amp; IF((OPR_2P!$J$5&gt;=H25)*(OPR_2P!$K$5&lt;=I25), OPR_2P!$A$5 &amp; ", ", "") &amp; IF((OPR_2P!$J$6&gt;=H25)*(OPR_2P!$K$6&lt;=I25), OPR_2P!$A$6 &amp; ", ", "") &amp; IF((OPR_2P!$J$7&gt;=H25)*(OPR_2P!$K$7&lt;=I25), OPR_2P!$A$7 &amp; ", ", "") &amp; IF((OPR_2P!$J$8&gt;=H25)*(OPR_2P!$K$8&lt;=I25), OPR_2P!$A$8 &amp; ", ", "") &amp; IF((OPR_2P!$J$9&gt;=H25)*(OPR_2P!$K$9&lt;=I25), OPR_2P!$A$9 &amp; ", ", "") &amp; IF((OPR_2P!$J$10&gt;=H25)*(OPR_2P!$K$10&lt;=I25), OPR_2P!$A$10 &amp; ", ", "") &amp; IF((OPR_2P!$J$11&gt;=H25)*(OPR_2P!$K$11&lt;=I25), OPR_2P!$A$11 &amp; ", ", "") &amp; IF((OPR_2P!$J$12&gt;=H25)*(OPR_2P!$K$12&lt;=I25), OPR_2P!$A$12 &amp; ", ", "") &amp; IF((OPR_2P!$J$13&gt;=H25)*(OPR_2P!$K$13&lt;=I25), OPR_2P!$A$13 &amp; ", ", "") &amp; IF((OPR_2P!$J$14&gt;=H25)*(OPR_2P!$K$14&lt;=I25), OPR_2P!$A$14 &amp; ", ", "") &amp; IF((OPR_2P!$J$15&gt;=H25)*(OPR_2P!$K$15&lt;=I25), OPR_2P!$A$15 &amp; ", ", "") &amp; IF((OPR_2P!$J$16&gt;=H25)*(OPR_2P!$K$16&lt;=I25), OPR_2P!$A$16 &amp; ", ", "") &amp; IF((OPR_2P!$J$17&gt;=H25)*(OPR_2P!$K$17&lt;=I25), OPR_2P!$A$17 &amp; ", ", "") &amp; IF((OPR_2P!$J$18&gt;=H25)*(OPR_2P!$K$18&lt;=I25), OPR_2P!$A$18 &amp; ", ", ""), LEN(IF((OPR_2P!$J$4&gt;=H25)*(OPR_2P!$K$4&lt;=I25), OPR_2P!$A$4 &amp; ", ", "") &amp; IF((OPR_2P!$J$5&gt;=H25)*(OPR_2P!$K$5&lt;=I25), OPR_2P!$A$5 &amp; ", ", "") &amp; IF((OPR_2P!$J$6&gt;=H25)*(OPR_2P!$K$6&lt;=I25), OPR_2P!$A$6 &amp; ", ", "") &amp; IF((OPR_2P!$J$7&gt;=H25)*(OPR_2P!$K$7&lt;=I25), OPR_2P!$A$7 &amp; ", ", "") &amp; IF((OPR_2P!$J$8&gt;=H25)*(OPR_2P!$K$8&lt;=I25), OPR_2P!$A$8 &amp; ", ", "") &amp; IF((OPR_2P!$J$9&gt;=H25)*(OPR_2P!$K$9&lt;=I25), OPR_2P!$A$9 &amp; ", ", "") &amp; IF((OPR_2P!$J$10&gt;=H25)*(OPR_2P!$K$10&lt;=I25), OPR_2P!$A$10 &amp; ", ", "") &amp; IF((OPR_2P!$J$11&gt;=H25)*(OPR_2P!$K$11&lt;=I25), OPR_2P!$A$11 &amp; ", ", "") &amp; IF((OPR_2P!$J$12&gt;=H25)*(OPR_2P!$K$12&lt;=I25), OPR_2P!$A$12 &amp; ", ", "") &amp; IF((OPR_2P!$J$13&gt;=H25)*(OPR_2P!$K$13&lt;=I25), OPR_2P!$A$13 &amp; ", ", "") &amp; IF((OPR_2P!$J$14&gt;=H25)*(OPR_2P!$K$14&lt;=I25), OPR_2P!$A$14 &amp; ", ", "") &amp; IF((OPR_2P!$J$15&gt;=H25)*(OPR_2P!$K$15&lt;=I25), OPR_2P!$A$15 &amp; ", ", "") &amp; IF((OPR_2P!$J$16&gt;=H25)*(OPR_2P!$K$16&lt;=I25), OPR_2P!$A$16 &amp; ", ", "") &amp; IF((OPR_2P!$J$17&gt;=H25)*(OPR_2P!$K$17&lt;=I25), OPR_2P!$A$17 &amp; ", ", "") &amp; IF((OPR_2P!$J$18&gt;=H25)*(OPR_2P!$K$18&lt;=I25), OPR_2P!$A$18 &amp; ", ", ""))-2), "None")</f>
        <v>9, 15, 17, 20, 25, 28</v>
      </c>
    </row>
    <row r="26" spans="1:10" ht="15" customHeight="1" x14ac:dyDescent="0.3">
      <c r="A26" s="10" t="s">
        <v>152</v>
      </c>
      <c r="B26" s="10" t="s">
        <v>159</v>
      </c>
      <c r="C26" s="22">
        <v>46208</v>
      </c>
      <c r="D26" s="10">
        <v>6</v>
      </c>
      <c r="E26" s="10">
        <v>4</v>
      </c>
      <c r="F26" s="10" t="s">
        <v>133</v>
      </c>
      <c r="G26" s="23" t="s">
        <v>134</v>
      </c>
      <c r="H26" s="14">
        <v>100</v>
      </c>
      <c r="I26" s="14">
        <v>1600</v>
      </c>
      <c r="J26" s="110" t="str">
        <f>IFERROR(LEFT(IF((OPR_2P!$J$4&gt;=H26)*(OPR_2P!$K$4&lt;=I26), OPR_2P!$A$4 &amp; ", ", "") &amp; IF((OPR_2P!$J$5&gt;=H26)*(OPR_2P!$K$5&lt;=I26), OPR_2P!$A$5 &amp; ", ", "") &amp; IF((OPR_2P!$J$6&gt;=H26)*(OPR_2P!$K$6&lt;=I26), OPR_2P!$A$6 &amp; ", ", "") &amp; IF((OPR_2P!$J$7&gt;=H26)*(OPR_2P!$K$7&lt;=I26), OPR_2P!$A$7 &amp; ", ", "") &amp; IF((OPR_2P!$J$8&gt;=H26)*(OPR_2P!$K$8&lt;=I26), OPR_2P!$A$8 &amp; ", ", "") &amp; IF((OPR_2P!$J$9&gt;=H26)*(OPR_2P!$K$9&lt;=I26), OPR_2P!$A$9 &amp; ", ", "") &amp; IF((OPR_2P!$J$10&gt;=H26)*(OPR_2P!$K$10&lt;=I26), OPR_2P!$A$10 &amp; ", ", "") &amp; IF((OPR_2P!$J$11&gt;=H26)*(OPR_2P!$K$11&lt;=I26), OPR_2P!$A$11 &amp; ", ", "") &amp; IF((OPR_2P!$J$12&gt;=H26)*(OPR_2P!$K$12&lt;=I26), OPR_2P!$A$12 &amp; ", ", "") &amp; IF((OPR_2P!$J$13&gt;=H26)*(OPR_2P!$K$13&lt;=I26), OPR_2P!$A$13 &amp; ", ", "") &amp; IF((OPR_2P!$J$14&gt;=H26)*(OPR_2P!$K$14&lt;=I26), OPR_2P!$A$14 &amp; ", ", "") &amp; IF((OPR_2P!$J$15&gt;=H26)*(OPR_2P!$K$15&lt;=I26), OPR_2P!$A$15 &amp; ", ", "") &amp; IF((OPR_2P!$J$16&gt;=H26)*(OPR_2P!$K$16&lt;=I26), OPR_2P!$A$16 &amp; ", ", "") &amp; IF((OPR_2P!$J$17&gt;=H26)*(OPR_2P!$K$17&lt;=I26), OPR_2P!$A$17 &amp; ", ", "") &amp; IF((OPR_2P!$J$18&gt;=H26)*(OPR_2P!$K$18&lt;=I26), OPR_2P!$A$18 &amp; ", ", ""), LEN(IF((OPR_2P!$J$4&gt;=H26)*(OPR_2P!$K$4&lt;=I26), OPR_2P!$A$4 &amp; ", ", "") &amp; IF((OPR_2P!$J$5&gt;=H26)*(OPR_2P!$K$5&lt;=I26), OPR_2P!$A$5 &amp; ", ", "") &amp; IF((OPR_2P!$J$6&gt;=H26)*(OPR_2P!$K$6&lt;=I26), OPR_2P!$A$6 &amp; ", ", "") &amp; IF((OPR_2P!$J$7&gt;=H26)*(OPR_2P!$K$7&lt;=I26), OPR_2P!$A$7 &amp; ", ", "") &amp; IF((OPR_2P!$J$8&gt;=H26)*(OPR_2P!$K$8&lt;=I26), OPR_2P!$A$8 &amp; ", ", "") &amp; IF((OPR_2P!$J$9&gt;=H26)*(OPR_2P!$K$9&lt;=I26), OPR_2P!$A$9 &amp; ", ", "") &amp; IF((OPR_2P!$J$10&gt;=H26)*(OPR_2P!$K$10&lt;=I26), OPR_2P!$A$10 &amp; ", ", "") &amp; IF((OPR_2P!$J$11&gt;=H26)*(OPR_2P!$K$11&lt;=I26), OPR_2P!$A$11 &amp; ", ", "") &amp; IF((OPR_2P!$J$12&gt;=H26)*(OPR_2P!$K$12&lt;=I26), OPR_2P!$A$12 &amp; ", ", "") &amp; IF((OPR_2P!$J$13&gt;=H26)*(OPR_2P!$K$13&lt;=I26), OPR_2P!$A$13 &amp; ", ", "") &amp; IF((OPR_2P!$J$14&gt;=H26)*(OPR_2P!$K$14&lt;=I26), OPR_2P!$A$14 &amp; ", ", "") &amp; IF((OPR_2P!$J$15&gt;=H26)*(OPR_2P!$K$15&lt;=I26), OPR_2P!$A$15 &amp; ", ", "") &amp; IF((OPR_2P!$J$16&gt;=H26)*(OPR_2P!$K$16&lt;=I26), OPR_2P!$A$16 &amp; ", ", "") &amp; IF((OPR_2P!$J$17&gt;=H26)*(OPR_2P!$K$17&lt;=I26), OPR_2P!$A$17 &amp; ", ", "") &amp; IF((OPR_2P!$J$18&gt;=H26)*(OPR_2P!$K$18&lt;=I26), OPR_2P!$A$18 &amp; ", ", ""))-2), "None")</f>
        <v>9, 15, 17, 20, 25, 28</v>
      </c>
    </row>
    <row r="27" spans="1:10" ht="15" customHeight="1" x14ac:dyDescent="0.3">
      <c r="A27" s="10" t="s">
        <v>152</v>
      </c>
      <c r="B27" s="10" t="s">
        <v>160</v>
      </c>
      <c r="C27" s="22">
        <v>46291</v>
      </c>
      <c r="D27" s="10">
        <v>6</v>
      </c>
      <c r="E27" s="10">
        <v>4</v>
      </c>
      <c r="F27" s="10" t="s">
        <v>133</v>
      </c>
      <c r="G27" s="23" t="s">
        <v>134</v>
      </c>
      <c r="H27" s="14">
        <v>100</v>
      </c>
      <c r="I27" s="14">
        <v>1600</v>
      </c>
      <c r="J27" s="110" t="str">
        <f>IFERROR(LEFT(IF((OPR_2P!$J$4&gt;=H27)*(OPR_2P!$K$4&lt;=I27), OPR_2P!$A$4 &amp; ", ", "") &amp; IF((OPR_2P!$J$5&gt;=H27)*(OPR_2P!$K$5&lt;=I27), OPR_2P!$A$5 &amp; ", ", "") &amp; IF((OPR_2P!$J$6&gt;=H27)*(OPR_2P!$K$6&lt;=I27), OPR_2P!$A$6 &amp; ", ", "") &amp; IF((OPR_2P!$J$7&gt;=H27)*(OPR_2P!$K$7&lt;=I27), OPR_2P!$A$7 &amp; ", ", "") &amp; IF((OPR_2P!$J$8&gt;=H27)*(OPR_2P!$K$8&lt;=I27), OPR_2P!$A$8 &amp; ", ", "") &amp; IF((OPR_2P!$J$9&gt;=H27)*(OPR_2P!$K$9&lt;=I27), OPR_2P!$A$9 &amp; ", ", "") &amp; IF((OPR_2P!$J$10&gt;=H27)*(OPR_2P!$K$10&lt;=I27), OPR_2P!$A$10 &amp; ", ", "") &amp; IF((OPR_2P!$J$11&gt;=H27)*(OPR_2P!$K$11&lt;=I27), OPR_2P!$A$11 &amp; ", ", "") &amp; IF((OPR_2P!$J$12&gt;=H27)*(OPR_2P!$K$12&lt;=I27), OPR_2P!$A$12 &amp; ", ", "") &amp; IF((OPR_2P!$J$13&gt;=H27)*(OPR_2P!$K$13&lt;=I27), OPR_2P!$A$13 &amp; ", ", "") &amp; IF((OPR_2P!$J$14&gt;=H27)*(OPR_2P!$K$14&lt;=I27), OPR_2P!$A$14 &amp; ", ", "") &amp; IF((OPR_2P!$J$15&gt;=H27)*(OPR_2P!$K$15&lt;=I27), OPR_2P!$A$15 &amp; ", ", "") &amp; IF((OPR_2P!$J$16&gt;=H27)*(OPR_2P!$K$16&lt;=I27), OPR_2P!$A$16 &amp; ", ", "") &amp; IF((OPR_2P!$J$17&gt;=H27)*(OPR_2P!$K$17&lt;=I27), OPR_2P!$A$17 &amp; ", ", "") &amp; IF((OPR_2P!$J$18&gt;=H27)*(OPR_2P!$K$18&lt;=I27), OPR_2P!$A$18 &amp; ", ", ""), LEN(IF((OPR_2P!$J$4&gt;=H27)*(OPR_2P!$K$4&lt;=I27), OPR_2P!$A$4 &amp; ", ", "") &amp; IF((OPR_2P!$J$5&gt;=H27)*(OPR_2P!$K$5&lt;=I27), OPR_2P!$A$5 &amp; ", ", "") &amp; IF((OPR_2P!$J$6&gt;=H27)*(OPR_2P!$K$6&lt;=I27), OPR_2P!$A$6 &amp; ", ", "") &amp; IF((OPR_2P!$J$7&gt;=H27)*(OPR_2P!$K$7&lt;=I27), OPR_2P!$A$7 &amp; ", ", "") &amp; IF((OPR_2P!$J$8&gt;=H27)*(OPR_2P!$K$8&lt;=I27), OPR_2P!$A$8 &amp; ", ", "") &amp; IF((OPR_2P!$J$9&gt;=H27)*(OPR_2P!$K$9&lt;=I27), OPR_2P!$A$9 &amp; ", ", "") &amp; IF((OPR_2P!$J$10&gt;=H27)*(OPR_2P!$K$10&lt;=I27), OPR_2P!$A$10 &amp; ", ", "") &amp; IF((OPR_2P!$J$11&gt;=H27)*(OPR_2P!$K$11&lt;=I27), OPR_2P!$A$11 &amp; ", ", "") &amp; IF((OPR_2P!$J$12&gt;=H27)*(OPR_2P!$K$12&lt;=I27), OPR_2P!$A$12 &amp; ", ", "") &amp; IF((OPR_2P!$J$13&gt;=H27)*(OPR_2P!$K$13&lt;=I27), OPR_2P!$A$13 &amp; ", ", "") &amp; IF((OPR_2P!$J$14&gt;=H27)*(OPR_2P!$K$14&lt;=I27), OPR_2P!$A$14 &amp; ", ", "") &amp; IF((OPR_2P!$J$15&gt;=H27)*(OPR_2P!$K$15&lt;=I27), OPR_2P!$A$15 &amp; ", ", "") &amp; IF((OPR_2P!$J$16&gt;=H27)*(OPR_2P!$K$16&lt;=I27), OPR_2P!$A$16 &amp; ", ", "") &amp; IF((OPR_2P!$J$17&gt;=H27)*(OPR_2P!$K$17&lt;=I27), OPR_2P!$A$17 &amp; ", ", "") &amp; IF((OPR_2P!$J$18&gt;=H27)*(OPR_2P!$K$18&lt;=I27), OPR_2P!$A$18 &amp; ", ", ""))-2), "None")</f>
        <v>9, 15, 17, 20, 25, 28</v>
      </c>
    </row>
    <row r="28" spans="1:10" ht="15" customHeight="1" x14ac:dyDescent="0.3">
      <c r="A28" s="10" t="s">
        <v>152</v>
      </c>
      <c r="B28" s="10" t="s">
        <v>161</v>
      </c>
      <c r="C28" s="22">
        <v>46237</v>
      </c>
      <c r="D28" s="10">
        <v>6</v>
      </c>
      <c r="E28" s="10">
        <v>4</v>
      </c>
      <c r="F28" s="10" t="s">
        <v>133</v>
      </c>
      <c r="G28" s="23" t="s">
        <v>134</v>
      </c>
      <c r="H28" s="14">
        <v>300</v>
      </c>
      <c r="I28" s="14">
        <v>2500</v>
      </c>
      <c r="J28" s="110" t="str">
        <f>IFERROR(LEFT(IF((OPR_2P!$J$4&gt;=H28)*(OPR_2P!$K$4&lt;=I28), OPR_2P!$A$4 &amp; ", ", "") &amp; IF((OPR_2P!$J$5&gt;=H28)*(OPR_2P!$K$5&lt;=I28), OPR_2P!$A$5 &amp; ", ", "") &amp; IF((OPR_2P!$J$6&gt;=H28)*(OPR_2P!$K$6&lt;=I28), OPR_2P!$A$6 &amp; ", ", "") &amp; IF((OPR_2P!$J$7&gt;=H28)*(OPR_2P!$K$7&lt;=I28), OPR_2P!$A$7 &amp; ", ", "") &amp; IF((OPR_2P!$J$8&gt;=H28)*(OPR_2P!$K$8&lt;=I28), OPR_2P!$A$8 &amp; ", ", "") &amp; IF((OPR_2P!$J$9&gt;=H28)*(OPR_2P!$K$9&lt;=I28), OPR_2P!$A$9 &amp; ", ", "") &amp; IF((OPR_2P!$J$10&gt;=H28)*(OPR_2P!$K$10&lt;=I28), OPR_2P!$A$10 &amp; ", ", "") &amp; IF((OPR_2P!$J$11&gt;=H28)*(OPR_2P!$K$11&lt;=I28), OPR_2P!$A$11 &amp; ", ", "") &amp; IF((OPR_2P!$J$12&gt;=H28)*(OPR_2P!$K$12&lt;=I28), OPR_2P!$A$12 &amp; ", ", "") &amp; IF((OPR_2P!$J$13&gt;=H28)*(OPR_2P!$K$13&lt;=I28), OPR_2P!$A$13 &amp; ", ", "") &amp; IF((OPR_2P!$J$14&gt;=H28)*(OPR_2P!$K$14&lt;=I28), OPR_2P!$A$14 &amp; ", ", "") &amp; IF((OPR_2P!$J$15&gt;=H28)*(OPR_2P!$K$15&lt;=I28), OPR_2P!$A$15 &amp; ", ", "") &amp; IF((OPR_2P!$J$16&gt;=H28)*(OPR_2P!$K$16&lt;=I28), OPR_2P!$A$16 &amp; ", ", "") &amp; IF((OPR_2P!$J$17&gt;=H28)*(OPR_2P!$K$17&lt;=I28), OPR_2P!$A$17 &amp; ", ", "") &amp; IF((OPR_2P!$J$18&gt;=H28)*(OPR_2P!$K$18&lt;=I28), OPR_2P!$A$18 &amp; ", ", ""), LEN(IF((OPR_2P!$J$4&gt;=H28)*(OPR_2P!$K$4&lt;=I28), OPR_2P!$A$4 &amp; ", ", "") &amp; IF((OPR_2P!$J$5&gt;=H28)*(OPR_2P!$K$5&lt;=I28), OPR_2P!$A$5 &amp; ", ", "") &amp; IF((OPR_2P!$J$6&gt;=H28)*(OPR_2P!$K$6&lt;=I28), OPR_2P!$A$6 &amp; ", ", "") &amp; IF((OPR_2P!$J$7&gt;=H28)*(OPR_2P!$K$7&lt;=I28), OPR_2P!$A$7 &amp; ", ", "") &amp; IF((OPR_2P!$J$8&gt;=H28)*(OPR_2P!$K$8&lt;=I28), OPR_2P!$A$8 &amp; ", ", "") &amp; IF((OPR_2P!$J$9&gt;=H28)*(OPR_2P!$K$9&lt;=I28), OPR_2P!$A$9 &amp; ", ", "") &amp; IF((OPR_2P!$J$10&gt;=H28)*(OPR_2P!$K$10&lt;=I28), OPR_2P!$A$10 &amp; ", ", "") &amp; IF((OPR_2P!$J$11&gt;=H28)*(OPR_2P!$K$11&lt;=I28), OPR_2P!$A$11 &amp; ", ", "") &amp; IF((OPR_2P!$J$12&gt;=H28)*(OPR_2P!$K$12&lt;=I28), OPR_2P!$A$12 &amp; ", ", "") &amp; IF((OPR_2P!$J$13&gt;=H28)*(OPR_2P!$K$13&lt;=I28), OPR_2P!$A$13 &amp; ", ", "") &amp; IF((OPR_2P!$J$14&gt;=H28)*(OPR_2P!$K$14&lt;=I28), OPR_2P!$A$14 &amp; ", ", "") &amp; IF((OPR_2P!$J$15&gt;=H28)*(OPR_2P!$K$15&lt;=I28), OPR_2P!$A$15 &amp; ", ", "") &amp; IF((OPR_2P!$J$16&gt;=H28)*(OPR_2P!$K$16&lt;=I28), OPR_2P!$A$16 &amp; ", ", "") &amp; IF((OPR_2P!$J$17&gt;=H28)*(OPR_2P!$K$17&lt;=I28), OPR_2P!$A$17 &amp; ", ", "") &amp; IF((OPR_2P!$J$18&gt;=H28)*(OPR_2P!$K$18&lt;=I28), OPR_2P!$A$18 &amp; ", ", ""))-2), "None")</f>
        <v>15, 17, 20, 25, 28, 30, 34, 42, 46</v>
      </c>
    </row>
    <row r="29" spans="1:10" ht="15" customHeight="1" x14ac:dyDescent="0.3">
      <c r="A29" s="10" t="s">
        <v>152</v>
      </c>
      <c r="B29" s="10" t="s">
        <v>162</v>
      </c>
      <c r="C29" s="22">
        <v>46503</v>
      </c>
      <c r="D29" s="10">
        <v>6</v>
      </c>
      <c r="E29" s="10">
        <v>4</v>
      </c>
      <c r="F29" s="10" t="s">
        <v>133</v>
      </c>
      <c r="G29" s="23" t="s">
        <v>134</v>
      </c>
      <c r="H29" s="14">
        <v>300</v>
      </c>
      <c r="I29" s="14">
        <v>2500</v>
      </c>
      <c r="J29" s="110" t="str">
        <f>IFERROR(LEFT(IF((OPR_2P!$J$4&gt;=H29)*(OPR_2P!$K$4&lt;=I29), OPR_2P!$A$4 &amp; ", ", "") &amp; IF((OPR_2P!$J$5&gt;=H29)*(OPR_2P!$K$5&lt;=I29), OPR_2P!$A$5 &amp; ", ", "") &amp; IF((OPR_2P!$J$6&gt;=H29)*(OPR_2P!$K$6&lt;=I29), OPR_2P!$A$6 &amp; ", ", "") &amp; IF((OPR_2P!$J$7&gt;=H29)*(OPR_2P!$K$7&lt;=I29), OPR_2P!$A$7 &amp; ", ", "") &amp; IF((OPR_2P!$J$8&gt;=H29)*(OPR_2P!$K$8&lt;=I29), OPR_2P!$A$8 &amp; ", ", "") &amp; IF((OPR_2P!$J$9&gt;=H29)*(OPR_2P!$K$9&lt;=I29), OPR_2P!$A$9 &amp; ", ", "") &amp; IF((OPR_2P!$J$10&gt;=H29)*(OPR_2P!$K$10&lt;=I29), OPR_2P!$A$10 &amp; ", ", "") &amp; IF((OPR_2P!$J$11&gt;=H29)*(OPR_2P!$K$11&lt;=I29), OPR_2P!$A$11 &amp; ", ", "") &amp; IF((OPR_2P!$J$12&gt;=H29)*(OPR_2P!$K$12&lt;=I29), OPR_2P!$A$12 &amp; ", ", "") &amp; IF((OPR_2P!$J$13&gt;=H29)*(OPR_2P!$K$13&lt;=I29), OPR_2P!$A$13 &amp; ", ", "") &amp; IF((OPR_2P!$J$14&gt;=H29)*(OPR_2P!$K$14&lt;=I29), OPR_2P!$A$14 &amp; ", ", "") &amp; IF((OPR_2P!$J$15&gt;=H29)*(OPR_2P!$K$15&lt;=I29), OPR_2P!$A$15 &amp; ", ", "") &amp; IF((OPR_2P!$J$16&gt;=H29)*(OPR_2P!$K$16&lt;=I29), OPR_2P!$A$16 &amp; ", ", "") &amp; IF((OPR_2P!$J$17&gt;=H29)*(OPR_2P!$K$17&lt;=I29), OPR_2P!$A$17 &amp; ", ", "") &amp; IF((OPR_2P!$J$18&gt;=H29)*(OPR_2P!$K$18&lt;=I29), OPR_2P!$A$18 &amp; ", ", ""), LEN(IF((OPR_2P!$J$4&gt;=H29)*(OPR_2P!$K$4&lt;=I29), OPR_2P!$A$4 &amp; ", ", "") &amp; IF((OPR_2P!$J$5&gt;=H29)*(OPR_2P!$K$5&lt;=I29), OPR_2P!$A$5 &amp; ", ", "") &amp; IF((OPR_2P!$J$6&gt;=H29)*(OPR_2P!$K$6&lt;=I29), OPR_2P!$A$6 &amp; ", ", "") &amp; IF((OPR_2P!$J$7&gt;=H29)*(OPR_2P!$K$7&lt;=I29), OPR_2P!$A$7 &amp; ", ", "") &amp; IF((OPR_2P!$J$8&gt;=H29)*(OPR_2P!$K$8&lt;=I29), OPR_2P!$A$8 &amp; ", ", "") &amp; IF((OPR_2P!$J$9&gt;=H29)*(OPR_2P!$K$9&lt;=I29), OPR_2P!$A$9 &amp; ", ", "") &amp; IF((OPR_2P!$J$10&gt;=H29)*(OPR_2P!$K$10&lt;=I29), OPR_2P!$A$10 &amp; ", ", "") &amp; IF((OPR_2P!$J$11&gt;=H29)*(OPR_2P!$K$11&lt;=I29), OPR_2P!$A$11 &amp; ", ", "") &amp; IF((OPR_2P!$J$12&gt;=H29)*(OPR_2P!$K$12&lt;=I29), OPR_2P!$A$12 &amp; ", ", "") &amp; IF((OPR_2P!$J$13&gt;=H29)*(OPR_2P!$K$13&lt;=I29), OPR_2P!$A$13 &amp; ", ", "") &amp; IF((OPR_2P!$J$14&gt;=H29)*(OPR_2P!$K$14&lt;=I29), OPR_2P!$A$14 &amp; ", ", "") &amp; IF((OPR_2P!$J$15&gt;=H29)*(OPR_2P!$K$15&lt;=I29), OPR_2P!$A$15 &amp; ", ", "") &amp; IF((OPR_2P!$J$16&gt;=H29)*(OPR_2P!$K$16&lt;=I29), OPR_2P!$A$16 &amp; ", ", "") &amp; IF((OPR_2P!$J$17&gt;=H29)*(OPR_2P!$K$17&lt;=I29), OPR_2P!$A$17 &amp; ", ", "") &amp; IF((OPR_2P!$J$18&gt;=H29)*(OPR_2P!$K$18&lt;=I29), OPR_2P!$A$18 &amp; ", ", ""))-2), "None")</f>
        <v>15, 17, 20, 25, 28, 30, 34, 42, 46</v>
      </c>
    </row>
    <row r="30" spans="1:10" ht="15" customHeight="1" x14ac:dyDescent="0.3">
      <c r="A30" s="10" t="s">
        <v>152</v>
      </c>
      <c r="B30" s="10" t="s">
        <v>163</v>
      </c>
      <c r="C30" s="22">
        <v>46098</v>
      </c>
      <c r="D30" s="10">
        <v>6</v>
      </c>
      <c r="E30" s="10">
        <v>4</v>
      </c>
      <c r="F30" s="10" t="s">
        <v>133</v>
      </c>
      <c r="G30" s="23" t="s">
        <v>134</v>
      </c>
      <c r="H30" s="14">
        <v>300</v>
      </c>
      <c r="I30" s="14">
        <v>2500</v>
      </c>
      <c r="J30" s="110" t="str">
        <f>IFERROR(LEFT(IF((OPR_2P!$J$4&gt;=H30)*(OPR_2P!$K$4&lt;=I30), OPR_2P!$A$4 &amp; ", ", "") &amp; IF((OPR_2P!$J$5&gt;=H30)*(OPR_2P!$K$5&lt;=I30), OPR_2P!$A$5 &amp; ", ", "") &amp; IF((OPR_2P!$J$6&gt;=H30)*(OPR_2P!$K$6&lt;=I30), OPR_2P!$A$6 &amp; ", ", "") &amp; IF((OPR_2P!$J$7&gt;=H30)*(OPR_2P!$K$7&lt;=I30), OPR_2P!$A$7 &amp; ", ", "") &amp; IF((OPR_2P!$J$8&gt;=H30)*(OPR_2P!$K$8&lt;=I30), OPR_2P!$A$8 &amp; ", ", "") &amp; IF((OPR_2P!$J$9&gt;=H30)*(OPR_2P!$K$9&lt;=I30), OPR_2P!$A$9 &amp; ", ", "") &amp; IF((OPR_2P!$J$10&gt;=H30)*(OPR_2P!$K$10&lt;=I30), OPR_2P!$A$10 &amp; ", ", "") &amp; IF((OPR_2P!$J$11&gt;=H30)*(OPR_2P!$K$11&lt;=I30), OPR_2P!$A$11 &amp; ", ", "") &amp; IF((OPR_2P!$J$12&gt;=H30)*(OPR_2P!$K$12&lt;=I30), OPR_2P!$A$12 &amp; ", ", "") &amp; IF((OPR_2P!$J$13&gt;=H30)*(OPR_2P!$K$13&lt;=I30), OPR_2P!$A$13 &amp; ", ", "") &amp; IF((OPR_2P!$J$14&gt;=H30)*(OPR_2P!$K$14&lt;=I30), OPR_2P!$A$14 &amp; ", ", "") &amp; IF((OPR_2P!$J$15&gt;=H30)*(OPR_2P!$K$15&lt;=I30), OPR_2P!$A$15 &amp; ", ", "") &amp; IF((OPR_2P!$J$16&gt;=H30)*(OPR_2P!$K$16&lt;=I30), OPR_2P!$A$16 &amp; ", ", "") &amp; IF((OPR_2P!$J$17&gt;=H30)*(OPR_2P!$K$17&lt;=I30), OPR_2P!$A$17 &amp; ", ", "") &amp; IF((OPR_2P!$J$18&gt;=H30)*(OPR_2P!$K$18&lt;=I30), OPR_2P!$A$18 &amp; ", ", ""), LEN(IF((OPR_2P!$J$4&gt;=H30)*(OPR_2P!$K$4&lt;=I30), OPR_2P!$A$4 &amp; ", ", "") &amp; IF((OPR_2P!$J$5&gt;=H30)*(OPR_2P!$K$5&lt;=I30), OPR_2P!$A$5 &amp; ", ", "") &amp; IF((OPR_2P!$J$6&gt;=H30)*(OPR_2P!$K$6&lt;=I30), OPR_2P!$A$6 &amp; ", ", "") &amp; IF((OPR_2P!$J$7&gt;=H30)*(OPR_2P!$K$7&lt;=I30), OPR_2P!$A$7 &amp; ", ", "") &amp; IF((OPR_2P!$J$8&gt;=H30)*(OPR_2P!$K$8&lt;=I30), OPR_2P!$A$8 &amp; ", ", "") &amp; IF((OPR_2P!$J$9&gt;=H30)*(OPR_2P!$K$9&lt;=I30), OPR_2P!$A$9 &amp; ", ", "") &amp; IF((OPR_2P!$J$10&gt;=H30)*(OPR_2P!$K$10&lt;=I30), OPR_2P!$A$10 &amp; ", ", "") &amp; IF((OPR_2P!$J$11&gt;=H30)*(OPR_2P!$K$11&lt;=I30), OPR_2P!$A$11 &amp; ", ", "") &amp; IF((OPR_2P!$J$12&gt;=H30)*(OPR_2P!$K$12&lt;=I30), OPR_2P!$A$12 &amp; ", ", "") &amp; IF((OPR_2P!$J$13&gt;=H30)*(OPR_2P!$K$13&lt;=I30), OPR_2P!$A$13 &amp; ", ", "") &amp; IF((OPR_2P!$J$14&gt;=H30)*(OPR_2P!$K$14&lt;=I30), OPR_2P!$A$14 &amp; ", ", "") &amp; IF((OPR_2P!$J$15&gt;=H30)*(OPR_2P!$K$15&lt;=I30), OPR_2P!$A$15 &amp; ", ", "") &amp; IF((OPR_2P!$J$16&gt;=H30)*(OPR_2P!$K$16&lt;=I30), OPR_2P!$A$16 &amp; ", ", "") &amp; IF((OPR_2P!$J$17&gt;=H30)*(OPR_2P!$K$17&lt;=I30), OPR_2P!$A$17 &amp; ", ", "") &amp; IF((OPR_2P!$J$18&gt;=H30)*(OPR_2P!$K$18&lt;=I30), OPR_2P!$A$18 &amp; ", ", ""))-2), "None")</f>
        <v>15, 17, 20, 25, 28, 30, 34, 42, 46</v>
      </c>
    </row>
    <row r="31" spans="1:10" ht="15" customHeight="1" x14ac:dyDescent="0.3">
      <c r="A31" s="10" t="s">
        <v>152</v>
      </c>
      <c r="B31" s="10" t="s">
        <v>164</v>
      </c>
      <c r="C31" s="22">
        <v>46337</v>
      </c>
      <c r="D31" s="10">
        <v>6</v>
      </c>
      <c r="E31" s="10">
        <v>4</v>
      </c>
      <c r="F31" s="10" t="s">
        <v>133</v>
      </c>
      <c r="G31" s="23" t="s">
        <v>134</v>
      </c>
      <c r="H31" s="14">
        <v>300</v>
      </c>
      <c r="I31" s="14">
        <v>2500</v>
      </c>
      <c r="J31" s="110" t="str">
        <f>IFERROR(LEFT(IF((OPR_2P!$J$4&gt;=H31)*(OPR_2P!$K$4&lt;=I31), OPR_2P!$A$4 &amp; ", ", "") &amp; IF((OPR_2P!$J$5&gt;=H31)*(OPR_2P!$K$5&lt;=I31), OPR_2P!$A$5 &amp; ", ", "") &amp; IF((OPR_2P!$J$6&gt;=H31)*(OPR_2P!$K$6&lt;=I31), OPR_2P!$A$6 &amp; ", ", "") &amp; IF((OPR_2P!$J$7&gt;=H31)*(OPR_2P!$K$7&lt;=I31), OPR_2P!$A$7 &amp; ", ", "") &amp; IF((OPR_2P!$J$8&gt;=H31)*(OPR_2P!$K$8&lt;=I31), OPR_2P!$A$8 &amp; ", ", "") &amp; IF((OPR_2P!$J$9&gt;=H31)*(OPR_2P!$K$9&lt;=I31), OPR_2P!$A$9 &amp; ", ", "") &amp; IF((OPR_2P!$J$10&gt;=H31)*(OPR_2P!$K$10&lt;=I31), OPR_2P!$A$10 &amp; ", ", "") &amp; IF((OPR_2P!$J$11&gt;=H31)*(OPR_2P!$K$11&lt;=I31), OPR_2P!$A$11 &amp; ", ", "") &amp; IF((OPR_2P!$J$12&gt;=H31)*(OPR_2P!$K$12&lt;=I31), OPR_2P!$A$12 &amp; ", ", "") &amp; IF((OPR_2P!$J$13&gt;=H31)*(OPR_2P!$K$13&lt;=I31), OPR_2P!$A$13 &amp; ", ", "") &amp; IF((OPR_2P!$J$14&gt;=H31)*(OPR_2P!$K$14&lt;=I31), OPR_2P!$A$14 &amp; ", ", "") &amp; IF((OPR_2P!$J$15&gt;=H31)*(OPR_2P!$K$15&lt;=I31), OPR_2P!$A$15 &amp; ", ", "") &amp; IF((OPR_2P!$J$16&gt;=H31)*(OPR_2P!$K$16&lt;=I31), OPR_2P!$A$16 &amp; ", ", "") &amp; IF((OPR_2P!$J$17&gt;=H31)*(OPR_2P!$K$17&lt;=I31), OPR_2P!$A$17 &amp; ", ", "") &amp; IF((OPR_2P!$J$18&gt;=H31)*(OPR_2P!$K$18&lt;=I31), OPR_2P!$A$18 &amp; ", ", ""), LEN(IF((OPR_2P!$J$4&gt;=H31)*(OPR_2P!$K$4&lt;=I31), OPR_2P!$A$4 &amp; ", ", "") &amp; IF((OPR_2P!$J$5&gt;=H31)*(OPR_2P!$K$5&lt;=I31), OPR_2P!$A$5 &amp; ", ", "") &amp; IF((OPR_2P!$J$6&gt;=H31)*(OPR_2P!$K$6&lt;=I31), OPR_2P!$A$6 &amp; ", ", "") &amp; IF((OPR_2P!$J$7&gt;=H31)*(OPR_2P!$K$7&lt;=I31), OPR_2P!$A$7 &amp; ", ", "") &amp; IF((OPR_2P!$J$8&gt;=H31)*(OPR_2P!$K$8&lt;=I31), OPR_2P!$A$8 &amp; ", ", "") &amp; IF((OPR_2P!$J$9&gt;=H31)*(OPR_2P!$K$9&lt;=I31), OPR_2P!$A$9 &amp; ", ", "") &amp; IF((OPR_2P!$J$10&gt;=H31)*(OPR_2P!$K$10&lt;=I31), OPR_2P!$A$10 &amp; ", ", "") &amp; IF((OPR_2P!$J$11&gt;=H31)*(OPR_2P!$K$11&lt;=I31), OPR_2P!$A$11 &amp; ", ", "") &amp; IF((OPR_2P!$J$12&gt;=H31)*(OPR_2P!$K$12&lt;=I31), OPR_2P!$A$12 &amp; ", ", "") &amp; IF((OPR_2P!$J$13&gt;=H31)*(OPR_2P!$K$13&lt;=I31), OPR_2P!$A$13 &amp; ", ", "") &amp; IF((OPR_2P!$J$14&gt;=H31)*(OPR_2P!$K$14&lt;=I31), OPR_2P!$A$14 &amp; ", ", "") &amp; IF((OPR_2P!$J$15&gt;=H31)*(OPR_2P!$K$15&lt;=I31), OPR_2P!$A$15 &amp; ", ", "") &amp; IF((OPR_2P!$J$16&gt;=H31)*(OPR_2P!$K$16&lt;=I31), OPR_2P!$A$16 &amp; ", ", "") &amp; IF((OPR_2P!$J$17&gt;=H31)*(OPR_2P!$K$17&lt;=I31), OPR_2P!$A$17 &amp; ", ", "") &amp; IF((OPR_2P!$J$18&gt;=H31)*(OPR_2P!$K$18&lt;=I31), OPR_2P!$A$18 &amp; ", ", ""))-2), "None")</f>
        <v>15, 17, 20, 25, 28, 30, 34, 42, 46</v>
      </c>
    </row>
    <row r="32" spans="1:10" ht="15" customHeight="1" x14ac:dyDescent="0.3">
      <c r="A32" s="10" t="s">
        <v>152</v>
      </c>
      <c r="B32" s="10" t="s">
        <v>165</v>
      </c>
      <c r="C32" s="22">
        <v>46212</v>
      </c>
      <c r="D32" s="10">
        <v>6</v>
      </c>
      <c r="E32" s="10">
        <v>4</v>
      </c>
      <c r="F32" s="10" t="s">
        <v>133</v>
      </c>
      <c r="G32" s="23" t="s">
        <v>134</v>
      </c>
      <c r="H32" s="14">
        <v>300</v>
      </c>
      <c r="I32" s="14">
        <v>2500</v>
      </c>
      <c r="J32" s="110" t="str">
        <f>IFERROR(LEFT(IF((OPR_2P!$J$4&gt;=H32)*(OPR_2P!$K$4&lt;=I32), OPR_2P!$A$4 &amp; ", ", "") &amp; IF((OPR_2P!$J$5&gt;=H32)*(OPR_2P!$K$5&lt;=I32), OPR_2P!$A$5 &amp; ", ", "") &amp; IF((OPR_2P!$J$6&gt;=H32)*(OPR_2P!$K$6&lt;=I32), OPR_2P!$A$6 &amp; ", ", "") &amp; IF((OPR_2P!$J$7&gt;=H32)*(OPR_2P!$K$7&lt;=I32), OPR_2P!$A$7 &amp; ", ", "") &amp; IF((OPR_2P!$J$8&gt;=H32)*(OPR_2P!$K$8&lt;=I32), OPR_2P!$A$8 &amp; ", ", "") &amp; IF((OPR_2P!$J$9&gt;=H32)*(OPR_2P!$K$9&lt;=I32), OPR_2P!$A$9 &amp; ", ", "") &amp; IF((OPR_2P!$J$10&gt;=H32)*(OPR_2P!$K$10&lt;=I32), OPR_2P!$A$10 &amp; ", ", "") &amp; IF((OPR_2P!$J$11&gt;=H32)*(OPR_2P!$K$11&lt;=I32), OPR_2P!$A$11 &amp; ", ", "") &amp; IF((OPR_2P!$J$12&gt;=H32)*(OPR_2P!$K$12&lt;=I32), OPR_2P!$A$12 &amp; ", ", "") &amp; IF((OPR_2P!$J$13&gt;=H32)*(OPR_2P!$K$13&lt;=I32), OPR_2P!$A$13 &amp; ", ", "") &amp; IF((OPR_2P!$J$14&gt;=H32)*(OPR_2P!$K$14&lt;=I32), OPR_2P!$A$14 &amp; ", ", "") &amp; IF((OPR_2P!$J$15&gt;=H32)*(OPR_2P!$K$15&lt;=I32), OPR_2P!$A$15 &amp; ", ", "") &amp; IF((OPR_2P!$J$16&gt;=H32)*(OPR_2P!$K$16&lt;=I32), OPR_2P!$A$16 &amp; ", ", "") &amp; IF((OPR_2P!$J$17&gt;=H32)*(OPR_2P!$K$17&lt;=I32), OPR_2P!$A$17 &amp; ", ", "") &amp; IF((OPR_2P!$J$18&gt;=H32)*(OPR_2P!$K$18&lt;=I32), OPR_2P!$A$18 &amp; ", ", ""), LEN(IF((OPR_2P!$J$4&gt;=H32)*(OPR_2P!$K$4&lt;=I32), OPR_2P!$A$4 &amp; ", ", "") &amp; IF((OPR_2P!$J$5&gt;=H32)*(OPR_2P!$K$5&lt;=I32), OPR_2P!$A$5 &amp; ", ", "") &amp; IF((OPR_2P!$J$6&gt;=H32)*(OPR_2P!$K$6&lt;=I32), OPR_2P!$A$6 &amp; ", ", "") &amp; IF((OPR_2P!$J$7&gt;=H32)*(OPR_2P!$K$7&lt;=I32), OPR_2P!$A$7 &amp; ", ", "") &amp; IF((OPR_2P!$J$8&gt;=H32)*(OPR_2P!$K$8&lt;=I32), OPR_2P!$A$8 &amp; ", ", "") &amp; IF((OPR_2P!$J$9&gt;=H32)*(OPR_2P!$K$9&lt;=I32), OPR_2P!$A$9 &amp; ", ", "") &amp; IF((OPR_2P!$J$10&gt;=H32)*(OPR_2P!$K$10&lt;=I32), OPR_2P!$A$10 &amp; ", ", "") &amp; IF((OPR_2P!$J$11&gt;=H32)*(OPR_2P!$K$11&lt;=I32), OPR_2P!$A$11 &amp; ", ", "") &amp; IF((OPR_2P!$J$12&gt;=H32)*(OPR_2P!$K$12&lt;=I32), OPR_2P!$A$12 &amp; ", ", "") &amp; IF((OPR_2P!$J$13&gt;=H32)*(OPR_2P!$K$13&lt;=I32), OPR_2P!$A$13 &amp; ", ", "") &amp; IF((OPR_2P!$J$14&gt;=H32)*(OPR_2P!$K$14&lt;=I32), OPR_2P!$A$14 &amp; ", ", "") &amp; IF((OPR_2P!$J$15&gt;=H32)*(OPR_2P!$K$15&lt;=I32), OPR_2P!$A$15 &amp; ", ", "") &amp; IF((OPR_2P!$J$16&gt;=H32)*(OPR_2P!$K$16&lt;=I32), OPR_2P!$A$16 &amp; ", ", "") &amp; IF((OPR_2P!$J$17&gt;=H32)*(OPR_2P!$K$17&lt;=I32), OPR_2P!$A$17 &amp; ", ", "") &amp; IF((OPR_2P!$J$18&gt;=H32)*(OPR_2P!$K$18&lt;=I32), OPR_2P!$A$18 &amp; ", ", ""))-2), "None")</f>
        <v>15, 17, 20, 25, 28, 30, 34, 42, 46</v>
      </c>
    </row>
    <row r="33" spans="1:10" ht="15" customHeight="1" x14ac:dyDescent="0.3">
      <c r="A33" s="10" t="s">
        <v>152</v>
      </c>
      <c r="B33" s="10" t="s">
        <v>166</v>
      </c>
      <c r="C33" s="22">
        <v>46447</v>
      </c>
      <c r="D33" s="10">
        <v>6</v>
      </c>
      <c r="E33" s="10">
        <v>4</v>
      </c>
      <c r="F33" s="10" t="s">
        <v>133</v>
      </c>
      <c r="G33" s="23" t="s">
        <v>134</v>
      </c>
      <c r="H33" s="14">
        <v>300</v>
      </c>
      <c r="I33" s="14">
        <v>2500</v>
      </c>
      <c r="J33" s="110" t="str">
        <f>IFERROR(LEFT(IF((OPR_2P!$J$4&gt;=H33)*(OPR_2P!$K$4&lt;=I33), OPR_2P!$A$4 &amp; ", ", "") &amp; IF((OPR_2P!$J$5&gt;=H33)*(OPR_2P!$K$5&lt;=I33), OPR_2P!$A$5 &amp; ", ", "") &amp; IF((OPR_2P!$J$6&gt;=H33)*(OPR_2P!$K$6&lt;=I33), OPR_2P!$A$6 &amp; ", ", "") &amp; IF((OPR_2P!$J$7&gt;=H33)*(OPR_2P!$K$7&lt;=I33), OPR_2P!$A$7 &amp; ", ", "") &amp; IF((OPR_2P!$J$8&gt;=H33)*(OPR_2P!$K$8&lt;=I33), OPR_2P!$A$8 &amp; ", ", "") &amp; IF((OPR_2P!$J$9&gt;=H33)*(OPR_2P!$K$9&lt;=I33), OPR_2P!$A$9 &amp; ", ", "") &amp; IF((OPR_2P!$J$10&gt;=H33)*(OPR_2P!$K$10&lt;=I33), OPR_2P!$A$10 &amp; ", ", "") &amp; IF((OPR_2P!$J$11&gt;=H33)*(OPR_2P!$K$11&lt;=I33), OPR_2P!$A$11 &amp; ", ", "") &amp; IF((OPR_2P!$J$12&gt;=H33)*(OPR_2P!$K$12&lt;=I33), OPR_2P!$A$12 &amp; ", ", "") &amp; IF((OPR_2P!$J$13&gt;=H33)*(OPR_2P!$K$13&lt;=I33), OPR_2P!$A$13 &amp; ", ", "") &amp; IF((OPR_2P!$J$14&gt;=H33)*(OPR_2P!$K$14&lt;=I33), OPR_2P!$A$14 &amp; ", ", "") &amp; IF((OPR_2P!$J$15&gt;=H33)*(OPR_2P!$K$15&lt;=I33), OPR_2P!$A$15 &amp; ", ", "") &amp; IF((OPR_2P!$J$16&gt;=H33)*(OPR_2P!$K$16&lt;=I33), OPR_2P!$A$16 &amp; ", ", "") &amp; IF((OPR_2P!$J$17&gt;=H33)*(OPR_2P!$K$17&lt;=I33), OPR_2P!$A$17 &amp; ", ", "") &amp; IF((OPR_2P!$J$18&gt;=H33)*(OPR_2P!$K$18&lt;=I33), OPR_2P!$A$18 &amp; ", ", ""), LEN(IF((OPR_2P!$J$4&gt;=H33)*(OPR_2P!$K$4&lt;=I33), OPR_2P!$A$4 &amp; ", ", "") &amp; IF((OPR_2P!$J$5&gt;=H33)*(OPR_2P!$K$5&lt;=I33), OPR_2P!$A$5 &amp; ", ", "") &amp; IF((OPR_2P!$J$6&gt;=H33)*(OPR_2P!$K$6&lt;=I33), OPR_2P!$A$6 &amp; ", ", "") &amp; IF((OPR_2P!$J$7&gt;=H33)*(OPR_2P!$K$7&lt;=I33), OPR_2P!$A$7 &amp; ", ", "") &amp; IF((OPR_2P!$J$8&gt;=H33)*(OPR_2P!$K$8&lt;=I33), OPR_2P!$A$8 &amp; ", ", "") &amp; IF((OPR_2P!$J$9&gt;=H33)*(OPR_2P!$K$9&lt;=I33), OPR_2P!$A$9 &amp; ", ", "") &amp; IF((OPR_2P!$J$10&gt;=H33)*(OPR_2P!$K$10&lt;=I33), OPR_2P!$A$10 &amp; ", ", "") &amp; IF((OPR_2P!$J$11&gt;=H33)*(OPR_2P!$K$11&lt;=I33), OPR_2P!$A$11 &amp; ", ", "") &amp; IF((OPR_2P!$J$12&gt;=H33)*(OPR_2P!$K$12&lt;=I33), OPR_2P!$A$12 &amp; ", ", "") &amp; IF((OPR_2P!$J$13&gt;=H33)*(OPR_2P!$K$13&lt;=I33), OPR_2P!$A$13 &amp; ", ", "") &amp; IF((OPR_2P!$J$14&gt;=H33)*(OPR_2P!$K$14&lt;=I33), OPR_2P!$A$14 &amp; ", ", "") &amp; IF((OPR_2P!$J$15&gt;=H33)*(OPR_2P!$K$15&lt;=I33), OPR_2P!$A$15 &amp; ", ", "") &amp; IF((OPR_2P!$J$16&gt;=H33)*(OPR_2P!$K$16&lt;=I33), OPR_2P!$A$16 &amp; ", ", "") &amp; IF((OPR_2P!$J$17&gt;=H33)*(OPR_2P!$K$17&lt;=I33), OPR_2P!$A$17 &amp; ", ", "") &amp; IF((OPR_2P!$J$18&gt;=H33)*(OPR_2P!$K$18&lt;=I33), OPR_2P!$A$18 &amp; ", ", ""))-2), "None")</f>
        <v>15, 17, 20, 25, 28, 30, 34, 42, 46</v>
      </c>
    </row>
    <row r="34" spans="1:10" ht="15" customHeight="1" x14ac:dyDescent="0.3">
      <c r="A34" s="10" t="s">
        <v>152</v>
      </c>
      <c r="B34" s="10" t="s">
        <v>167</v>
      </c>
      <c r="C34" s="22">
        <v>46357</v>
      </c>
      <c r="D34" s="10">
        <v>6</v>
      </c>
      <c r="E34" s="10">
        <v>4</v>
      </c>
      <c r="F34" s="10" t="s">
        <v>133</v>
      </c>
      <c r="G34" s="23" t="s">
        <v>134</v>
      </c>
      <c r="H34" s="14">
        <v>300</v>
      </c>
      <c r="I34" s="14">
        <v>2500</v>
      </c>
      <c r="J34" s="110" t="str">
        <f>IFERROR(LEFT(IF((OPR_2P!$J$4&gt;=H34)*(OPR_2P!$K$4&lt;=I34), OPR_2P!$A$4 &amp; ", ", "") &amp; IF((OPR_2P!$J$5&gt;=H34)*(OPR_2P!$K$5&lt;=I34), OPR_2P!$A$5 &amp; ", ", "") &amp; IF((OPR_2P!$J$6&gt;=H34)*(OPR_2P!$K$6&lt;=I34), OPR_2P!$A$6 &amp; ", ", "") &amp; IF((OPR_2P!$J$7&gt;=H34)*(OPR_2P!$K$7&lt;=I34), OPR_2P!$A$7 &amp; ", ", "") &amp; IF((OPR_2P!$J$8&gt;=H34)*(OPR_2P!$K$8&lt;=I34), OPR_2P!$A$8 &amp; ", ", "") &amp; IF((OPR_2P!$J$9&gt;=H34)*(OPR_2P!$K$9&lt;=I34), OPR_2P!$A$9 &amp; ", ", "") &amp; IF((OPR_2P!$J$10&gt;=H34)*(OPR_2P!$K$10&lt;=I34), OPR_2P!$A$10 &amp; ", ", "") &amp; IF((OPR_2P!$J$11&gt;=H34)*(OPR_2P!$K$11&lt;=I34), OPR_2P!$A$11 &amp; ", ", "") &amp; IF((OPR_2P!$J$12&gt;=H34)*(OPR_2P!$K$12&lt;=I34), OPR_2P!$A$12 &amp; ", ", "") &amp; IF((OPR_2P!$J$13&gt;=H34)*(OPR_2P!$K$13&lt;=I34), OPR_2P!$A$13 &amp; ", ", "") &amp; IF((OPR_2P!$J$14&gt;=H34)*(OPR_2P!$K$14&lt;=I34), OPR_2P!$A$14 &amp; ", ", "") &amp; IF((OPR_2P!$J$15&gt;=H34)*(OPR_2P!$K$15&lt;=I34), OPR_2P!$A$15 &amp; ", ", "") &amp; IF((OPR_2P!$J$16&gt;=H34)*(OPR_2P!$K$16&lt;=I34), OPR_2P!$A$16 &amp; ", ", "") &amp; IF((OPR_2P!$J$17&gt;=H34)*(OPR_2P!$K$17&lt;=I34), OPR_2P!$A$17 &amp; ", ", "") &amp; IF((OPR_2P!$J$18&gt;=H34)*(OPR_2P!$K$18&lt;=I34), OPR_2P!$A$18 &amp; ", ", ""), LEN(IF((OPR_2P!$J$4&gt;=H34)*(OPR_2P!$K$4&lt;=I34), OPR_2P!$A$4 &amp; ", ", "") &amp; IF((OPR_2P!$J$5&gt;=H34)*(OPR_2P!$K$5&lt;=I34), OPR_2P!$A$5 &amp; ", ", "") &amp; IF((OPR_2P!$J$6&gt;=H34)*(OPR_2P!$K$6&lt;=I34), OPR_2P!$A$6 &amp; ", ", "") &amp; IF((OPR_2P!$J$7&gt;=H34)*(OPR_2P!$K$7&lt;=I34), OPR_2P!$A$7 &amp; ", ", "") &amp; IF((OPR_2P!$J$8&gt;=H34)*(OPR_2P!$K$8&lt;=I34), OPR_2P!$A$8 &amp; ", ", "") &amp; IF((OPR_2P!$J$9&gt;=H34)*(OPR_2P!$K$9&lt;=I34), OPR_2P!$A$9 &amp; ", ", "") &amp; IF((OPR_2P!$J$10&gt;=H34)*(OPR_2P!$K$10&lt;=I34), OPR_2P!$A$10 &amp; ", ", "") &amp; IF((OPR_2P!$J$11&gt;=H34)*(OPR_2P!$K$11&lt;=I34), OPR_2P!$A$11 &amp; ", ", "") &amp; IF((OPR_2P!$J$12&gt;=H34)*(OPR_2P!$K$12&lt;=I34), OPR_2P!$A$12 &amp; ", ", "") &amp; IF((OPR_2P!$J$13&gt;=H34)*(OPR_2P!$K$13&lt;=I34), OPR_2P!$A$13 &amp; ", ", "") &amp; IF((OPR_2P!$J$14&gt;=H34)*(OPR_2P!$K$14&lt;=I34), OPR_2P!$A$14 &amp; ", ", "") &amp; IF((OPR_2P!$J$15&gt;=H34)*(OPR_2P!$K$15&lt;=I34), OPR_2P!$A$15 &amp; ", ", "") &amp; IF((OPR_2P!$J$16&gt;=H34)*(OPR_2P!$K$16&lt;=I34), OPR_2P!$A$16 &amp; ", ", "") &amp; IF((OPR_2P!$J$17&gt;=H34)*(OPR_2P!$K$17&lt;=I34), OPR_2P!$A$17 &amp; ", ", "") &amp; IF((OPR_2P!$J$18&gt;=H34)*(OPR_2P!$K$18&lt;=I34), OPR_2P!$A$18 &amp; ", ", ""))-2), "None")</f>
        <v>15, 17, 20, 25, 28, 30, 34, 42, 46</v>
      </c>
    </row>
    <row r="35" spans="1:10" ht="15" customHeight="1" x14ac:dyDescent="0.3">
      <c r="A35" s="10" t="s">
        <v>152</v>
      </c>
      <c r="B35" s="10" t="s">
        <v>168</v>
      </c>
      <c r="C35" s="22">
        <v>46105</v>
      </c>
      <c r="D35" s="10">
        <v>6</v>
      </c>
      <c r="E35" s="10">
        <v>4</v>
      </c>
      <c r="F35" s="10" t="s">
        <v>133</v>
      </c>
      <c r="G35" s="23" t="s">
        <v>134</v>
      </c>
      <c r="H35" s="14">
        <v>800</v>
      </c>
      <c r="I35" s="14">
        <v>3500</v>
      </c>
      <c r="J35" s="110" t="str">
        <f>IFERROR(LEFT(IF((OPR_2P!$J$4&gt;=H35)*(OPR_2P!$K$4&lt;=I35), OPR_2P!$A$4 &amp; ", ", "") &amp; IF((OPR_2P!$J$5&gt;=H35)*(OPR_2P!$K$5&lt;=I35), OPR_2P!$A$5 &amp; ", ", "") &amp; IF((OPR_2P!$J$6&gt;=H35)*(OPR_2P!$K$6&lt;=I35), OPR_2P!$A$6 &amp; ", ", "") &amp; IF((OPR_2P!$J$7&gt;=H35)*(OPR_2P!$K$7&lt;=I35), OPR_2P!$A$7 &amp; ", ", "") &amp; IF((OPR_2P!$J$8&gt;=H35)*(OPR_2P!$K$8&lt;=I35), OPR_2P!$A$8 &amp; ", ", "") &amp; IF((OPR_2P!$J$9&gt;=H35)*(OPR_2P!$K$9&lt;=I35), OPR_2P!$A$9 &amp; ", ", "") &amp; IF((OPR_2P!$J$10&gt;=H35)*(OPR_2P!$K$10&lt;=I35), OPR_2P!$A$10 &amp; ", ", "") &amp; IF((OPR_2P!$J$11&gt;=H35)*(OPR_2P!$K$11&lt;=I35), OPR_2P!$A$11 &amp; ", ", "") &amp; IF((OPR_2P!$J$12&gt;=H35)*(OPR_2P!$K$12&lt;=I35), OPR_2P!$A$12 &amp; ", ", "") &amp; IF((OPR_2P!$J$13&gt;=H35)*(OPR_2P!$K$13&lt;=I35), OPR_2P!$A$13 &amp; ", ", "") &amp; IF((OPR_2P!$J$14&gt;=H35)*(OPR_2P!$K$14&lt;=I35), OPR_2P!$A$14 &amp; ", ", "") &amp; IF((OPR_2P!$J$15&gt;=H35)*(OPR_2P!$K$15&lt;=I35), OPR_2P!$A$15 &amp; ", ", "") &amp; IF((OPR_2P!$J$16&gt;=H35)*(OPR_2P!$K$16&lt;=I35), OPR_2P!$A$16 &amp; ", ", "") &amp; IF((OPR_2P!$J$17&gt;=H35)*(OPR_2P!$K$17&lt;=I35), OPR_2P!$A$17 &amp; ", ", "") &amp; IF((OPR_2P!$J$18&gt;=H35)*(OPR_2P!$K$18&lt;=I35), OPR_2P!$A$18 &amp; ", ", ""), LEN(IF((OPR_2P!$J$4&gt;=H35)*(OPR_2P!$K$4&lt;=I35), OPR_2P!$A$4 &amp; ", ", "") &amp; IF((OPR_2P!$J$5&gt;=H35)*(OPR_2P!$K$5&lt;=I35), OPR_2P!$A$5 &amp; ", ", "") &amp; IF((OPR_2P!$J$6&gt;=H35)*(OPR_2P!$K$6&lt;=I35), OPR_2P!$A$6 &amp; ", ", "") &amp; IF((OPR_2P!$J$7&gt;=H35)*(OPR_2P!$K$7&lt;=I35), OPR_2P!$A$7 &amp; ", ", "") &amp; IF((OPR_2P!$J$8&gt;=H35)*(OPR_2P!$K$8&lt;=I35), OPR_2P!$A$8 &amp; ", ", "") &amp; IF((OPR_2P!$J$9&gt;=H35)*(OPR_2P!$K$9&lt;=I35), OPR_2P!$A$9 &amp; ", ", "") &amp; IF((OPR_2P!$J$10&gt;=H35)*(OPR_2P!$K$10&lt;=I35), OPR_2P!$A$10 &amp; ", ", "") &amp; IF((OPR_2P!$J$11&gt;=H35)*(OPR_2P!$K$11&lt;=I35), OPR_2P!$A$11 &amp; ", ", "") &amp; IF((OPR_2P!$J$12&gt;=H35)*(OPR_2P!$K$12&lt;=I35), OPR_2P!$A$12 &amp; ", ", "") &amp; IF((OPR_2P!$J$13&gt;=H35)*(OPR_2P!$K$13&lt;=I35), OPR_2P!$A$13 &amp; ", ", "") &amp; IF((OPR_2P!$J$14&gt;=H35)*(OPR_2P!$K$14&lt;=I35), OPR_2P!$A$14 &amp; ", ", "") &amp; IF((OPR_2P!$J$15&gt;=H35)*(OPR_2P!$K$15&lt;=I35), OPR_2P!$A$15 &amp; ", ", "") &amp; IF((OPR_2P!$J$16&gt;=H35)*(OPR_2P!$K$16&lt;=I35), OPR_2P!$A$16 &amp; ", ", "") &amp; IF((OPR_2P!$J$17&gt;=H35)*(OPR_2P!$K$17&lt;=I35), OPR_2P!$A$17 &amp; ", ", "") &amp; IF((OPR_2P!$J$18&gt;=H35)*(OPR_2P!$K$18&lt;=I35), OPR_2P!$A$18 &amp; ", ", ""))-2), "None")</f>
        <v>25, 28, 30, 34, 42, 46, 50, 54, 57, 63, 70</v>
      </c>
    </row>
    <row r="36" spans="1:10" ht="15" customHeight="1" x14ac:dyDescent="0.3">
      <c r="A36" s="10" t="s">
        <v>152</v>
      </c>
      <c r="B36" s="10" t="s">
        <v>169</v>
      </c>
      <c r="C36" s="22">
        <v>46504</v>
      </c>
      <c r="D36" s="10">
        <v>6</v>
      </c>
      <c r="E36" s="10">
        <v>4</v>
      </c>
      <c r="F36" s="10" t="s">
        <v>133</v>
      </c>
      <c r="G36" s="23" t="s">
        <v>134</v>
      </c>
      <c r="H36" s="14">
        <v>800</v>
      </c>
      <c r="I36" s="14">
        <v>3500</v>
      </c>
      <c r="J36" s="110" t="str">
        <f>IFERROR(LEFT(IF((OPR_2P!$J$4&gt;=H36)*(OPR_2P!$K$4&lt;=I36), OPR_2P!$A$4 &amp; ", ", "") &amp; IF((OPR_2P!$J$5&gt;=H36)*(OPR_2P!$K$5&lt;=I36), OPR_2P!$A$5 &amp; ", ", "") &amp; IF((OPR_2P!$J$6&gt;=H36)*(OPR_2P!$K$6&lt;=I36), OPR_2P!$A$6 &amp; ", ", "") &amp; IF((OPR_2P!$J$7&gt;=H36)*(OPR_2P!$K$7&lt;=I36), OPR_2P!$A$7 &amp; ", ", "") &amp; IF((OPR_2P!$J$8&gt;=H36)*(OPR_2P!$K$8&lt;=I36), OPR_2P!$A$8 &amp; ", ", "") &amp; IF((OPR_2P!$J$9&gt;=H36)*(OPR_2P!$K$9&lt;=I36), OPR_2P!$A$9 &amp; ", ", "") &amp; IF((OPR_2P!$J$10&gt;=H36)*(OPR_2P!$K$10&lt;=I36), OPR_2P!$A$10 &amp; ", ", "") &amp; IF((OPR_2P!$J$11&gt;=H36)*(OPR_2P!$K$11&lt;=I36), OPR_2P!$A$11 &amp; ", ", "") &amp; IF((OPR_2P!$J$12&gt;=H36)*(OPR_2P!$K$12&lt;=I36), OPR_2P!$A$12 &amp; ", ", "") &amp; IF((OPR_2P!$J$13&gt;=H36)*(OPR_2P!$K$13&lt;=I36), OPR_2P!$A$13 &amp; ", ", "") &amp; IF((OPR_2P!$J$14&gt;=H36)*(OPR_2P!$K$14&lt;=I36), OPR_2P!$A$14 &amp; ", ", "") &amp; IF((OPR_2P!$J$15&gt;=H36)*(OPR_2P!$K$15&lt;=I36), OPR_2P!$A$15 &amp; ", ", "") &amp; IF((OPR_2P!$J$16&gt;=H36)*(OPR_2P!$K$16&lt;=I36), OPR_2P!$A$16 &amp; ", ", "") &amp; IF((OPR_2P!$J$17&gt;=H36)*(OPR_2P!$K$17&lt;=I36), OPR_2P!$A$17 &amp; ", ", "") &amp; IF((OPR_2P!$J$18&gt;=H36)*(OPR_2P!$K$18&lt;=I36), OPR_2P!$A$18 &amp; ", ", ""), LEN(IF((OPR_2P!$J$4&gt;=H36)*(OPR_2P!$K$4&lt;=I36), OPR_2P!$A$4 &amp; ", ", "") &amp; IF((OPR_2P!$J$5&gt;=H36)*(OPR_2P!$K$5&lt;=I36), OPR_2P!$A$5 &amp; ", ", "") &amp; IF((OPR_2P!$J$6&gt;=H36)*(OPR_2P!$K$6&lt;=I36), OPR_2P!$A$6 &amp; ", ", "") &amp; IF((OPR_2P!$J$7&gt;=H36)*(OPR_2P!$K$7&lt;=I36), OPR_2P!$A$7 &amp; ", ", "") &amp; IF((OPR_2P!$J$8&gt;=H36)*(OPR_2P!$K$8&lt;=I36), OPR_2P!$A$8 &amp; ", ", "") &amp; IF((OPR_2P!$J$9&gt;=H36)*(OPR_2P!$K$9&lt;=I36), OPR_2P!$A$9 &amp; ", ", "") &amp; IF((OPR_2P!$J$10&gt;=H36)*(OPR_2P!$K$10&lt;=I36), OPR_2P!$A$10 &amp; ", ", "") &amp; IF((OPR_2P!$J$11&gt;=H36)*(OPR_2P!$K$11&lt;=I36), OPR_2P!$A$11 &amp; ", ", "") &amp; IF((OPR_2P!$J$12&gt;=H36)*(OPR_2P!$K$12&lt;=I36), OPR_2P!$A$12 &amp; ", ", "") &amp; IF((OPR_2P!$J$13&gt;=H36)*(OPR_2P!$K$13&lt;=I36), OPR_2P!$A$13 &amp; ", ", "") &amp; IF((OPR_2P!$J$14&gt;=H36)*(OPR_2P!$K$14&lt;=I36), OPR_2P!$A$14 &amp; ", ", "") &amp; IF((OPR_2P!$J$15&gt;=H36)*(OPR_2P!$K$15&lt;=I36), OPR_2P!$A$15 &amp; ", ", "") &amp; IF((OPR_2P!$J$16&gt;=H36)*(OPR_2P!$K$16&lt;=I36), OPR_2P!$A$16 &amp; ", ", "") &amp; IF((OPR_2P!$J$17&gt;=H36)*(OPR_2P!$K$17&lt;=I36), OPR_2P!$A$17 &amp; ", ", "") &amp; IF((OPR_2P!$J$18&gt;=H36)*(OPR_2P!$K$18&lt;=I36), OPR_2P!$A$18 &amp; ", ", ""))-2), "None")</f>
        <v>25, 28, 30, 34, 42, 46, 50, 54, 57, 63, 70</v>
      </c>
    </row>
    <row r="37" spans="1:10" ht="15" customHeight="1" x14ac:dyDescent="0.3">
      <c r="A37" s="10" t="s">
        <v>152</v>
      </c>
      <c r="B37" s="10" t="s">
        <v>170</v>
      </c>
      <c r="C37" s="22">
        <v>46225</v>
      </c>
      <c r="D37" s="10">
        <v>6</v>
      </c>
      <c r="E37" s="10">
        <v>4</v>
      </c>
      <c r="F37" s="10" t="s">
        <v>133</v>
      </c>
      <c r="G37" s="23" t="s">
        <v>134</v>
      </c>
      <c r="H37" s="14">
        <v>800</v>
      </c>
      <c r="I37" s="14">
        <v>3500</v>
      </c>
      <c r="J37" s="110" t="str">
        <f>IFERROR(LEFT(IF((OPR_2P!$J$4&gt;=H37)*(OPR_2P!$K$4&lt;=I37), OPR_2P!$A$4 &amp; ", ", "") &amp; IF((OPR_2P!$J$5&gt;=H37)*(OPR_2P!$K$5&lt;=I37), OPR_2P!$A$5 &amp; ", ", "") &amp; IF((OPR_2P!$J$6&gt;=H37)*(OPR_2P!$K$6&lt;=I37), OPR_2P!$A$6 &amp; ", ", "") &amp; IF((OPR_2P!$J$7&gt;=H37)*(OPR_2P!$K$7&lt;=I37), OPR_2P!$A$7 &amp; ", ", "") &amp; IF((OPR_2P!$J$8&gt;=H37)*(OPR_2P!$K$8&lt;=I37), OPR_2P!$A$8 &amp; ", ", "") &amp; IF((OPR_2P!$J$9&gt;=H37)*(OPR_2P!$K$9&lt;=I37), OPR_2P!$A$9 &amp; ", ", "") &amp; IF((OPR_2P!$J$10&gt;=H37)*(OPR_2P!$K$10&lt;=I37), OPR_2P!$A$10 &amp; ", ", "") &amp; IF((OPR_2P!$J$11&gt;=H37)*(OPR_2P!$K$11&lt;=I37), OPR_2P!$A$11 &amp; ", ", "") &amp; IF((OPR_2P!$J$12&gt;=H37)*(OPR_2P!$K$12&lt;=I37), OPR_2P!$A$12 &amp; ", ", "") &amp; IF((OPR_2P!$J$13&gt;=H37)*(OPR_2P!$K$13&lt;=I37), OPR_2P!$A$13 &amp; ", ", "") &amp; IF((OPR_2P!$J$14&gt;=H37)*(OPR_2P!$K$14&lt;=I37), OPR_2P!$A$14 &amp; ", ", "") &amp; IF((OPR_2P!$J$15&gt;=H37)*(OPR_2P!$K$15&lt;=I37), OPR_2P!$A$15 &amp; ", ", "") &amp; IF((OPR_2P!$J$16&gt;=H37)*(OPR_2P!$K$16&lt;=I37), OPR_2P!$A$16 &amp; ", ", "") &amp; IF((OPR_2P!$J$17&gt;=H37)*(OPR_2P!$K$17&lt;=I37), OPR_2P!$A$17 &amp; ", ", "") &amp; IF((OPR_2P!$J$18&gt;=H37)*(OPR_2P!$K$18&lt;=I37), OPR_2P!$A$18 &amp; ", ", ""), LEN(IF((OPR_2P!$J$4&gt;=H37)*(OPR_2P!$K$4&lt;=I37), OPR_2P!$A$4 &amp; ", ", "") &amp; IF((OPR_2P!$J$5&gt;=H37)*(OPR_2P!$K$5&lt;=I37), OPR_2P!$A$5 &amp; ", ", "") &amp; IF((OPR_2P!$J$6&gt;=H37)*(OPR_2P!$K$6&lt;=I37), OPR_2P!$A$6 &amp; ", ", "") &amp; IF((OPR_2P!$J$7&gt;=H37)*(OPR_2P!$K$7&lt;=I37), OPR_2P!$A$7 &amp; ", ", "") &amp; IF((OPR_2P!$J$8&gt;=H37)*(OPR_2P!$K$8&lt;=I37), OPR_2P!$A$8 &amp; ", ", "") &amp; IF((OPR_2P!$J$9&gt;=H37)*(OPR_2P!$K$9&lt;=I37), OPR_2P!$A$9 &amp; ", ", "") &amp; IF((OPR_2P!$J$10&gt;=H37)*(OPR_2P!$K$10&lt;=I37), OPR_2P!$A$10 &amp; ", ", "") &amp; IF((OPR_2P!$J$11&gt;=H37)*(OPR_2P!$K$11&lt;=I37), OPR_2P!$A$11 &amp; ", ", "") &amp; IF((OPR_2P!$J$12&gt;=H37)*(OPR_2P!$K$12&lt;=I37), OPR_2P!$A$12 &amp; ", ", "") &amp; IF((OPR_2P!$J$13&gt;=H37)*(OPR_2P!$K$13&lt;=I37), OPR_2P!$A$13 &amp; ", ", "") &amp; IF((OPR_2P!$J$14&gt;=H37)*(OPR_2P!$K$14&lt;=I37), OPR_2P!$A$14 &amp; ", ", "") &amp; IF((OPR_2P!$J$15&gt;=H37)*(OPR_2P!$K$15&lt;=I37), OPR_2P!$A$15 &amp; ", ", "") &amp; IF((OPR_2P!$J$16&gt;=H37)*(OPR_2P!$K$16&lt;=I37), OPR_2P!$A$16 &amp; ", ", "") &amp; IF((OPR_2P!$J$17&gt;=H37)*(OPR_2P!$K$17&lt;=I37), OPR_2P!$A$17 &amp; ", ", "") &amp; IF((OPR_2P!$J$18&gt;=H37)*(OPR_2P!$K$18&lt;=I37), OPR_2P!$A$18 &amp; ", ", ""))-2), "None")</f>
        <v>25, 28, 30, 34, 42, 46, 50, 54, 57, 63, 70</v>
      </c>
    </row>
    <row r="38" spans="1:10" ht="15" customHeight="1" x14ac:dyDescent="0.3">
      <c r="A38" s="10" t="s">
        <v>152</v>
      </c>
      <c r="B38" s="10" t="s">
        <v>171</v>
      </c>
      <c r="C38" s="22">
        <v>46263</v>
      </c>
      <c r="D38" s="10">
        <v>6</v>
      </c>
      <c r="E38" s="10">
        <v>4</v>
      </c>
      <c r="F38" s="10" t="s">
        <v>133</v>
      </c>
      <c r="G38" s="23" t="s">
        <v>134</v>
      </c>
      <c r="H38" s="14">
        <v>800</v>
      </c>
      <c r="I38" s="14">
        <v>3500</v>
      </c>
      <c r="J38" s="110" t="str">
        <f>IFERROR(LEFT(IF((OPR_2P!$J$4&gt;=H38)*(OPR_2P!$K$4&lt;=I38), OPR_2P!$A$4 &amp; ", ", "") &amp; IF((OPR_2P!$J$5&gt;=H38)*(OPR_2P!$K$5&lt;=I38), OPR_2P!$A$5 &amp; ", ", "") &amp; IF((OPR_2P!$J$6&gt;=H38)*(OPR_2P!$K$6&lt;=I38), OPR_2P!$A$6 &amp; ", ", "") &amp; IF((OPR_2P!$J$7&gt;=H38)*(OPR_2P!$K$7&lt;=I38), OPR_2P!$A$7 &amp; ", ", "") &amp; IF((OPR_2P!$J$8&gt;=H38)*(OPR_2P!$K$8&lt;=I38), OPR_2P!$A$8 &amp; ", ", "") &amp; IF((OPR_2P!$J$9&gt;=H38)*(OPR_2P!$K$9&lt;=I38), OPR_2P!$A$9 &amp; ", ", "") &amp; IF((OPR_2P!$J$10&gt;=H38)*(OPR_2P!$K$10&lt;=I38), OPR_2P!$A$10 &amp; ", ", "") &amp; IF((OPR_2P!$J$11&gt;=H38)*(OPR_2P!$K$11&lt;=I38), OPR_2P!$A$11 &amp; ", ", "") &amp; IF((OPR_2P!$J$12&gt;=H38)*(OPR_2P!$K$12&lt;=I38), OPR_2P!$A$12 &amp; ", ", "") &amp; IF((OPR_2P!$J$13&gt;=H38)*(OPR_2P!$K$13&lt;=I38), OPR_2P!$A$13 &amp; ", ", "") &amp; IF((OPR_2P!$J$14&gt;=H38)*(OPR_2P!$K$14&lt;=I38), OPR_2P!$A$14 &amp; ", ", "") &amp; IF((OPR_2P!$J$15&gt;=H38)*(OPR_2P!$K$15&lt;=I38), OPR_2P!$A$15 &amp; ", ", "") &amp; IF((OPR_2P!$J$16&gt;=H38)*(OPR_2P!$K$16&lt;=I38), OPR_2P!$A$16 &amp; ", ", "") &amp; IF((OPR_2P!$J$17&gt;=H38)*(OPR_2P!$K$17&lt;=I38), OPR_2P!$A$17 &amp; ", ", "") &amp; IF((OPR_2P!$J$18&gt;=H38)*(OPR_2P!$K$18&lt;=I38), OPR_2P!$A$18 &amp; ", ", ""), LEN(IF((OPR_2P!$J$4&gt;=H38)*(OPR_2P!$K$4&lt;=I38), OPR_2P!$A$4 &amp; ", ", "") &amp; IF((OPR_2P!$J$5&gt;=H38)*(OPR_2P!$K$5&lt;=I38), OPR_2P!$A$5 &amp; ", ", "") &amp; IF((OPR_2P!$J$6&gt;=H38)*(OPR_2P!$K$6&lt;=I38), OPR_2P!$A$6 &amp; ", ", "") &amp; IF((OPR_2P!$J$7&gt;=H38)*(OPR_2P!$K$7&lt;=I38), OPR_2P!$A$7 &amp; ", ", "") &amp; IF((OPR_2P!$J$8&gt;=H38)*(OPR_2P!$K$8&lt;=I38), OPR_2P!$A$8 &amp; ", ", "") &amp; IF((OPR_2P!$J$9&gt;=H38)*(OPR_2P!$K$9&lt;=I38), OPR_2P!$A$9 &amp; ", ", "") &amp; IF((OPR_2P!$J$10&gt;=H38)*(OPR_2P!$K$10&lt;=I38), OPR_2P!$A$10 &amp; ", ", "") &amp; IF((OPR_2P!$J$11&gt;=H38)*(OPR_2P!$K$11&lt;=I38), OPR_2P!$A$11 &amp; ", ", "") &amp; IF((OPR_2P!$J$12&gt;=H38)*(OPR_2P!$K$12&lt;=I38), OPR_2P!$A$12 &amp; ", ", "") &amp; IF((OPR_2P!$J$13&gt;=H38)*(OPR_2P!$K$13&lt;=I38), OPR_2P!$A$13 &amp; ", ", "") &amp; IF((OPR_2P!$J$14&gt;=H38)*(OPR_2P!$K$14&lt;=I38), OPR_2P!$A$14 &amp; ", ", "") &amp; IF((OPR_2P!$J$15&gt;=H38)*(OPR_2P!$K$15&lt;=I38), OPR_2P!$A$15 &amp; ", ", "") &amp; IF((OPR_2P!$J$16&gt;=H38)*(OPR_2P!$K$16&lt;=I38), OPR_2P!$A$16 &amp; ", ", "") &amp; IF((OPR_2P!$J$17&gt;=H38)*(OPR_2P!$K$17&lt;=I38), OPR_2P!$A$17 &amp; ", ", "") &amp; IF((OPR_2P!$J$18&gt;=H38)*(OPR_2P!$K$18&lt;=I38), OPR_2P!$A$18 &amp; ", ", ""))-2), "None")</f>
        <v>25, 28, 30, 34, 42, 46, 50, 54, 57, 63, 70</v>
      </c>
    </row>
    <row r="39" spans="1:10" ht="15" customHeight="1" x14ac:dyDescent="0.3">
      <c r="A39" s="10" t="s">
        <v>152</v>
      </c>
      <c r="B39" s="10" t="s">
        <v>172</v>
      </c>
      <c r="C39" s="22">
        <v>46040</v>
      </c>
      <c r="D39" s="10">
        <v>6</v>
      </c>
      <c r="E39" s="10">
        <v>4</v>
      </c>
      <c r="F39" s="10" t="s">
        <v>133</v>
      </c>
      <c r="G39" s="23" t="s">
        <v>134</v>
      </c>
      <c r="H39" s="14">
        <v>800</v>
      </c>
      <c r="I39" s="14">
        <v>3500</v>
      </c>
      <c r="J39" s="110" t="str">
        <f>IFERROR(LEFT(IF((OPR_2P!$J$4&gt;=H39)*(OPR_2P!$K$4&lt;=I39), OPR_2P!$A$4 &amp; ", ", "") &amp; IF((OPR_2P!$J$5&gt;=H39)*(OPR_2P!$K$5&lt;=I39), OPR_2P!$A$5 &amp; ", ", "") &amp; IF((OPR_2P!$J$6&gt;=H39)*(OPR_2P!$K$6&lt;=I39), OPR_2P!$A$6 &amp; ", ", "") &amp; IF((OPR_2P!$J$7&gt;=H39)*(OPR_2P!$K$7&lt;=I39), OPR_2P!$A$7 &amp; ", ", "") &amp; IF((OPR_2P!$J$8&gt;=H39)*(OPR_2P!$K$8&lt;=I39), OPR_2P!$A$8 &amp; ", ", "") &amp; IF((OPR_2P!$J$9&gt;=H39)*(OPR_2P!$K$9&lt;=I39), OPR_2P!$A$9 &amp; ", ", "") &amp; IF((OPR_2P!$J$10&gt;=H39)*(OPR_2P!$K$10&lt;=I39), OPR_2P!$A$10 &amp; ", ", "") &amp; IF((OPR_2P!$J$11&gt;=H39)*(OPR_2P!$K$11&lt;=I39), OPR_2P!$A$11 &amp; ", ", "") &amp; IF((OPR_2P!$J$12&gt;=H39)*(OPR_2P!$K$12&lt;=I39), OPR_2P!$A$12 &amp; ", ", "") &amp; IF((OPR_2P!$J$13&gt;=H39)*(OPR_2P!$K$13&lt;=I39), OPR_2P!$A$13 &amp; ", ", "") &amp; IF((OPR_2P!$J$14&gt;=H39)*(OPR_2P!$K$14&lt;=I39), OPR_2P!$A$14 &amp; ", ", "") &amp; IF((OPR_2P!$J$15&gt;=H39)*(OPR_2P!$K$15&lt;=I39), OPR_2P!$A$15 &amp; ", ", "") &amp; IF((OPR_2P!$J$16&gt;=H39)*(OPR_2P!$K$16&lt;=I39), OPR_2P!$A$16 &amp; ", ", "") &amp; IF((OPR_2P!$J$17&gt;=H39)*(OPR_2P!$K$17&lt;=I39), OPR_2P!$A$17 &amp; ", ", "") &amp; IF((OPR_2P!$J$18&gt;=H39)*(OPR_2P!$K$18&lt;=I39), OPR_2P!$A$18 &amp; ", ", ""), LEN(IF((OPR_2P!$J$4&gt;=H39)*(OPR_2P!$K$4&lt;=I39), OPR_2P!$A$4 &amp; ", ", "") &amp; IF((OPR_2P!$J$5&gt;=H39)*(OPR_2P!$K$5&lt;=I39), OPR_2P!$A$5 &amp; ", ", "") &amp; IF((OPR_2P!$J$6&gt;=H39)*(OPR_2P!$K$6&lt;=I39), OPR_2P!$A$6 &amp; ", ", "") &amp; IF((OPR_2P!$J$7&gt;=H39)*(OPR_2P!$K$7&lt;=I39), OPR_2P!$A$7 &amp; ", ", "") &amp; IF((OPR_2P!$J$8&gt;=H39)*(OPR_2P!$K$8&lt;=I39), OPR_2P!$A$8 &amp; ", ", "") &amp; IF((OPR_2P!$J$9&gt;=H39)*(OPR_2P!$K$9&lt;=I39), OPR_2P!$A$9 &amp; ", ", "") &amp; IF((OPR_2P!$J$10&gt;=H39)*(OPR_2P!$K$10&lt;=I39), OPR_2P!$A$10 &amp; ", ", "") &amp; IF((OPR_2P!$J$11&gt;=H39)*(OPR_2P!$K$11&lt;=I39), OPR_2P!$A$11 &amp; ", ", "") &amp; IF((OPR_2P!$J$12&gt;=H39)*(OPR_2P!$K$12&lt;=I39), OPR_2P!$A$12 &amp; ", ", "") &amp; IF((OPR_2P!$J$13&gt;=H39)*(OPR_2P!$K$13&lt;=I39), OPR_2P!$A$13 &amp; ", ", "") &amp; IF((OPR_2P!$J$14&gt;=H39)*(OPR_2P!$K$14&lt;=I39), OPR_2P!$A$14 &amp; ", ", "") &amp; IF((OPR_2P!$J$15&gt;=H39)*(OPR_2P!$K$15&lt;=I39), OPR_2P!$A$15 &amp; ", ", "") &amp; IF((OPR_2P!$J$16&gt;=H39)*(OPR_2P!$K$16&lt;=I39), OPR_2P!$A$16 &amp; ", ", "") &amp; IF((OPR_2P!$J$17&gt;=H39)*(OPR_2P!$K$17&lt;=I39), OPR_2P!$A$17 &amp; ", ", "") &amp; IF((OPR_2P!$J$18&gt;=H39)*(OPR_2P!$K$18&lt;=I39), OPR_2P!$A$18 &amp; ", ", ""))-2), "None")</f>
        <v>25, 28, 30, 34, 42, 46, 50, 54, 57, 63, 70</v>
      </c>
    </row>
    <row r="40" spans="1:10" ht="15" customHeight="1" x14ac:dyDescent="0.3">
      <c r="A40" s="10" t="s">
        <v>152</v>
      </c>
      <c r="B40" s="10" t="s">
        <v>173</v>
      </c>
      <c r="C40" s="22">
        <v>46476</v>
      </c>
      <c r="D40" s="10">
        <v>6</v>
      </c>
      <c r="E40" s="10">
        <v>4</v>
      </c>
      <c r="F40" s="10" t="s">
        <v>133</v>
      </c>
      <c r="G40" s="23" t="s">
        <v>134</v>
      </c>
      <c r="H40" s="14">
        <v>800</v>
      </c>
      <c r="I40" s="14">
        <v>3500</v>
      </c>
      <c r="J40" s="110" t="str">
        <f>IFERROR(LEFT(IF((OPR_2P!$J$4&gt;=H40)*(OPR_2P!$K$4&lt;=I40), OPR_2P!$A$4 &amp; ", ", "") &amp; IF((OPR_2P!$J$5&gt;=H40)*(OPR_2P!$K$5&lt;=I40), OPR_2P!$A$5 &amp; ", ", "") &amp; IF((OPR_2P!$J$6&gt;=H40)*(OPR_2P!$K$6&lt;=I40), OPR_2P!$A$6 &amp; ", ", "") &amp; IF((OPR_2P!$J$7&gt;=H40)*(OPR_2P!$K$7&lt;=I40), OPR_2P!$A$7 &amp; ", ", "") &amp; IF((OPR_2P!$J$8&gt;=H40)*(OPR_2P!$K$8&lt;=I40), OPR_2P!$A$8 &amp; ", ", "") &amp; IF((OPR_2P!$J$9&gt;=H40)*(OPR_2P!$K$9&lt;=I40), OPR_2P!$A$9 &amp; ", ", "") &amp; IF((OPR_2P!$J$10&gt;=H40)*(OPR_2P!$K$10&lt;=I40), OPR_2P!$A$10 &amp; ", ", "") &amp; IF((OPR_2P!$J$11&gt;=H40)*(OPR_2P!$K$11&lt;=I40), OPR_2P!$A$11 &amp; ", ", "") &amp; IF((OPR_2P!$J$12&gt;=H40)*(OPR_2P!$K$12&lt;=I40), OPR_2P!$A$12 &amp; ", ", "") &amp; IF((OPR_2P!$J$13&gt;=H40)*(OPR_2P!$K$13&lt;=I40), OPR_2P!$A$13 &amp; ", ", "") &amp; IF((OPR_2P!$J$14&gt;=H40)*(OPR_2P!$K$14&lt;=I40), OPR_2P!$A$14 &amp; ", ", "") &amp; IF((OPR_2P!$J$15&gt;=H40)*(OPR_2P!$K$15&lt;=I40), OPR_2P!$A$15 &amp; ", ", "") &amp; IF((OPR_2P!$J$16&gt;=H40)*(OPR_2P!$K$16&lt;=I40), OPR_2P!$A$16 &amp; ", ", "") &amp; IF((OPR_2P!$J$17&gt;=H40)*(OPR_2P!$K$17&lt;=I40), OPR_2P!$A$17 &amp; ", ", "") &amp; IF((OPR_2P!$J$18&gt;=H40)*(OPR_2P!$K$18&lt;=I40), OPR_2P!$A$18 &amp; ", ", ""), LEN(IF((OPR_2P!$J$4&gt;=H40)*(OPR_2P!$K$4&lt;=I40), OPR_2P!$A$4 &amp; ", ", "") &amp; IF((OPR_2P!$J$5&gt;=H40)*(OPR_2P!$K$5&lt;=I40), OPR_2P!$A$5 &amp; ", ", "") &amp; IF((OPR_2P!$J$6&gt;=H40)*(OPR_2P!$K$6&lt;=I40), OPR_2P!$A$6 &amp; ", ", "") &amp; IF((OPR_2P!$J$7&gt;=H40)*(OPR_2P!$K$7&lt;=I40), OPR_2P!$A$7 &amp; ", ", "") &amp; IF((OPR_2P!$J$8&gt;=H40)*(OPR_2P!$K$8&lt;=I40), OPR_2P!$A$8 &amp; ", ", "") &amp; IF((OPR_2P!$J$9&gt;=H40)*(OPR_2P!$K$9&lt;=I40), OPR_2P!$A$9 &amp; ", ", "") &amp; IF((OPR_2P!$J$10&gt;=H40)*(OPR_2P!$K$10&lt;=I40), OPR_2P!$A$10 &amp; ", ", "") &amp; IF((OPR_2P!$J$11&gt;=H40)*(OPR_2P!$K$11&lt;=I40), OPR_2P!$A$11 &amp; ", ", "") &amp; IF((OPR_2P!$J$12&gt;=H40)*(OPR_2P!$K$12&lt;=I40), OPR_2P!$A$12 &amp; ", ", "") &amp; IF((OPR_2P!$J$13&gt;=H40)*(OPR_2P!$K$13&lt;=I40), OPR_2P!$A$13 &amp; ", ", "") &amp; IF((OPR_2P!$J$14&gt;=H40)*(OPR_2P!$K$14&lt;=I40), OPR_2P!$A$14 &amp; ", ", "") &amp; IF((OPR_2P!$J$15&gt;=H40)*(OPR_2P!$K$15&lt;=I40), OPR_2P!$A$15 &amp; ", ", "") &amp; IF((OPR_2P!$J$16&gt;=H40)*(OPR_2P!$K$16&lt;=I40), OPR_2P!$A$16 &amp; ", ", "") &amp; IF((OPR_2P!$J$17&gt;=H40)*(OPR_2P!$K$17&lt;=I40), OPR_2P!$A$17 &amp; ", ", "") &amp; IF((OPR_2P!$J$18&gt;=H40)*(OPR_2P!$K$18&lt;=I40), OPR_2P!$A$18 &amp; ", ", ""))-2), "None")</f>
        <v>25, 28, 30, 34, 42, 46, 50, 54, 57, 63, 70</v>
      </c>
    </row>
    <row r="41" spans="1:10" ht="15" customHeight="1" x14ac:dyDescent="0.3">
      <c r="A41" s="10" t="s">
        <v>152</v>
      </c>
      <c r="B41" s="10" t="s">
        <v>174</v>
      </c>
      <c r="C41" s="22">
        <v>46239</v>
      </c>
      <c r="D41" s="10">
        <v>6</v>
      </c>
      <c r="E41" s="10">
        <v>4</v>
      </c>
      <c r="F41" s="10" t="s">
        <v>133</v>
      </c>
      <c r="G41" s="23" t="s">
        <v>134</v>
      </c>
      <c r="H41" s="14">
        <v>800</v>
      </c>
      <c r="I41" s="14">
        <v>3500</v>
      </c>
      <c r="J41" s="110" t="str">
        <f>IFERROR(LEFT(IF((OPR_2P!$J$4&gt;=H41)*(OPR_2P!$K$4&lt;=I41), OPR_2P!$A$4 &amp; ", ", "") &amp; IF((OPR_2P!$J$5&gt;=H41)*(OPR_2P!$K$5&lt;=I41), OPR_2P!$A$5 &amp; ", ", "") &amp; IF((OPR_2P!$J$6&gt;=H41)*(OPR_2P!$K$6&lt;=I41), OPR_2P!$A$6 &amp; ", ", "") &amp; IF((OPR_2P!$J$7&gt;=H41)*(OPR_2P!$K$7&lt;=I41), OPR_2P!$A$7 &amp; ", ", "") &amp; IF((OPR_2P!$J$8&gt;=H41)*(OPR_2P!$K$8&lt;=I41), OPR_2P!$A$8 &amp; ", ", "") &amp; IF((OPR_2P!$J$9&gt;=H41)*(OPR_2P!$K$9&lt;=I41), OPR_2P!$A$9 &amp; ", ", "") &amp; IF((OPR_2P!$J$10&gt;=H41)*(OPR_2P!$K$10&lt;=I41), OPR_2P!$A$10 &amp; ", ", "") &amp; IF((OPR_2P!$J$11&gt;=H41)*(OPR_2P!$K$11&lt;=I41), OPR_2P!$A$11 &amp; ", ", "") &amp; IF((OPR_2P!$J$12&gt;=H41)*(OPR_2P!$K$12&lt;=I41), OPR_2P!$A$12 &amp; ", ", "") &amp; IF((OPR_2P!$J$13&gt;=H41)*(OPR_2P!$K$13&lt;=I41), OPR_2P!$A$13 &amp; ", ", "") &amp; IF((OPR_2P!$J$14&gt;=H41)*(OPR_2P!$K$14&lt;=I41), OPR_2P!$A$14 &amp; ", ", "") &amp; IF((OPR_2P!$J$15&gt;=H41)*(OPR_2P!$K$15&lt;=I41), OPR_2P!$A$15 &amp; ", ", "") &amp; IF((OPR_2P!$J$16&gt;=H41)*(OPR_2P!$K$16&lt;=I41), OPR_2P!$A$16 &amp; ", ", "") &amp; IF((OPR_2P!$J$17&gt;=H41)*(OPR_2P!$K$17&lt;=I41), OPR_2P!$A$17 &amp; ", ", "") &amp; IF((OPR_2P!$J$18&gt;=H41)*(OPR_2P!$K$18&lt;=I41), OPR_2P!$A$18 &amp; ", ", ""), LEN(IF((OPR_2P!$J$4&gt;=H41)*(OPR_2P!$K$4&lt;=I41), OPR_2P!$A$4 &amp; ", ", "") &amp; IF((OPR_2P!$J$5&gt;=H41)*(OPR_2P!$K$5&lt;=I41), OPR_2P!$A$5 &amp; ", ", "") &amp; IF((OPR_2P!$J$6&gt;=H41)*(OPR_2P!$K$6&lt;=I41), OPR_2P!$A$6 &amp; ", ", "") &amp; IF((OPR_2P!$J$7&gt;=H41)*(OPR_2P!$K$7&lt;=I41), OPR_2P!$A$7 &amp; ", ", "") &amp; IF((OPR_2P!$J$8&gt;=H41)*(OPR_2P!$K$8&lt;=I41), OPR_2P!$A$8 &amp; ", ", "") &amp; IF((OPR_2P!$J$9&gt;=H41)*(OPR_2P!$K$9&lt;=I41), OPR_2P!$A$9 &amp; ", ", "") &amp; IF((OPR_2P!$J$10&gt;=H41)*(OPR_2P!$K$10&lt;=I41), OPR_2P!$A$10 &amp; ", ", "") &amp; IF((OPR_2P!$J$11&gt;=H41)*(OPR_2P!$K$11&lt;=I41), OPR_2P!$A$11 &amp; ", ", "") &amp; IF((OPR_2P!$J$12&gt;=H41)*(OPR_2P!$K$12&lt;=I41), OPR_2P!$A$12 &amp; ", ", "") &amp; IF((OPR_2P!$J$13&gt;=H41)*(OPR_2P!$K$13&lt;=I41), OPR_2P!$A$13 &amp; ", ", "") &amp; IF((OPR_2P!$J$14&gt;=H41)*(OPR_2P!$K$14&lt;=I41), OPR_2P!$A$14 &amp; ", ", "") &amp; IF((OPR_2P!$J$15&gt;=H41)*(OPR_2P!$K$15&lt;=I41), OPR_2P!$A$15 &amp; ", ", "") &amp; IF((OPR_2P!$J$16&gt;=H41)*(OPR_2P!$K$16&lt;=I41), OPR_2P!$A$16 &amp; ", ", "") &amp; IF((OPR_2P!$J$17&gt;=H41)*(OPR_2P!$K$17&lt;=I41), OPR_2P!$A$17 &amp; ", ", "") &amp; IF((OPR_2P!$J$18&gt;=H41)*(OPR_2P!$K$18&lt;=I41), OPR_2P!$A$18 &amp; ", ", ""))-2), "None")</f>
        <v>25, 28, 30, 34, 42, 46, 50, 54, 57, 63, 70</v>
      </c>
    </row>
    <row r="42" spans="1:10" ht="15" customHeight="1" x14ac:dyDescent="0.3">
      <c r="A42" s="10" t="s">
        <v>152</v>
      </c>
      <c r="B42" s="10" t="s">
        <v>175</v>
      </c>
      <c r="C42" s="22">
        <v>46324</v>
      </c>
      <c r="D42" s="10">
        <v>6</v>
      </c>
      <c r="E42" s="10">
        <v>4</v>
      </c>
      <c r="F42" s="10" t="s">
        <v>133</v>
      </c>
      <c r="G42" s="23" t="s">
        <v>134</v>
      </c>
      <c r="H42" s="14">
        <v>1000</v>
      </c>
      <c r="I42" s="14">
        <v>4500</v>
      </c>
      <c r="J42" s="110" t="str">
        <f>IFERROR(LEFT(IF((OPR_2P!$J$4&gt;=H42)*(OPR_2P!$K$4&lt;=I42), OPR_2P!$A$4 &amp; ", ", "") &amp; IF((OPR_2P!$J$5&gt;=H42)*(OPR_2P!$K$5&lt;=I42), OPR_2P!$A$5 &amp; ", ", "") &amp; IF((OPR_2P!$J$6&gt;=H42)*(OPR_2P!$K$6&lt;=I42), OPR_2P!$A$6 &amp; ", ", "") &amp; IF((OPR_2P!$J$7&gt;=H42)*(OPR_2P!$K$7&lt;=I42), OPR_2P!$A$7 &amp; ", ", "") &amp; IF((OPR_2P!$J$8&gt;=H42)*(OPR_2P!$K$8&lt;=I42), OPR_2P!$A$8 &amp; ", ", "") &amp; IF((OPR_2P!$J$9&gt;=H42)*(OPR_2P!$K$9&lt;=I42), OPR_2P!$A$9 &amp; ", ", "") &amp; IF((OPR_2P!$J$10&gt;=H42)*(OPR_2P!$K$10&lt;=I42), OPR_2P!$A$10 &amp; ", ", "") &amp; IF((OPR_2P!$J$11&gt;=H42)*(OPR_2P!$K$11&lt;=I42), OPR_2P!$A$11 &amp; ", ", "") &amp; IF((OPR_2P!$J$12&gt;=H42)*(OPR_2P!$K$12&lt;=I42), OPR_2P!$A$12 &amp; ", ", "") &amp; IF((OPR_2P!$J$13&gt;=H42)*(OPR_2P!$K$13&lt;=I42), OPR_2P!$A$13 &amp; ", ", "") &amp; IF((OPR_2P!$J$14&gt;=H42)*(OPR_2P!$K$14&lt;=I42), OPR_2P!$A$14 &amp; ", ", "") &amp; IF((OPR_2P!$J$15&gt;=H42)*(OPR_2P!$K$15&lt;=I42), OPR_2P!$A$15 &amp; ", ", "") &amp; IF((OPR_2P!$J$16&gt;=H42)*(OPR_2P!$K$16&lt;=I42), OPR_2P!$A$16 &amp; ", ", "") &amp; IF((OPR_2P!$J$17&gt;=H42)*(OPR_2P!$K$17&lt;=I42), OPR_2P!$A$17 &amp; ", ", "") &amp; IF((OPR_2P!$J$18&gt;=H42)*(OPR_2P!$K$18&lt;=I42), OPR_2P!$A$18 &amp; ", ", ""), LEN(IF((OPR_2P!$J$4&gt;=H42)*(OPR_2P!$K$4&lt;=I42), OPR_2P!$A$4 &amp; ", ", "") &amp; IF((OPR_2P!$J$5&gt;=H42)*(OPR_2P!$K$5&lt;=I42), OPR_2P!$A$5 &amp; ", ", "") &amp; IF((OPR_2P!$J$6&gt;=H42)*(OPR_2P!$K$6&lt;=I42), OPR_2P!$A$6 &amp; ", ", "") &amp; IF((OPR_2P!$J$7&gt;=H42)*(OPR_2P!$K$7&lt;=I42), OPR_2P!$A$7 &amp; ", ", "") &amp; IF((OPR_2P!$J$8&gt;=H42)*(OPR_2P!$K$8&lt;=I42), OPR_2P!$A$8 &amp; ", ", "") &amp; IF((OPR_2P!$J$9&gt;=H42)*(OPR_2P!$K$9&lt;=I42), OPR_2P!$A$9 &amp; ", ", "") &amp; IF((OPR_2P!$J$10&gt;=H42)*(OPR_2P!$K$10&lt;=I42), OPR_2P!$A$10 &amp; ", ", "") &amp; IF((OPR_2P!$J$11&gt;=H42)*(OPR_2P!$K$11&lt;=I42), OPR_2P!$A$11 &amp; ", ", "") &amp; IF((OPR_2P!$J$12&gt;=H42)*(OPR_2P!$K$12&lt;=I42), OPR_2P!$A$12 &amp; ", ", "") &amp; IF((OPR_2P!$J$13&gt;=H42)*(OPR_2P!$K$13&lt;=I42), OPR_2P!$A$13 &amp; ", ", "") &amp; IF((OPR_2P!$J$14&gt;=H42)*(OPR_2P!$K$14&lt;=I42), OPR_2P!$A$14 &amp; ", ", "") &amp; IF((OPR_2P!$J$15&gt;=H42)*(OPR_2P!$K$15&lt;=I42), OPR_2P!$A$15 &amp; ", ", "") &amp; IF((OPR_2P!$J$16&gt;=H42)*(OPR_2P!$K$16&lt;=I42), OPR_2P!$A$16 &amp; ", ", "") &amp; IF((OPR_2P!$J$17&gt;=H42)*(OPR_2P!$K$17&lt;=I42), OPR_2P!$A$17 &amp; ", ", "") &amp; IF((OPR_2P!$J$18&gt;=H42)*(OPR_2P!$K$18&lt;=I42), OPR_2P!$A$18 &amp; ", ", ""))-2), "None")</f>
        <v>28, 30, 34, 42, 46, 50, 54, 57, 63, 70</v>
      </c>
    </row>
    <row r="43" spans="1:10" ht="15" customHeight="1" x14ac:dyDescent="0.3">
      <c r="A43" s="10" t="s">
        <v>152</v>
      </c>
      <c r="B43" s="10" t="s">
        <v>176</v>
      </c>
      <c r="C43" s="22">
        <v>46097</v>
      </c>
      <c r="D43" s="10">
        <v>6</v>
      </c>
      <c r="E43" s="10">
        <v>4</v>
      </c>
      <c r="F43" s="10" t="s">
        <v>133</v>
      </c>
      <c r="G43" s="23" t="s">
        <v>134</v>
      </c>
      <c r="H43" s="14">
        <v>1000</v>
      </c>
      <c r="I43" s="14">
        <v>4500</v>
      </c>
      <c r="J43" s="110" t="str">
        <f>IFERROR(LEFT(IF((OPR_2P!$J$4&gt;=H43)*(OPR_2P!$K$4&lt;=I43), OPR_2P!$A$4 &amp; ", ", "") &amp; IF((OPR_2P!$J$5&gt;=H43)*(OPR_2P!$K$5&lt;=I43), OPR_2P!$A$5 &amp; ", ", "") &amp; IF((OPR_2P!$J$6&gt;=H43)*(OPR_2P!$K$6&lt;=I43), OPR_2P!$A$6 &amp; ", ", "") &amp; IF((OPR_2P!$J$7&gt;=H43)*(OPR_2P!$K$7&lt;=I43), OPR_2P!$A$7 &amp; ", ", "") &amp; IF((OPR_2P!$J$8&gt;=H43)*(OPR_2P!$K$8&lt;=I43), OPR_2P!$A$8 &amp; ", ", "") &amp; IF((OPR_2P!$J$9&gt;=H43)*(OPR_2P!$K$9&lt;=I43), OPR_2P!$A$9 &amp; ", ", "") &amp; IF((OPR_2P!$J$10&gt;=H43)*(OPR_2P!$K$10&lt;=I43), OPR_2P!$A$10 &amp; ", ", "") &amp; IF((OPR_2P!$J$11&gt;=H43)*(OPR_2P!$K$11&lt;=I43), OPR_2P!$A$11 &amp; ", ", "") &amp; IF((OPR_2P!$J$12&gt;=H43)*(OPR_2P!$K$12&lt;=I43), OPR_2P!$A$12 &amp; ", ", "") &amp; IF((OPR_2P!$J$13&gt;=H43)*(OPR_2P!$K$13&lt;=I43), OPR_2P!$A$13 &amp; ", ", "") &amp; IF((OPR_2P!$J$14&gt;=H43)*(OPR_2P!$K$14&lt;=I43), OPR_2P!$A$14 &amp; ", ", "") &amp; IF((OPR_2P!$J$15&gt;=H43)*(OPR_2P!$K$15&lt;=I43), OPR_2P!$A$15 &amp; ", ", "") &amp; IF((OPR_2P!$J$16&gt;=H43)*(OPR_2P!$K$16&lt;=I43), OPR_2P!$A$16 &amp; ", ", "") &amp; IF((OPR_2P!$J$17&gt;=H43)*(OPR_2P!$K$17&lt;=I43), OPR_2P!$A$17 &amp; ", ", "") &amp; IF((OPR_2P!$J$18&gt;=H43)*(OPR_2P!$K$18&lt;=I43), OPR_2P!$A$18 &amp; ", ", ""), LEN(IF((OPR_2P!$J$4&gt;=H43)*(OPR_2P!$K$4&lt;=I43), OPR_2P!$A$4 &amp; ", ", "") &amp; IF((OPR_2P!$J$5&gt;=H43)*(OPR_2P!$K$5&lt;=I43), OPR_2P!$A$5 &amp; ", ", "") &amp; IF((OPR_2P!$J$6&gt;=H43)*(OPR_2P!$K$6&lt;=I43), OPR_2P!$A$6 &amp; ", ", "") &amp; IF((OPR_2P!$J$7&gt;=H43)*(OPR_2P!$K$7&lt;=I43), OPR_2P!$A$7 &amp; ", ", "") &amp; IF((OPR_2P!$J$8&gt;=H43)*(OPR_2P!$K$8&lt;=I43), OPR_2P!$A$8 &amp; ", ", "") &amp; IF((OPR_2P!$J$9&gt;=H43)*(OPR_2P!$K$9&lt;=I43), OPR_2P!$A$9 &amp; ", ", "") &amp; IF((OPR_2P!$J$10&gt;=H43)*(OPR_2P!$K$10&lt;=I43), OPR_2P!$A$10 &amp; ", ", "") &amp; IF((OPR_2P!$J$11&gt;=H43)*(OPR_2P!$K$11&lt;=I43), OPR_2P!$A$11 &amp; ", ", "") &amp; IF((OPR_2P!$J$12&gt;=H43)*(OPR_2P!$K$12&lt;=I43), OPR_2P!$A$12 &amp; ", ", "") &amp; IF((OPR_2P!$J$13&gt;=H43)*(OPR_2P!$K$13&lt;=I43), OPR_2P!$A$13 &amp; ", ", "") &amp; IF((OPR_2P!$J$14&gt;=H43)*(OPR_2P!$K$14&lt;=I43), OPR_2P!$A$14 &amp; ", ", "") &amp; IF((OPR_2P!$J$15&gt;=H43)*(OPR_2P!$K$15&lt;=I43), OPR_2P!$A$15 &amp; ", ", "") &amp; IF((OPR_2P!$J$16&gt;=H43)*(OPR_2P!$K$16&lt;=I43), OPR_2P!$A$16 &amp; ", ", "") &amp; IF((OPR_2P!$J$17&gt;=H43)*(OPR_2P!$K$17&lt;=I43), OPR_2P!$A$17 &amp; ", ", "") &amp; IF((OPR_2P!$J$18&gt;=H43)*(OPR_2P!$K$18&lt;=I43), OPR_2P!$A$18 &amp; ", ", ""))-2), "None")</f>
        <v>28, 30, 34, 42, 46, 50, 54, 57, 63, 70</v>
      </c>
    </row>
    <row r="44" spans="1:10" ht="15" customHeight="1" x14ac:dyDescent="0.3">
      <c r="A44" s="10" t="s">
        <v>152</v>
      </c>
      <c r="B44" s="10" t="s">
        <v>177</v>
      </c>
      <c r="C44" s="22">
        <v>46098</v>
      </c>
      <c r="D44" s="10">
        <v>6</v>
      </c>
      <c r="E44" s="10">
        <v>4</v>
      </c>
      <c r="F44" s="10" t="s">
        <v>133</v>
      </c>
      <c r="G44" s="23" t="s">
        <v>134</v>
      </c>
      <c r="H44" s="14">
        <v>1000</v>
      </c>
      <c r="I44" s="14">
        <v>4500</v>
      </c>
      <c r="J44" s="110" t="str">
        <f>IFERROR(LEFT(IF((OPR_2P!$J$4&gt;=H44)*(OPR_2P!$K$4&lt;=I44), OPR_2P!$A$4 &amp; ", ", "") &amp; IF((OPR_2P!$J$5&gt;=H44)*(OPR_2P!$K$5&lt;=I44), OPR_2P!$A$5 &amp; ", ", "") &amp; IF((OPR_2P!$J$6&gt;=H44)*(OPR_2P!$K$6&lt;=I44), OPR_2P!$A$6 &amp; ", ", "") &amp; IF((OPR_2P!$J$7&gt;=H44)*(OPR_2P!$K$7&lt;=I44), OPR_2P!$A$7 &amp; ", ", "") &amp; IF((OPR_2P!$J$8&gt;=H44)*(OPR_2P!$K$8&lt;=I44), OPR_2P!$A$8 &amp; ", ", "") &amp; IF((OPR_2P!$J$9&gt;=H44)*(OPR_2P!$K$9&lt;=I44), OPR_2P!$A$9 &amp; ", ", "") &amp; IF((OPR_2P!$J$10&gt;=H44)*(OPR_2P!$K$10&lt;=I44), OPR_2P!$A$10 &amp; ", ", "") &amp; IF((OPR_2P!$J$11&gt;=H44)*(OPR_2P!$K$11&lt;=I44), OPR_2P!$A$11 &amp; ", ", "") &amp; IF((OPR_2P!$J$12&gt;=H44)*(OPR_2P!$K$12&lt;=I44), OPR_2P!$A$12 &amp; ", ", "") &amp; IF((OPR_2P!$J$13&gt;=H44)*(OPR_2P!$K$13&lt;=I44), OPR_2P!$A$13 &amp; ", ", "") &amp; IF((OPR_2P!$J$14&gt;=H44)*(OPR_2P!$K$14&lt;=I44), OPR_2P!$A$14 &amp; ", ", "") &amp; IF((OPR_2P!$J$15&gt;=H44)*(OPR_2P!$K$15&lt;=I44), OPR_2P!$A$15 &amp; ", ", "") &amp; IF((OPR_2P!$J$16&gt;=H44)*(OPR_2P!$K$16&lt;=I44), OPR_2P!$A$16 &amp; ", ", "") &amp; IF((OPR_2P!$J$17&gt;=H44)*(OPR_2P!$K$17&lt;=I44), OPR_2P!$A$17 &amp; ", ", "") &amp; IF((OPR_2P!$J$18&gt;=H44)*(OPR_2P!$K$18&lt;=I44), OPR_2P!$A$18 &amp; ", ", ""), LEN(IF((OPR_2P!$J$4&gt;=H44)*(OPR_2P!$K$4&lt;=I44), OPR_2P!$A$4 &amp; ", ", "") &amp; IF((OPR_2P!$J$5&gt;=H44)*(OPR_2P!$K$5&lt;=I44), OPR_2P!$A$5 &amp; ", ", "") &amp; IF((OPR_2P!$J$6&gt;=H44)*(OPR_2P!$K$6&lt;=I44), OPR_2P!$A$6 &amp; ", ", "") &amp; IF((OPR_2P!$J$7&gt;=H44)*(OPR_2P!$K$7&lt;=I44), OPR_2P!$A$7 &amp; ", ", "") &amp; IF((OPR_2P!$J$8&gt;=H44)*(OPR_2P!$K$8&lt;=I44), OPR_2P!$A$8 &amp; ", ", "") &amp; IF((OPR_2P!$J$9&gt;=H44)*(OPR_2P!$K$9&lt;=I44), OPR_2P!$A$9 &amp; ", ", "") &amp; IF((OPR_2P!$J$10&gt;=H44)*(OPR_2P!$K$10&lt;=I44), OPR_2P!$A$10 &amp; ", ", "") &amp; IF((OPR_2P!$J$11&gt;=H44)*(OPR_2P!$K$11&lt;=I44), OPR_2P!$A$11 &amp; ", ", "") &amp; IF((OPR_2P!$J$12&gt;=H44)*(OPR_2P!$K$12&lt;=I44), OPR_2P!$A$12 &amp; ", ", "") &amp; IF((OPR_2P!$J$13&gt;=H44)*(OPR_2P!$K$13&lt;=I44), OPR_2P!$A$13 &amp; ", ", "") &amp; IF((OPR_2P!$J$14&gt;=H44)*(OPR_2P!$K$14&lt;=I44), OPR_2P!$A$14 &amp; ", ", "") &amp; IF((OPR_2P!$J$15&gt;=H44)*(OPR_2P!$K$15&lt;=I44), OPR_2P!$A$15 &amp; ", ", "") &amp; IF((OPR_2P!$J$16&gt;=H44)*(OPR_2P!$K$16&lt;=I44), OPR_2P!$A$16 &amp; ", ", "") &amp; IF((OPR_2P!$J$17&gt;=H44)*(OPR_2P!$K$17&lt;=I44), OPR_2P!$A$17 &amp; ", ", "") &amp; IF((OPR_2P!$J$18&gt;=H44)*(OPR_2P!$K$18&lt;=I44), OPR_2P!$A$18 &amp; ", ", ""))-2), "None")</f>
        <v>28, 30, 34, 42, 46, 50, 54, 57, 63, 70</v>
      </c>
    </row>
    <row r="45" spans="1:10" ht="15" customHeight="1" x14ac:dyDescent="0.3">
      <c r="A45" s="10" t="s">
        <v>152</v>
      </c>
      <c r="B45" s="10" t="s">
        <v>178</v>
      </c>
      <c r="C45" s="22">
        <v>46202</v>
      </c>
      <c r="D45" s="10">
        <v>6</v>
      </c>
      <c r="E45" s="10">
        <v>4</v>
      </c>
      <c r="F45" s="10" t="s">
        <v>133</v>
      </c>
      <c r="G45" s="23" t="s">
        <v>134</v>
      </c>
      <c r="H45" s="14">
        <v>1000</v>
      </c>
      <c r="I45" s="14">
        <v>4500</v>
      </c>
      <c r="J45" s="110" t="str">
        <f>IFERROR(LEFT(IF((OPR_2P!$J$4&gt;=H45)*(OPR_2P!$K$4&lt;=I45), OPR_2P!$A$4 &amp; ", ", "") &amp; IF((OPR_2P!$J$5&gt;=H45)*(OPR_2P!$K$5&lt;=I45), OPR_2P!$A$5 &amp; ", ", "") &amp; IF((OPR_2P!$J$6&gt;=H45)*(OPR_2P!$K$6&lt;=I45), OPR_2P!$A$6 &amp; ", ", "") &amp; IF((OPR_2P!$J$7&gt;=H45)*(OPR_2P!$K$7&lt;=I45), OPR_2P!$A$7 &amp; ", ", "") &amp; IF((OPR_2P!$J$8&gt;=H45)*(OPR_2P!$K$8&lt;=I45), OPR_2P!$A$8 &amp; ", ", "") &amp; IF((OPR_2P!$J$9&gt;=H45)*(OPR_2P!$K$9&lt;=I45), OPR_2P!$A$9 &amp; ", ", "") &amp; IF((OPR_2P!$J$10&gt;=H45)*(OPR_2P!$K$10&lt;=I45), OPR_2P!$A$10 &amp; ", ", "") &amp; IF((OPR_2P!$J$11&gt;=H45)*(OPR_2P!$K$11&lt;=I45), OPR_2P!$A$11 &amp; ", ", "") &amp; IF((OPR_2P!$J$12&gt;=H45)*(OPR_2P!$K$12&lt;=I45), OPR_2P!$A$12 &amp; ", ", "") &amp; IF((OPR_2P!$J$13&gt;=H45)*(OPR_2P!$K$13&lt;=I45), OPR_2P!$A$13 &amp; ", ", "") &amp; IF((OPR_2P!$J$14&gt;=H45)*(OPR_2P!$K$14&lt;=I45), OPR_2P!$A$14 &amp; ", ", "") &amp; IF((OPR_2P!$J$15&gt;=H45)*(OPR_2P!$K$15&lt;=I45), OPR_2P!$A$15 &amp; ", ", "") &amp; IF((OPR_2P!$J$16&gt;=H45)*(OPR_2P!$K$16&lt;=I45), OPR_2P!$A$16 &amp; ", ", "") &amp; IF((OPR_2P!$J$17&gt;=H45)*(OPR_2P!$K$17&lt;=I45), OPR_2P!$A$17 &amp; ", ", "") &amp; IF((OPR_2P!$J$18&gt;=H45)*(OPR_2P!$K$18&lt;=I45), OPR_2P!$A$18 &amp; ", ", ""), LEN(IF((OPR_2P!$J$4&gt;=H45)*(OPR_2P!$K$4&lt;=I45), OPR_2P!$A$4 &amp; ", ", "") &amp; IF((OPR_2P!$J$5&gt;=H45)*(OPR_2P!$K$5&lt;=I45), OPR_2P!$A$5 &amp; ", ", "") &amp; IF((OPR_2P!$J$6&gt;=H45)*(OPR_2P!$K$6&lt;=I45), OPR_2P!$A$6 &amp; ", ", "") &amp; IF((OPR_2P!$J$7&gt;=H45)*(OPR_2P!$K$7&lt;=I45), OPR_2P!$A$7 &amp; ", ", "") &amp; IF((OPR_2P!$J$8&gt;=H45)*(OPR_2P!$K$8&lt;=I45), OPR_2P!$A$8 &amp; ", ", "") &amp; IF((OPR_2P!$J$9&gt;=H45)*(OPR_2P!$K$9&lt;=I45), OPR_2P!$A$9 &amp; ", ", "") &amp; IF((OPR_2P!$J$10&gt;=H45)*(OPR_2P!$K$10&lt;=I45), OPR_2P!$A$10 &amp; ", ", "") &amp; IF((OPR_2P!$J$11&gt;=H45)*(OPR_2P!$K$11&lt;=I45), OPR_2P!$A$11 &amp; ", ", "") &amp; IF((OPR_2P!$J$12&gt;=H45)*(OPR_2P!$K$12&lt;=I45), OPR_2P!$A$12 &amp; ", ", "") &amp; IF((OPR_2P!$J$13&gt;=H45)*(OPR_2P!$K$13&lt;=I45), OPR_2P!$A$13 &amp; ", ", "") &amp; IF((OPR_2P!$J$14&gt;=H45)*(OPR_2P!$K$14&lt;=I45), OPR_2P!$A$14 &amp; ", ", "") &amp; IF((OPR_2P!$J$15&gt;=H45)*(OPR_2P!$K$15&lt;=I45), OPR_2P!$A$15 &amp; ", ", "") &amp; IF((OPR_2P!$J$16&gt;=H45)*(OPR_2P!$K$16&lt;=I45), OPR_2P!$A$16 &amp; ", ", "") &amp; IF((OPR_2P!$J$17&gt;=H45)*(OPR_2P!$K$17&lt;=I45), OPR_2P!$A$17 &amp; ", ", "") &amp; IF((OPR_2P!$J$18&gt;=H45)*(OPR_2P!$K$18&lt;=I45), OPR_2P!$A$18 &amp; ", ", ""))-2), "None")</f>
        <v>28, 30, 34, 42, 46, 50, 54, 57, 63, 70</v>
      </c>
    </row>
    <row r="46" spans="1:10" ht="15" customHeight="1" x14ac:dyDescent="0.3">
      <c r="A46" s="10" t="s">
        <v>152</v>
      </c>
      <c r="B46" s="10" t="s">
        <v>179</v>
      </c>
      <c r="C46" s="22">
        <v>46188</v>
      </c>
      <c r="D46" s="10">
        <v>6</v>
      </c>
      <c r="E46" s="10">
        <v>4</v>
      </c>
      <c r="F46" s="10" t="s">
        <v>133</v>
      </c>
      <c r="G46" s="23" t="s">
        <v>134</v>
      </c>
      <c r="H46" s="14">
        <v>1000</v>
      </c>
      <c r="I46" s="14">
        <v>4500</v>
      </c>
      <c r="J46" s="110" t="str">
        <f>IFERROR(LEFT(IF((OPR_2P!$J$4&gt;=H46)*(OPR_2P!$K$4&lt;=I46), OPR_2P!$A$4 &amp; ", ", "") &amp; IF((OPR_2P!$J$5&gt;=H46)*(OPR_2P!$K$5&lt;=I46), OPR_2P!$A$5 &amp; ", ", "") &amp; IF((OPR_2P!$J$6&gt;=H46)*(OPR_2P!$K$6&lt;=I46), OPR_2P!$A$6 &amp; ", ", "") &amp; IF((OPR_2P!$J$7&gt;=H46)*(OPR_2P!$K$7&lt;=I46), OPR_2P!$A$7 &amp; ", ", "") &amp; IF((OPR_2P!$J$8&gt;=H46)*(OPR_2P!$K$8&lt;=I46), OPR_2P!$A$8 &amp; ", ", "") &amp; IF((OPR_2P!$J$9&gt;=H46)*(OPR_2P!$K$9&lt;=I46), OPR_2P!$A$9 &amp; ", ", "") &amp; IF((OPR_2P!$J$10&gt;=H46)*(OPR_2P!$K$10&lt;=I46), OPR_2P!$A$10 &amp; ", ", "") &amp; IF((OPR_2P!$J$11&gt;=H46)*(OPR_2P!$K$11&lt;=I46), OPR_2P!$A$11 &amp; ", ", "") &amp; IF((OPR_2P!$J$12&gt;=H46)*(OPR_2P!$K$12&lt;=I46), OPR_2P!$A$12 &amp; ", ", "") &amp; IF((OPR_2P!$J$13&gt;=H46)*(OPR_2P!$K$13&lt;=I46), OPR_2P!$A$13 &amp; ", ", "") &amp; IF((OPR_2P!$J$14&gt;=H46)*(OPR_2P!$K$14&lt;=I46), OPR_2P!$A$14 &amp; ", ", "") &amp; IF((OPR_2P!$J$15&gt;=H46)*(OPR_2P!$K$15&lt;=I46), OPR_2P!$A$15 &amp; ", ", "") &amp; IF((OPR_2P!$J$16&gt;=H46)*(OPR_2P!$K$16&lt;=I46), OPR_2P!$A$16 &amp; ", ", "") &amp; IF((OPR_2P!$J$17&gt;=H46)*(OPR_2P!$K$17&lt;=I46), OPR_2P!$A$17 &amp; ", ", "") &amp; IF((OPR_2P!$J$18&gt;=H46)*(OPR_2P!$K$18&lt;=I46), OPR_2P!$A$18 &amp; ", ", ""), LEN(IF((OPR_2P!$J$4&gt;=H46)*(OPR_2P!$K$4&lt;=I46), OPR_2P!$A$4 &amp; ", ", "") &amp; IF((OPR_2P!$J$5&gt;=H46)*(OPR_2P!$K$5&lt;=I46), OPR_2P!$A$5 &amp; ", ", "") &amp; IF((OPR_2P!$J$6&gt;=H46)*(OPR_2P!$K$6&lt;=I46), OPR_2P!$A$6 &amp; ", ", "") &amp; IF((OPR_2P!$J$7&gt;=H46)*(OPR_2P!$K$7&lt;=I46), OPR_2P!$A$7 &amp; ", ", "") &amp; IF((OPR_2P!$J$8&gt;=H46)*(OPR_2P!$K$8&lt;=I46), OPR_2P!$A$8 &amp; ", ", "") &amp; IF((OPR_2P!$J$9&gt;=H46)*(OPR_2P!$K$9&lt;=I46), OPR_2P!$A$9 &amp; ", ", "") &amp; IF((OPR_2P!$J$10&gt;=H46)*(OPR_2P!$K$10&lt;=I46), OPR_2P!$A$10 &amp; ", ", "") &amp; IF((OPR_2P!$J$11&gt;=H46)*(OPR_2P!$K$11&lt;=I46), OPR_2P!$A$11 &amp; ", ", "") &amp; IF((OPR_2P!$J$12&gt;=H46)*(OPR_2P!$K$12&lt;=I46), OPR_2P!$A$12 &amp; ", ", "") &amp; IF((OPR_2P!$J$13&gt;=H46)*(OPR_2P!$K$13&lt;=I46), OPR_2P!$A$13 &amp; ", ", "") &amp; IF((OPR_2P!$J$14&gt;=H46)*(OPR_2P!$K$14&lt;=I46), OPR_2P!$A$14 &amp; ", ", "") &amp; IF((OPR_2P!$J$15&gt;=H46)*(OPR_2P!$K$15&lt;=I46), OPR_2P!$A$15 &amp; ", ", "") &amp; IF((OPR_2P!$J$16&gt;=H46)*(OPR_2P!$K$16&lt;=I46), OPR_2P!$A$16 &amp; ", ", "") &amp; IF((OPR_2P!$J$17&gt;=H46)*(OPR_2P!$K$17&lt;=I46), OPR_2P!$A$17 &amp; ", ", "") &amp; IF((OPR_2P!$J$18&gt;=H46)*(OPR_2P!$K$18&lt;=I46), OPR_2P!$A$18 &amp; ", ", ""))-2), "None")</f>
        <v>28, 30, 34, 42, 46, 50, 54, 57, 63, 70</v>
      </c>
    </row>
    <row r="47" spans="1:10" ht="15" customHeight="1" x14ac:dyDescent="0.3">
      <c r="A47" s="10" t="s">
        <v>152</v>
      </c>
      <c r="B47" s="10" t="s">
        <v>180</v>
      </c>
      <c r="C47" s="22">
        <v>46182</v>
      </c>
      <c r="D47" s="10">
        <v>6</v>
      </c>
      <c r="E47" s="10">
        <v>4</v>
      </c>
      <c r="F47" s="10" t="s">
        <v>133</v>
      </c>
      <c r="G47" s="23" t="s">
        <v>134</v>
      </c>
      <c r="H47" s="14">
        <v>1000</v>
      </c>
      <c r="I47" s="14">
        <v>4500</v>
      </c>
      <c r="J47" s="110" t="str">
        <f>IFERROR(LEFT(IF((OPR_2P!$J$4&gt;=H47)*(OPR_2P!$K$4&lt;=I47), OPR_2P!$A$4 &amp; ", ", "") &amp; IF((OPR_2P!$J$5&gt;=H47)*(OPR_2P!$K$5&lt;=I47), OPR_2P!$A$5 &amp; ", ", "") &amp; IF((OPR_2P!$J$6&gt;=H47)*(OPR_2P!$K$6&lt;=I47), OPR_2P!$A$6 &amp; ", ", "") &amp; IF((OPR_2P!$J$7&gt;=H47)*(OPR_2P!$K$7&lt;=I47), OPR_2P!$A$7 &amp; ", ", "") &amp; IF((OPR_2P!$J$8&gt;=H47)*(OPR_2P!$K$8&lt;=I47), OPR_2P!$A$8 &amp; ", ", "") &amp; IF((OPR_2P!$J$9&gt;=H47)*(OPR_2P!$K$9&lt;=I47), OPR_2P!$A$9 &amp; ", ", "") &amp; IF((OPR_2P!$J$10&gt;=H47)*(OPR_2P!$K$10&lt;=I47), OPR_2P!$A$10 &amp; ", ", "") &amp; IF((OPR_2P!$J$11&gt;=H47)*(OPR_2P!$K$11&lt;=I47), OPR_2P!$A$11 &amp; ", ", "") &amp; IF((OPR_2P!$J$12&gt;=H47)*(OPR_2P!$K$12&lt;=I47), OPR_2P!$A$12 &amp; ", ", "") &amp; IF((OPR_2P!$J$13&gt;=H47)*(OPR_2P!$K$13&lt;=I47), OPR_2P!$A$13 &amp; ", ", "") &amp; IF((OPR_2P!$J$14&gt;=H47)*(OPR_2P!$K$14&lt;=I47), OPR_2P!$A$14 &amp; ", ", "") &amp; IF((OPR_2P!$J$15&gt;=H47)*(OPR_2P!$K$15&lt;=I47), OPR_2P!$A$15 &amp; ", ", "") &amp; IF((OPR_2P!$J$16&gt;=H47)*(OPR_2P!$K$16&lt;=I47), OPR_2P!$A$16 &amp; ", ", "") &amp; IF((OPR_2P!$J$17&gt;=H47)*(OPR_2P!$K$17&lt;=I47), OPR_2P!$A$17 &amp; ", ", "") &amp; IF((OPR_2P!$J$18&gt;=H47)*(OPR_2P!$K$18&lt;=I47), OPR_2P!$A$18 &amp; ", ", ""), LEN(IF((OPR_2P!$J$4&gt;=H47)*(OPR_2P!$K$4&lt;=I47), OPR_2P!$A$4 &amp; ", ", "") &amp; IF((OPR_2P!$J$5&gt;=H47)*(OPR_2P!$K$5&lt;=I47), OPR_2P!$A$5 &amp; ", ", "") &amp; IF((OPR_2P!$J$6&gt;=H47)*(OPR_2P!$K$6&lt;=I47), OPR_2P!$A$6 &amp; ", ", "") &amp; IF((OPR_2P!$J$7&gt;=H47)*(OPR_2P!$K$7&lt;=I47), OPR_2P!$A$7 &amp; ", ", "") &amp; IF((OPR_2P!$J$8&gt;=H47)*(OPR_2P!$K$8&lt;=I47), OPR_2P!$A$8 &amp; ", ", "") &amp; IF((OPR_2P!$J$9&gt;=H47)*(OPR_2P!$K$9&lt;=I47), OPR_2P!$A$9 &amp; ", ", "") &amp; IF((OPR_2P!$J$10&gt;=H47)*(OPR_2P!$K$10&lt;=I47), OPR_2P!$A$10 &amp; ", ", "") &amp; IF((OPR_2P!$J$11&gt;=H47)*(OPR_2P!$K$11&lt;=I47), OPR_2P!$A$11 &amp; ", ", "") &amp; IF((OPR_2P!$J$12&gt;=H47)*(OPR_2P!$K$12&lt;=I47), OPR_2P!$A$12 &amp; ", ", "") &amp; IF((OPR_2P!$J$13&gt;=H47)*(OPR_2P!$K$13&lt;=I47), OPR_2P!$A$13 &amp; ", ", "") &amp; IF((OPR_2P!$J$14&gt;=H47)*(OPR_2P!$K$14&lt;=I47), OPR_2P!$A$14 &amp; ", ", "") &amp; IF((OPR_2P!$J$15&gt;=H47)*(OPR_2P!$K$15&lt;=I47), OPR_2P!$A$15 &amp; ", ", "") &amp; IF((OPR_2P!$J$16&gt;=H47)*(OPR_2P!$K$16&lt;=I47), OPR_2P!$A$16 &amp; ", ", "") &amp; IF((OPR_2P!$J$17&gt;=H47)*(OPR_2P!$K$17&lt;=I47), OPR_2P!$A$17 &amp; ", ", "") &amp; IF((OPR_2P!$J$18&gt;=H47)*(OPR_2P!$K$18&lt;=I47), OPR_2P!$A$18 &amp; ", ", ""))-2), "None")</f>
        <v>28, 30, 34, 42, 46, 50, 54, 57, 63, 70</v>
      </c>
    </row>
    <row r="48" spans="1:10" ht="15" customHeight="1" x14ac:dyDescent="0.3">
      <c r="A48" s="10" t="s">
        <v>152</v>
      </c>
      <c r="B48" s="10" t="s">
        <v>181</v>
      </c>
      <c r="C48" s="22">
        <v>46493</v>
      </c>
      <c r="D48" s="10">
        <v>6</v>
      </c>
      <c r="E48" s="10">
        <v>4</v>
      </c>
      <c r="F48" s="10" t="s">
        <v>133</v>
      </c>
      <c r="G48" s="23" t="s">
        <v>134</v>
      </c>
      <c r="H48" s="14">
        <v>1000</v>
      </c>
      <c r="I48" s="14">
        <v>4500</v>
      </c>
      <c r="J48" s="110" t="str">
        <f>IFERROR(LEFT(IF((OPR_2P!$J$4&gt;=H48)*(OPR_2P!$K$4&lt;=I48), OPR_2P!$A$4 &amp; ", ", "") &amp; IF((OPR_2P!$J$5&gt;=H48)*(OPR_2P!$K$5&lt;=I48), OPR_2P!$A$5 &amp; ", ", "") &amp; IF((OPR_2P!$J$6&gt;=H48)*(OPR_2P!$K$6&lt;=I48), OPR_2P!$A$6 &amp; ", ", "") &amp; IF((OPR_2P!$J$7&gt;=H48)*(OPR_2P!$K$7&lt;=I48), OPR_2P!$A$7 &amp; ", ", "") &amp; IF((OPR_2P!$J$8&gt;=H48)*(OPR_2P!$K$8&lt;=I48), OPR_2P!$A$8 &amp; ", ", "") &amp; IF((OPR_2P!$J$9&gt;=H48)*(OPR_2P!$K$9&lt;=I48), OPR_2P!$A$9 &amp; ", ", "") &amp; IF((OPR_2P!$J$10&gt;=H48)*(OPR_2P!$K$10&lt;=I48), OPR_2P!$A$10 &amp; ", ", "") &amp; IF((OPR_2P!$J$11&gt;=H48)*(OPR_2P!$K$11&lt;=I48), OPR_2P!$A$11 &amp; ", ", "") &amp; IF((OPR_2P!$J$12&gt;=H48)*(OPR_2P!$K$12&lt;=I48), OPR_2P!$A$12 &amp; ", ", "") &amp; IF((OPR_2P!$J$13&gt;=H48)*(OPR_2P!$K$13&lt;=I48), OPR_2P!$A$13 &amp; ", ", "") &amp; IF((OPR_2P!$J$14&gt;=H48)*(OPR_2P!$K$14&lt;=I48), OPR_2P!$A$14 &amp; ", ", "") &amp; IF((OPR_2P!$J$15&gt;=H48)*(OPR_2P!$K$15&lt;=I48), OPR_2P!$A$15 &amp; ", ", "") &amp; IF((OPR_2P!$J$16&gt;=H48)*(OPR_2P!$K$16&lt;=I48), OPR_2P!$A$16 &amp; ", ", "") &amp; IF((OPR_2P!$J$17&gt;=H48)*(OPR_2P!$K$17&lt;=I48), OPR_2P!$A$17 &amp; ", ", "") &amp; IF((OPR_2P!$J$18&gt;=H48)*(OPR_2P!$K$18&lt;=I48), OPR_2P!$A$18 &amp; ", ", ""), LEN(IF((OPR_2P!$J$4&gt;=H48)*(OPR_2P!$K$4&lt;=I48), OPR_2P!$A$4 &amp; ", ", "") &amp; IF((OPR_2P!$J$5&gt;=H48)*(OPR_2P!$K$5&lt;=I48), OPR_2P!$A$5 &amp; ", ", "") &amp; IF((OPR_2P!$J$6&gt;=H48)*(OPR_2P!$K$6&lt;=I48), OPR_2P!$A$6 &amp; ", ", "") &amp; IF((OPR_2P!$J$7&gt;=H48)*(OPR_2P!$K$7&lt;=I48), OPR_2P!$A$7 &amp; ", ", "") &amp; IF((OPR_2P!$J$8&gt;=H48)*(OPR_2P!$K$8&lt;=I48), OPR_2P!$A$8 &amp; ", ", "") &amp; IF((OPR_2P!$J$9&gt;=H48)*(OPR_2P!$K$9&lt;=I48), OPR_2P!$A$9 &amp; ", ", "") &amp; IF((OPR_2P!$J$10&gt;=H48)*(OPR_2P!$K$10&lt;=I48), OPR_2P!$A$10 &amp; ", ", "") &amp; IF((OPR_2P!$J$11&gt;=H48)*(OPR_2P!$K$11&lt;=I48), OPR_2P!$A$11 &amp; ", ", "") &amp; IF((OPR_2P!$J$12&gt;=H48)*(OPR_2P!$K$12&lt;=I48), OPR_2P!$A$12 &amp; ", ", "") &amp; IF((OPR_2P!$J$13&gt;=H48)*(OPR_2P!$K$13&lt;=I48), OPR_2P!$A$13 &amp; ", ", "") &amp; IF((OPR_2P!$J$14&gt;=H48)*(OPR_2P!$K$14&lt;=I48), OPR_2P!$A$14 &amp; ", ", "") &amp; IF((OPR_2P!$J$15&gt;=H48)*(OPR_2P!$K$15&lt;=I48), OPR_2P!$A$15 &amp; ", ", "") &amp; IF((OPR_2P!$J$16&gt;=H48)*(OPR_2P!$K$16&lt;=I48), OPR_2P!$A$16 &amp; ", ", "") &amp; IF((OPR_2P!$J$17&gt;=H48)*(OPR_2P!$K$17&lt;=I48), OPR_2P!$A$17 &amp; ", ", "") &amp; IF((OPR_2P!$J$18&gt;=H48)*(OPR_2P!$K$18&lt;=I48), OPR_2P!$A$18 &amp; ", ", ""))-2), "None")</f>
        <v>28, 30, 34, 42, 46, 50, 54, 57, 63, 70</v>
      </c>
    </row>
    <row r="49" spans="1:10" ht="15" customHeight="1" x14ac:dyDescent="0.3">
      <c r="A49" s="10" t="s">
        <v>152</v>
      </c>
      <c r="B49" s="10" t="s">
        <v>182</v>
      </c>
      <c r="C49" s="22">
        <v>46106</v>
      </c>
      <c r="D49" s="10">
        <v>6</v>
      </c>
      <c r="E49" s="10">
        <v>4</v>
      </c>
      <c r="F49" s="10" t="s">
        <v>133</v>
      </c>
      <c r="G49" s="23" t="s">
        <v>134</v>
      </c>
      <c r="H49" s="14">
        <v>1000</v>
      </c>
      <c r="I49" s="14">
        <v>4500</v>
      </c>
      <c r="J49" s="110" t="str">
        <f>IFERROR(LEFT(IF((OPR_2P!$J$4&gt;=H49)*(OPR_2P!$K$4&lt;=I49), OPR_2P!$A$4 &amp; ", ", "") &amp; IF((OPR_2P!$J$5&gt;=H49)*(OPR_2P!$K$5&lt;=I49), OPR_2P!$A$5 &amp; ", ", "") &amp; IF((OPR_2P!$J$6&gt;=H49)*(OPR_2P!$K$6&lt;=I49), OPR_2P!$A$6 &amp; ", ", "") &amp; IF((OPR_2P!$J$7&gt;=H49)*(OPR_2P!$K$7&lt;=I49), OPR_2P!$A$7 &amp; ", ", "") &amp; IF((OPR_2P!$J$8&gt;=H49)*(OPR_2P!$K$8&lt;=I49), OPR_2P!$A$8 &amp; ", ", "") &amp; IF((OPR_2P!$J$9&gt;=H49)*(OPR_2P!$K$9&lt;=I49), OPR_2P!$A$9 &amp; ", ", "") &amp; IF((OPR_2P!$J$10&gt;=H49)*(OPR_2P!$K$10&lt;=I49), OPR_2P!$A$10 &amp; ", ", "") &amp; IF((OPR_2P!$J$11&gt;=H49)*(OPR_2P!$K$11&lt;=I49), OPR_2P!$A$11 &amp; ", ", "") &amp; IF((OPR_2P!$J$12&gt;=H49)*(OPR_2P!$K$12&lt;=I49), OPR_2P!$A$12 &amp; ", ", "") &amp; IF((OPR_2P!$J$13&gt;=H49)*(OPR_2P!$K$13&lt;=I49), OPR_2P!$A$13 &amp; ", ", "") &amp; IF((OPR_2P!$J$14&gt;=H49)*(OPR_2P!$K$14&lt;=I49), OPR_2P!$A$14 &amp; ", ", "") &amp; IF((OPR_2P!$J$15&gt;=H49)*(OPR_2P!$K$15&lt;=I49), OPR_2P!$A$15 &amp; ", ", "") &amp; IF((OPR_2P!$J$16&gt;=H49)*(OPR_2P!$K$16&lt;=I49), OPR_2P!$A$16 &amp; ", ", "") &amp; IF((OPR_2P!$J$17&gt;=H49)*(OPR_2P!$K$17&lt;=I49), OPR_2P!$A$17 &amp; ", ", "") &amp; IF((OPR_2P!$J$18&gt;=H49)*(OPR_2P!$K$18&lt;=I49), OPR_2P!$A$18 &amp; ", ", ""), LEN(IF((OPR_2P!$J$4&gt;=H49)*(OPR_2P!$K$4&lt;=I49), OPR_2P!$A$4 &amp; ", ", "") &amp; IF((OPR_2P!$J$5&gt;=H49)*(OPR_2P!$K$5&lt;=I49), OPR_2P!$A$5 &amp; ", ", "") &amp; IF((OPR_2P!$J$6&gt;=H49)*(OPR_2P!$K$6&lt;=I49), OPR_2P!$A$6 &amp; ", ", "") &amp; IF((OPR_2P!$J$7&gt;=H49)*(OPR_2P!$K$7&lt;=I49), OPR_2P!$A$7 &amp; ", ", "") &amp; IF((OPR_2P!$J$8&gt;=H49)*(OPR_2P!$K$8&lt;=I49), OPR_2P!$A$8 &amp; ", ", "") &amp; IF((OPR_2P!$J$9&gt;=H49)*(OPR_2P!$K$9&lt;=I49), OPR_2P!$A$9 &amp; ", ", "") &amp; IF((OPR_2P!$J$10&gt;=H49)*(OPR_2P!$K$10&lt;=I49), OPR_2P!$A$10 &amp; ", ", "") &amp; IF((OPR_2P!$J$11&gt;=H49)*(OPR_2P!$K$11&lt;=I49), OPR_2P!$A$11 &amp; ", ", "") &amp; IF((OPR_2P!$J$12&gt;=H49)*(OPR_2P!$K$12&lt;=I49), OPR_2P!$A$12 &amp; ", ", "") &amp; IF((OPR_2P!$J$13&gt;=H49)*(OPR_2P!$K$13&lt;=I49), OPR_2P!$A$13 &amp; ", ", "") &amp; IF((OPR_2P!$J$14&gt;=H49)*(OPR_2P!$K$14&lt;=I49), OPR_2P!$A$14 &amp; ", ", "") &amp; IF((OPR_2P!$J$15&gt;=H49)*(OPR_2P!$K$15&lt;=I49), OPR_2P!$A$15 &amp; ", ", "") &amp; IF((OPR_2P!$J$16&gt;=H49)*(OPR_2P!$K$16&lt;=I49), OPR_2P!$A$16 &amp; ", ", "") &amp; IF((OPR_2P!$J$17&gt;=H49)*(OPR_2P!$K$17&lt;=I49), OPR_2P!$A$17 &amp; ", ", "") &amp; IF((OPR_2P!$J$18&gt;=H49)*(OPR_2P!$K$18&lt;=I49), OPR_2P!$A$18 &amp; ", ", ""))-2), "None")</f>
        <v>28, 30, 34, 42, 46, 50, 54, 57, 63, 70</v>
      </c>
    </row>
    <row r="50" spans="1:10" ht="15" customHeight="1" x14ac:dyDescent="0.3">
      <c r="A50" s="10" t="s">
        <v>183</v>
      </c>
      <c r="B50" s="10" t="s">
        <v>184</v>
      </c>
      <c r="C50" s="22">
        <v>46090</v>
      </c>
      <c r="D50" s="10">
        <v>6</v>
      </c>
      <c r="E50" s="10">
        <v>4</v>
      </c>
      <c r="F50" s="10" t="s">
        <v>133</v>
      </c>
      <c r="G50" s="23" t="s">
        <v>134</v>
      </c>
      <c r="H50" s="14">
        <v>100</v>
      </c>
      <c r="I50" s="14">
        <v>2000</v>
      </c>
      <c r="J50" s="110" t="str">
        <f>IFERROR(LEFT(IF((OPR_2P!$J$4&gt;=H50)*(OPR_2P!$K$4&lt;=I50), OPR_2P!$A$4 &amp; ", ", "") &amp; IF((OPR_2P!$J$5&gt;=H50)*(OPR_2P!$K$5&lt;=I50), OPR_2P!$A$5 &amp; ", ", "") &amp; IF((OPR_2P!$J$6&gt;=H50)*(OPR_2P!$K$6&lt;=I50), OPR_2P!$A$6 &amp; ", ", "") &amp; IF((OPR_2P!$J$7&gt;=H50)*(OPR_2P!$K$7&lt;=I50), OPR_2P!$A$7 &amp; ", ", "") &amp; IF((OPR_2P!$J$8&gt;=H50)*(OPR_2P!$K$8&lt;=I50), OPR_2P!$A$8 &amp; ", ", "") &amp; IF((OPR_2P!$J$9&gt;=H50)*(OPR_2P!$K$9&lt;=I50), OPR_2P!$A$9 &amp; ", ", "") &amp; IF((OPR_2P!$J$10&gt;=H50)*(OPR_2P!$K$10&lt;=I50), OPR_2P!$A$10 &amp; ", ", "") &amp; IF((OPR_2P!$J$11&gt;=H50)*(OPR_2P!$K$11&lt;=I50), OPR_2P!$A$11 &amp; ", ", "") &amp; IF((OPR_2P!$J$12&gt;=H50)*(OPR_2P!$K$12&lt;=I50), OPR_2P!$A$12 &amp; ", ", "") &amp; IF((OPR_2P!$J$13&gt;=H50)*(OPR_2P!$K$13&lt;=I50), OPR_2P!$A$13 &amp; ", ", "") &amp; IF((OPR_2P!$J$14&gt;=H50)*(OPR_2P!$K$14&lt;=I50), OPR_2P!$A$14 &amp; ", ", "") &amp; IF((OPR_2P!$J$15&gt;=H50)*(OPR_2P!$K$15&lt;=I50), OPR_2P!$A$15 &amp; ", ", "") &amp; IF((OPR_2P!$J$16&gt;=H50)*(OPR_2P!$K$16&lt;=I50), OPR_2P!$A$16 &amp; ", ", "") &amp; IF((OPR_2P!$J$17&gt;=H50)*(OPR_2P!$K$17&lt;=I50), OPR_2P!$A$17 &amp; ", ", "") &amp; IF((OPR_2P!$J$18&gt;=H50)*(OPR_2P!$K$18&lt;=I50), OPR_2P!$A$18 &amp; ", ", ""), LEN(IF((OPR_2P!$J$4&gt;=H50)*(OPR_2P!$K$4&lt;=I50), OPR_2P!$A$4 &amp; ", ", "") &amp; IF((OPR_2P!$J$5&gt;=H50)*(OPR_2P!$K$5&lt;=I50), OPR_2P!$A$5 &amp; ", ", "") &amp; IF((OPR_2P!$J$6&gt;=H50)*(OPR_2P!$K$6&lt;=I50), OPR_2P!$A$6 &amp; ", ", "") &amp; IF((OPR_2P!$J$7&gt;=H50)*(OPR_2P!$K$7&lt;=I50), OPR_2P!$A$7 &amp; ", ", "") &amp; IF((OPR_2P!$J$8&gt;=H50)*(OPR_2P!$K$8&lt;=I50), OPR_2P!$A$8 &amp; ", ", "") &amp; IF((OPR_2P!$J$9&gt;=H50)*(OPR_2P!$K$9&lt;=I50), OPR_2P!$A$9 &amp; ", ", "") &amp; IF((OPR_2P!$J$10&gt;=H50)*(OPR_2P!$K$10&lt;=I50), OPR_2P!$A$10 &amp; ", ", "") &amp; IF((OPR_2P!$J$11&gt;=H50)*(OPR_2P!$K$11&lt;=I50), OPR_2P!$A$11 &amp; ", ", "") &amp; IF((OPR_2P!$J$12&gt;=H50)*(OPR_2P!$K$12&lt;=I50), OPR_2P!$A$12 &amp; ", ", "") &amp; IF((OPR_2P!$J$13&gt;=H50)*(OPR_2P!$K$13&lt;=I50), OPR_2P!$A$13 &amp; ", ", "") &amp; IF((OPR_2P!$J$14&gt;=H50)*(OPR_2P!$K$14&lt;=I50), OPR_2P!$A$14 &amp; ", ", "") &amp; IF((OPR_2P!$J$15&gt;=H50)*(OPR_2P!$K$15&lt;=I50), OPR_2P!$A$15 &amp; ", ", "") &amp; IF((OPR_2P!$J$16&gt;=H50)*(OPR_2P!$K$16&lt;=I50), OPR_2P!$A$16 &amp; ", ", "") &amp; IF((OPR_2P!$J$17&gt;=H50)*(OPR_2P!$K$17&lt;=I50), OPR_2P!$A$17 &amp; ", ", "") &amp; IF((OPR_2P!$J$18&gt;=H50)*(OPR_2P!$K$18&lt;=I50), OPR_2P!$A$18 &amp; ", ", ""))-2), "None")</f>
        <v>9, 15, 17, 20, 25, 28, 30, 34</v>
      </c>
    </row>
    <row r="51" spans="1:10" ht="15" customHeight="1" x14ac:dyDescent="0.3">
      <c r="A51" s="10" t="s">
        <v>183</v>
      </c>
      <c r="B51" s="10" t="s">
        <v>185</v>
      </c>
      <c r="C51" s="22">
        <v>46230</v>
      </c>
      <c r="D51" s="10">
        <v>6</v>
      </c>
      <c r="E51" s="10">
        <v>4</v>
      </c>
      <c r="F51" s="10" t="s">
        <v>133</v>
      </c>
      <c r="G51" s="23" t="s">
        <v>134</v>
      </c>
      <c r="H51" s="14">
        <v>100</v>
      </c>
      <c r="I51" s="14">
        <v>2000</v>
      </c>
      <c r="J51" s="110" t="str">
        <f>IFERROR(LEFT(IF((OPR_2P!$J$4&gt;=H51)*(OPR_2P!$K$4&lt;=I51), OPR_2P!$A$4 &amp; ", ", "") &amp; IF((OPR_2P!$J$5&gt;=H51)*(OPR_2P!$K$5&lt;=I51), OPR_2P!$A$5 &amp; ", ", "") &amp; IF((OPR_2P!$J$6&gt;=H51)*(OPR_2P!$K$6&lt;=I51), OPR_2P!$A$6 &amp; ", ", "") &amp; IF((OPR_2P!$J$7&gt;=H51)*(OPR_2P!$K$7&lt;=I51), OPR_2P!$A$7 &amp; ", ", "") &amp; IF((OPR_2P!$J$8&gt;=H51)*(OPR_2P!$K$8&lt;=I51), OPR_2P!$A$8 &amp; ", ", "") &amp; IF((OPR_2P!$J$9&gt;=H51)*(OPR_2P!$K$9&lt;=I51), OPR_2P!$A$9 &amp; ", ", "") &amp; IF((OPR_2P!$J$10&gt;=H51)*(OPR_2P!$K$10&lt;=I51), OPR_2P!$A$10 &amp; ", ", "") &amp; IF((OPR_2P!$J$11&gt;=H51)*(OPR_2P!$K$11&lt;=I51), OPR_2P!$A$11 &amp; ", ", "") &amp; IF((OPR_2P!$J$12&gt;=H51)*(OPR_2P!$K$12&lt;=I51), OPR_2P!$A$12 &amp; ", ", "") &amp; IF((OPR_2P!$J$13&gt;=H51)*(OPR_2P!$K$13&lt;=I51), OPR_2P!$A$13 &amp; ", ", "") &amp; IF((OPR_2P!$J$14&gt;=H51)*(OPR_2P!$K$14&lt;=I51), OPR_2P!$A$14 &amp; ", ", "") &amp; IF((OPR_2P!$J$15&gt;=H51)*(OPR_2P!$K$15&lt;=I51), OPR_2P!$A$15 &amp; ", ", "") &amp; IF((OPR_2P!$J$16&gt;=H51)*(OPR_2P!$K$16&lt;=I51), OPR_2P!$A$16 &amp; ", ", "") &amp; IF((OPR_2P!$J$17&gt;=H51)*(OPR_2P!$K$17&lt;=I51), OPR_2P!$A$17 &amp; ", ", "") &amp; IF((OPR_2P!$J$18&gt;=H51)*(OPR_2P!$K$18&lt;=I51), OPR_2P!$A$18 &amp; ", ", ""), LEN(IF((OPR_2P!$J$4&gt;=H51)*(OPR_2P!$K$4&lt;=I51), OPR_2P!$A$4 &amp; ", ", "") &amp; IF((OPR_2P!$J$5&gt;=H51)*(OPR_2P!$K$5&lt;=I51), OPR_2P!$A$5 &amp; ", ", "") &amp; IF((OPR_2P!$J$6&gt;=H51)*(OPR_2P!$K$6&lt;=I51), OPR_2P!$A$6 &amp; ", ", "") &amp; IF((OPR_2P!$J$7&gt;=H51)*(OPR_2P!$K$7&lt;=I51), OPR_2P!$A$7 &amp; ", ", "") &amp; IF((OPR_2P!$J$8&gt;=H51)*(OPR_2P!$K$8&lt;=I51), OPR_2P!$A$8 &amp; ", ", "") &amp; IF((OPR_2P!$J$9&gt;=H51)*(OPR_2P!$K$9&lt;=I51), OPR_2P!$A$9 &amp; ", ", "") &amp; IF((OPR_2P!$J$10&gt;=H51)*(OPR_2P!$K$10&lt;=I51), OPR_2P!$A$10 &amp; ", ", "") &amp; IF((OPR_2P!$J$11&gt;=H51)*(OPR_2P!$K$11&lt;=I51), OPR_2P!$A$11 &amp; ", ", "") &amp; IF((OPR_2P!$J$12&gt;=H51)*(OPR_2P!$K$12&lt;=I51), OPR_2P!$A$12 &amp; ", ", "") &amp; IF((OPR_2P!$J$13&gt;=H51)*(OPR_2P!$K$13&lt;=I51), OPR_2P!$A$13 &amp; ", ", "") &amp; IF((OPR_2P!$J$14&gt;=H51)*(OPR_2P!$K$14&lt;=I51), OPR_2P!$A$14 &amp; ", ", "") &amp; IF((OPR_2P!$J$15&gt;=H51)*(OPR_2P!$K$15&lt;=I51), OPR_2P!$A$15 &amp; ", ", "") &amp; IF((OPR_2P!$J$16&gt;=H51)*(OPR_2P!$K$16&lt;=I51), OPR_2P!$A$16 &amp; ", ", "") &amp; IF((OPR_2P!$J$17&gt;=H51)*(OPR_2P!$K$17&lt;=I51), OPR_2P!$A$17 &amp; ", ", "") &amp; IF((OPR_2P!$J$18&gt;=H51)*(OPR_2P!$K$18&lt;=I51), OPR_2P!$A$18 &amp; ", ", ""))-2), "None")</f>
        <v>9, 15, 17, 20, 25, 28, 30, 34</v>
      </c>
    </row>
    <row r="52" spans="1:10" ht="15" customHeight="1" x14ac:dyDescent="0.3">
      <c r="A52" s="10" t="s">
        <v>183</v>
      </c>
      <c r="B52" s="10" t="s">
        <v>186</v>
      </c>
      <c r="C52" s="22">
        <v>46433</v>
      </c>
      <c r="D52" s="10">
        <v>6</v>
      </c>
      <c r="E52" s="10">
        <v>4</v>
      </c>
      <c r="F52" s="10" t="s">
        <v>133</v>
      </c>
      <c r="G52" s="23" t="s">
        <v>134</v>
      </c>
      <c r="H52" s="14">
        <v>100</v>
      </c>
      <c r="I52" s="14">
        <v>2200</v>
      </c>
      <c r="J52" s="110" t="str">
        <f>IFERROR(LEFT(IF((OPR_2P!$J$4&gt;=H52)*(OPR_2P!$K$4&lt;=I52), OPR_2P!$A$4 &amp; ", ", "") &amp; IF((OPR_2P!$J$5&gt;=H52)*(OPR_2P!$K$5&lt;=I52), OPR_2P!$A$5 &amp; ", ", "") &amp; IF((OPR_2P!$J$6&gt;=H52)*(OPR_2P!$K$6&lt;=I52), OPR_2P!$A$6 &amp; ", ", "") &amp; IF((OPR_2P!$J$7&gt;=H52)*(OPR_2P!$K$7&lt;=I52), OPR_2P!$A$7 &amp; ", ", "") &amp; IF((OPR_2P!$J$8&gt;=H52)*(OPR_2P!$K$8&lt;=I52), OPR_2P!$A$8 &amp; ", ", "") &amp; IF((OPR_2P!$J$9&gt;=H52)*(OPR_2P!$K$9&lt;=I52), OPR_2P!$A$9 &amp; ", ", "") &amp; IF((OPR_2P!$J$10&gt;=H52)*(OPR_2P!$K$10&lt;=I52), OPR_2P!$A$10 &amp; ", ", "") &amp; IF((OPR_2P!$J$11&gt;=H52)*(OPR_2P!$K$11&lt;=I52), OPR_2P!$A$11 &amp; ", ", "") &amp; IF((OPR_2P!$J$12&gt;=H52)*(OPR_2P!$K$12&lt;=I52), OPR_2P!$A$12 &amp; ", ", "") &amp; IF((OPR_2P!$J$13&gt;=H52)*(OPR_2P!$K$13&lt;=I52), OPR_2P!$A$13 &amp; ", ", "") &amp; IF((OPR_2P!$J$14&gt;=H52)*(OPR_2P!$K$14&lt;=I52), OPR_2P!$A$14 &amp; ", ", "") &amp; IF((OPR_2P!$J$15&gt;=H52)*(OPR_2P!$K$15&lt;=I52), OPR_2P!$A$15 &amp; ", ", "") &amp; IF((OPR_2P!$J$16&gt;=H52)*(OPR_2P!$K$16&lt;=I52), OPR_2P!$A$16 &amp; ", ", "") &amp; IF((OPR_2P!$J$17&gt;=H52)*(OPR_2P!$K$17&lt;=I52), OPR_2P!$A$17 &amp; ", ", "") &amp; IF((OPR_2P!$J$18&gt;=H52)*(OPR_2P!$K$18&lt;=I52), OPR_2P!$A$18 &amp; ", ", ""), LEN(IF((OPR_2P!$J$4&gt;=H52)*(OPR_2P!$K$4&lt;=I52), OPR_2P!$A$4 &amp; ", ", "") &amp; IF((OPR_2P!$J$5&gt;=H52)*(OPR_2P!$K$5&lt;=I52), OPR_2P!$A$5 &amp; ", ", "") &amp; IF((OPR_2P!$J$6&gt;=H52)*(OPR_2P!$K$6&lt;=I52), OPR_2P!$A$6 &amp; ", ", "") &amp; IF((OPR_2P!$J$7&gt;=H52)*(OPR_2P!$K$7&lt;=I52), OPR_2P!$A$7 &amp; ", ", "") &amp; IF((OPR_2P!$J$8&gt;=H52)*(OPR_2P!$K$8&lt;=I52), OPR_2P!$A$8 &amp; ", ", "") &amp; IF((OPR_2P!$J$9&gt;=H52)*(OPR_2P!$K$9&lt;=I52), OPR_2P!$A$9 &amp; ", ", "") &amp; IF((OPR_2P!$J$10&gt;=H52)*(OPR_2P!$K$10&lt;=I52), OPR_2P!$A$10 &amp; ", ", "") &amp; IF((OPR_2P!$J$11&gt;=H52)*(OPR_2P!$K$11&lt;=I52), OPR_2P!$A$11 &amp; ", ", "") &amp; IF((OPR_2P!$J$12&gt;=H52)*(OPR_2P!$K$12&lt;=I52), OPR_2P!$A$12 &amp; ", ", "") &amp; IF((OPR_2P!$J$13&gt;=H52)*(OPR_2P!$K$13&lt;=I52), OPR_2P!$A$13 &amp; ", ", "") &amp; IF((OPR_2P!$J$14&gt;=H52)*(OPR_2P!$K$14&lt;=I52), OPR_2P!$A$14 &amp; ", ", "") &amp; IF((OPR_2P!$J$15&gt;=H52)*(OPR_2P!$K$15&lt;=I52), OPR_2P!$A$15 &amp; ", ", "") &amp; IF((OPR_2P!$J$16&gt;=H52)*(OPR_2P!$K$16&lt;=I52), OPR_2P!$A$16 &amp; ", ", "") &amp; IF((OPR_2P!$J$17&gt;=H52)*(OPR_2P!$K$17&lt;=I52), OPR_2P!$A$17 &amp; ", ", "") &amp; IF((OPR_2P!$J$18&gt;=H52)*(OPR_2P!$K$18&lt;=I52), OPR_2P!$A$18 &amp; ", ", ""))-2), "None")</f>
        <v>9, 15, 17, 20, 25, 28, 30, 34, 42</v>
      </c>
    </row>
    <row r="53" spans="1:10" ht="15" customHeight="1" x14ac:dyDescent="0.3">
      <c r="A53" s="10" t="s">
        <v>183</v>
      </c>
      <c r="B53" s="10" t="s">
        <v>187</v>
      </c>
      <c r="C53" s="22">
        <v>46450</v>
      </c>
      <c r="D53" s="10">
        <v>6</v>
      </c>
      <c r="E53" s="10">
        <v>4</v>
      </c>
      <c r="F53" s="10" t="s">
        <v>133</v>
      </c>
      <c r="G53" s="23" t="s">
        <v>134</v>
      </c>
      <c r="H53" s="14">
        <v>100</v>
      </c>
      <c r="I53" s="14">
        <v>2200</v>
      </c>
      <c r="J53" s="110" t="str">
        <f>IFERROR(LEFT(IF((OPR_2P!$J$4&gt;=H53)*(OPR_2P!$K$4&lt;=I53), OPR_2P!$A$4 &amp; ", ", "") &amp; IF((OPR_2P!$J$5&gt;=H53)*(OPR_2P!$K$5&lt;=I53), OPR_2P!$A$5 &amp; ", ", "") &amp; IF((OPR_2P!$J$6&gt;=H53)*(OPR_2P!$K$6&lt;=I53), OPR_2P!$A$6 &amp; ", ", "") &amp; IF((OPR_2P!$J$7&gt;=H53)*(OPR_2P!$K$7&lt;=I53), OPR_2P!$A$7 &amp; ", ", "") &amp; IF((OPR_2P!$J$8&gt;=H53)*(OPR_2P!$K$8&lt;=I53), OPR_2P!$A$8 &amp; ", ", "") &amp; IF((OPR_2P!$J$9&gt;=H53)*(OPR_2P!$K$9&lt;=I53), OPR_2P!$A$9 &amp; ", ", "") &amp; IF((OPR_2P!$J$10&gt;=H53)*(OPR_2P!$K$10&lt;=I53), OPR_2P!$A$10 &amp; ", ", "") &amp; IF((OPR_2P!$J$11&gt;=H53)*(OPR_2P!$K$11&lt;=I53), OPR_2P!$A$11 &amp; ", ", "") &amp; IF((OPR_2P!$J$12&gt;=H53)*(OPR_2P!$K$12&lt;=I53), OPR_2P!$A$12 &amp; ", ", "") &amp; IF((OPR_2P!$J$13&gt;=H53)*(OPR_2P!$K$13&lt;=I53), OPR_2P!$A$13 &amp; ", ", "") &amp; IF((OPR_2P!$J$14&gt;=H53)*(OPR_2P!$K$14&lt;=I53), OPR_2P!$A$14 &amp; ", ", "") &amp; IF((OPR_2P!$J$15&gt;=H53)*(OPR_2P!$K$15&lt;=I53), OPR_2P!$A$15 &amp; ", ", "") &amp; IF((OPR_2P!$J$16&gt;=H53)*(OPR_2P!$K$16&lt;=I53), OPR_2P!$A$16 &amp; ", ", "") &amp; IF((OPR_2P!$J$17&gt;=H53)*(OPR_2P!$K$17&lt;=I53), OPR_2P!$A$17 &amp; ", ", "") &amp; IF((OPR_2P!$J$18&gt;=H53)*(OPR_2P!$K$18&lt;=I53), OPR_2P!$A$18 &amp; ", ", ""), LEN(IF((OPR_2P!$J$4&gt;=H53)*(OPR_2P!$K$4&lt;=I53), OPR_2P!$A$4 &amp; ", ", "") &amp; IF((OPR_2P!$J$5&gt;=H53)*(OPR_2P!$K$5&lt;=I53), OPR_2P!$A$5 &amp; ", ", "") &amp; IF((OPR_2P!$J$6&gt;=H53)*(OPR_2P!$K$6&lt;=I53), OPR_2P!$A$6 &amp; ", ", "") &amp; IF((OPR_2P!$J$7&gt;=H53)*(OPR_2P!$K$7&lt;=I53), OPR_2P!$A$7 &amp; ", ", "") &amp; IF((OPR_2P!$J$8&gt;=H53)*(OPR_2P!$K$8&lt;=I53), OPR_2P!$A$8 &amp; ", ", "") &amp; IF((OPR_2P!$J$9&gt;=H53)*(OPR_2P!$K$9&lt;=I53), OPR_2P!$A$9 &amp; ", ", "") &amp; IF((OPR_2P!$J$10&gt;=H53)*(OPR_2P!$K$10&lt;=I53), OPR_2P!$A$10 &amp; ", ", "") &amp; IF((OPR_2P!$J$11&gt;=H53)*(OPR_2P!$K$11&lt;=I53), OPR_2P!$A$11 &amp; ", ", "") &amp; IF((OPR_2P!$J$12&gt;=H53)*(OPR_2P!$K$12&lt;=I53), OPR_2P!$A$12 &amp; ", ", "") &amp; IF((OPR_2P!$J$13&gt;=H53)*(OPR_2P!$K$13&lt;=I53), OPR_2P!$A$13 &amp; ", ", "") &amp; IF((OPR_2P!$J$14&gt;=H53)*(OPR_2P!$K$14&lt;=I53), OPR_2P!$A$14 &amp; ", ", "") &amp; IF((OPR_2P!$J$15&gt;=H53)*(OPR_2P!$K$15&lt;=I53), OPR_2P!$A$15 &amp; ", ", "") &amp; IF((OPR_2P!$J$16&gt;=H53)*(OPR_2P!$K$16&lt;=I53), OPR_2P!$A$16 &amp; ", ", "") &amp; IF((OPR_2P!$J$17&gt;=H53)*(OPR_2P!$K$17&lt;=I53), OPR_2P!$A$17 &amp; ", ", "") &amp; IF((OPR_2P!$J$18&gt;=H53)*(OPR_2P!$K$18&lt;=I53), OPR_2P!$A$18 &amp; ", ", ""))-2), "None")</f>
        <v>9, 15, 17, 20, 25, 28, 30, 34, 42</v>
      </c>
    </row>
    <row r="54" spans="1:10" ht="15" customHeight="1" x14ac:dyDescent="0.3">
      <c r="A54" s="10" t="s">
        <v>183</v>
      </c>
      <c r="B54" s="10" t="s">
        <v>188</v>
      </c>
      <c r="C54" s="22">
        <v>46049</v>
      </c>
      <c r="D54" s="10">
        <v>6</v>
      </c>
      <c r="E54" s="10">
        <v>4</v>
      </c>
      <c r="F54" s="10" t="s">
        <v>133</v>
      </c>
      <c r="G54" s="23" t="s">
        <v>134</v>
      </c>
      <c r="H54" s="14">
        <v>100</v>
      </c>
      <c r="I54" s="14">
        <v>2000</v>
      </c>
      <c r="J54" s="110" t="str">
        <f>IFERROR(LEFT(IF((OPR_2P!$J$4&gt;=H54)*(OPR_2P!$K$4&lt;=I54), OPR_2P!$A$4 &amp; ", ", "") &amp; IF((OPR_2P!$J$5&gt;=H54)*(OPR_2P!$K$5&lt;=I54), OPR_2P!$A$5 &amp; ", ", "") &amp; IF((OPR_2P!$J$6&gt;=H54)*(OPR_2P!$K$6&lt;=I54), OPR_2P!$A$6 &amp; ", ", "") &amp; IF((OPR_2P!$J$7&gt;=H54)*(OPR_2P!$K$7&lt;=I54), OPR_2P!$A$7 &amp; ", ", "") &amp; IF((OPR_2P!$J$8&gt;=H54)*(OPR_2P!$K$8&lt;=I54), OPR_2P!$A$8 &amp; ", ", "") &amp; IF((OPR_2P!$J$9&gt;=H54)*(OPR_2P!$K$9&lt;=I54), OPR_2P!$A$9 &amp; ", ", "") &amp; IF((OPR_2P!$J$10&gt;=H54)*(OPR_2P!$K$10&lt;=I54), OPR_2P!$A$10 &amp; ", ", "") &amp; IF((OPR_2P!$J$11&gt;=H54)*(OPR_2P!$K$11&lt;=I54), OPR_2P!$A$11 &amp; ", ", "") &amp; IF((OPR_2P!$J$12&gt;=H54)*(OPR_2P!$K$12&lt;=I54), OPR_2P!$A$12 &amp; ", ", "") &amp; IF((OPR_2P!$J$13&gt;=H54)*(OPR_2P!$K$13&lt;=I54), OPR_2P!$A$13 &amp; ", ", "") &amp; IF((OPR_2P!$J$14&gt;=H54)*(OPR_2P!$K$14&lt;=I54), OPR_2P!$A$14 &amp; ", ", "") &amp; IF((OPR_2P!$J$15&gt;=H54)*(OPR_2P!$K$15&lt;=I54), OPR_2P!$A$15 &amp; ", ", "") &amp; IF((OPR_2P!$J$16&gt;=H54)*(OPR_2P!$K$16&lt;=I54), OPR_2P!$A$16 &amp; ", ", "") &amp; IF((OPR_2P!$J$17&gt;=H54)*(OPR_2P!$K$17&lt;=I54), OPR_2P!$A$17 &amp; ", ", "") &amp; IF((OPR_2P!$J$18&gt;=H54)*(OPR_2P!$K$18&lt;=I54), OPR_2P!$A$18 &amp; ", ", ""), LEN(IF((OPR_2P!$J$4&gt;=H54)*(OPR_2P!$K$4&lt;=I54), OPR_2P!$A$4 &amp; ", ", "") &amp; IF((OPR_2P!$J$5&gt;=H54)*(OPR_2P!$K$5&lt;=I54), OPR_2P!$A$5 &amp; ", ", "") &amp; IF((OPR_2P!$J$6&gt;=H54)*(OPR_2P!$K$6&lt;=I54), OPR_2P!$A$6 &amp; ", ", "") &amp; IF((OPR_2P!$J$7&gt;=H54)*(OPR_2P!$K$7&lt;=I54), OPR_2P!$A$7 &amp; ", ", "") &amp; IF((OPR_2P!$J$8&gt;=H54)*(OPR_2P!$K$8&lt;=I54), OPR_2P!$A$8 &amp; ", ", "") &amp; IF((OPR_2P!$J$9&gt;=H54)*(OPR_2P!$K$9&lt;=I54), OPR_2P!$A$9 &amp; ", ", "") &amp; IF((OPR_2P!$J$10&gt;=H54)*(OPR_2P!$K$10&lt;=I54), OPR_2P!$A$10 &amp; ", ", "") &amp; IF((OPR_2P!$J$11&gt;=H54)*(OPR_2P!$K$11&lt;=I54), OPR_2P!$A$11 &amp; ", ", "") &amp; IF((OPR_2P!$J$12&gt;=H54)*(OPR_2P!$K$12&lt;=I54), OPR_2P!$A$12 &amp; ", ", "") &amp; IF((OPR_2P!$J$13&gt;=H54)*(OPR_2P!$K$13&lt;=I54), OPR_2P!$A$13 &amp; ", ", "") &amp; IF((OPR_2P!$J$14&gt;=H54)*(OPR_2P!$K$14&lt;=I54), OPR_2P!$A$14 &amp; ", ", "") &amp; IF((OPR_2P!$J$15&gt;=H54)*(OPR_2P!$K$15&lt;=I54), OPR_2P!$A$15 &amp; ", ", "") &amp; IF((OPR_2P!$J$16&gt;=H54)*(OPR_2P!$K$16&lt;=I54), OPR_2P!$A$16 &amp; ", ", "") &amp; IF((OPR_2P!$J$17&gt;=H54)*(OPR_2P!$K$17&lt;=I54), OPR_2P!$A$17 &amp; ", ", "") &amp; IF((OPR_2P!$J$18&gt;=H54)*(OPR_2P!$K$18&lt;=I54), OPR_2P!$A$18 &amp; ", ", ""))-2), "None")</f>
        <v>9, 15, 17, 20, 25, 28, 30, 34</v>
      </c>
    </row>
    <row r="55" spans="1:10" ht="15" customHeight="1" x14ac:dyDescent="0.3">
      <c r="A55" s="10" t="s">
        <v>183</v>
      </c>
      <c r="B55" s="10" t="s">
        <v>189</v>
      </c>
      <c r="C55" s="22">
        <v>46074</v>
      </c>
      <c r="D55" s="10">
        <v>6</v>
      </c>
      <c r="E55" s="10">
        <v>4</v>
      </c>
      <c r="F55" s="10" t="s">
        <v>133</v>
      </c>
      <c r="G55" s="23" t="s">
        <v>134</v>
      </c>
      <c r="H55" s="14">
        <v>600</v>
      </c>
      <c r="I55" s="14">
        <v>3200</v>
      </c>
      <c r="J55" s="110" t="str">
        <f>IFERROR(LEFT(IF((OPR_2P!$J$4&gt;=H55)*(OPR_2P!$K$4&lt;=I55), OPR_2P!$A$4 &amp; ", ", "") &amp; IF((OPR_2P!$J$5&gt;=H55)*(OPR_2P!$K$5&lt;=I55), OPR_2P!$A$5 &amp; ", ", "") &amp; IF((OPR_2P!$J$6&gt;=H55)*(OPR_2P!$K$6&lt;=I55), OPR_2P!$A$6 &amp; ", ", "") &amp; IF((OPR_2P!$J$7&gt;=H55)*(OPR_2P!$K$7&lt;=I55), OPR_2P!$A$7 &amp; ", ", "") &amp; IF((OPR_2P!$J$8&gt;=H55)*(OPR_2P!$K$8&lt;=I55), OPR_2P!$A$8 &amp; ", ", "") &amp; IF((OPR_2P!$J$9&gt;=H55)*(OPR_2P!$K$9&lt;=I55), OPR_2P!$A$9 &amp; ", ", "") &amp; IF((OPR_2P!$J$10&gt;=H55)*(OPR_2P!$K$10&lt;=I55), OPR_2P!$A$10 &amp; ", ", "") &amp; IF((OPR_2P!$J$11&gt;=H55)*(OPR_2P!$K$11&lt;=I55), OPR_2P!$A$11 &amp; ", ", "") &amp; IF((OPR_2P!$J$12&gt;=H55)*(OPR_2P!$K$12&lt;=I55), OPR_2P!$A$12 &amp; ", ", "") &amp; IF((OPR_2P!$J$13&gt;=H55)*(OPR_2P!$K$13&lt;=I55), OPR_2P!$A$13 &amp; ", ", "") &amp; IF((OPR_2P!$J$14&gt;=H55)*(OPR_2P!$K$14&lt;=I55), OPR_2P!$A$14 &amp; ", ", "") &amp; IF((OPR_2P!$J$15&gt;=H55)*(OPR_2P!$K$15&lt;=I55), OPR_2P!$A$15 &amp; ", ", "") &amp; IF((OPR_2P!$J$16&gt;=H55)*(OPR_2P!$K$16&lt;=I55), OPR_2P!$A$16 &amp; ", ", "") &amp; IF((OPR_2P!$J$17&gt;=H55)*(OPR_2P!$K$17&lt;=I55), OPR_2P!$A$17 &amp; ", ", "") &amp; IF((OPR_2P!$J$18&gt;=H55)*(OPR_2P!$K$18&lt;=I55), OPR_2P!$A$18 &amp; ", ", ""), LEN(IF((OPR_2P!$J$4&gt;=H55)*(OPR_2P!$K$4&lt;=I55), OPR_2P!$A$4 &amp; ", ", "") &amp; IF((OPR_2P!$J$5&gt;=H55)*(OPR_2P!$K$5&lt;=I55), OPR_2P!$A$5 &amp; ", ", "") &amp; IF((OPR_2P!$J$6&gt;=H55)*(OPR_2P!$K$6&lt;=I55), OPR_2P!$A$6 &amp; ", ", "") &amp; IF((OPR_2P!$J$7&gt;=H55)*(OPR_2P!$K$7&lt;=I55), OPR_2P!$A$7 &amp; ", ", "") &amp; IF((OPR_2P!$J$8&gt;=H55)*(OPR_2P!$K$8&lt;=I55), OPR_2P!$A$8 &amp; ", ", "") &amp; IF((OPR_2P!$J$9&gt;=H55)*(OPR_2P!$K$9&lt;=I55), OPR_2P!$A$9 &amp; ", ", "") &amp; IF((OPR_2P!$J$10&gt;=H55)*(OPR_2P!$K$10&lt;=I55), OPR_2P!$A$10 &amp; ", ", "") &amp; IF((OPR_2P!$J$11&gt;=H55)*(OPR_2P!$K$11&lt;=I55), OPR_2P!$A$11 &amp; ", ", "") &amp; IF((OPR_2P!$J$12&gt;=H55)*(OPR_2P!$K$12&lt;=I55), OPR_2P!$A$12 &amp; ", ", "") &amp; IF((OPR_2P!$J$13&gt;=H55)*(OPR_2P!$K$13&lt;=I55), OPR_2P!$A$13 &amp; ", ", "") &amp; IF((OPR_2P!$J$14&gt;=H55)*(OPR_2P!$K$14&lt;=I55), OPR_2P!$A$14 &amp; ", ", "") &amp; IF((OPR_2P!$J$15&gt;=H55)*(OPR_2P!$K$15&lt;=I55), OPR_2P!$A$15 &amp; ", ", "") &amp; IF((OPR_2P!$J$16&gt;=H55)*(OPR_2P!$K$16&lt;=I55), OPR_2P!$A$16 &amp; ", ", "") &amp; IF((OPR_2P!$J$17&gt;=H55)*(OPR_2P!$K$17&lt;=I55), OPR_2P!$A$17 &amp; ", ", "") &amp; IF((OPR_2P!$J$18&gt;=H55)*(OPR_2P!$K$18&lt;=I55), OPR_2P!$A$18 &amp; ", ", ""))-2), "None")</f>
        <v>20, 25, 28, 30, 34, 42, 46, 50, 54, 57, 63</v>
      </c>
    </row>
    <row r="56" spans="1:10" ht="15" customHeight="1" x14ac:dyDescent="0.3">
      <c r="A56" s="10" t="s">
        <v>183</v>
      </c>
      <c r="B56" s="10" t="s">
        <v>190</v>
      </c>
      <c r="C56" s="22">
        <v>46272</v>
      </c>
      <c r="D56" s="10">
        <v>6</v>
      </c>
      <c r="E56" s="10">
        <v>4</v>
      </c>
      <c r="F56" s="10" t="s">
        <v>133</v>
      </c>
      <c r="G56" s="23" t="s">
        <v>134</v>
      </c>
      <c r="H56" s="14">
        <v>600</v>
      </c>
      <c r="I56" s="14">
        <v>3200</v>
      </c>
      <c r="J56" s="110" t="str">
        <f>IFERROR(LEFT(IF((OPR_2P!$J$4&gt;=H56)*(OPR_2P!$K$4&lt;=I56), OPR_2P!$A$4 &amp; ", ", "") &amp; IF((OPR_2P!$J$5&gt;=H56)*(OPR_2P!$K$5&lt;=I56), OPR_2P!$A$5 &amp; ", ", "") &amp; IF((OPR_2P!$J$6&gt;=H56)*(OPR_2P!$K$6&lt;=I56), OPR_2P!$A$6 &amp; ", ", "") &amp; IF((OPR_2P!$J$7&gt;=H56)*(OPR_2P!$K$7&lt;=I56), OPR_2P!$A$7 &amp; ", ", "") &amp; IF((OPR_2P!$J$8&gt;=H56)*(OPR_2P!$K$8&lt;=I56), OPR_2P!$A$8 &amp; ", ", "") &amp; IF((OPR_2P!$J$9&gt;=H56)*(OPR_2P!$K$9&lt;=I56), OPR_2P!$A$9 &amp; ", ", "") &amp; IF((OPR_2P!$J$10&gt;=H56)*(OPR_2P!$K$10&lt;=I56), OPR_2P!$A$10 &amp; ", ", "") &amp; IF((OPR_2P!$J$11&gt;=H56)*(OPR_2P!$K$11&lt;=I56), OPR_2P!$A$11 &amp; ", ", "") &amp; IF((OPR_2P!$J$12&gt;=H56)*(OPR_2P!$K$12&lt;=I56), OPR_2P!$A$12 &amp; ", ", "") &amp; IF((OPR_2P!$J$13&gt;=H56)*(OPR_2P!$K$13&lt;=I56), OPR_2P!$A$13 &amp; ", ", "") &amp; IF((OPR_2P!$J$14&gt;=H56)*(OPR_2P!$K$14&lt;=I56), OPR_2P!$A$14 &amp; ", ", "") &amp; IF((OPR_2P!$J$15&gt;=H56)*(OPR_2P!$K$15&lt;=I56), OPR_2P!$A$15 &amp; ", ", "") &amp; IF((OPR_2P!$J$16&gt;=H56)*(OPR_2P!$K$16&lt;=I56), OPR_2P!$A$16 &amp; ", ", "") &amp; IF((OPR_2P!$J$17&gt;=H56)*(OPR_2P!$K$17&lt;=I56), OPR_2P!$A$17 &amp; ", ", "") &amp; IF((OPR_2P!$J$18&gt;=H56)*(OPR_2P!$K$18&lt;=I56), OPR_2P!$A$18 &amp; ", ", ""), LEN(IF((OPR_2P!$J$4&gt;=H56)*(OPR_2P!$K$4&lt;=I56), OPR_2P!$A$4 &amp; ", ", "") &amp; IF((OPR_2P!$J$5&gt;=H56)*(OPR_2P!$K$5&lt;=I56), OPR_2P!$A$5 &amp; ", ", "") &amp; IF((OPR_2P!$J$6&gt;=H56)*(OPR_2P!$K$6&lt;=I56), OPR_2P!$A$6 &amp; ", ", "") &amp; IF((OPR_2P!$J$7&gt;=H56)*(OPR_2P!$K$7&lt;=I56), OPR_2P!$A$7 &amp; ", ", "") &amp; IF((OPR_2P!$J$8&gt;=H56)*(OPR_2P!$K$8&lt;=I56), OPR_2P!$A$8 &amp; ", ", "") &amp; IF((OPR_2P!$J$9&gt;=H56)*(OPR_2P!$K$9&lt;=I56), OPR_2P!$A$9 &amp; ", ", "") &amp; IF((OPR_2P!$J$10&gt;=H56)*(OPR_2P!$K$10&lt;=I56), OPR_2P!$A$10 &amp; ", ", "") &amp; IF((OPR_2P!$J$11&gt;=H56)*(OPR_2P!$K$11&lt;=I56), OPR_2P!$A$11 &amp; ", ", "") &amp; IF((OPR_2P!$J$12&gt;=H56)*(OPR_2P!$K$12&lt;=I56), OPR_2P!$A$12 &amp; ", ", "") &amp; IF((OPR_2P!$J$13&gt;=H56)*(OPR_2P!$K$13&lt;=I56), OPR_2P!$A$13 &amp; ", ", "") &amp; IF((OPR_2P!$J$14&gt;=H56)*(OPR_2P!$K$14&lt;=I56), OPR_2P!$A$14 &amp; ", ", "") &amp; IF((OPR_2P!$J$15&gt;=H56)*(OPR_2P!$K$15&lt;=I56), OPR_2P!$A$15 &amp; ", ", "") &amp; IF((OPR_2P!$J$16&gt;=H56)*(OPR_2P!$K$16&lt;=I56), OPR_2P!$A$16 &amp; ", ", "") &amp; IF((OPR_2P!$J$17&gt;=H56)*(OPR_2P!$K$17&lt;=I56), OPR_2P!$A$17 &amp; ", ", "") &amp; IF((OPR_2P!$J$18&gt;=H56)*(OPR_2P!$K$18&lt;=I56), OPR_2P!$A$18 &amp; ", ", ""))-2), "None")</f>
        <v>20, 25, 28, 30, 34, 42, 46, 50, 54, 57, 63</v>
      </c>
    </row>
    <row r="57" spans="1:10" ht="15" customHeight="1" x14ac:dyDescent="0.3">
      <c r="A57" s="10" t="s">
        <v>183</v>
      </c>
      <c r="B57" s="10" t="s">
        <v>191</v>
      </c>
      <c r="C57" s="22">
        <v>46383</v>
      </c>
      <c r="D57" s="10">
        <v>6</v>
      </c>
      <c r="E57" s="10">
        <v>4</v>
      </c>
      <c r="F57" s="10" t="s">
        <v>133</v>
      </c>
      <c r="G57" s="23" t="s">
        <v>134</v>
      </c>
      <c r="H57" s="14">
        <v>600</v>
      </c>
      <c r="I57" s="14">
        <v>3200</v>
      </c>
      <c r="J57" s="110" t="str">
        <f>IFERROR(LEFT(IF((OPR_2P!$J$4&gt;=H57)*(OPR_2P!$K$4&lt;=I57), OPR_2P!$A$4 &amp; ", ", "") &amp; IF((OPR_2P!$J$5&gt;=H57)*(OPR_2P!$K$5&lt;=I57), OPR_2P!$A$5 &amp; ", ", "") &amp; IF((OPR_2P!$J$6&gt;=H57)*(OPR_2P!$K$6&lt;=I57), OPR_2P!$A$6 &amp; ", ", "") &amp; IF((OPR_2P!$J$7&gt;=H57)*(OPR_2P!$K$7&lt;=I57), OPR_2P!$A$7 &amp; ", ", "") &amp; IF((OPR_2P!$J$8&gt;=H57)*(OPR_2P!$K$8&lt;=I57), OPR_2P!$A$8 &amp; ", ", "") &amp; IF((OPR_2P!$J$9&gt;=H57)*(OPR_2P!$K$9&lt;=I57), OPR_2P!$A$9 &amp; ", ", "") &amp; IF((OPR_2P!$J$10&gt;=H57)*(OPR_2P!$K$10&lt;=I57), OPR_2P!$A$10 &amp; ", ", "") &amp; IF((OPR_2P!$J$11&gt;=H57)*(OPR_2P!$K$11&lt;=I57), OPR_2P!$A$11 &amp; ", ", "") &amp; IF((OPR_2P!$J$12&gt;=H57)*(OPR_2P!$K$12&lt;=I57), OPR_2P!$A$12 &amp; ", ", "") &amp; IF((OPR_2P!$J$13&gt;=H57)*(OPR_2P!$K$13&lt;=I57), OPR_2P!$A$13 &amp; ", ", "") &amp; IF((OPR_2P!$J$14&gt;=H57)*(OPR_2P!$K$14&lt;=I57), OPR_2P!$A$14 &amp; ", ", "") &amp; IF((OPR_2P!$J$15&gt;=H57)*(OPR_2P!$K$15&lt;=I57), OPR_2P!$A$15 &amp; ", ", "") &amp; IF((OPR_2P!$J$16&gt;=H57)*(OPR_2P!$K$16&lt;=I57), OPR_2P!$A$16 &amp; ", ", "") &amp; IF((OPR_2P!$J$17&gt;=H57)*(OPR_2P!$K$17&lt;=I57), OPR_2P!$A$17 &amp; ", ", "") &amp; IF((OPR_2P!$J$18&gt;=H57)*(OPR_2P!$K$18&lt;=I57), OPR_2P!$A$18 &amp; ", ", ""), LEN(IF((OPR_2P!$J$4&gt;=H57)*(OPR_2P!$K$4&lt;=I57), OPR_2P!$A$4 &amp; ", ", "") &amp; IF((OPR_2P!$J$5&gt;=H57)*(OPR_2P!$K$5&lt;=I57), OPR_2P!$A$5 &amp; ", ", "") &amp; IF((OPR_2P!$J$6&gt;=H57)*(OPR_2P!$K$6&lt;=I57), OPR_2P!$A$6 &amp; ", ", "") &amp; IF((OPR_2P!$J$7&gt;=H57)*(OPR_2P!$K$7&lt;=I57), OPR_2P!$A$7 &amp; ", ", "") &amp; IF((OPR_2P!$J$8&gt;=H57)*(OPR_2P!$K$8&lt;=I57), OPR_2P!$A$8 &amp; ", ", "") &amp; IF((OPR_2P!$J$9&gt;=H57)*(OPR_2P!$K$9&lt;=I57), OPR_2P!$A$9 &amp; ", ", "") &amp; IF((OPR_2P!$J$10&gt;=H57)*(OPR_2P!$K$10&lt;=I57), OPR_2P!$A$10 &amp; ", ", "") &amp; IF((OPR_2P!$J$11&gt;=H57)*(OPR_2P!$K$11&lt;=I57), OPR_2P!$A$11 &amp; ", ", "") &amp; IF((OPR_2P!$J$12&gt;=H57)*(OPR_2P!$K$12&lt;=I57), OPR_2P!$A$12 &amp; ", ", "") &amp; IF((OPR_2P!$J$13&gt;=H57)*(OPR_2P!$K$13&lt;=I57), OPR_2P!$A$13 &amp; ", ", "") &amp; IF((OPR_2P!$J$14&gt;=H57)*(OPR_2P!$K$14&lt;=I57), OPR_2P!$A$14 &amp; ", ", "") &amp; IF((OPR_2P!$J$15&gt;=H57)*(OPR_2P!$K$15&lt;=I57), OPR_2P!$A$15 &amp; ", ", "") &amp; IF((OPR_2P!$J$16&gt;=H57)*(OPR_2P!$K$16&lt;=I57), OPR_2P!$A$16 &amp; ", ", "") &amp; IF((OPR_2P!$J$17&gt;=H57)*(OPR_2P!$K$17&lt;=I57), OPR_2P!$A$17 &amp; ", ", "") &amp; IF((OPR_2P!$J$18&gt;=H57)*(OPR_2P!$K$18&lt;=I57), OPR_2P!$A$18 &amp; ", ", ""))-2), "None")</f>
        <v>20, 25, 28, 30, 34, 42, 46, 50, 54, 57, 63</v>
      </c>
    </row>
    <row r="58" spans="1:10" ht="15" customHeight="1" x14ac:dyDescent="0.3">
      <c r="A58" s="10" t="s">
        <v>183</v>
      </c>
      <c r="B58" s="10" t="s">
        <v>192</v>
      </c>
      <c r="C58" s="22">
        <v>46471</v>
      </c>
      <c r="D58" s="10">
        <v>6</v>
      </c>
      <c r="E58" s="10">
        <v>4</v>
      </c>
      <c r="F58" s="10" t="s">
        <v>133</v>
      </c>
      <c r="G58" s="23" t="s">
        <v>134</v>
      </c>
      <c r="H58" s="14">
        <v>600</v>
      </c>
      <c r="I58" s="14">
        <v>3000</v>
      </c>
      <c r="J58" s="110" t="str">
        <f>IFERROR(LEFT(IF((OPR_2P!$J$4&gt;=H58)*(OPR_2P!$K$4&lt;=I58), OPR_2P!$A$4 &amp; ", ", "") &amp; IF((OPR_2P!$J$5&gt;=H58)*(OPR_2P!$K$5&lt;=I58), OPR_2P!$A$5 &amp; ", ", "") &amp; IF((OPR_2P!$J$6&gt;=H58)*(OPR_2P!$K$6&lt;=I58), OPR_2P!$A$6 &amp; ", ", "") &amp; IF((OPR_2P!$J$7&gt;=H58)*(OPR_2P!$K$7&lt;=I58), OPR_2P!$A$7 &amp; ", ", "") &amp; IF((OPR_2P!$J$8&gt;=H58)*(OPR_2P!$K$8&lt;=I58), OPR_2P!$A$8 &amp; ", ", "") &amp; IF((OPR_2P!$J$9&gt;=H58)*(OPR_2P!$K$9&lt;=I58), OPR_2P!$A$9 &amp; ", ", "") &amp; IF((OPR_2P!$J$10&gt;=H58)*(OPR_2P!$K$10&lt;=I58), OPR_2P!$A$10 &amp; ", ", "") &amp; IF((OPR_2P!$J$11&gt;=H58)*(OPR_2P!$K$11&lt;=I58), OPR_2P!$A$11 &amp; ", ", "") &amp; IF((OPR_2P!$J$12&gt;=H58)*(OPR_2P!$K$12&lt;=I58), OPR_2P!$A$12 &amp; ", ", "") &amp; IF((OPR_2P!$J$13&gt;=H58)*(OPR_2P!$K$13&lt;=I58), OPR_2P!$A$13 &amp; ", ", "") &amp; IF((OPR_2P!$J$14&gt;=H58)*(OPR_2P!$K$14&lt;=I58), OPR_2P!$A$14 &amp; ", ", "") &amp; IF((OPR_2P!$J$15&gt;=H58)*(OPR_2P!$K$15&lt;=I58), OPR_2P!$A$15 &amp; ", ", "") &amp; IF((OPR_2P!$J$16&gt;=H58)*(OPR_2P!$K$16&lt;=I58), OPR_2P!$A$16 &amp; ", ", "") &amp; IF((OPR_2P!$J$17&gt;=H58)*(OPR_2P!$K$17&lt;=I58), OPR_2P!$A$17 &amp; ", ", "") &amp; IF((OPR_2P!$J$18&gt;=H58)*(OPR_2P!$K$18&lt;=I58), OPR_2P!$A$18 &amp; ", ", ""), LEN(IF((OPR_2P!$J$4&gt;=H58)*(OPR_2P!$K$4&lt;=I58), OPR_2P!$A$4 &amp; ", ", "") &amp; IF((OPR_2P!$J$5&gt;=H58)*(OPR_2P!$K$5&lt;=I58), OPR_2P!$A$5 &amp; ", ", "") &amp; IF((OPR_2P!$J$6&gt;=H58)*(OPR_2P!$K$6&lt;=I58), OPR_2P!$A$6 &amp; ", ", "") &amp; IF((OPR_2P!$J$7&gt;=H58)*(OPR_2P!$K$7&lt;=I58), OPR_2P!$A$7 &amp; ", ", "") &amp; IF((OPR_2P!$J$8&gt;=H58)*(OPR_2P!$K$8&lt;=I58), OPR_2P!$A$8 &amp; ", ", "") &amp; IF((OPR_2P!$J$9&gt;=H58)*(OPR_2P!$K$9&lt;=I58), OPR_2P!$A$9 &amp; ", ", "") &amp; IF((OPR_2P!$J$10&gt;=H58)*(OPR_2P!$K$10&lt;=I58), OPR_2P!$A$10 &amp; ", ", "") &amp; IF((OPR_2P!$J$11&gt;=H58)*(OPR_2P!$K$11&lt;=I58), OPR_2P!$A$11 &amp; ", ", "") &amp; IF((OPR_2P!$J$12&gt;=H58)*(OPR_2P!$K$12&lt;=I58), OPR_2P!$A$12 &amp; ", ", "") &amp; IF((OPR_2P!$J$13&gt;=H58)*(OPR_2P!$K$13&lt;=I58), OPR_2P!$A$13 &amp; ", ", "") &amp; IF((OPR_2P!$J$14&gt;=H58)*(OPR_2P!$K$14&lt;=I58), OPR_2P!$A$14 &amp; ", ", "") &amp; IF((OPR_2P!$J$15&gt;=H58)*(OPR_2P!$K$15&lt;=I58), OPR_2P!$A$15 &amp; ", ", "") &amp; IF((OPR_2P!$J$16&gt;=H58)*(OPR_2P!$K$16&lt;=I58), OPR_2P!$A$16 &amp; ", ", "") &amp; IF((OPR_2P!$J$17&gt;=H58)*(OPR_2P!$K$17&lt;=I58), OPR_2P!$A$17 &amp; ", ", "") &amp; IF((OPR_2P!$J$18&gt;=H58)*(OPR_2P!$K$18&lt;=I58), OPR_2P!$A$18 &amp; ", ", ""))-2), "None")</f>
        <v>20, 25, 28, 30, 34, 42, 46, 50, 54, 57</v>
      </c>
    </row>
    <row r="59" spans="1:10" ht="15" customHeight="1" x14ac:dyDescent="0.3">
      <c r="A59" s="10" t="s">
        <v>183</v>
      </c>
      <c r="B59" s="10" t="s">
        <v>193</v>
      </c>
      <c r="C59" s="22">
        <v>46377</v>
      </c>
      <c r="D59" s="10">
        <v>6</v>
      </c>
      <c r="E59" s="10">
        <v>4</v>
      </c>
      <c r="F59" s="10" t="s">
        <v>133</v>
      </c>
      <c r="G59" s="23" t="s">
        <v>134</v>
      </c>
      <c r="H59" s="14">
        <v>600</v>
      </c>
      <c r="I59" s="14">
        <v>3000</v>
      </c>
      <c r="J59" s="110" t="str">
        <f>IFERROR(LEFT(IF((OPR_2P!$J$4&gt;=H59)*(OPR_2P!$K$4&lt;=I59), OPR_2P!$A$4 &amp; ", ", "") &amp; IF((OPR_2P!$J$5&gt;=H59)*(OPR_2P!$K$5&lt;=I59), OPR_2P!$A$5 &amp; ", ", "") &amp; IF((OPR_2P!$J$6&gt;=H59)*(OPR_2P!$K$6&lt;=I59), OPR_2P!$A$6 &amp; ", ", "") &amp; IF((OPR_2P!$J$7&gt;=H59)*(OPR_2P!$K$7&lt;=I59), OPR_2P!$A$7 &amp; ", ", "") &amp; IF((OPR_2P!$J$8&gt;=H59)*(OPR_2P!$K$8&lt;=I59), OPR_2P!$A$8 &amp; ", ", "") &amp; IF((OPR_2P!$J$9&gt;=H59)*(OPR_2P!$K$9&lt;=I59), OPR_2P!$A$9 &amp; ", ", "") &amp; IF((OPR_2P!$J$10&gt;=H59)*(OPR_2P!$K$10&lt;=I59), OPR_2P!$A$10 &amp; ", ", "") &amp; IF((OPR_2P!$J$11&gt;=H59)*(OPR_2P!$K$11&lt;=I59), OPR_2P!$A$11 &amp; ", ", "") &amp; IF((OPR_2P!$J$12&gt;=H59)*(OPR_2P!$K$12&lt;=I59), OPR_2P!$A$12 &amp; ", ", "") &amp; IF((OPR_2P!$J$13&gt;=H59)*(OPR_2P!$K$13&lt;=I59), OPR_2P!$A$13 &amp; ", ", "") &amp; IF((OPR_2P!$J$14&gt;=H59)*(OPR_2P!$K$14&lt;=I59), OPR_2P!$A$14 &amp; ", ", "") &amp; IF((OPR_2P!$J$15&gt;=H59)*(OPR_2P!$K$15&lt;=I59), OPR_2P!$A$15 &amp; ", ", "") &amp; IF((OPR_2P!$J$16&gt;=H59)*(OPR_2P!$K$16&lt;=I59), OPR_2P!$A$16 &amp; ", ", "") &amp; IF((OPR_2P!$J$17&gt;=H59)*(OPR_2P!$K$17&lt;=I59), OPR_2P!$A$17 &amp; ", ", "") &amp; IF((OPR_2P!$J$18&gt;=H59)*(OPR_2P!$K$18&lt;=I59), OPR_2P!$A$18 &amp; ", ", ""), LEN(IF((OPR_2P!$J$4&gt;=H59)*(OPR_2P!$K$4&lt;=I59), OPR_2P!$A$4 &amp; ", ", "") &amp; IF((OPR_2P!$J$5&gt;=H59)*(OPR_2P!$K$5&lt;=I59), OPR_2P!$A$5 &amp; ", ", "") &amp; IF((OPR_2P!$J$6&gt;=H59)*(OPR_2P!$K$6&lt;=I59), OPR_2P!$A$6 &amp; ", ", "") &amp; IF((OPR_2P!$J$7&gt;=H59)*(OPR_2P!$K$7&lt;=I59), OPR_2P!$A$7 &amp; ", ", "") &amp; IF((OPR_2P!$J$8&gt;=H59)*(OPR_2P!$K$8&lt;=I59), OPR_2P!$A$8 &amp; ", ", "") &amp; IF((OPR_2P!$J$9&gt;=H59)*(OPR_2P!$K$9&lt;=I59), OPR_2P!$A$9 &amp; ", ", "") &amp; IF((OPR_2P!$J$10&gt;=H59)*(OPR_2P!$K$10&lt;=I59), OPR_2P!$A$10 &amp; ", ", "") &amp; IF((OPR_2P!$J$11&gt;=H59)*(OPR_2P!$K$11&lt;=I59), OPR_2P!$A$11 &amp; ", ", "") &amp; IF((OPR_2P!$J$12&gt;=H59)*(OPR_2P!$K$12&lt;=I59), OPR_2P!$A$12 &amp; ", ", "") &amp; IF((OPR_2P!$J$13&gt;=H59)*(OPR_2P!$K$13&lt;=I59), OPR_2P!$A$13 &amp; ", ", "") &amp; IF((OPR_2P!$J$14&gt;=H59)*(OPR_2P!$K$14&lt;=I59), OPR_2P!$A$14 &amp; ", ", "") &amp; IF((OPR_2P!$J$15&gt;=H59)*(OPR_2P!$K$15&lt;=I59), OPR_2P!$A$15 &amp; ", ", "") &amp; IF((OPR_2P!$J$16&gt;=H59)*(OPR_2P!$K$16&lt;=I59), OPR_2P!$A$16 &amp; ", ", "") &amp; IF((OPR_2P!$J$17&gt;=H59)*(OPR_2P!$K$17&lt;=I59), OPR_2P!$A$17 &amp; ", ", "") &amp; IF((OPR_2P!$J$18&gt;=H59)*(OPR_2P!$K$18&lt;=I59), OPR_2P!$A$18 &amp; ", ", ""))-2), "None")</f>
        <v>20, 25, 28, 30, 34, 42, 46, 50, 54, 57</v>
      </c>
    </row>
    <row r="60" spans="1:10" ht="15" customHeight="1" x14ac:dyDescent="0.3">
      <c r="A60" s="10" t="s">
        <v>183</v>
      </c>
      <c r="B60" s="10" t="s">
        <v>194</v>
      </c>
      <c r="C60" s="22">
        <v>46517</v>
      </c>
      <c r="D60" s="10">
        <v>6</v>
      </c>
      <c r="E60" s="10">
        <v>4</v>
      </c>
      <c r="F60" s="10" t="s">
        <v>133</v>
      </c>
      <c r="G60" s="23" t="s">
        <v>134</v>
      </c>
      <c r="H60" s="14">
        <v>600</v>
      </c>
      <c r="I60" s="14">
        <v>3000</v>
      </c>
      <c r="J60" s="110" t="str">
        <f>IFERROR(LEFT(IF((OPR_2P!$J$4&gt;=H60)*(OPR_2P!$K$4&lt;=I60), OPR_2P!$A$4 &amp; ", ", "") &amp; IF((OPR_2P!$J$5&gt;=H60)*(OPR_2P!$K$5&lt;=I60), OPR_2P!$A$5 &amp; ", ", "") &amp; IF((OPR_2P!$J$6&gt;=H60)*(OPR_2P!$K$6&lt;=I60), OPR_2P!$A$6 &amp; ", ", "") &amp; IF((OPR_2P!$J$7&gt;=H60)*(OPR_2P!$K$7&lt;=I60), OPR_2P!$A$7 &amp; ", ", "") &amp; IF((OPR_2P!$J$8&gt;=H60)*(OPR_2P!$K$8&lt;=I60), OPR_2P!$A$8 &amp; ", ", "") &amp; IF((OPR_2P!$J$9&gt;=H60)*(OPR_2P!$K$9&lt;=I60), OPR_2P!$A$9 &amp; ", ", "") &amp; IF((OPR_2P!$J$10&gt;=H60)*(OPR_2P!$K$10&lt;=I60), OPR_2P!$A$10 &amp; ", ", "") &amp; IF((OPR_2P!$J$11&gt;=H60)*(OPR_2P!$K$11&lt;=I60), OPR_2P!$A$11 &amp; ", ", "") &amp; IF((OPR_2P!$J$12&gt;=H60)*(OPR_2P!$K$12&lt;=I60), OPR_2P!$A$12 &amp; ", ", "") &amp; IF((OPR_2P!$J$13&gt;=H60)*(OPR_2P!$K$13&lt;=I60), OPR_2P!$A$13 &amp; ", ", "") &amp; IF((OPR_2P!$J$14&gt;=H60)*(OPR_2P!$K$14&lt;=I60), OPR_2P!$A$14 &amp; ", ", "") &amp; IF((OPR_2P!$J$15&gt;=H60)*(OPR_2P!$K$15&lt;=I60), OPR_2P!$A$15 &amp; ", ", "") &amp; IF((OPR_2P!$J$16&gt;=H60)*(OPR_2P!$K$16&lt;=I60), OPR_2P!$A$16 &amp; ", ", "") &amp; IF((OPR_2P!$J$17&gt;=H60)*(OPR_2P!$K$17&lt;=I60), OPR_2P!$A$17 &amp; ", ", "") &amp; IF((OPR_2P!$J$18&gt;=H60)*(OPR_2P!$K$18&lt;=I60), OPR_2P!$A$18 &amp; ", ", ""), LEN(IF((OPR_2P!$J$4&gt;=H60)*(OPR_2P!$K$4&lt;=I60), OPR_2P!$A$4 &amp; ", ", "") &amp; IF((OPR_2P!$J$5&gt;=H60)*(OPR_2P!$K$5&lt;=I60), OPR_2P!$A$5 &amp; ", ", "") &amp; IF((OPR_2P!$J$6&gt;=H60)*(OPR_2P!$K$6&lt;=I60), OPR_2P!$A$6 &amp; ", ", "") &amp; IF((OPR_2P!$J$7&gt;=H60)*(OPR_2P!$K$7&lt;=I60), OPR_2P!$A$7 &amp; ", ", "") &amp; IF((OPR_2P!$J$8&gt;=H60)*(OPR_2P!$K$8&lt;=I60), OPR_2P!$A$8 &amp; ", ", "") &amp; IF((OPR_2P!$J$9&gt;=H60)*(OPR_2P!$K$9&lt;=I60), OPR_2P!$A$9 &amp; ", ", "") &amp; IF((OPR_2P!$J$10&gt;=H60)*(OPR_2P!$K$10&lt;=I60), OPR_2P!$A$10 &amp; ", ", "") &amp; IF((OPR_2P!$J$11&gt;=H60)*(OPR_2P!$K$11&lt;=I60), OPR_2P!$A$11 &amp; ", ", "") &amp; IF((OPR_2P!$J$12&gt;=H60)*(OPR_2P!$K$12&lt;=I60), OPR_2P!$A$12 &amp; ", ", "") &amp; IF((OPR_2P!$J$13&gt;=H60)*(OPR_2P!$K$13&lt;=I60), OPR_2P!$A$13 &amp; ", ", "") &amp; IF((OPR_2P!$J$14&gt;=H60)*(OPR_2P!$K$14&lt;=I60), OPR_2P!$A$14 &amp; ", ", "") &amp; IF((OPR_2P!$J$15&gt;=H60)*(OPR_2P!$K$15&lt;=I60), OPR_2P!$A$15 &amp; ", ", "") &amp; IF((OPR_2P!$J$16&gt;=H60)*(OPR_2P!$K$16&lt;=I60), OPR_2P!$A$16 &amp; ", ", "") &amp; IF((OPR_2P!$J$17&gt;=H60)*(OPR_2P!$K$17&lt;=I60), OPR_2P!$A$17 &amp; ", ", "") &amp; IF((OPR_2P!$J$18&gt;=H60)*(OPR_2P!$K$18&lt;=I60), OPR_2P!$A$18 &amp; ", ", ""))-2), "None")</f>
        <v>20, 25, 28, 30, 34, 42, 46, 50, 54, 57</v>
      </c>
    </row>
    <row r="61" spans="1:10" ht="15" customHeight="1" x14ac:dyDescent="0.3">
      <c r="A61" s="10" t="s">
        <v>183</v>
      </c>
      <c r="B61" s="10" t="s">
        <v>195</v>
      </c>
      <c r="C61" s="22">
        <v>46454</v>
      </c>
      <c r="D61" s="10">
        <v>6</v>
      </c>
      <c r="E61" s="10">
        <v>4</v>
      </c>
      <c r="F61" s="10" t="s">
        <v>133</v>
      </c>
      <c r="G61" s="23" t="s">
        <v>134</v>
      </c>
      <c r="H61" s="14">
        <v>600</v>
      </c>
      <c r="I61" s="14">
        <v>4000</v>
      </c>
      <c r="J61" s="110" t="str">
        <f>IFERROR(LEFT(IF((OPR_2P!$J$4&gt;=H61)*(OPR_2P!$K$4&lt;=I61), OPR_2P!$A$4 &amp; ", ", "") &amp; IF((OPR_2P!$J$5&gt;=H61)*(OPR_2P!$K$5&lt;=I61), OPR_2P!$A$5 &amp; ", ", "") &amp; IF((OPR_2P!$J$6&gt;=H61)*(OPR_2P!$K$6&lt;=I61), OPR_2P!$A$6 &amp; ", ", "") &amp; IF((OPR_2P!$J$7&gt;=H61)*(OPR_2P!$K$7&lt;=I61), OPR_2P!$A$7 &amp; ", ", "") &amp; IF((OPR_2P!$J$8&gt;=H61)*(OPR_2P!$K$8&lt;=I61), OPR_2P!$A$8 &amp; ", ", "") &amp; IF((OPR_2P!$J$9&gt;=H61)*(OPR_2P!$K$9&lt;=I61), OPR_2P!$A$9 &amp; ", ", "") &amp; IF((OPR_2P!$J$10&gt;=H61)*(OPR_2P!$K$10&lt;=I61), OPR_2P!$A$10 &amp; ", ", "") &amp; IF((OPR_2P!$J$11&gt;=H61)*(OPR_2P!$K$11&lt;=I61), OPR_2P!$A$11 &amp; ", ", "") &amp; IF((OPR_2P!$J$12&gt;=H61)*(OPR_2P!$K$12&lt;=I61), OPR_2P!$A$12 &amp; ", ", "") &amp; IF((OPR_2P!$J$13&gt;=H61)*(OPR_2P!$K$13&lt;=I61), OPR_2P!$A$13 &amp; ", ", "") &amp; IF((OPR_2P!$J$14&gt;=H61)*(OPR_2P!$K$14&lt;=I61), OPR_2P!$A$14 &amp; ", ", "") &amp; IF((OPR_2P!$J$15&gt;=H61)*(OPR_2P!$K$15&lt;=I61), OPR_2P!$A$15 &amp; ", ", "") &amp; IF((OPR_2P!$J$16&gt;=H61)*(OPR_2P!$K$16&lt;=I61), OPR_2P!$A$16 &amp; ", ", "") &amp; IF((OPR_2P!$J$17&gt;=H61)*(OPR_2P!$K$17&lt;=I61), OPR_2P!$A$17 &amp; ", ", "") &amp; IF((OPR_2P!$J$18&gt;=H61)*(OPR_2P!$K$18&lt;=I61), OPR_2P!$A$18 &amp; ", ", ""), LEN(IF((OPR_2P!$J$4&gt;=H61)*(OPR_2P!$K$4&lt;=I61), OPR_2P!$A$4 &amp; ", ", "") &amp; IF((OPR_2P!$J$5&gt;=H61)*(OPR_2P!$K$5&lt;=I61), OPR_2P!$A$5 &amp; ", ", "") &amp; IF((OPR_2P!$J$6&gt;=H61)*(OPR_2P!$K$6&lt;=I61), OPR_2P!$A$6 &amp; ", ", "") &amp; IF((OPR_2P!$J$7&gt;=H61)*(OPR_2P!$K$7&lt;=I61), OPR_2P!$A$7 &amp; ", ", "") &amp; IF((OPR_2P!$J$8&gt;=H61)*(OPR_2P!$K$8&lt;=I61), OPR_2P!$A$8 &amp; ", ", "") &amp; IF((OPR_2P!$J$9&gt;=H61)*(OPR_2P!$K$9&lt;=I61), OPR_2P!$A$9 &amp; ", ", "") &amp; IF((OPR_2P!$J$10&gt;=H61)*(OPR_2P!$K$10&lt;=I61), OPR_2P!$A$10 &amp; ", ", "") &amp; IF((OPR_2P!$J$11&gt;=H61)*(OPR_2P!$K$11&lt;=I61), OPR_2P!$A$11 &amp; ", ", "") &amp; IF((OPR_2P!$J$12&gt;=H61)*(OPR_2P!$K$12&lt;=I61), OPR_2P!$A$12 &amp; ", ", "") &amp; IF((OPR_2P!$J$13&gt;=H61)*(OPR_2P!$K$13&lt;=I61), OPR_2P!$A$13 &amp; ", ", "") &amp; IF((OPR_2P!$J$14&gt;=H61)*(OPR_2P!$K$14&lt;=I61), OPR_2P!$A$14 &amp; ", ", "") &amp; IF((OPR_2P!$J$15&gt;=H61)*(OPR_2P!$K$15&lt;=I61), OPR_2P!$A$15 &amp; ", ", "") &amp; IF((OPR_2P!$J$16&gt;=H61)*(OPR_2P!$K$16&lt;=I61), OPR_2P!$A$16 &amp; ", ", "") &amp; IF((OPR_2P!$J$17&gt;=H61)*(OPR_2P!$K$17&lt;=I61), OPR_2P!$A$17 &amp; ", ", "") &amp; IF((OPR_2P!$J$18&gt;=H61)*(OPR_2P!$K$18&lt;=I61), OPR_2P!$A$18 &amp; ", ", ""))-2), "None")</f>
        <v>20, 25, 28, 30, 34, 42, 46, 50, 54, 57, 63, 70</v>
      </c>
    </row>
    <row r="62" spans="1:10" ht="15" customHeight="1" x14ac:dyDescent="0.3">
      <c r="A62" s="10" t="s">
        <v>183</v>
      </c>
      <c r="B62" s="10" t="s">
        <v>196</v>
      </c>
      <c r="C62" s="22">
        <v>46371</v>
      </c>
      <c r="D62" s="10">
        <v>6</v>
      </c>
      <c r="E62" s="10">
        <v>4</v>
      </c>
      <c r="F62" s="10" t="s">
        <v>133</v>
      </c>
      <c r="G62" s="23" t="s">
        <v>134</v>
      </c>
      <c r="H62" s="14">
        <v>600</v>
      </c>
      <c r="I62" s="14">
        <v>4000</v>
      </c>
      <c r="J62" s="110" t="str">
        <f>IFERROR(LEFT(IF((OPR_2P!$J$4&gt;=H62)*(OPR_2P!$K$4&lt;=I62), OPR_2P!$A$4 &amp; ", ", "") &amp; IF((OPR_2P!$J$5&gt;=H62)*(OPR_2P!$K$5&lt;=I62), OPR_2P!$A$5 &amp; ", ", "") &amp; IF((OPR_2P!$J$6&gt;=H62)*(OPR_2P!$K$6&lt;=I62), OPR_2P!$A$6 &amp; ", ", "") &amp; IF((OPR_2P!$J$7&gt;=H62)*(OPR_2P!$K$7&lt;=I62), OPR_2P!$A$7 &amp; ", ", "") &amp; IF((OPR_2P!$J$8&gt;=H62)*(OPR_2P!$K$8&lt;=I62), OPR_2P!$A$8 &amp; ", ", "") &amp; IF((OPR_2P!$J$9&gt;=H62)*(OPR_2P!$K$9&lt;=I62), OPR_2P!$A$9 &amp; ", ", "") &amp; IF((OPR_2P!$J$10&gt;=H62)*(OPR_2P!$K$10&lt;=I62), OPR_2P!$A$10 &amp; ", ", "") &amp; IF((OPR_2P!$J$11&gt;=H62)*(OPR_2P!$K$11&lt;=I62), OPR_2P!$A$11 &amp; ", ", "") &amp; IF((OPR_2P!$J$12&gt;=H62)*(OPR_2P!$K$12&lt;=I62), OPR_2P!$A$12 &amp; ", ", "") &amp; IF((OPR_2P!$J$13&gt;=H62)*(OPR_2P!$K$13&lt;=I62), OPR_2P!$A$13 &amp; ", ", "") &amp; IF((OPR_2P!$J$14&gt;=H62)*(OPR_2P!$K$14&lt;=I62), OPR_2P!$A$14 &amp; ", ", "") &amp; IF((OPR_2P!$J$15&gt;=H62)*(OPR_2P!$K$15&lt;=I62), OPR_2P!$A$15 &amp; ", ", "") &amp; IF((OPR_2P!$J$16&gt;=H62)*(OPR_2P!$K$16&lt;=I62), OPR_2P!$A$16 &amp; ", ", "") &amp; IF((OPR_2P!$J$17&gt;=H62)*(OPR_2P!$K$17&lt;=I62), OPR_2P!$A$17 &amp; ", ", "") &amp; IF((OPR_2P!$J$18&gt;=H62)*(OPR_2P!$K$18&lt;=I62), OPR_2P!$A$18 &amp; ", ", ""), LEN(IF((OPR_2P!$J$4&gt;=H62)*(OPR_2P!$K$4&lt;=I62), OPR_2P!$A$4 &amp; ", ", "") &amp; IF((OPR_2P!$J$5&gt;=H62)*(OPR_2P!$K$5&lt;=I62), OPR_2P!$A$5 &amp; ", ", "") &amp; IF((OPR_2P!$J$6&gt;=H62)*(OPR_2P!$K$6&lt;=I62), OPR_2P!$A$6 &amp; ", ", "") &amp; IF((OPR_2P!$J$7&gt;=H62)*(OPR_2P!$K$7&lt;=I62), OPR_2P!$A$7 &amp; ", ", "") &amp; IF((OPR_2P!$J$8&gt;=H62)*(OPR_2P!$K$8&lt;=I62), OPR_2P!$A$8 &amp; ", ", "") &amp; IF((OPR_2P!$J$9&gt;=H62)*(OPR_2P!$K$9&lt;=I62), OPR_2P!$A$9 &amp; ", ", "") &amp; IF((OPR_2P!$J$10&gt;=H62)*(OPR_2P!$K$10&lt;=I62), OPR_2P!$A$10 &amp; ", ", "") &amp; IF((OPR_2P!$J$11&gt;=H62)*(OPR_2P!$K$11&lt;=I62), OPR_2P!$A$11 &amp; ", ", "") &amp; IF((OPR_2P!$J$12&gt;=H62)*(OPR_2P!$K$12&lt;=I62), OPR_2P!$A$12 &amp; ", ", "") &amp; IF((OPR_2P!$J$13&gt;=H62)*(OPR_2P!$K$13&lt;=I62), OPR_2P!$A$13 &amp; ", ", "") &amp; IF((OPR_2P!$J$14&gt;=H62)*(OPR_2P!$K$14&lt;=I62), OPR_2P!$A$14 &amp; ", ", "") &amp; IF((OPR_2P!$J$15&gt;=H62)*(OPR_2P!$K$15&lt;=I62), OPR_2P!$A$15 &amp; ", ", "") &amp; IF((OPR_2P!$J$16&gt;=H62)*(OPR_2P!$K$16&lt;=I62), OPR_2P!$A$16 &amp; ", ", "") &amp; IF((OPR_2P!$J$17&gt;=H62)*(OPR_2P!$K$17&lt;=I62), OPR_2P!$A$17 &amp; ", ", "") &amp; IF((OPR_2P!$J$18&gt;=H62)*(OPR_2P!$K$18&lt;=I62), OPR_2P!$A$18 &amp; ", ", ""))-2), "None")</f>
        <v>20, 25, 28, 30, 34, 42, 46, 50, 54, 57, 63, 70</v>
      </c>
    </row>
    <row r="63" spans="1:10" ht="15" customHeight="1" x14ac:dyDescent="0.3">
      <c r="A63" s="10" t="s">
        <v>183</v>
      </c>
      <c r="B63" s="10" t="s">
        <v>197</v>
      </c>
      <c r="C63" s="22">
        <v>46219</v>
      </c>
      <c r="D63" s="10">
        <v>6</v>
      </c>
      <c r="E63" s="10">
        <v>4</v>
      </c>
      <c r="F63" s="10" t="s">
        <v>133</v>
      </c>
      <c r="G63" s="23" t="s">
        <v>134</v>
      </c>
      <c r="H63" s="14">
        <v>600</v>
      </c>
      <c r="I63" s="14">
        <v>4000</v>
      </c>
      <c r="J63" s="110" t="str">
        <f>IFERROR(LEFT(IF((OPR_2P!$J$4&gt;=H63)*(OPR_2P!$K$4&lt;=I63), OPR_2P!$A$4 &amp; ", ", "") &amp; IF((OPR_2P!$J$5&gt;=H63)*(OPR_2P!$K$5&lt;=I63), OPR_2P!$A$5 &amp; ", ", "") &amp; IF((OPR_2P!$J$6&gt;=H63)*(OPR_2P!$K$6&lt;=I63), OPR_2P!$A$6 &amp; ", ", "") &amp; IF((OPR_2P!$J$7&gt;=H63)*(OPR_2P!$K$7&lt;=I63), OPR_2P!$A$7 &amp; ", ", "") &amp; IF((OPR_2P!$J$8&gt;=H63)*(OPR_2P!$K$8&lt;=I63), OPR_2P!$A$8 &amp; ", ", "") &amp; IF((OPR_2P!$J$9&gt;=H63)*(OPR_2P!$K$9&lt;=I63), OPR_2P!$A$9 &amp; ", ", "") &amp; IF((OPR_2P!$J$10&gt;=H63)*(OPR_2P!$K$10&lt;=I63), OPR_2P!$A$10 &amp; ", ", "") &amp; IF((OPR_2P!$J$11&gt;=H63)*(OPR_2P!$K$11&lt;=I63), OPR_2P!$A$11 &amp; ", ", "") &amp; IF((OPR_2P!$J$12&gt;=H63)*(OPR_2P!$K$12&lt;=I63), OPR_2P!$A$12 &amp; ", ", "") &amp; IF((OPR_2P!$J$13&gt;=H63)*(OPR_2P!$K$13&lt;=I63), OPR_2P!$A$13 &amp; ", ", "") &amp; IF((OPR_2P!$J$14&gt;=H63)*(OPR_2P!$K$14&lt;=I63), OPR_2P!$A$14 &amp; ", ", "") &amp; IF((OPR_2P!$J$15&gt;=H63)*(OPR_2P!$K$15&lt;=I63), OPR_2P!$A$15 &amp; ", ", "") &amp; IF((OPR_2P!$J$16&gt;=H63)*(OPR_2P!$K$16&lt;=I63), OPR_2P!$A$16 &amp; ", ", "") &amp; IF((OPR_2P!$J$17&gt;=H63)*(OPR_2P!$K$17&lt;=I63), OPR_2P!$A$17 &amp; ", ", "") &amp; IF((OPR_2P!$J$18&gt;=H63)*(OPR_2P!$K$18&lt;=I63), OPR_2P!$A$18 &amp; ", ", ""), LEN(IF((OPR_2P!$J$4&gt;=H63)*(OPR_2P!$K$4&lt;=I63), OPR_2P!$A$4 &amp; ", ", "") &amp; IF((OPR_2P!$J$5&gt;=H63)*(OPR_2P!$K$5&lt;=I63), OPR_2P!$A$5 &amp; ", ", "") &amp; IF((OPR_2P!$J$6&gt;=H63)*(OPR_2P!$K$6&lt;=I63), OPR_2P!$A$6 &amp; ", ", "") &amp; IF((OPR_2P!$J$7&gt;=H63)*(OPR_2P!$K$7&lt;=I63), OPR_2P!$A$7 &amp; ", ", "") &amp; IF((OPR_2P!$J$8&gt;=H63)*(OPR_2P!$K$8&lt;=I63), OPR_2P!$A$8 &amp; ", ", "") &amp; IF((OPR_2P!$J$9&gt;=H63)*(OPR_2P!$K$9&lt;=I63), OPR_2P!$A$9 &amp; ", ", "") &amp; IF((OPR_2P!$J$10&gt;=H63)*(OPR_2P!$K$10&lt;=I63), OPR_2P!$A$10 &amp; ", ", "") &amp; IF((OPR_2P!$J$11&gt;=H63)*(OPR_2P!$K$11&lt;=I63), OPR_2P!$A$11 &amp; ", ", "") &amp; IF((OPR_2P!$J$12&gt;=H63)*(OPR_2P!$K$12&lt;=I63), OPR_2P!$A$12 &amp; ", ", "") &amp; IF((OPR_2P!$J$13&gt;=H63)*(OPR_2P!$K$13&lt;=I63), OPR_2P!$A$13 &amp; ", ", "") &amp; IF((OPR_2P!$J$14&gt;=H63)*(OPR_2P!$K$14&lt;=I63), OPR_2P!$A$14 &amp; ", ", "") &amp; IF((OPR_2P!$J$15&gt;=H63)*(OPR_2P!$K$15&lt;=I63), OPR_2P!$A$15 &amp; ", ", "") &amp; IF((OPR_2P!$J$16&gt;=H63)*(OPR_2P!$K$16&lt;=I63), OPR_2P!$A$16 &amp; ", ", "") &amp; IF((OPR_2P!$J$17&gt;=H63)*(OPR_2P!$K$17&lt;=I63), OPR_2P!$A$17 &amp; ", ", "") &amp; IF((OPR_2P!$J$18&gt;=H63)*(OPR_2P!$K$18&lt;=I63), OPR_2P!$A$18 &amp; ", ", ""))-2), "None")</f>
        <v>20, 25, 28, 30, 34, 42, 46, 50, 54, 57, 63, 70</v>
      </c>
    </row>
    <row r="64" spans="1:10" ht="15" customHeight="1" x14ac:dyDescent="0.3">
      <c r="A64" s="10" t="s">
        <v>198</v>
      </c>
      <c r="B64" s="10" t="s">
        <v>199</v>
      </c>
      <c r="C64" s="22">
        <v>46230</v>
      </c>
      <c r="D64" s="10">
        <v>6</v>
      </c>
      <c r="E64" s="10">
        <v>4</v>
      </c>
      <c r="F64" s="10" t="s">
        <v>133</v>
      </c>
      <c r="G64" s="23" t="s">
        <v>200</v>
      </c>
      <c r="H64" s="14">
        <v>100</v>
      </c>
      <c r="I64" s="14">
        <v>1600</v>
      </c>
      <c r="J64" s="110" t="str">
        <f>IFERROR(LEFT(IF((OPR_2P!$J$4&gt;=H64)*(OPR_2P!$K$4&lt;=I64), OPR_2P!$A$4 &amp; ", ", "") &amp; IF((OPR_2P!$J$5&gt;=H64)*(OPR_2P!$K$5&lt;=I64), OPR_2P!$A$5 &amp; ", ", "") &amp; IF((OPR_2P!$J$6&gt;=H64)*(OPR_2P!$K$6&lt;=I64), OPR_2P!$A$6 &amp; ", ", "") &amp; IF((OPR_2P!$J$7&gt;=H64)*(OPR_2P!$K$7&lt;=I64), OPR_2P!$A$7 &amp; ", ", "") &amp; IF((OPR_2P!$J$8&gt;=H64)*(OPR_2P!$K$8&lt;=I64), OPR_2P!$A$8 &amp; ", ", "") &amp; IF((OPR_2P!$J$9&gt;=H64)*(OPR_2P!$K$9&lt;=I64), OPR_2P!$A$9 &amp; ", ", "") &amp; IF((OPR_2P!$J$10&gt;=H64)*(OPR_2P!$K$10&lt;=I64), OPR_2P!$A$10 &amp; ", ", "") &amp; IF((OPR_2P!$J$11&gt;=H64)*(OPR_2P!$K$11&lt;=I64), OPR_2P!$A$11 &amp; ", ", "") &amp; IF((OPR_2P!$J$12&gt;=H64)*(OPR_2P!$K$12&lt;=I64), OPR_2P!$A$12 &amp; ", ", "") &amp; IF((OPR_2P!$J$13&gt;=H64)*(OPR_2P!$K$13&lt;=I64), OPR_2P!$A$13 &amp; ", ", "") &amp; IF((OPR_2P!$J$14&gt;=H64)*(OPR_2P!$K$14&lt;=I64), OPR_2P!$A$14 &amp; ", ", "") &amp; IF((OPR_2P!$J$15&gt;=H64)*(OPR_2P!$K$15&lt;=I64), OPR_2P!$A$15 &amp; ", ", "") &amp; IF((OPR_2P!$J$16&gt;=H64)*(OPR_2P!$K$16&lt;=I64), OPR_2P!$A$16 &amp; ", ", "") &amp; IF((OPR_2P!$J$17&gt;=H64)*(OPR_2P!$K$17&lt;=I64), OPR_2P!$A$17 &amp; ", ", "") &amp; IF((OPR_2P!$J$18&gt;=H64)*(OPR_2P!$K$18&lt;=I64), OPR_2P!$A$18 &amp; ", ", ""), LEN(IF((OPR_2P!$J$4&gt;=H64)*(OPR_2P!$K$4&lt;=I64), OPR_2P!$A$4 &amp; ", ", "") &amp; IF((OPR_2P!$J$5&gt;=H64)*(OPR_2P!$K$5&lt;=I64), OPR_2P!$A$5 &amp; ", ", "") &amp; IF((OPR_2P!$J$6&gt;=H64)*(OPR_2P!$K$6&lt;=I64), OPR_2P!$A$6 &amp; ", ", "") &amp; IF((OPR_2P!$J$7&gt;=H64)*(OPR_2P!$K$7&lt;=I64), OPR_2P!$A$7 &amp; ", ", "") &amp; IF((OPR_2P!$J$8&gt;=H64)*(OPR_2P!$K$8&lt;=I64), OPR_2P!$A$8 &amp; ", ", "") &amp; IF((OPR_2P!$J$9&gt;=H64)*(OPR_2P!$K$9&lt;=I64), OPR_2P!$A$9 &amp; ", ", "") &amp; IF((OPR_2P!$J$10&gt;=H64)*(OPR_2P!$K$10&lt;=I64), OPR_2P!$A$10 &amp; ", ", "") &amp; IF((OPR_2P!$J$11&gt;=H64)*(OPR_2P!$K$11&lt;=I64), OPR_2P!$A$11 &amp; ", ", "") &amp; IF((OPR_2P!$J$12&gt;=H64)*(OPR_2P!$K$12&lt;=I64), OPR_2P!$A$12 &amp; ", ", "") &amp; IF((OPR_2P!$J$13&gt;=H64)*(OPR_2P!$K$13&lt;=I64), OPR_2P!$A$13 &amp; ", ", "") &amp; IF((OPR_2P!$J$14&gt;=H64)*(OPR_2P!$K$14&lt;=I64), OPR_2P!$A$14 &amp; ", ", "") &amp; IF((OPR_2P!$J$15&gt;=H64)*(OPR_2P!$K$15&lt;=I64), OPR_2P!$A$15 &amp; ", ", "") &amp; IF((OPR_2P!$J$16&gt;=H64)*(OPR_2P!$K$16&lt;=I64), OPR_2P!$A$16 &amp; ", ", "") &amp; IF((OPR_2P!$J$17&gt;=H64)*(OPR_2P!$K$17&lt;=I64), OPR_2P!$A$17 &amp; ", ", "") &amp; IF((OPR_2P!$J$18&gt;=H64)*(OPR_2P!$K$18&lt;=I64), OPR_2P!$A$18 &amp; ", ", ""))-2), "None")</f>
        <v>9, 15, 17, 20, 25, 28</v>
      </c>
    </row>
    <row r="65" spans="1:10" ht="15" customHeight="1" x14ac:dyDescent="0.3">
      <c r="A65" s="10" t="s">
        <v>198</v>
      </c>
      <c r="B65" s="10" t="s">
        <v>201</v>
      </c>
      <c r="C65" s="22">
        <v>46191</v>
      </c>
      <c r="D65" s="10">
        <v>6</v>
      </c>
      <c r="E65" s="10">
        <v>4</v>
      </c>
      <c r="F65" s="10" t="s">
        <v>133</v>
      </c>
      <c r="G65" s="23" t="s">
        <v>200</v>
      </c>
      <c r="H65" s="14">
        <v>100</v>
      </c>
      <c r="I65" s="14">
        <v>1600</v>
      </c>
      <c r="J65" s="110" t="str">
        <f>IFERROR(LEFT(IF((OPR_2P!$J$4&gt;=H65)*(OPR_2P!$K$4&lt;=I65), OPR_2P!$A$4 &amp; ", ", "") &amp; IF((OPR_2P!$J$5&gt;=H65)*(OPR_2P!$K$5&lt;=I65), OPR_2P!$A$5 &amp; ", ", "") &amp; IF((OPR_2P!$J$6&gt;=H65)*(OPR_2P!$K$6&lt;=I65), OPR_2P!$A$6 &amp; ", ", "") &amp; IF((OPR_2P!$J$7&gt;=H65)*(OPR_2P!$K$7&lt;=I65), OPR_2P!$A$7 &amp; ", ", "") &amp; IF((OPR_2P!$J$8&gt;=H65)*(OPR_2P!$K$8&lt;=I65), OPR_2P!$A$8 &amp; ", ", "") &amp; IF((OPR_2P!$J$9&gt;=H65)*(OPR_2P!$K$9&lt;=I65), OPR_2P!$A$9 &amp; ", ", "") &amp; IF((OPR_2P!$J$10&gt;=H65)*(OPR_2P!$K$10&lt;=I65), OPR_2P!$A$10 &amp; ", ", "") &amp; IF((OPR_2P!$J$11&gt;=H65)*(OPR_2P!$K$11&lt;=I65), OPR_2P!$A$11 &amp; ", ", "") &amp; IF((OPR_2P!$J$12&gt;=H65)*(OPR_2P!$K$12&lt;=I65), OPR_2P!$A$12 &amp; ", ", "") &amp; IF((OPR_2P!$J$13&gt;=H65)*(OPR_2P!$K$13&lt;=I65), OPR_2P!$A$13 &amp; ", ", "") &amp; IF((OPR_2P!$J$14&gt;=H65)*(OPR_2P!$K$14&lt;=I65), OPR_2P!$A$14 &amp; ", ", "") &amp; IF((OPR_2P!$J$15&gt;=H65)*(OPR_2P!$K$15&lt;=I65), OPR_2P!$A$15 &amp; ", ", "") &amp; IF((OPR_2P!$J$16&gt;=H65)*(OPR_2P!$K$16&lt;=I65), OPR_2P!$A$16 &amp; ", ", "") &amp; IF((OPR_2P!$J$17&gt;=H65)*(OPR_2P!$K$17&lt;=I65), OPR_2P!$A$17 &amp; ", ", "") &amp; IF((OPR_2P!$J$18&gt;=H65)*(OPR_2P!$K$18&lt;=I65), OPR_2P!$A$18 &amp; ", ", ""), LEN(IF((OPR_2P!$J$4&gt;=H65)*(OPR_2P!$K$4&lt;=I65), OPR_2P!$A$4 &amp; ", ", "") &amp; IF((OPR_2P!$J$5&gt;=H65)*(OPR_2P!$K$5&lt;=I65), OPR_2P!$A$5 &amp; ", ", "") &amp; IF((OPR_2P!$J$6&gt;=H65)*(OPR_2P!$K$6&lt;=I65), OPR_2P!$A$6 &amp; ", ", "") &amp; IF((OPR_2P!$J$7&gt;=H65)*(OPR_2P!$K$7&lt;=I65), OPR_2P!$A$7 &amp; ", ", "") &amp; IF((OPR_2P!$J$8&gt;=H65)*(OPR_2P!$K$8&lt;=I65), OPR_2P!$A$8 &amp; ", ", "") &amp; IF((OPR_2P!$J$9&gt;=H65)*(OPR_2P!$K$9&lt;=I65), OPR_2P!$A$9 &amp; ", ", "") &amp; IF((OPR_2P!$J$10&gt;=H65)*(OPR_2P!$K$10&lt;=I65), OPR_2P!$A$10 &amp; ", ", "") &amp; IF((OPR_2P!$J$11&gt;=H65)*(OPR_2P!$K$11&lt;=I65), OPR_2P!$A$11 &amp; ", ", "") &amp; IF((OPR_2P!$J$12&gt;=H65)*(OPR_2P!$K$12&lt;=I65), OPR_2P!$A$12 &amp; ", ", "") &amp; IF((OPR_2P!$J$13&gt;=H65)*(OPR_2P!$K$13&lt;=I65), OPR_2P!$A$13 &amp; ", ", "") &amp; IF((OPR_2P!$J$14&gt;=H65)*(OPR_2P!$K$14&lt;=I65), OPR_2P!$A$14 &amp; ", ", "") &amp; IF((OPR_2P!$J$15&gt;=H65)*(OPR_2P!$K$15&lt;=I65), OPR_2P!$A$15 &amp; ", ", "") &amp; IF((OPR_2P!$J$16&gt;=H65)*(OPR_2P!$K$16&lt;=I65), OPR_2P!$A$16 &amp; ", ", "") &amp; IF((OPR_2P!$J$17&gt;=H65)*(OPR_2P!$K$17&lt;=I65), OPR_2P!$A$17 &amp; ", ", "") &amp; IF((OPR_2P!$J$18&gt;=H65)*(OPR_2P!$K$18&lt;=I65), OPR_2P!$A$18 &amp; ", ", ""))-2), "None")</f>
        <v>9, 15, 17, 20, 25, 28</v>
      </c>
    </row>
    <row r="66" spans="1:10" ht="15" customHeight="1" x14ac:dyDescent="0.3">
      <c r="A66" s="10" t="s">
        <v>198</v>
      </c>
      <c r="B66" s="10" t="s">
        <v>202</v>
      </c>
      <c r="C66" s="22">
        <v>46054</v>
      </c>
      <c r="D66" s="10">
        <v>6</v>
      </c>
      <c r="E66" s="10">
        <v>4</v>
      </c>
      <c r="F66" s="10" t="s">
        <v>133</v>
      </c>
      <c r="G66" s="23" t="s">
        <v>200</v>
      </c>
      <c r="H66" s="14">
        <v>100</v>
      </c>
      <c r="I66" s="14">
        <v>1600</v>
      </c>
      <c r="J66" s="110" t="str">
        <f>IFERROR(LEFT(IF((OPR_2P!$J$4&gt;=H66)*(OPR_2P!$K$4&lt;=I66), OPR_2P!$A$4 &amp; ", ", "") &amp; IF((OPR_2P!$J$5&gt;=H66)*(OPR_2P!$K$5&lt;=I66), OPR_2P!$A$5 &amp; ", ", "") &amp; IF((OPR_2P!$J$6&gt;=H66)*(OPR_2P!$K$6&lt;=I66), OPR_2P!$A$6 &amp; ", ", "") &amp; IF((OPR_2P!$J$7&gt;=H66)*(OPR_2P!$K$7&lt;=I66), OPR_2P!$A$7 &amp; ", ", "") &amp; IF((OPR_2P!$J$8&gt;=H66)*(OPR_2P!$K$8&lt;=I66), OPR_2P!$A$8 &amp; ", ", "") &amp; IF((OPR_2P!$J$9&gt;=H66)*(OPR_2P!$K$9&lt;=I66), OPR_2P!$A$9 &amp; ", ", "") &amp; IF((OPR_2P!$J$10&gt;=H66)*(OPR_2P!$K$10&lt;=I66), OPR_2P!$A$10 &amp; ", ", "") &amp; IF((OPR_2P!$J$11&gt;=H66)*(OPR_2P!$K$11&lt;=I66), OPR_2P!$A$11 &amp; ", ", "") &amp; IF((OPR_2P!$J$12&gt;=H66)*(OPR_2P!$K$12&lt;=I66), OPR_2P!$A$12 &amp; ", ", "") &amp; IF((OPR_2P!$J$13&gt;=H66)*(OPR_2P!$K$13&lt;=I66), OPR_2P!$A$13 &amp; ", ", "") &amp; IF((OPR_2P!$J$14&gt;=H66)*(OPR_2P!$K$14&lt;=I66), OPR_2P!$A$14 &amp; ", ", "") &amp; IF((OPR_2P!$J$15&gt;=H66)*(OPR_2P!$K$15&lt;=I66), OPR_2P!$A$15 &amp; ", ", "") &amp; IF((OPR_2P!$J$16&gt;=H66)*(OPR_2P!$K$16&lt;=I66), OPR_2P!$A$16 &amp; ", ", "") &amp; IF((OPR_2P!$J$17&gt;=H66)*(OPR_2P!$K$17&lt;=I66), OPR_2P!$A$17 &amp; ", ", "") &amp; IF((OPR_2P!$J$18&gt;=H66)*(OPR_2P!$K$18&lt;=I66), OPR_2P!$A$18 &amp; ", ", ""), LEN(IF((OPR_2P!$J$4&gt;=H66)*(OPR_2P!$K$4&lt;=I66), OPR_2P!$A$4 &amp; ", ", "") &amp; IF((OPR_2P!$J$5&gt;=H66)*(OPR_2P!$K$5&lt;=I66), OPR_2P!$A$5 &amp; ", ", "") &amp; IF((OPR_2P!$J$6&gt;=H66)*(OPR_2P!$K$6&lt;=I66), OPR_2P!$A$6 &amp; ", ", "") &amp; IF((OPR_2P!$J$7&gt;=H66)*(OPR_2P!$K$7&lt;=I66), OPR_2P!$A$7 &amp; ", ", "") &amp; IF((OPR_2P!$J$8&gt;=H66)*(OPR_2P!$K$8&lt;=I66), OPR_2P!$A$8 &amp; ", ", "") &amp; IF((OPR_2P!$J$9&gt;=H66)*(OPR_2P!$K$9&lt;=I66), OPR_2P!$A$9 &amp; ", ", "") &amp; IF((OPR_2P!$J$10&gt;=H66)*(OPR_2P!$K$10&lt;=I66), OPR_2P!$A$10 &amp; ", ", "") &amp; IF((OPR_2P!$J$11&gt;=H66)*(OPR_2P!$K$11&lt;=I66), OPR_2P!$A$11 &amp; ", ", "") &amp; IF((OPR_2P!$J$12&gt;=H66)*(OPR_2P!$K$12&lt;=I66), OPR_2P!$A$12 &amp; ", ", "") &amp; IF((OPR_2P!$J$13&gt;=H66)*(OPR_2P!$K$13&lt;=I66), OPR_2P!$A$13 &amp; ", ", "") &amp; IF((OPR_2P!$J$14&gt;=H66)*(OPR_2P!$K$14&lt;=I66), OPR_2P!$A$14 &amp; ", ", "") &amp; IF((OPR_2P!$J$15&gt;=H66)*(OPR_2P!$K$15&lt;=I66), OPR_2P!$A$15 &amp; ", ", "") &amp; IF((OPR_2P!$J$16&gt;=H66)*(OPR_2P!$K$16&lt;=I66), OPR_2P!$A$16 &amp; ", ", "") &amp; IF((OPR_2P!$J$17&gt;=H66)*(OPR_2P!$K$17&lt;=I66), OPR_2P!$A$17 &amp; ", ", "") &amp; IF((OPR_2P!$J$18&gt;=H66)*(OPR_2P!$K$18&lt;=I66), OPR_2P!$A$18 &amp; ", ", ""))-2), "None")</f>
        <v>9, 15, 17, 20, 25, 28</v>
      </c>
    </row>
    <row r="67" spans="1:10" ht="15" customHeight="1" x14ac:dyDescent="0.3">
      <c r="A67" s="10" t="s">
        <v>198</v>
      </c>
      <c r="B67" s="10" t="s">
        <v>203</v>
      </c>
      <c r="C67" s="22">
        <v>46255</v>
      </c>
      <c r="D67" s="10">
        <v>6</v>
      </c>
      <c r="E67" s="10">
        <v>4</v>
      </c>
      <c r="F67" s="10" t="s">
        <v>133</v>
      </c>
      <c r="G67" s="23" t="s">
        <v>200</v>
      </c>
      <c r="H67" s="14">
        <v>300</v>
      </c>
      <c r="I67" s="14">
        <v>3500</v>
      </c>
      <c r="J67" s="110" t="str">
        <f>IFERROR(LEFT(IF((OPR_2P!$J$4&gt;=H67)*(OPR_2P!$K$4&lt;=I67), OPR_2P!$A$4 &amp; ", ", "") &amp; IF((OPR_2P!$J$5&gt;=H67)*(OPR_2P!$K$5&lt;=I67), OPR_2P!$A$5 &amp; ", ", "") &amp; IF((OPR_2P!$J$6&gt;=H67)*(OPR_2P!$K$6&lt;=I67), OPR_2P!$A$6 &amp; ", ", "") &amp; IF((OPR_2P!$J$7&gt;=H67)*(OPR_2P!$K$7&lt;=I67), OPR_2P!$A$7 &amp; ", ", "") &amp; IF((OPR_2P!$J$8&gt;=H67)*(OPR_2P!$K$8&lt;=I67), OPR_2P!$A$8 &amp; ", ", "") &amp; IF((OPR_2P!$J$9&gt;=H67)*(OPR_2P!$K$9&lt;=I67), OPR_2P!$A$9 &amp; ", ", "") &amp; IF((OPR_2P!$J$10&gt;=H67)*(OPR_2P!$K$10&lt;=I67), OPR_2P!$A$10 &amp; ", ", "") &amp; IF((OPR_2P!$J$11&gt;=H67)*(OPR_2P!$K$11&lt;=I67), OPR_2P!$A$11 &amp; ", ", "") &amp; IF((OPR_2P!$J$12&gt;=H67)*(OPR_2P!$K$12&lt;=I67), OPR_2P!$A$12 &amp; ", ", "") &amp; IF((OPR_2P!$J$13&gt;=H67)*(OPR_2P!$K$13&lt;=I67), OPR_2P!$A$13 &amp; ", ", "") &amp; IF((OPR_2P!$J$14&gt;=H67)*(OPR_2P!$K$14&lt;=I67), OPR_2P!$A$14 &amp; ", ", "") &amp; IF((OPR_2P!$J$15&gt;=H67)*(OPR_2P!$K$15&lt;=I67), OPR_2P!$A$15 &amp; ", ", "") &amp; IF((OPR_2P!$J$16&gt;=H67)*(OPR_2P!$K$16&lt;=I67), OPR_2P!$A$16 &amp; ", ", "") &amp; IF((OPR_2P!$J$17&gt;=H67)*(OPR_2P!$K$17&lt;=I67), OPR_2P!$A$17 &amp; ", ", "") &amp; IF((OPR_2P!$J$18&gt;=H67)*(OPR_2P!$K$18&lt;=I67), OPR_2P!$A$18 &amp; ", ", ""), LEN(IF((OPR_2P!$J$4&gt;=H67)*(OPR_2P!$K$4&lt;=I67), OPR_2P!$A$4 &amp; ", ", "") &amp; IF((OPR_2P!$J$5&gt;=H67)*(OPR_2P!$K$5&lt;=I67), OPR_2P!$A$5 &amp; ", ", "") &amp; IF((OPR_2P!$J$6&gt;=H67)*(OPR_2P!$K$6&lt;=I67), OPR_2P!$A$6 &amp; ", ", "") &amp; IF((OPR_2P!$J$7&gt;=H67)*(OPR_2P!$K$7&lt;=I67), OPR_2P!$A$7 &amp; ", ", "") &amp; IF((OPR_2P!$J$8&gt;=H67)*(OPR_2P!$K$8&lt;=I67), OPR_2P!$A$8 &amp; ", ", "") &amp; IF((OPR_2P!$J$9&gt;=H67)*(OPR_2P!$K$9&lt;=I67), OPR_2P!$A$9 &amp; ", ", "") &amp; IF((OPR_2P!$J$10&gt;=H67)*(OPR_2P!$K$10&lt;=I67), OPR_2P!$A$10 &amp; ", ", "") &amp; IF((OPR_2P!$J$11&gt;=H67)*(OPR_2P!$K$11&lt;=I67), OPR_2P!$A$11 &amp; ", ", "") &amp; IF((OPR_2P!$J$12&gt;=H67)*(OPR_2P!$K$12&lt;=I67), OPR_2P!$A$12 &amp; ", ", "") &amp; IF((OPR_2P!$J$13&gt;=H67)*(OPR_2P!$K$13&lt;=I67), OPR_2P!$A$13 &amp; ", ", "") &amp; IF((OPR_2P!$J$14&gt;=H67)*(OPR_2P!$K$14&lt;=I67), OPR_2P!$A$14 &amp; ", ", "") &amp; IF((OPR_2P!$J$15&gt;=H67)*(OPR_2P!$K$15&lt;=I67), OPR_2P!$A$15 &amp; ", ", "") &amp; IF((OPR_2P!$J$16&gt;=H67)*(OPR_2P!$K$16&lt;=I67), OPR_2P!$A$16 &amp; ", ", "") &amp; IF((OPR_2P!$J$17&gt;=H67)*(OPR_2P!$K$17&lt;=I67), OPR_2P!$A$17 &amp; ", ", "") &amp; IF((OPR_2P!$J$18&gt;=H67)*(OPR_2P!$K$18&lt;=I67), OPR_2P!$A$18 &amp; ", ", ""))-2), "None")</f>
        <v>15, 17, 20, 25, 28, 30, 34, 42, 46, 50, 54, 57, 63, 70</v>
      </c>
    </row>
    <row r="68" spans="1:10" ht="15" customHeight="1" x14ac:dyDescent="0.3">
      <c r="A68" s="10" t="s">
        <v>198</v>
      </c>
      <c r="B68" s="10" t="s">
        <v>204</v>
      </c>
      <c r="C68" s="22">
        <v>46394</v>
      </c>
      <c r="D68" s="10">
        <v>6</v>
      </c>
      <c r="E68" s="10">
        <v>4</v>
      </c>
      <c r="F68" s="10" t="s">
        <v>133</v>
      </c>
      <c r="G68" s="23" t="s">
        <v>200</v>
      </c>
      <c r="H68" s="14">
        <v>300</v>
      </c>
      <c r="I68" s="14">
        <v>3500</v>
      </c>
      <c r="J68" s="110" t="str">
        <f>IFERROR(LEFT(IF((OPR_2P!$J$4&gt;=H68)*(OPR_2P!$K$4&lt;=I68), OPR_2P!$A$4 &amp; ", ", "") &amp; IF((OPR_2P!$J$5&gt;=H68)*(OPR_2P!$K$5&lt;=I68), OPR_2P!$A$5 &amp; ", ", "") &amp; IF((OPR_2P!$J$6&gt;=H68)*(OPR_2P!$K$6&lt;=I68), OPR_2P!$A$6 &amp; ", ", "") &amp; IF((OPR_2P!$J$7&gt;=H68)*(OPR_2P!$K$7&lt;=I68), OPR_2P!$A$7 &amp; ", ", "") &amp; IF((OPR_2P!$J$8&gt;=H68)*(OPR_2P!$K$8&lt;=I68), OPR_2P!$A$8 &amp; ", ", "") &amp; IF((OPR_2P!$J$9&gt;=H68)*(OPR_2P!$K$9&lt;=I68), OPR_2P!$A$9 &amp; ", ", "") &amp; IF((OPR_2P!$J$10&gt;=H68)*(OPR_2P!$K$10&lt;=I68), OPR_2P!$A$10 &amp; ", ", "") &amp; IF((OPR_2P!$J$11&gt;=H68)*(OPR_2P!$K$11&lt;=I68), OPR_2P!$A$11 &amp; ", ", "") &amp; IF((OPR_2P!$J$12&gt;=H68)*(OPR_2P!$K$12&lt;=I68), OPR_2P!$A$12 &amp; ", ", "") &amp; IF((OPR_2P!$J$13&gt;=H68)*(OPR_2P!$K$13&lt;=I68), OPR_2P!$A$13 &amp; ", ", "") &amp; IF((OPR_2P!$J$14&gt;=H68)*(OPR_2P!$K$14&lt;=I68), OPR_2P!$A$14 &amp; ", ", "") &amp; IF((OPR_2P!$J$15&gt;=H68)*(OPR_2P!$K$15&lt;=I68), OPR_2P!$A$15 &amp; ", ", "") &amp; IF((OPR_2P!$J$16&gt;=H68)*(OPR_2P!$K$16&lt;=I68), OPR_2P!$A$16 &amp; ", ", "") &amp; IF((OPR_2P!$J$17&gt;=H68)*(OPR_2P!$K$17&lt;=I68), OPR_2P!$A$17 &amp; ", ", "") &amp; IF((OPR_2P!$J$18&gt;=H68)*(OPR_2P!$K$18&lt;=I68), OPR_2P!$A$18 &amp; ", ", ""), LEN(IF((OPR_2P!$J$4&gt;=H68)*(OPR_2P!$K$4&lt;=I68), OPR_2P!$A$4 &amp; ", ", "") &amp; IF((OPR_2P!$J$5&gt;=H68)*(OPR_2P!$K$5&lt;=I68), OPR_2P!$A$5 &amp; ", ", "") &amp; IF((OPR_2P!$J$6&gt;=H68)*(OPR_2P!$K$6&lt;=I68), OPR_2P!$A$6 &amp; ", ", "") &amp; IF((OPR_2P!$J$7&gt;=H68)*(OPR_2P!$K$7&lt;=I68), OPR_2P!$A$7 &amp; ", ", "") &amp; IF((OPR_2P!$J$8&gt;=H68)*(OPR_2P!$K$8&lt;=I68), OPR_2P!$A$8 &amp; ", ", "") &amp; IF((OPR_2P!$J$9&gt;=H68)*(OPR_2P!$K$9&lt;=I68), OPR_2P!$A$9 &amp; ", ", "") &amp; IF((OPR_2P!$J$10&gt;=H68)*(OPR_2P!$K$10&lt;=I68), OPR_2P!$A$10 &amp; ", ", "") &amp; IF((OPR_2P!$J$11&gt;=H68)*(OPR_2P!$K$11&lt;=I68), OPR_2P!$A$11 &amp; ", ", "") &amp; IF((OPR_2P!$J$12&gt;=H68)*(OPR_2P!$K$12&lt;=I68), OPR_2P!$A$12 &amp; ", ", "") &amp; IF((OPR_2P!$J$13&gt;=H68)*(OPR_2P!$K$13&lt;=I68), OPR_2P!$A$13 &amp; ", ", "") &amp; IF((OPR_2P!$J$14&gt;=H68)*(OPR_2P!$K$14&lt;=I68), OPR_2P!$A$14 &amp; ", ", "") &amp; IF((OPR_2P!$J$15&gt;=H68)*(OPR_2P!$K$15&lt;=I68), OPR_2P!$A$15 &amp; ", ", "") &amp; IF((OPR_2P!$J$16&gt;=H68)*(OPR_2P!$K$16&lt;=I68), OPR_2P!$A$16 &amp; ", ", "") &amp; IF((OPR_2P!$J$17&gt;=H68)*(OPR_2P!$K$17&lt;=I68), OPR_2P!$A$17 &amp; ", ", "") &amp; IF((OPR_2P!$J$18&gt;=H68)*(OPR_2P!$K$18&lt;=I68), OPR_2P!$A$18 &amp; ", ", ""))-2), "None")</f>
        <v>15, 17, 20, 25, 28, 30, 34, 42, 46, 50, 54, 57, 63, 70</v>
      </c>
    </row>
    <row r="69" spans="1:10" ht="15" customHeight="1" x14ac:dyDescent="0.3">
      <c r="A69" s="10" t="s">
        <v>198</v>
      </c>
      <c r="B69" s="10" t="s">
        <v>205</v>
      </c>
      <c r="C69" s="22">
        <v>46347</v>
      </c>
      <c r="D69" s="10">
        <v>6</v>
      </c>
      <c r="E69" s="10">
        <v>4</v>
      </c>
      <c r="F69" s="10" t="s">
        <v>133</v>
      </c>
      <c r="G69" s="23" t="s">
        <v>200</v>
      </c>
      <c r="H69" s="14">
        <v>300</v>
      </c>
      <c r="I69" s="14">
        <v>3500</v>
      </c>
      <c r="J69" s="110" t="str">
        <f>IFERROR(LEFT(IF((OPR_2P!$J$4&gt;=H69)*(OPR_2P!$K$4&lt;=I69), OPR_2P!$A$4 &amp; ", ", "") &amp; IF((OPR_2P!$J$5&gt;=H69)*(OPR_2P!$K$5&lt;=I69), OPR_2P!$A$5 &amp; ", ", "") &amp; IF((OPR_2P!$J$6&gt;=H69)*(OPR_2P!$K$6&lt;=I69), OPR_2P!$A$6 &amp; ", ", "") &amp; IF((OPR_2P!$J$7&gt;=H69)*(OPR_2P!$K$7&lt;=I69), OPR_2P!$A$7 &amp; ", ", "") &amp; IF((OPR_2P!$J$8&gt;=H69)*(OPR_2P!$K$8&lt;=I69), OPR_2P!$A$8 &amp; ", ", "") &amp; IF((OPR_2P!$J$9&gt;=H69)*(OPR_2P!$K$9&lt;=I69), OPR_2P!$A$9 &amp; ", ", "") &amp; IF((OPR_2P!$J$10&gt;=H69)*(OPR_2P!$K$10&lt;=I69), OPR_2P!$A$10 &amp; ", ", "") &amp; IF((OPR_2P!$J$11&gt;=H69)*(OPR_2P!$K$11&lt;=I69), OPR_2P!$A$11 &amp; ", ", "") &amp; IF((OPR_2P!$J$12&gt;=H69)*(OPR_2P!$K$12&lt;=I69), OPR_2P!$A$12 &amp; ", ", "") &amp; IF((OPR_2P!$J$13&gt;=H69)*(OPR_2P!$K$13&lt;=I69), OPR_2P!$A$13 &amp; ", ", "") &amp; IF((OPR_2P!$J$14&gt;=H69)*(OPR_2P!$K$14&lt;=I69), OPR_2P!$A$14 &amp; ", ", "") &amp; IF((OPR_2P!$J$15&gt;=H69)*(OPR_2P!$K$15&lt;=I69), OPR_2P!$A$15 &amp; ", ", "") &amp; IF((OPR_2P!$J$16&gt;=H69)*(OPR_2P!$K$16&lt;=I69), OPR_2P!$A$16 &amp; ", ", "") &amp; IF((OPR_2P!$J$17&gt;=H69)*(OPR_2P!$K$17&lt;=I69), OPR_2P!$A$17 &amp; ", ", "") &amp; IF((OPR_2P!$J$18&gt;=H69)*(OPR_2P!$K$18&lt;=I69), OPR_2P!$A$18 &amp; ", ", ""), LEN(IF((OPR_2P!$J$4&gt;=H69)*(OPR_2P!$K$4&lt;=I69), OPR_2P!$A$4 &amp; ", ", "") &amp; IF((OPR_2P!$J$5&gt;=H69)*(OPR_2P!$K$5&lt;=I69), OPR_2P!$A$5 &amp; ", ", "") &amp; IF((OPR_2P!$J$6&gt;=H69)*(OPR_2P!$K$6&lt;=I69), OPR_2P!$A$6 &amp; ", ", "") &amp; IF((OPR_2P!$J$7&gt;=H69)*(OPR_2P!$K$7&lt;=I69), OPR_2P!$A$7 &amp; ", ", "") &amp; IF((OPR_2P!$J$8&gt;=H69)*(OPR_2P!$K$8&lt;=I69), OPR_2P!$A$8 &amp; ", ", "") &amp; IF((OPR_2P!$J$9&gt;=H69)*(OPR_2P!$K$9&lt;=I69), OPR_2P!$A$9 &amp; ", ", "") &amp; IF((OPR_2P!$J$10&gt;=H69)*(OPR_2P!$K$10&lt;=I69), OPR_2P!$A$10 &amp; ", ", "") &amp; IF((OPR_2P!$J$11&gt;=H69)*(OPR_2P!$K$11&lt;=I69), OPR_2P!$A$11 &amp; ", ", "") &amp; IF((OPR_2P!$J$12&gt;=H69)*(OPR_2P!$K$12&lt;=I69), OPR_2P!$A$12 &amp; ", ", "") &amp; IF((OPR_2P!$J$13&gt;=H69)*(OPR_2P!$K$13&lt;=I69), OPR_2P!$A$13 &amp; ", ", "") &amp; IF((OPR_2P!$J$14&gt;=H69)*(OPR_2P!$K$14&lt;=I69), OPR_2P!$A$14 &amp; ", ", "") &amp; IF((OPR_2P!$J$15&gt;=H69)*(OPR_2P!$K$15&lt;=I69), OPR_2P!$A$15 &amp; ", ", "") &amp; IF((OPR_2P!$J$16&gt;=H69)*(OPR_2P!$K$16&lt;=I69), OPR_2P!$A$16 &amp; ", ", "") &amp; IF((OPR_2P!$J$17&gt;=H69)*(OPR_2P!$K$17&lt;=I69), OPR_2P!$A$17 &amp; ", ", "") &amp; IF((OPR_2P!$J$18&gt;=H69)*(OPR_2P!$K$18&lt;=I69), OPR_2P!$A$18 &amp; ", ", ""))-2), "None")</f>
        <v>15, 17, 20, 25, 28, 30, 34, 42, 46, 50, 54, 57, 63, 70</v>
      </c>
    </row>
    <row r="70" spans="1:10" ht="15" customHeight="1" x14ac:dyDescent="0.3">
      <c r="A70" s="10" t="s">
        <v>198</v>
      </c>
      <c r="B70" s="10" t="s">
        <v>206</v>
      </c>
      <c r="C70" s="22">
        <v>46234</v>
      </c>
      <c r="D70" s="10">
        <v>6</v>
      </c>
      <c r="E70" s="10">
        <v>4</v>
      </c>
      <c r="F70" s="10" t="s">
        <v>133</v>
      </c>
      <c r="G70" s="23" t="s">
        <v>200</v>
      </c>
      <c r="H70" s="14">
        <v>500</v>
      </c>
      <c r="I70" s="14">
        <v>4000</v>
      </c>
      <c r="J70" s="110" t="str">
        <f>IFERROR(LEFT(IF((OPR_2P!$J$4&gt;=H70)*(OPR_2P!$K$4&lt;=I70), OPR_2P!$A$4 &amp; ", ", "") &amp; IF((OPR_2P!$J$5&gt;=H70)*(OPR_2P!$K$5&lt;=I70), OPR_2P!$A$5 &amp; ", ", "") &amp; IF((OPR_2P!$J$6&gt;=H70)*(OPR_2P!$K$6&lt;=I70), OPR_2P!$A$6 &amp; ", ", "") &amp; IF((OPR_2P!$J$7&gt;=H70)*(OPR_2P!$K$7&lt;=I70), OPR_2P!$A$7 &amp; ", ", "") &amp; IF((OPR_2P!$J$8&gt;=H70)*(OPR_2P!$K$8&lt;=I70), OPR_2P!$A$8 &amp; ", ", "") &amp; IF((OPR_2P!$J$9&gt;=H70)*(OPR_2P!$K$9&lt;=I70), OPR_2P!$A$9 &amp; ", ", "") &amp; IF((OPR_2P!$J$10&gt;=H70)*(OPR_2P!$K$10&lt;=I70), OPR_2P!$A$10 &amp; ", ", "") &amp; IF((OPR_2P!$J$11&gt;=H70)*(OPR_2P!$K$11&lt;=I70), OPR_2P!$A$11 &amp; ", ", "") &amp; IF((OPR_2P!$J$12&gt;=H70)*(OPR_2P!$K$12&lt;=I70), OPR_2P!$A$12 &amp; ", ", "") &amp; IF((OPR_2P!$J$13&gt;=H70)*(OPR_2P!$K$13&lt;=I70), OPR_2P!$A$13 &amp; ", ", "") &amp; IF((OPR_2P!$J$14&gt;=H70)*(OPR_2P!$K$14&lt;=I70), OPR_2P!$A$14 &amp; ", ", "") &amp; IF((OPR_2P!$J$15&gt;=H70)*(OPR_2P!$K$15&lt;=I70), OPR_2P!$A$15 &amp; ", ", "") &amp; IF((OPR_2P!$J$16&gt;=H70)*(OPR_2P!$K$16&lt;=I70), OPR_2P!$A$16 &amp; ", ", "") &amp; IF((OPR_2P!$J$17&gt;=H70)*(OPR_2P!$K$17&lt;=I70), OPR_2P!$A$17 &amp; ", ", "") &amp; IF((OPR_2P!$J$18&gt;=H70)*(OPR_2P!$K$18&lt;=I70), OPR_2P!$A$18 &amp; ", ", ""), LEN(IF((OPR_2P!$J$4&gt;=H70)*(OPR_2P!$K$4&lt;=I70), OPR_2P!$A$4 &amp; ", ", "") &amp; IF((OPR_2P!$J$5&gt;=H70)*(OPR_2P!$K$5&lt;=I70), OPR_2P!$A$5 &amp; ", ", "") &amp; IF((OPR_2P!$J$6&gt;=H70)*(OPR_2P!$K$6&lt;=I70), OPR_2P!$A$6 &amp; ", ", "") &amp; IF((OPR_2P!$J$7&gt;=H70)*(OPR_2P!$K$7&lt;=I70), OPR_2P!$A$7 &amp; ", ", "") &amp; IF((OPR_2P!$J$8&gt;=H70)*(OPR_2P!$K$8&lt;=I70), OPR_2P!$A$8 &amp; ", ", "") &amp; IF((OPR_2P!$J$9&gt;=H70)*(OPR_2P!$K$9&lt;=I70), OPR_2P!$A$9 &amp; ", ", "") &amp; IF((OPR_2P!$J$10&gt;=H70)*(OPR_2P!$K$10&lt;=I70), OPR_2P!$A$10 &amp; ", ", "") &amp; IF((OPR_2P!$J$11&gt;=H70)*(OPR_2P!$K$11&lt;=I70), OPR_2P!$A$11 &amp; ", ", "") &amp; IF((OPR_2P!$J$12&gt;=H70)*(OPR_2P!$K$12&lt;=I70), OPR_2P!$A$12 &amp; ", ", "") &amp; IF((OPR_2P!$J$13&gt;=H70)*(OPR_2P!$K$13&lt;=I70), OPR_2P!$A$13 &amp; ", ", "") &amp; IF((OPR_2P!$J$14&gt;=H70)*(OPR_2P!$K$14&lt;=I70), OPR_2P!$A$14 &amp; ", ", "") &amp; IF((OPR_2P!$J$15&gt;=H70)*(OPR_2P!$K$15&lt;=I70), OPR_2P!$A$15 &amp; ", ", "") &amp; IF((OPR_2P!$J$16&gt;=H70)*(OPR_2P!$K$16&lt;=I70), OPR_2P!$A$16 &amp; ", ", "") &amp; IF((OPR_2P!$J$17&gt;=H70)*(OPR_2P!$K$17&lt;=I70), OPR_2P!$A$17 &amp; ", ", "") &amp; IF((OPR_2P!$J$18&gt;=H70)*(OPR_2P!$K$18&lt;=I70), OPR_2P!$A$18 &amp; ", ", ""))-2), "None")</f>
        <v>17, 20, 25, 28, 30, 34, 42, 46, 50, 54, 57, 63, 70</v>
      </c>
    </row>
    <row r="71" spans="1:10" ht="15" customHeight="1" x14ac:dyDescent="0.3">
      <c r="A71" s="10" t="s">
        <v>198</v>
      </c>
      <c r="B71" s="10" t="s">
        <v>207</v>
      </c>
      <c r="C71" s="22">
        <v>46138</v>
      </c>
      <c r="D71" s="10">
        <v>6</v>
      </c>
      <c r="E71" s="10">
        <v>4</v>
      </c>
      <c r="F71" s="10" t="s">
        <v>133</v>
      </c>
      <c r="G71" s="23" t="s">
        <v>200</v>
      </c>
      <c r="H71" s="14">
        <v>500</v>
      </c>
      <c r="I71" s="14">
        <v>4000</v>
      </c>
      <c r="J71" s="110" t="str">
        <f>IFERROR(LEFT(IF((OPR_2P!$J$4&gt;=H71)*(OPR_2P!$K$4&lt;=I71), OPR_2P!$A$4 &amp; ", ", "") &amp; IF((OPR_2P!$J$5&gt;=H71)*(OPR_2P!$K$5&lt;=I71), OPR_2P!$A$5 &amp; ", ", "") &amp; IF((OPR_2P!$J$6&gt;=H71)*(OPR_2P!$K$6&lt;=I71), OPR_2P!$A$6 &amp; ", ", "") &amp; IF((OPR_2P!$J$7&gt;=H71)*(OPR_2P!$K$7&lt;=I71), OPR_2P!$A$7 &amp; ", ", "") &amp; IF((OPR_2P!$J$8&gt;=H71)*(OPR_2P!$K$8&lt;=I71), OPR_2P!$A$8 &amp; ", ", "") &amp; IF((OPR_2P!$J$9&gt;=H71)*(OPR_2P!$K$9&lt;=I71), OPR_2P!$A$9 &amp; ", ", "") &amp; IF((OPR_2P!$J$10&gt;=H71)*(OPR_2P!$K$10&lt;=I71), OPR_2P!$A$10 &amp; ", ", "") &amp; IF((OPR_2P!$J$11&gt;=H71)*(OPR_2P!$K$11&lt;=I71), OPR_2P!$A$11 &amp; ", ", "") &amp; IF((OPR_2P!$J$12&gt;=H71)*(OPR_2P!$K$12&lt;=I71), OPR_2P!$A$12 &amp; ", ", "") &amp; IF((OPR_2P!$J$13&gt;=H71)*(OPR_2P!$K$13&lt;=I71), OPR_2P!$A$13 &amp; ", ", "") &amp; IF((OPR_2P!$J$14&gt;=H71)*(OPR_2P!$K$14&lt;=I71), OPR_2P!$A$14 &amp; ", ", "") &amp; IF((OPR_2P!$J$15&gt;=H71)*(OPR_2P!$K$15&lt;=I71), OPR_2P!$A$15 &amp; ", ", "") &amp; IF((OPR_2P!$J$16&gt;=H71)*(OPR_2P!$K$16&lt;=I71), OPR_2P!$A$16 &amp; ", ", "") &amp; IF((OPR_2P!$J$17&gt;=H71)*(OPR_2P!$K$17&lt;=I71), OPR_2P!$A$17 &amp; ", ", "") &amp; IF((OPR_2P!$J$18&gt;=H71)*(OPR_2P!$K$18&lt;=I71), OPR_2P!$A$18 &amp; ", ", ""), LEN(IF((OPR_2P!$J$4&gt;=H71)*(OPR_2P!$K$4&lt;=I71), OPR_2P!$A$4 &amp; ", ", "") &amp; IF((OPR_2P!$J$5&gt;=H71)*(OPR_2P!$K$5&lt;=I71), OPR_2P!$A$5 &amp; ", ", "") &amp; IF((OPR_2P!$J$6&gt;=H71)*(OPR_2P!$K$6&lt;=I71), OPR_2P!$A$6 &amp; ", ", "") &amp; IF((OPR_2P!$J$7&gt;=H71)*(OPR_2P!$K$7&lt;=I71), OPR_2P!$A$7 &amp; ", ", "") &amp; IF((OPR_2P!$J$8&gt;=H71)*(OPR_2P!$K$8&lt;=I71), OPR_2P!$A$8 &amp; ", ", "") &amp; IF((OPR_2P!$J$9&gt;=H71)*(OPR_2P!$K$9&lt;=I71), OPR_2P!$A$9 &amp; ", ", "") &amp; IF((OPR_2P!$J$10&gt;=H71)*(OPR_2P!$K$10&lt;=I71), OPR_2P!$A$10 &amp; ", ", "") &amp; IF((OPR_2P!$J$11&gt;=H71)*(OPR_2P!$K$11&lt;=I71), OPR_2P!$A$11 &amp; ", ", "") &amp; IF((OPR_2P!$J$12&gt;=H71)*(OPR_2P!$K$12&lt;=I71), OPR_2P!$A$12 &amp; ", ", "") &amp; IF((OPR_2P!$J$13&gt;=H71)*(OPR_2P!$K$13&lt;=I71), OPR_2P!$A$13 &amp; ", ", "") &amp; IF((OPR_2P!$J$14&gt;=H71)*(OPR_2P!$K$14&lt;=I71), OPR_2P!$A$14 &amp; ", ", "") &amp; IF((OPR_2P!$J$15&gt;=H71)*(OPR_2P!$K$15&lt;=I71), OPR_2P!$A$15 &amp; ", ", "") &amp; IF((OPR_2P!$J$16&gt;=H71)*(OPR_2P!$K$16&lt;=I71), OPR_2P!$A$16 &amp; ", ", "") &amp; IF((OPR_2P!$J$17&gt;=H71)*(OPR_2P!$K$17&lt;=I71), OPR_2P!$A$17 &amp; ", ", "") &amp; IF((OPR_2P!$J$18&gt;=H71)*(OPR_2P!$K$18&lt;=I71), OPR_2P!$A$18 &amp; ", ", ""))-2), "None")</f>
        <v>17, 20, 25, 28, 30, 34, 42, 46, 50, 54, 57, 63, 70</v>
      </c>
    </row>
    <row r="72" spans="1:10" ht="15" customHeight="1" x14ac:dyDescent="0.3">
      <c r="A72" s="10" t="s">
        <v>208</v>
      </c>
      <c r="B72" s="10" t="s">
        <v>209</v>
      </c>
      <c r="C72" s="22">
        <v>46106</v>
      </c>
      <c r="D72" s="10">
        <v>6</v>
      </c>
      <c r="E72" s="10">
        <v>4</v>
      </c>
      <c r="F72" s="10" t="s">
        <v>133</v>
      </c>
      <c r="G72" s="23" t="s">
        <v>200</v>
      </c>
      <c r="H72" s="14">
        <v>100</v>
      </c>
      <c r="I72" s="14">
        <v>4500</v>
      </c>
      <c r="J72" s="110" t="str">
        <f>IFERROR(LEFT(IF((OPR_2P!$J$4&gt;=H72)*(OPR_2P!$K$4&lt;=I72), OPR_2P!$A$4 &amp; ", ", "") &amp; IF((OPR_2P!$J$5&gt;=H72)*(OPR_2P!$K$5&lt;=I72), OPR_2P!$A$5 &amp; ", ", "") &amp; IF((OPR_2P!$J$6&gt;=H72)*(OPR_2P!$K$6&lt;=I72), OPR_2P!$A$6 &amp; ", ", "") &amp; IF((OPR_2P!$J$7&gt;=H72)*(OPR_2P!$K$7&lt;=I72), OPR_2P!$A$7 &amp; ", ", "") &amp; IF((OPR_2P!$J$8&gt;=H72)*(OPR_2P!$K$8&lt;=I72), OPR_2P!$A$8 &amp; ", ", "") &amp; IF((OPR_2P!$J$9&gt;=H72)*(OPR_2P!$K$9&lt;=I72), OPR_2P!$A$9 &amp; ", ", "") &amp; IF((OPR_2P!$J$10&gt;=H72)*(OPR_2P!$K$10&lt;=I72), OPR_2P!$A$10 &amp; ", ", "") &amp; IF((OPR_2P!$J$11&gt;=H72)*(OPR_2P!$K$11&lt;=I72), OPR_2P!$A$11 &amp; ", ", "") &amp; IF((OPR_2P!$J$12&gt;=H72)*(OPR_2P!$K$12&lt;=I72), OPR_2P!$A$12 &amp; ", ", "") &amp; IF((OPR_2P!$J$13&gt;=H72)*(OPR_2P!$K$13&lt;=I72), OPR_2P!$A$13 &amp; ", ", "") &amp; IF((OPR_2P!$J$14&gt;=H72)*(OPR_2P!$K$14&lt;=I72), OPR_2P!$A$14 &amp; ", ", "") &amp; IF((OPR_2P!$J$15&gt;=H72)*(OPR_2P!$K$15&lt;=I72), OPR_2P!$A$15 &amp; ", ", "") &amp; IF((OPR_2P!$J$16&gt;=H72)*(OPR_2P!$K$16&lt;=I72), OPR_2P!$A$16 &amp; ", ", "") &amp; IF((OPR_2P!$J$17&gt;=H72)*(OPR_2P!$K$17&lt;=I72), OPR_2P!$A$17 &amp; ", ", "") &amp; IF((OPR_2P!$J$18&gt;=H72)*(OPR_2P!$K$18&lt;=I72), OPR_2P!$A$18 &amp; ", ", ""), LEN(IF((OPR_2P!$J$4&gt;=H72)*(OPR_2P!$K$4&lt;=I72), OPR_2P!$A$4 &amp; ", ", "") &amp; IF((OPR_2P!$J$5&gt;=H72)*(OPR_2P!$K$5&lt;=I72), OPR_2P!$A$5 &amp; ", ", "") &amp; IF((OPR_2P!$J$6&gt;=H72)*(OPR_2P!$K$6&lt;=I72), OPR_2P!$A$6 &amp; ", ", "") &amp; IF((OPR_2P!$J$7&gt;=H72)*(OPR_2P!$K$7&lt;=I72), OPR_2P!$A$7 &amp; ", ", "") &amp; IF((OPR_2P!$J$8&gt;=H72)*(OPR_2P!$K$8&lt;=I72), OPR_2P!$A$8 &amp; ", ", "") &amp; IF((OPR_2P!$J$9&gt;=H72)*(OPR_2P!$K$9&lt;=I72), OPR_2P!$A$9 &amp; ", ", "") &amp; IF((OPR_2P!$J$10&gt;=H72)*(OPR_2P!$K$10&lt;=I72), OPR_2P!$A$10 &amp; ", ", "") &amp; IF((OPR_2P!$J$11&gt;=H72)*(OPR_2P!$K$11&lt;=I72), OPR_2P!$A$11 &amp; ", ", "") &amp; IF((OPR_2P!$J$12&gt;=H72)*(OPR_2P!$K$12&lt;=I72), OPR_2P!$A$12 &amp; ", ", "") &amp; IF((OPR_2P!$J$13&gt;=H72)*(OPR_2P!$K$13&lt;=I72), OPR_2P!$A$13 &amp; ", ", "") &amp; IF((OPR_2P!$J$14&gt;=H72)*(OPR_2P!$K$14&lt;=I72), OPR_2P!$A$14 &amp; ", ", "") &amp; IF((OPR_2P!$J$15&gt;=H72)*(OPR_2P!$K$15&lt;=I72), OPR_2P!$A$15 &amp; ", ", "") &amp; IF((OPR_2P!$J$16&gt;=H72)*(OPR_2P!$K$16&lt;=I72), OPR_2P!$A$16 &amp; ", ", "") &amp; IF((OPR_2P!$J$17&gt;=H72)*(OPR_2P!$K$17&lt;=I72), OPR_2P!$A$17 &amp; ", ", "") &amp; IF((OPR_2P!$J$18&gt;=H72)*(OPR_2P!$K$18&lt;=I72), OPR_2P!$A$18 &amp; ", ", ""))-2), "None")</f>
        <v>9, 15, 17, 20, 25, 28, 30, 34, 42, 46, 50, 54, 57, 63, 70</v>
      </c>
    </row>
    <row r="73" spans="1:10" ht="15" customHeight="1" x14ac:dyDescent="0.3">
      <c r="A73" s="10" t="s">
        <v>208</v>
      </c>
      <c r="B73" s="10" t="s">
        <v>210</v>
      </c>
      <c r="C73" s="22">
        <v>46142</v>
      </c>
      <c r="D73" s="10">
        <v>6</v>
      </c>
      <c r="E73" s="10">
        <v>4</v>
      </c>
      <c r="F73" s="10" t="s">
        <v>133</v>
      </c>
      <c r="G73" s="23" t="s">
        <v>200</v>
      </c>
      <c r="H73" s="14">
        <v>100</v>
      </c>
      <c r="I73" s="14">
        <v>4500</v>
      </c>
      <c r="J73" s="110" t="str">
        <f>IFERROR(LEFT(IF((OPR_2P!$J$4&gt;=H73)*(OPR_2P!$K$4&lt;=I73), OPR_2P!$A$4 &amp; ", ", "") &amp; IF((OPR_2P!$J$5&gt;=H73)*(OPR_2P!$K$5&lt;=I73), OPR_2P!$A$5 &amp; ", ", "") &amp; IF((OPR_2P!$J$6&gt;=H73)*(OPR_2P!$K$6&lt;=I73), OPR_2P!$A$6 &amp; ", ", "") &amp; IF((OPR_2P!$J$7&gt;=H73)*(OPR_2P!$K$7&lt;=I73), OPR_2P!$A$7 &amp; ", ", "") &amp; IF((OPR_2P!$J$8&gt;=H73)*(OPR_2P!$K$8&lt;=I73), OPR_2P!$A$8 &amp; ", ", "") &amp; IF((OPR_2P!$J$9&gt;=H73)*(OPR_2P!$K$9&lt;=I73), OPR_2P!$A$9 &amp; ", ", "") &amp; IF((OPR_2P!$J$10&gt;=H73)*(OPR_2P!$K$10&lt;=I73), OPR_2P!$A$10 &amp; ", ", "") &amp; IF((OPR_2P!$J$11&gt;=H73)*(OPR_2P!$K$11&lt;=I73), OPR_2P!$A$11 &amp; ", ", "") &amp; IF((OPR_2P!$J$12&gt;=H73)*(OPR_2P!$K$12&lt;=I73), OPR_2P!$A$12 &amp; ", ", "") &amp; IF((OPR_2P!$J$13&gt;=H73)*(OPR_2P!$K$13&lt;=I73), OPR_2P!$A$13 &amp; ", ", "") &amp; IF((OPR_2P!$J$14&gt;=H73)*(OPR_2P!$K$14&lt;=I73), OPR_2P!$A$14 &amp; ", ", "") &amp; IF((OPR_2P!$J$15&gt;=H73)*(OPR_2P!$K$15&lt;=I73), OPR_2P!$A$15 &amp; ", ", "") &amp; IF((OPR_2P!$J$16&gt;=H73)*(OPR_2P!$K$16&lt;=I73), OPR_2P!$A$16 &amp; ", ", "") &amp; IF((OPR_2P!$J$17&gt;=H73)*(OPR_2P!$K$17&lt;=I73), OPR_2P!$A$17 &amp; ", ", "") &amp; IF((OPR_2P!$J$18&gt;=H73)*(OPR_2P!$K$18&lt;=I73), OPR_2P!$A$18 &amp; ", ", ""), LEN(IF((OPR_2P!$J$4&gt;=H73)*(OPR_2P!$K$4&lt;=I73), OPR_2P!$A$4 &amp; ", ", "") &amp; IF((OPR_2P!$J$5&gt;=H73)*(OPR_2P!$K$5&lt;=I73), OPR_2P!$A$5 &amp; ", ", "") &amp; IF((OPR_2P!$J$6&gt;=H73)*(OPR_2P!$K$6&lt;=I73), OPR_2P!$A$6 &amp; ", ", "") &amp; IF((OPR_2P!$J$7&gt;=H73)*(OPR_2P!$K$7&lt;=I73), OPR_2P!$A$7 &amp; ", ", "") &amp; IF((OPR_2P!$J$8&gt;=H73)*(OPR_2P!$K$8&lt;=I73), OPR_2P!$A$8 &amp; ", ", "") &amp; IF((OPR_2P!$J$9&gt;=H73)*(OPR_2P!$K$9&lt;=I73), OPR_2P!$A$9 &amp; ", ", "") &amp; IF((OPR_2P!$J$10&gt;=H73)*(OPR_2P!$K$10&lt;=I73), OPR_2P!$A$10 &amp; ", ", "") &amp; IF((OPR_2P!$J$11&gt;=H73)*(OPR_2P!$K$11&lt;=I73), OPR_2P!$A$11 &amp; ", ", "") &amp; IF((OPR_2P!$J$12&gt;=H73)*(OPR_2P!$K$12&lt;=I73), OPR_2P!$A$12 &amp; ", ", "") &amp; IF((OPR_2P!$J$13&gt;=H73)*(OPR_2P!$K$13&lt;=I73), OPR_2P!$A$13 &amp; ", ", "") &amp; IF((OPR_2P!$J$14&gt;=H73)*(OPR_2P!$K$14&lt;=I73), OPR_2P!$A$14 &amp; ", ", "") &amp; IF((OPR_2P!$J$15&gt;=H73)*(OPR_2P!$K$15&lt;=I73), OPR_2P!$A$15 &amp; ", ", "") &amp; IF((OPR_2P!$J$16&gt;=H73)*(OPR_2P!$K$16&lt;=I73), OPR_2P!$A$16 &amp; ", ", "") &amp; IF((OPR_2P!$J$17&gt;=H73)*(OPR_2P!$K$17&lt;=I73), OPR_2P!$A$17 &amp; ", ", "") &amp; IF((OPR_2P!$J$18&gt;=H73)*(OPR_2P!$K$18&lt;=I73), OPR_2P!$A$18 &amp; ", ", ""))-2), "None")</f>
        <v>9, 15, 17, 20, 25, 28, 30, 34, 42, 46, 50, 54, 57, 63, 70</v>
      </c>
    </row>
    <row r="74" spans="1:10" ht="15" customHeight="1" x14ac:dyDescent="0.3">
      <c r="A74" s="10" t="s">
        <v>208</v>
      </c>
      <c r="B74" s="10" t="s">
        <v>211</v>
      </c>
      <c r="C74" s="22">
        <v>46483</v>
      </c>
      <c r="D74" s="10">
        <v>6</v>
      </c>
      <c r="E74" s="10">
        <v>4</v>
      </c>
      <c r="F74" s="10" t="s">
        <v>133</v>
      </c>
      <c r="G74" s="23" t="s">
        <v>200</v>
      </c>
      <c r="H74" s="14">
        <v>100</v>
      </c>
      <c r="I74" s="14">
        <v>4500</v>
      </c>
      <c r="J74" s="110" t="str">
        <f>IFERROR(LEFT(IF((OPR_2P!$J$4&gt;=H74)*(OPR_2P!$K$4&lt;=I74), OPR_2P!$A$4 &amp; ", ", "") &amp; IF((OPR_2P!$J$5&gt;=H74)*(OPR_2P!$K$5&lt;=I74), OPR_2P!$A$5 &amp; ", ", "") &amp; IF((OPR_2P!$J$6&gt;=H74)*(OPR_2P!$K$6&lt;=I74), OPR_2P!$A$6 &amp; ", ", "") &amp; IF((OPR_2P!$J$7&gt;=H74)*(OPR_2P!$K$7&lt;=I74), OPR_2P!$A$7 &amp; ", ", "") &amp; IF((OPR_2P!$J$8&gt;=H74)*(OPR_2P!$K$8&lt;=I74), OPR_2P!$A$8 &amp; ", ", "") &amp; IF((OPR_2P!$J$9&gt;=H74)*(OPR_2P!$K$9&lt;=I74), OPR_2P!$A$9 &amp; ", ", "") &amp; IF((OPR_2P!$J$10&gt;=H74)*(OPR_2P!$K$10&lt;=I74), OPR_2P!$A$10 &amp; ", ", "") &amp; IF((OPR_2P!$J$11&gt;=H74)*(OPR_2P!$K$11&lt;=I74), OPR_2P!$A$11 &amp; ", ", "") &amp; IF((OPR_2P!$J$12&gt;=H74)*(OPR_2P!$K$12&lt;=I74), OPR_2P!$A$12 &amp; ", ", "") &amp; IF((OPR_2P!$J$13&gt;=H74)*(OPR_2P!$K$13&lt;=I74), OPR_2P!$A$13 &amp; ", ", "") &amp; IF((OPR_2P!$J$14&gt;=H74)*(OPR_2P!$K$14&lt;=I74), OPR_2P!$A$14 &amp; ", ", "") &amp; IF((OPR_2P!$J$15&gt;=H74)*(OPR_2P!$K$15&lt;=I74), OPR_2P!$A$15 &amp; ", ", "") &amp; IF((OPR_2P!$J$16&gt;=H74)*(OPR_2P!$K$16&lt;=I74), OPR_2P!$A$16 &amp; ", ", "") &amp; IF((OPR_2P!$J$17&gt;=H74)*(OPR_2P!$K$17&lt;=I74), OPR_2P!$A$17 &amp; ", ", "") &amp; IF((OPR_2P!$J$18&gt;=H74)*(OPR_2P!$K$18&lt;=I74), OPR_2P!$A$18 &amp; ", ", ""), LEN(IF((OPR_2P!$J$4&gt;=H74)*(OPR_2P!$K$4&lt;=I74), OPR_2P!$A$4 &amp; ", ", "") &amp; IF((OPR_2P!$J$5&gt;=H74)*(OPR_2P!$K$5&lt;=I74), OPR_2P!$A$5 &amp; ", ", "") &amp; IF((OPR_2P!$J$6&gt;=H74)*(OPR_2P!$K$6&lt;=I74), OPR_2P!$A$6 &amp; ", ", "") &amp; IF((OPR_2P!$J$7&gt;=H74)*(OPR_2P!$K$7&lt;=I74), OPR_2P!$A$7 &amp; ", ", "") &amp; IF((OPR_2P!$J$8&gt;=H74)*(OPR_2P!$K$8&lt;=I74), OPR_2P!$A$8 &amp; ", ", "") &amp; IF((OPR_2P!$J$9&gt;=H74)*(OPR_2P!$K$9&lt;=I74), OPR_2P!$A$9 &amp; ", ", "") &amp; IF((OPR_2P!$J$10&gt;=H74)*(OPR_2P!$K$10&lt;=I74), OPR_2P!$A$10 &amp; ", ", "") &amp; IF((OPR_2P!$J$11&gt;=H74)*(OPR_2P!$K$11&lt;=I74), OPR_2P!$A$11 &amp; ", ", "") &amp; IF((OPR_2P!$J$12&gt;=H74)*(OPR_2P!$K$12&lt;=I74), OPR_2P!$A$12 &amp; ", ", "") &amp; IF((OPR_2P!$J$13&gt;=H74)*(OPR_2P!$K$13&lt;=I74), OPR_2P!$A$13 &amp; ", ", "") &amp; IF((OPR_2P!$J$14&gt;=H74)*(OPR_2P!$K$14&lt;=I74), OPR_2P!$A$14 &amp; ", ", "") &amp; IF((OPR_2P!$J$15&gt;=H74)*(OPR_2P!$K$15&lt;=I74), OPR_2P!$A$15 &amp; ", ", "") &amp; IF((OPR_2P!$J$16&gt;=H74)*(OPR_2P!$K$16&lt;=I74), OPR_2P!$A$16 &amp; ", ", "") &amp; IF((OPR_2P!$J$17&gt;=H74)*(OPR_2P!$K$17&lt;=I74), OPR_2P!$A$17 &amp; ", ", "") &amp; IF((OPR_2P!$J$18&gt;=H74)*(OPR_2P!$K$18&lt;=I74), OPR_2P!$A$18 &amp; ", ", ""))-2), "None")</f>
        <v>9, 15, 17, 20, 25, 28, 30, 34, 42, 46, 50, 54, 57, 63, 70</v>
      </c>
    </row>
    <row r="75" spans="1:10" ht="15" customHeight="1" x14ac:dyDescent="0.3">
      <c r="A75" s="10" t="s">
        <v>208</v>
      </c>
      <c r="B75" s="10" t="s">
        <v>212</v>
      </c>
      <c r="C75" s="22">
        <v>46318</v>
      </c>
      <c r="D75" s="10">
        <v>6</v>
      </c>
      <c r="E75" s="10">
        <v>4</v>
      </c>
      <c r="F75" s="10" t="s">
        <v>133</v>
      </c>
      <c r="G75" s="23" t="s">
        <v>200</v>
      </c>
      <c r="H75" s="14">
        <v>100</v>
      </c>
      <c r="I75" s="14">
        <v>4500</v>
      </c>
      <c r="J75" s="110" t="str">
        <f>IFERROR(LEFT(IF((OPR_2P!$J$4&gt;=H75)*(OPR_2P!$K$4&lt;=I75), OPR_2P!$A$4 &amp; ", ", "") &amp; IF((OPR_2P!$J$5&gt;=H75)*(OPR_2P!$K$5&lt;=I75), OPR_2P!$A$5 &amp; ", ", "") &amp; IF((OPR_2P!$J$6&gt;=H75)*(OPR_2P!$K$6&lt;=I75), OPR_2P!$A$6 &amp; ", ", "") &amp; IF((OPR_2P!$J$7&gt;=H75)*(OPR_2P!$K$7&lt;=I75), OPR_2P!$A$7 &amp; ", ", "") &amp; IF((OPR_2P!$J$8&gt;=H75)*(OPR_2P!$K$8&lt;=I75), OPR_2P!$A$8 &amp; ", ", "") &amp; IF((OPR_2P!$J$9&gt;=H75)*(OPR_2P!$K$9&lt;=I75), OPR_2P!$A$9 &amp; ", ", "") &amp; IF((OPR_2P!$J$10&gt;=H75)*(OPR_2P!$K$10&lt;=I75), OPR_2P!$A$10 &amp; ", ", "") &amp; IF((OPR_2P!$J$11&gt;=H75)*(OPR_2P!$K$11&lt;=I75), OPR_2P!$A$11 &amp; ", ", "") &amp; IF((OPR_2P!$J$12&gt;=H75)*(OPR_2P!$K$12&lt;=I75), OPR_2P!$A$12 &amp; ", ", "") &amp; IF((OPR_2P!$J$13&gt;=H75)*(OPR_2P!$K$13&lt;=I75), OPR_2P!$A$13 &amp; ", ", "") &amp; IF((OPR_2P!$J$14&gt;=H75)*(OPR_2P!$K$14&lt;=I75), OPR_2P!$A$14 &amp; ", ", "") &amp; IF((OPR_2P!$J$15&gt;=H75)*(OPR_2P!$K$15&lt;=I75), OPR_2P!$A$15 &amp; ", ", "") &amp; IF((OPR_2P!$J$16&gt;=H75)*(OPR_2P!$K$16&lt;=I75), OPR_2P!$A$16 &amp; ", ", "") &amp; IF((OPR_2P!$J$17&gt;=H75)*(OPR_2P!$K$17&lt;=I75), OPR_2P!$A$17 &amp; ", ", "") &amp; IF((OPR_2P!$J$18&gt;=H75)*(OPR_2P!$K$18&lt;=I75), OPR_2P!$A$18 &amp; ", ", ""), LEN(IF((OPR_2P!$J$4&gt;=H75)*(OPR_2P!$K$4&lt;=I75), OPR_2P!$A$4 &amp; ", ", "") &amp; IF((OPR_2P!$J$5&gt;=H75)*(OPR_2P!$K$5&lt;=I75), OPR_2P!$A$5 &amp; ", ", "") &amp; IF((OPR_2P!$J$6&gt;=H75)*(OPR_2P!$K$6&lt;=I75), OPR_2P!$A$6 &amp; ", ", "") &amp; IF((OPR_2P!$J$7&gt;=H75)*(OPR_2P!$K$7&lt;=I75), OPR_2P!$A$7 &amp; ", ", "") &amp; IF((OPR_2P!$J$8&gt;=H75)*(OPR_2P!$K$8&lt;=I75), OPR_2P!$A$8 &amp; ", ", "") &amp; IF((OPR_2P!$J$9&gt;=H75)*(OPR_2P!$K$9&lt;=I75), OPR_2P!$A$9 &amp; ", ", "") &amp; IF((OPR_2P!$J$10&gt;=H75)*(OPR_2P!$K$10&lt;=I75), OPR_2P!$A$10 &amp; ", ", "") &amp; IF((OPR_2P!$J$11&gt;=H75)*(OPR_2P!$K$11&lt;=I75), OPR_2P!$A$11 &amp; ", ", "") &amp; IF((OPR_2P!$J$12&gt;=H75)*(OPR_2P!$K$12&lt;=I75), OPR_2P!$A$12 &amp; ", ", "") &amp; IF((OPR_2P!$J$13&gt;=H75)*(OPR_2P!$K$13&lt;=I75), OPR_2P!$A$13 &amp; ", ", "") &amp; IF((OPR_2P!$J$14&gt;=H75)*(OPR_2P!$K$14&lt;=I75), OPR_2P!$A$14 &amp; ", ", "") &amp; IF((OPR_2P!$J$15&gt;=H75)*(OPR_2P!$K$15&lt;=I75), OPR_2P!$A$15 &amp; ", ", "") &amp; IF((OPR_2P!$J$16&gt;=H75)*(OPR_2P!$K$16&lt;=I75), OPR_2P!$A$16 &amp; ", ", "") &amp; IF((OPR_2P!$J$17&gt;=H75)*(OPR_2P!$K$17&lt;=I75), OPR_2P!$A$17 &amp; ", ", "") &amp; IF((OPR_2P!$J$18&gt;=H75)*(OPR_2P!$K$18&lt;=I75), OPR_2P!$A$18 &amp; ", ", ""))-2), "None")</f>
        <v>9, 15, 17, 20, 25, 28, 30, 34, 42, 46, 50, 54, 57, 63, 70</v>
      </c>
    </row>
    <row r="76" spans="1:10" ht="15" customHeight="1" x14ac:dyDescent="0.3">
      <c r="A76" s="10" t="s">
        <v>208</v>
      </c>
      <c r="B76" s="10" t="s">
        <v>213</v>
      </c>
      <c r="C76" s="22">
        <v>46431</v>
      </c>
      <c r="D76" s="10">
        <v>6</v>
      </c>
      <c r="E76" s="10">
        <v>4</v>
      </c>
      <c r="F76" s="10" t="s">
        <v>133</v>
      </c>
      <c r="G76" s="23" t="s">
        <v>200</v>
      </c>
      <c r="H76" s="14">
        <v>100</v>
      </c>
      <c r="I76" s="14">
        <v>4500</v>
      </c>
      <c r="J76" s="110" t="str">
        <f>IFERROR(LEFT(IF((OPR_2P!$J$4&gt;=H76)*(OPR_2P!$K$4&lt;=I76), OPR_2P!$A$4 &amp; ", ", "") &amp; IF((OPR_2P!$J$5&gt;=H76)*(OPR_2P!$K$5&lt;=I76), OPR_2P!$A$5 &amp; ", ", "") &amp; IF((OPR_2P!$J$6&gt;=H76)*(OPR_2P!$K$6&lt;=I76), OPR_2P!$A$6 &amp; ", ", "") &amp; IF((OPR_2P!$J$7&gt;=H76)*(OPR_2P!$K$7&lt;=I76), OPR_2P!$A$7 &amp; ", ", "") &amp; IF((OPR_2P!$J$8&gt;=H76)*(OPR_2P!$K$8&lt;=I76), OPR_2P!$A$8 &amp; ", ", "") &amp; IF((OPR_2P!$J$9&gt;=H76)*(OPR_2P!$K$9&lt;=I76), OPR_2P!$A$9 &amp; ", ", "") &amp; IF((OPR_2P!$J$10&gt;=H76)*(OPR_2P!$K$10&lt;=I76), OPR_2P!$A$10 &amp; ", ", "") &amp; IF((OPR_2P!$J$11&gt;=H76)*(OPR_2P!$K$11&lt;=I76), OPR_2P!$A$11 &amp; ", ", "") &amp; IF((OPR_2P!$J$12&gt;=H76)*(OPR_2P!$K$12&lt;=I76), OPR_2P!$A$12 &amp; ", ", "") &amp; IF((OPR_2P!$J$13&gt;=H76)*(OPR_2P!$K$13&lt;=I76), OPR_2P!$A$13 &amp; ", ", "") &amp; IF((OPR_2P!$J$14&gt;=H76)*(OPR_2P!$K$14&lt;=I76), OPR_2P!$A$14 &amp; ", ", "") &amp; IF((OPR_2P!$J$15&gt;=H76)*(OPR_2P!$K$15&lt;=I76), OPR_2P!$A$15 &amp; ", ", "") &amp; IF((OPR_2P!$J$16&gt;=H76)*(OPR_2P!$K$16&lt;=I76), OPR_2P!$A$16 &amp; ", ", "") &amp; IF((OPR_2P!$J$17&gt;=H76)*(OPR_2P!$K$17&lt;=I76), OPR_2P!$A$17 &amp; ", ", "") &amp; IF((OPR_2P!$J$18&gt;=H76)*(OPR_2P!$K$18&lt;=I76), OPR_2P!$A$18 &amp; ", ", ""), LEN(IF((OPR_2P!$J$4&gt;=H76)*(OPR_2P!$K$4&lt;=I76), OPR_2P!$A$4 &amp; ", ", "") &amp; IF((OPR_2P!$J$5&gt;=H76)*(OPR_2P!$K$5&lt;=I76), OPR_2P!$A$5 &amp; ", ", "") &amp; IF((OPR_2P!$J$6&gt;=H76)*(OPR_2P!$K$6&lt;=I76), OPR_2P!$A$6 &amp; ", ", "") &amp; IF((OPR_2P!$J$7&gt;=H76)*(OPR_2P!$K$7&lt;=I76), OPR_2P!$A$7 &amp; ", ", "") &amp; IF((OPR_2P!$J$8&gt;=H76)*(OPR_2P!$K$8&lt;=I76), OPR_2P!$A$8 &amp; ", ", "") &amp; IF((OPR_2P!$J$9&gt;=H76)*(OPR_2P!$K$9&lt;=I76), OPR_2P!$A$9 &amp; ", ", "") &amp; IF((OPR_2P!$J$10&gt;=H76)*(OPR_2P!$K$10&lt;=I76), OPR_2P!$A$10 &amp; ", ", "") &amp; IF((OPR_2P!$J$11&gt;=H76)*(OPR_2P!$K$11&lt;=I76), OPR_2P!$A$11 &amp; ", ", "") &amp; IF((OPR_2P!$J$12&gt;=H76)*(OPR_2P!$K$12&lt;=I76), OPR_2P!$A$12 &amp; ", ", "") &amp; IF((OPR_2P!$J$13&gt;=H76)*(OPR_2P!$K$13&lt;=I76), OPR_2P!$A$13 &amp; ", ", "") &amp; IF((OPR_2P!$J$14&gt;=H76)*(OPR_2P!$K$14&lt;=I76), OPR_2P!$A$14 &amp; ", ", "") &amp; IF((OPR_2P!$J$15&gt;=H76)*(OPR_2P!$K$15&lt;=I76), OPR_2P!$A$15 &amp; ", ", "") &amp; IF((OPR_2P!$J$16&gt;=H76)*(OPR_2P!$K$16&lt;=I76), OPR_2P!$A$16 &amp; ", ", "") &amp; IF((OPR_2P!$J$17&gt;=H76)*(OPR_2P!$K$17&lt;=I76), OPR_2P!$A$17 &amp; ", ", "") &amp; IF((OPR_2P!$J$18&gt;=H76)*(OPR_2P!$K$18&lt;=I76), OPR_2P!$A$18 &amp; ", ", ""))-2), "None")</f>
        <v>9, 15, 17, 20, 25, 28, 30, 34, 42, 46, 50, 54, 57, 63, 70</v>
      </c>
    </row>
    <row r="77" spans="1:10" ht="15" customHeight="1" x14ac:dyDescent="0.3">
      <c r="A77" s="10" t="s">
        <v>208</v>
      </c>
      <c r="B77" s="10" t="s">
        <v>214</v>
      </c>
      <c r="C77" s="22">
        <v>46088</v>
      </c>
      <c r="D77" s="10">
        <v>6</v>
      </c>
      <c r="E77" s="10">
        <v>4</v>
      </c>
      <c r="F77" s="10" t="s">
        <v>133</v>
      </c>
      <c r="G77" s="23" t="s">
        <v>200</v>
      </c>
      <c r="H77" s="14">
        <v>100</v>
      </c>
      <c r="I77" s="14">
        <v>4500</v>
      </c>
      <c r="J77" s="110" t="str">
        <f>IFERROR(LEFT(IF((OPR_2P!$J$4&gt;=H77)*(OPR_2P!$K$4&lt;=I77), OPR_2P!$A$4 &amp; ", ", "") &amp; IF((OPR_2P!$J$5&gt;=H77)*(OPR_2P!$K$5&lt;=I77), OPR_2P!$A$5 &amp; ", ", "") &amp; IF((OPR_2P!$J$6&gt;=H77)*(OPR_2P!$K$6&lt;=I77), OPR_2P!$A$6 &amp; ", ", "") &amp; IF((OPR_2P!$J$7&gt;=H77)*(OPR_2P!$K$7&lt;=I77), OPR_2P!$A$7 &amp; ", ", "") &amp; IF((OPR_2P!$J$8&gt;=H77)*(OPR_2P!$K$8&lt;=I77), OPR_2P!$A$8 &amp; ", ", "") &amp; IF((OPR_2P!$J$9&gt;=H77)*(OPR_2P!$K$9&lt;=I77), OPR_2P!$A$9 &amp; ", ", "") &amp; IF((OPR_2P!$J$10&gt;=H77)*(OPR_2P!$K$10&lt;=I77), OPR_2P!$A$10 &amp; ", ", "") &amp; IF((OPR_2P!$J$11&gt;=H77)*(OPR_2P!$K$11&lt;=I77), OPR_2P!$A$11 &amp; ", ", "") &amp; IF((OPR_2P!$J$12&gt;=H77)*(OPR_2P!$K$12&lt;=I77), OPR_2P!$A$12 &amp; ", ", "") &amp; IF((OPR_2P!$J$13&gt;=H77)*(OPR_2P!$K$13&lt;=I77), OPR_2P!$A$13 &amp; ", ", "") &amp; IF((OPR_2P!$J$14&gt;=H77)*(OPR_2P!$K$14&lt;=I77), OPR_2P!$A$14 &amp; ", ", "") &amp; IF((OPR_2P!$J$15&gt;=H77)*(OPR_2P!$K$15&lt;=I77), OPR_2P!$A$15 &amp; ", ", "") &amp; IF((OPR_2P!$J$16&gt;=H77)*(OPR_2P!$K$16&lt;=I77), OPR_2P!$A$16 &amp; ", ", "") &amp; IF((OPR_2P!$J$17&gt;=H77)*(OPR_2P!$K$17&lt;=I77), OPR_2P!$A$17 &amp; ", ", "") &amp; IF((OPR_2P!$J$18&gt;=H77)*(OPR_2P!$K$18&lt;=I77), OPR_2P!$A$18 &amp; ", ", ""), LEN(IF((OPR_2P!$J$4&gt;=H77)*(OPR_2P!$K$4&lt;=I77), OPR_2P!$A$4 &amp; ", ", "") &amp; IF((OPR_2P!$J$5&gt;=H77)*(OPR_2P!$K$5&lt;=I77), OPR_2P!$A$5 &amp; ", ", "") &amp; IF((OPR_2P!$J$6&gt;=H77)*(OPR_2P!$K$6&lt;=I77), OPR_2P!$A$6 &amp; ", ", "") &amp; IF((OPR_2P!$J$7&gt;=H77)*(OPR_2P!$K$7&lt;=I77), OPR_2P!$A$7 &amp; ", ", "") &amp; IF((OPR_2P!$J$8&gt;=H77)*(OPR_2P!$K$8&lt;=I77), OPR_2P!$A$8 &amp; ", ", "") &amp; IF((OPR_2P!$J$9&gt;=H77)*(OPR_2P!$K$9&lt;=I77), OPR_2P!$A$9 &amp; ", ", "") &amp; IF((OPR_2P!$J$10&gt;=H77)*(OPR_2P!$K$10&lt;=I77), OPR_2P!$A$10 &amp; ", ", "") &amp; IF((OPR_2P!$J$11&gt;=H77)*(OPR_2P!$K$11&lt;=I77), OPR_2P!$A$11 &amp; ", ", "") &amp; IF((OPR_2P!$J$12&gt;=H77)*(OPR_2P!$K$12&lt;=I77), OPR_2P!$A$12 &amp; ", ", "") &amp; IF((OPR_2P!$J$13&gt;=H77)*(OPR_2P!$K$13&lt;=I77), OPR_2P!$A$13 &amp; ", ", "") &amp; IF((OPR_2P!$J$14&gt;=H77)*(OPR_2P!$K$14&lt;=I77), OPR_2P!$A$14 &amp; ", ", "") &amp; IF((OPR_2P!$J$15&gt;=H77)*(OPR_2P!$K$15&lt;=I77), OPR_2P!$A$15 &amp; ", ", "") &amp; IF((OPR_2P!$J$16&gt;=H77)*(OPR_2P!$K$16&lt;=I77), OPR_2P!$A$16 &amp; ", ", "") &amp; IF((OPR_2P!$J$17&gt;=H77)*(OPR_2P!$K$17&lt;=I77), OPR_2P!$A$17 &amp; ", ", "") &amp; IF((OPR_2P!$J$18&gt;=H77)*(OPR_2P!$K$18&lt;=I77), OPR_2P!$A$18 &amp; ", ", ""))-2), "None")</f>
        <v>9, 15, 17, 20, 25, 28, 30, 34, 42, 46, 50, 54, 57, 63, 70</v>
      </c>
    </row>
    <row r="78" spans="1:10" ht="15" customHeight="1" x14ac:dyDescent="0.3">
      <c r="A78" s="10" t="s">
        <v>208</v>
      </c>
      <c r="B78" s="10" t="s">
        <v>215</v>
      </c>
      <c r="C78" s="22">
        <v>46402</v>
      </c>
      <c r="D78" s="10">
        <v>6</v>
      </c>
      <c r="E78" s="10">
        <v>4</v>
      </c>
      <c r="F78" s="10" t="s">
        <v>133</v>
      </c>
      <c r="G78" s="23" t="s">
        <v>200</v>
      </c>
      <c r="H78" s="14">
        <v>100</v>
      </c>
      <c r="I78" s="14">
        <v>4500</v>
      </c>
      <c r="J78" s="110" t="str">
        <f>IFERROR(LEFT(IF((OPR_2P!$J$4&gt;=H78)*(OPR_2P!$K$4&lt;=I78), OPR_2P!$A$4 &amp; ", ", "") &amp; IF((OPR_2P!$J$5&gt;=H78)*(OPR_2P!$K$5&lt;=I78), OPR_2P!$A$5 &amp; ", ", "") &amp; IF((OPR_2P!$J$6&gt;=H78)*(OPR_2P!$K$6&lt;=I78), OPR_2P!$A$6 &amp; ", ", "") &amp; IF((OPR_2P!$J$7&gt;=H78)*(OPR_2P!$K$7&lt;=I78), OPR_2P!$A$7 &amp; ", ", "") &amp; IF((OPR_2P!$J$8&gt;=H78)*(OPR_2P!$K$8&lt;=I78), OPR_2P!$A$8 &amp; ", ", "") &amp; IF((OPR_2P!$J$9&gt;=H78)*(OPR_2P!$K$9&lt;=I78), OPR_2P!$A$9 &amp; ", ", "") &amp; IF((OPR_2P!$J$10&gt;=H78)*(OPR_2P!$K$10&lt;=I78), OPR_2P!$A$10 &amp; ", ", "") &amp; IF((OPR_2P!$J$11&gt;=H78)*(OPR_2P!$K$11&lt;=I78), OPR_2P!$A$11 &amp; ", ", "") &amp; IF((OPR_2P!$J$12&gt;=H78)*(OPR_2P!$K$12&lt;=I78), OPR_2P!$A$12 &amp; ", ", "") &amp; IF((OPR_2P!$J$13&gt;=H78)*(OPR_2P!$K$13&lt;=I78), OPR_2P!$A$13 &amp; ", ", "") &amp; IF((OPR_2P!$J$14&gt;=H78)*(OPR_2P!$K$14&lt;=I78), OPR_2P!$A$14 &amp; ", ", "") &amp; IF((OPR_2P!$J$15&gt;=H78)*(OPR_2P!$K$15&lt;=I78), OPR_2P!$A$15 &amp; ", ", "") &amp; IF((OPR_2P!$J$16&gt;=H78)*(OPR_2P!$K$16&lt;=I78), OPR_2P!$A$16 &amp; ", ", "") &amp; IF((OPR_2P!$J$17&gt;=H78)*(OPR_2P!$K$17&lt;=I78), OPR_2P!$A$17 &amp; ", ", "") &amp; IF((OPR_2P!$J$18&gt;=H78)*(OPR_2P!$K$18&lt;=I78), OPR_2P!$A$18 &amp; ", ", ""), LEN(IF((OPR_2P!$J$4&gt;=H78)*(OPR_2P!$K$4&lt;=I78), OPR_2P!$A$4 &amp; ", ", "") &amp; IF((OPR_2P!$J$5&gt;=H78)*(OPR_2P!$K$5&lt;=I78), OPR_2P!$A$5 &amp; ", ", "") &amp; IF((OPR_2P!$J$6&gt;=H78)*(OPR_2P!$K$6&lt;=I78), OPR_2P!$A$6 &amp; ", ", "") &amp; IF((OPR_2P!$J$7&gt;=H78)*(OPR_2P!$K$7&lt;=I78), OPR_2P!$A$7 &amp; ", ", "") &amp; IF((OPR_2P!$J$8&gt;=H78)*(OPR_2P!$K$8&lt;=I78), OPR_2P!$A$8 &amp; ", ", "") &amp; IF((OPR_2P!$J$9&gt;=H78)*(OPR_2P!$K$9&lt;=I78), OPR_2P!$A$9 &amp; ", ", "") &amp; IF((OPR_2P!$J$10&gt;=H78)*(OPR_2P!$K$10&lt;=I78), OPR_2P!$A$10 &amp; ", ", "") &amp; IF((OPR_2P!$J$11&gt;=H78)*(OPR_2P!$K$11&lt;=I78), OPR_2P!$A$11 &amp; ", ", "") &amp; IF((OPR_2P!$J$12&gt;=H78)*(OPR_2P!$K$12&lt;=I78), OPR_2P!$A$12 &amp; ", ", "") &amp; IF((OPR_2P!$J$13&gt;=H78)*(OPR_2P!$K$13&lt;=I78), OPR_2P!$A$13 &amp; ", ", "") &amp; IF((OPR_2P!$J$14&gt;=H78)*(OPR_2P!$K$14&lt;=I78), OPR_2P!$A$14 &amp; ", ", "") &amp; IF((OPR_2P!$J$15&gt;=H78)*(OPR_2P!$K$15&lt;=I78), OPR_2P!$A$15 &amp; ", ", "") &amp; IF((OPR_2P!$J$16&gt;=H78)*(OPR_2P!$K$16&lt;=I78), OPR_2P!$A$16 &amp; ", ", "") &amp; IF((OPR_2P!$J$17&gt;=H78)*(OPR_2P!$K$17&lt;=I78), OPR_2P!$A$17 &amp; ", ", "") &amp; IF((OPR_2P!$J$18&gt;=H78)*(OPR_2P!$K$18&lt;=I78), OPR_2P!$A$18 &amp; ", ", ""))-2), "None")</f>
        <v>9, 15, 17, 20, 25, 28, 30, 34, 42, 46, 50, 54, 57, 63, 70</v>
      </c>
    </row>
    <row r="79" spans="1:10" ht="15" customHeight="1" x14ac:dyDescent="0.3">
      <c r="A79" s="10" t="s">
        <v>208</v>
      </c>
      <c r="B79" s="10" t="s">
        <v>216</v>
      </c>
      <c r="C79" s="22">
        <v>46328</v>
      </c>
      <c r="D79" s="10">
        <v>6</v>
      </c>
      <c r="E79" s="10">
        <v>4</v>
      </c>
      <c r="F79" s="10" t="s">
        <v>133</v>
      </c>
      <c r="G79" s="23" t="s">
        <v>200</v>
      </c>
      <c r="H79" s="14">
        <v>100</v>
      </c>
      <c r="I79" s="14">
        <v>4500</v>
      </c>
      <c r="J79" s="110" t="str">
        <f>IFERROR(LEFT(IF((OPR_2P!$J$4&gt;=H79)*(OPR_2P!$K$4&lt;=I79), OPR_2P!$A$4 &amp; ", ", "") &amp; IF((OPR_2P!$J$5&gt;=H79)*(OPR_2P!$K$5&lt;=I79), OPR_2P!$A$5 &amp; ", ", "") &amp; IF((OPR_2P!$J$6&gt;=H79)*(OPR_2P!$K$6&lt;=I79), OPR_2P!$A$6 &amp; ", ", "") &amp; IF((OPR_2P!$J$7&gt;=H79)*(OPR_2P!$K$7&lt;=I79), OPR_2P!$A$7 &amp; ", ", "") &amp; IF((OPR_2P!$J$8&gt;=H79)*(OPR_2P!$K$8&lt;=I79), OPR_2P!$A$8 &amp; ", ", "") &amp; IF((OPR_2P!$J$9&gt;=H79)*(OPR_2P!$K$9&lt;=I79), OPR_2P!$A$9 &amp; ", ", "") &amp; IF((OPR_2P!$J$10&gt;=H79)*(OPR_2P!$K$10&lt;=I79), OPR_2P!$A$10 &amp; ", ", "") &amp; IF((OPR_2P!$J$11&gt;=H79)*(OPR_2P!$K$11&lt;=I79), OPR_2P!$A$11 &amp; ", ", "") &amp; IF((OPR_2P!$J$12&gt;=H79)*(OPR_2P!$K$12&lt;=I79), OPR_2P!$A$12 &amp; ", ", "") &amp; IF((OPR_2P!$J$13&gt;=H79)*(OPR_2P!$K$13&lt;=I79), OPR_2P!$A$13 &amp; ", ", "") &amp; IF((OPR_2P!$J$14&gt;=H79)*(OPR_2P!$K$14&lt;=I79), OPR_2P!$A$14 &amp; ", ", "") &amp; IF((OPR_2P!$J$15&gt;=H79)*(OPR_2P!$K$15&lt;=I79), OPR_2P!$A$15 &amp; ", ", "") &amp; IF((OPR_2P!$J$16&gt;=H79)*(OPR_2P!$K$16&lt;=I79), OPR_2P!$A$16 &amp; ", ", "") &amp; IF((OPR_2P!$J$17&gt;=H79)*(OPR_2P!$K$17&lt;=I79), OPR_2P!$A$17 &amp; ", ", "") &amp; IF((OPR_2P!$J$18&gt;=H79)*(OPR_2P!$K$18&lt;=I79), OPR_2P!$A$18 &amp; ", ", ""), LEN(IF((OPR_2P!$J$4&gt;=H79)*(OPR_2P!$K$4&lt;=I79), OPR_2P!$A$4 &amp; ", ", "") &amp; IF((OPR_2P!$J$5&gt;=H79)*(OPR_2P!$K$5&lt;=I79), OPR_2P!$A$5 &amp; ", ", "") &amp; IF((OPR_2P!$J$6&gt;=H79)*(OPR_2P!$K$6&lt;=I79), OPR_2P!$A$6 &amp; ", ", "") &amp; IF((OPR_2P!$J$7&gt;=H79)*(OPR_2P!$K$7&lt;=I79), OPR_2P!$A$7 &amp; ", ", "") &amp; IF((OPR_2P!$J$8&gt;=H79)*(OPR_2P!$K$8&lt;=I79), OPR_2P!$A$8 &amp; ", ", "") &amp; IF((OPR_2P!$J$9&gt;=H79)*(OPR_2P!$K$9&lt;=I79), OPR_2P!$A$9 &amp; ", ", "") &amp; IF((OPR_2P!$J$10&gt;=H79)*(OPR_2P!$K$10&lt;=I79), OPR_2P!$A$10 &amp; ", ", "") &amp; IF((OPR_2P!$J$11&gt;=H79)*(OPR_2P!$K$11&lt;=I79), OPR_2P!$A$11 &amp; ", ", "") &amp; IF((OPR_2P!$J$12&gt;=H79)*(OPR_2P!$K$12&lt;=I79), OPR_2P!$A$12 &amp; ", ", "") &amp; IF((OPR_2P!$J$13&gt;=H79)*(OPR_2P!$K$13&lt;=I79), OPR_2P!$A$13 &amp; ", ", "") &amp; IF((OPR_2P!$J$14&gt;=H79)*(OPR_2P!$K$14&lt;=I79), OPR_2P!$A$14 &amp; ", ", "") &amp; IF((OPR_2P!$J$15&gt;=H79)*(OPR_2P!$K$15&lt;=I79), OPR_2P!$A$15 &amp; ", ", "") &amp; IF((OPR_2P!$J$16&gt;=H79)*(OPR_2P!$K$16&lt;=I79), OPR_2P!$A$16 &amp; ", ", "") &amp; IF((OPR_2P!$J$17&gt;=H79)*(OPR_2P!$K$17&lt;=I79), OPR_2P!$A$17 &amp; ", ", "") &amp; IF((OPR_2P!$J$18&gt;=H79)*(OPR_2P!$K$18&lt;=I79), OPR_2P!$A$18 &amp; ", ", ""))-2), "None")</f>
        <v>9, 15, 17, 20, 25, 28, 30, 34, 42, 46, 50, 54, 57, 63, 70</v>
      </c>
    </row>
    <row r="80" spans="1:10" ht="15" customHeight="1" x14ac:dyDescent="0.3">
      <c r="A80" s="10" t="s">
        <v>208</v>
      </c>
      <c r="B80" s="10" t="s">
        <v>217</v>
      </c>
      <c r="C80" s="22">
        <v>46165</v>
      </c>
      <c r="D80" s="10">
        <v>6</v>
      </c>
      <c r="E80" s="10">
        <v>4</v>
      </c>
      <c r="F80" s="10" t="s">
        <v>133</v>
      </c>
      <c r="G80" s="23" t="s">
        <v>200</v>
      </c>
      <c r="H80" s="14">
        <v>100</v>
      </c>
      <c r="I80" s="14">
        <v>4500</v>
      </c>
      <c r="J80" s="110" t="str">
        <f>IFERROR(LEFT(IF((OPR_2P!$J$4&gt;=H80)*(OPR_2P!$K$4&lt;=I80), OPR_2P!$A$4 &amp; ", ", "") &amp; IF((OPR_2P!$J$5&gt;=H80)*(OPR_2P!$K$5&lt;=I80), OPR_2P!$A$5 &amp; ", ", "") &amp; IF((OPR_2P!$J$6&gt;=H80)*(OPR_2P!$K$6&lt;=I80), OPR_2P!$A$6 &amp; ", ", "") &amp; IF((OPR_2P!$J$7&gt;=H80)*(OPR_2P!$K$7&lt;=I80), OPR_2P!$A$7 &amp; ", ", "") &amp; IF((OPR_2P!$J$8&gt;=H80)*(OPR_2P!$K$8&lt;=I80), OPR_2P!$A$8 &amp; ", ", "") &amp; IF((OPR_2P!$J$9&gt;=H80)*(OPR_2P!$K$9&lt;=I80), OPR_2P!$A$9 &amp; ", ", "") &amp; IF((OPR_2P!$J$10&gt;=H80)*(OPR_2P!$K$10&lt;=I80), OPR_2P!$A$10 &amp; ", ", "") &amp; IF((OPR_2P!$J$11&gt;=H80)*(OPR_2P!$K$11&lt;=I80), OPR_2P!$A$11 &amp; ", ", "") &amp; IF((OPR_2P!$J$12&gt;=H80)*(OPR_2P!$K$12&lt;=I80), OPR_2P!$A$12 &amp; ", ", "") &amp; IF((OPR_2P!$J$13&gt;=H80)*(OPR_2P!$K$13&lt;=I80), OPR_2P!$A$13 &amp; ", ", "") &amp; IF((OPR_2P!$J$14&gt;=H80)*(OPR_2P!$K$14&lt;=I80), OPR_2P!$A$14 &amp; ", ", "") &amp; IF((OPR_2P!$J$15&gt;=H80)*(OPR_2P!$K$15&lt;=I80), OPR_2P!$A$15 &amp; ", ", "") &amp; IF((OPR_2P!$J$16&gt;=H80)*(OPR_2P!$K$16&lt;=I80), OPR_2P!$A$16 &amp; ", ", "") &amp; IF((OPR_2P!$J$17&gt;=H80)*(OPR_2P!$K$17&lt;=I80), OPR_2P!$A$17 &amp; ", ", "") &amp; IF((OPR_2P!$J$18&gt;=H80)*(OPR_2P!$K$18&lt;=I80), OPR_2P!$A$18 &amp; ", ", ""), LEN(IF((OPR_2P!$J$4&gt;=H80)*(OPR_2P!$K$4&lt;=I80), OPR_2P!$A$4 &amp; ", ", "") &amp; IF((OPR_2P!$J$5&gt;=H80)*(OPR_2P!$K$5&lt;=I80), OPR_2P!$A$5 &amp; ", ", "") &amp; IF((OPR_2P!$J$6&gt;=H80)*(OPR_2P!$K$6&lt;=I80), OPR_2P!$A$6 &amp; ", ", "") &amp; IF((OPR_2P!$J$7&gt;=H80)*(OPR_2P!$K$7&lt;=I80), OPR_2P!$A$7 &amp; ", ", "") &amp; IF((OPR_2P!$J$8&gt;=H80)*(OPR_2P!$K$8&lt;=I80), OPR_2P!$A$8 &amp; ", ", "") &amp; IF((OPR_2P!$J$9&gt;=H80)*(OPR_2P!$K$9&lt;=I80), OPR_2P!$A$9 &amp; ", ", "") &amp; IF((OPR_2P!$J$10&gt;=H80)*(OPR_2P!$K$10&lt;=I80), OPR_2P!$A$10 &amp; ", ", "") &amp; IF((OPR_2P!$J$11&gt;=H80)*(OPR_2P!$K$11&lt;=I80), OPR_2P!$A$11 &amp; ", ", "") &amp; IF((OPR_2P!$J$12&gt;=H80)*(OPR_2P!$K$12&lt;=I80), OPR_2P!$A$12 &amp; ", ", "") &amp; IF((OPR_2P!$J$13&gt;=H80)*(OPR_2P!$K$13&lt;=I80), OPR_2P!$A$13 &amp; ", ", "") &amp; IF((OPR_2P!$J$14&gt;=H80)*(OPR_2P!$K$14&lt;=I80), OPR_2P!$A$14 &amp; ", ", "") &amp; IF((OPR_2P!$J$15&gt;=H80)*(OPR_2P!$K$15&lt;=I80), OPR_2P!$A$15 &amp; ", ", "") &amp; IF((OPR_2P!$J$16&gt;=H80)*(OPR_2P!$K$16&lt;=I80), OPR_2P!$A$16 &amp; ", ", "") &amp; IF((OPR_2P!$J$17&gt;=H80)*(OPR_2P!$K$17&lt;=I80), OPR_2P!$A$17 &amp; ", ", "") &amp; IF((OPR_2P!$J$18&gt;=H80)*(OPR_2P!$K$18&lt;=I80), OPR_2P!$A$18 &amp; ", ", ""))-2), "None")</f>
        <v>9, 15, 17, 20, 25, 28, 30, 34, 42, 46, 50, 54, 57, 63, 70</v>
      </c>
    </row>
    <row r="81" spans="1:10" ht="15" customHeight="1" x14ac:dyDescent="0.3">
      <c r="A81" s="10" t="s">
        <v>208</v>
      </c>
      <c r="B81" s="10" t="s">
        <v>218</v>
      </c>
      <c r="C81" s="22">
        <v>46483</v>
      </c>
      <c r="D81" s="10">
        <v>6</v>
      </c>
      <c r="E81" s="10">
        <v>4</v>
      </c>
      <c r="F81" s="10" t="s">
        <v>133</v>
      </c>
      <c r="G81" s="23" t="s">
        <v>200</v>
      </c>
      <c r="H81" s="14">
        <v>100</v>
      </c>
      <c r="I81" s="14">
        <v>4500</v>
      </c>
      <c r="J81" s="110" t="str">
        <f>IFERROR(LEFT(IF((OPR_2P!$J$4&gt;=H81)*(OPR_2P!$K$4&lt;=I81), OPR_2P!$A$4 &amp; ", ", "") &amp; IF((OPR_2P!$J$5&gt;=H81)*(OPR_2P!$K$5&lt;=I81), OPR_2P!$A$5 &amp; ", ", "") &amp; IF((OPR_2P!$J$6&gt;=H81)*(OPR_2P!$K$6&lt;=I81), OPR_2P!$A$6 &amp; ", ", "") &amp; IF((OPR_2P!$J$7&gt;=H81)*(OPR_2P!$K$7&lt;=I81), OPR_2P!$A$7 &amp; ", ", "") &amp; IF((OPR_2P!$J$8&gt;=H81)*(OPR_2P!$K$8&lt;=I81), OPR_2P!$A$8 &amp; ", ", "") &amp; IF((OPR_2P!$J$9&gt;=H81)*(OPR_2P!$K$9&lt;=I81), OPR_2P!$A$9 &amp; ", ", "") &amp; IF((OPR_2P!$J$10&gt;=H81)*(OPR_2P!$K$10&lt;=I81), OPR_2P!$A$10 &amp; ", ", "") &amp; IF((OPR_2P!$J$11&gt;=H81)*(OPR_2P!$K$11&lt;=I81), OPR_2P!$A$11 &amp; ", ", "") &amp; IF((OPR_2P!$J$12&gt;=H81)*(OPR_2P!$K$12&lt;=I81), OPR_2P!$A$12 &amp; ", ", "") &amp; IF((OPR_2P!$J$13&gt;=H81)*(OPR_2P!$K$13&lt;=I81), OPR_2P!$A$13 &amp; ", ", "") &amp; IF((OPR_2P!$J$14&gt;=H81)*(OPR_2P!$K$14&lt;=I81), OPR_2P!$A$14 &amp; ", ", "") &amp; IF((OPR_2P!$J$15&gt;=H81)*(OPR_2P!$K$15&lt;=I81), OPR_2P!$A$15 &amp; ", ", "") &amp; IF((OPR_2P!$J$16&gt;=H81)*(OPR_2P!$K$16&lt;=I81), OPR_2P!$A$16 &amp; ", ", "") &amp; IF((OPR_2P!$J$17&gt;=H81)*(OPR_2P!$K$17&lt;=I81), OPR_2P!$A$17 &amp; ", ", "") &amp; IF((OPR_2P!$J$18&gt;=H81)*(OPR_2P!$K$18&lt;=I81), OPR_2P!$A$18 &amp; ", ", ""), LEN(IF((OPR_2P!$J$4&gt;=H81)*(OPR_2P!$K$4&lt;=I81), OPR_2P!$A$4 &amp; ", ", "") &amp; IF((OPR_2P!$J$5&gt;=H81)*(OPR_2P!$K$5&lt;=I81), OPR_2P!$A$5 &amp; ", ", "") &amp; IF((OPR_2P!$J$6&gt;=H81)*(OPR_2P!$K$6&lt;=I81), OPR_2P!$A$6 &amp; ", ", "") &amp; IF((OPR_2P!$J$7&gt;=H81)*(OPR_2P!$K$7&lt;=I81), OPR_2P!$A$7 &amp; ", ", "") &amp; IF((OPR_2P!$J$8&gt;=H81)*(OPR_2P!$K$8&lt;=I81), OPR_2P!$A$8 &amp; ", ", "") &amp; IF((OPR_2P!$J$9&gt;=H81)*(OPR_2P!$K$9&lt;=I81), OPR_2P!$A$9 &amp; ", ", "") &amp; IF((OPR_2P!$J$10&gt;=H81)*(OPR_2P!$K$10&lt;=I81), OPR_2P!$A$10 &amp; ", ", "") &amp; IF((OPR_2P!$J$11&gt;=H81)*(OPR_2P!$K$11&lt;=I81), OPR_2P!$A$11 &amp; ", ", "") &amp; IF((OPR_2P!$J$12&gt;=H81)*(OPR_2P!$K$12&lt;=I81), OPR_2P!$A$12 &amp; ", ", "") &amp; IF((OPR_2P!$J$13&gt;=H81)*(OPR_2P!$K$13&lt;=I81), OPR_2P!$A$13 &amp; ", ", "") &amp; IF((OPR_2P!$J$14&gt;=H81)*(OPR_2P!$K$14&lt;=I81), OPR_2P!$A$14 &amp; ", ", "") &amp; IF((OPR_2P!$J$15&gt;=H81)*(OPR_2P!$K$15&lt;=I81), OPR_2P!$A$15 &amp; ", ", "") &amp; IF((OPR_2P!$J$16&gt;=H81)*(OPR_2P!$K$16&lt;=I81), OPR_2P!$A$16 &amp; ", ", "") &amp; IF((OPR_2P!$J$17&gt;=H81)*(OPR_2P!$K$17&lt;=I81), OPR_2P!$A$17 &amp; ", ", "") &amp; IF((OPR_2P!$J$18&gt;=H81)*(OPR_2P!$K$18&lt;=I81), OPR_2P!$A$18 &amp; ", ", ""))-2), "None")</f>
        <v>9, 15, 17, 20, 25, 28, 30, 34, 42, 46, 50, 54, 57, 63, 70</v>
      </c>
    </row>
    <row r="82" spans="1:10" ht="15" customHeight="1" x14ac:dyDescent="0.3">
      <c r="A82" s="10" t="s">
        <v>219</v>
      </c>
      <c r="B82" s="10" t="s">
        <v>220</v>
      </c>
      <c r="C82" s="22">
        <v>46518</v>
      </c>
      <c r="D82" s="10">
        <v>6</v>
      </c>
      <c r="E82" s="10">
        <v>4</v>
      </c>
      <c r="F82" s="10" t="s">
        <v>133</v>
      </c>
      <c r="G82" s="23" t="s">
        <v>134</v>
      </c>
      <c r="H82" s="14">
        <v>100</v>
      </c>
      <c r="I82" s="14">
        <v>4500</v>
      </c>
      <c r="J82" s="110" t="str">
        <f>IFERROR(LEFT(IF((OPR_2P!$J$4&gt;=H82)*(OPR_2P!$K$4&lt;=I82), OPR_2P!$A$4 &amp; ", ", "") &amp; IF((OPR_2P!$J$5&gt;=H82)*(OPR_2P!$K$5&lt;=I82), OPR_2P!$A$5 &amp; ", ", "") &amp; IF((OPR_2P!$J$6&gt;=H82)*(OPR_2P!$K$6&lt;=I82), OPR_2P!$A$6 &amp; ", ", "") &amp; IF((OPR_2P!$J$7&gt;=H82)*(OPR_2P!$K$7&lt;=I82), OPR_2P!$A$7 &amp; ", ", "") &amp; IF((OPR_2P!$J$8&gt;=H82)*(OPR_2P!$K$8&lt;=I82), OPR_2P!$A$8 &amp; ", ", "") &amp; IF((OPR_2P!$J$9&gt;=H82)*(OPR_2P!$K$9&lt;=I82), OPR_2P!$A$9 &amp; ", ", "") &amp; IF((OPR_2P!$J$10&gt;=H82)*(OPR_2P!$K$10&lt;=I82), OPR_2P!$A$10 &amp; ", ", "") &amp; IF((OPR_2P!$J$11&gt;=H82)*(OPR_2P!$K$11&lt;=I82), OPR_2P!$A$11 &amp; ", ", "") &amp; IF((OPR_2P!$J$12&gt;=H82)*(OPR_2P!$K$12&lt;=I82), OPR_2P!$A$12 &amp; ", ", "") &amp; IF((OPR_2P!$J$13&gt;=H82)*(OPR_2P!$K$13&lt;=I82), OPR_2P!$A$13 &amp; ", ", "") &amp; IF((OPR_2P!$J$14&gt;=H82)*(OPR_2P!$K$14&lt;=I82), OPR_2P!$A$14 &amp; ", ", "") &amp; IF((OPR_2P!$J$15&gt;=H82)*(OPR_2P!$K$15&lt;=I82), OPR_2P!$A$15 &amp; ", ", "") &amp; IF((OPR_2P!$J$16&gt;=H82)*(OPR_2P!$K$16&lt;=I82), OPR_2P!$A$16 &amp; ", ", "") &amp; IF((OPR_2P!$J$17&gt;=H82)*(OPR_2P!$K$17&lt;=I82), OPR_2P!$A$17 &amp; ", ", "") &amp; IF((OPR_2P!$J$18&gt;=H82)*(OPR_2P!$K$18&lt;=I82), OPR_2P!$A$18 &amp; ", ", ""), LEN(IF((OPR_2P!$J$4&gt;=H82)*(OPR_2P!$K$4&lt;=I82), OPR_2P!$A$4 &amp; ", ", "") &amp; IF((OPR_2P!$J$5&gt;=H82)*(OPR_2P!$K$5&lt;=I82), OPR_2P!$A$5 &amp; ", ", "") &amp; IF((OPR_2P!$J$6&gt;=H82)*(OPR_2P!$K$6&lt;=I82), OPR_2P!$A$6 &amp; ", ", "") &amp; IF((OPR_2P!$J$7&gt;=H82)*(OPR_2P!$K$7&lt;=I82), OPR_2P!$A$7 &amp; ", ", "") &amp; IF((OPR_2P!$J$8&gt;=H82)*(OPR_2P!$K$8&lt;=I82), OPR_2P!$A$8 &amp; ", ", "") &amp; IF((OPR_2P!$J$9&gt;=H82)*(OPR_2P!$K$9&lt;=I82), OPR_2P!$A$9 &amp; ", ", "") &amp; IF((OPR_2P!$J$10&gt;=H82)*(OPR_2P!$K$10&lt;=I82), OPR_2P!$A$10 &amp; ", ", "") &amp; IF((OPR_2P!$J$11&gt;=H82)*(OPR_2P!$K$11&lt;=I82), OPR_2P!$A$11 &amp; ", ", "") &amp; IF((OPR_2P!$J$12&gt;=H82)*(OPR_2P!$K$12&lt;=I82), OPR_2P!$A$12 &amp; ", ", "") &amp; IF((OPR_2P!$J$13&gt;=H82)*(OPR_2P!$K$13&lt;=I82), OPR_2P!$A$13 &amp; ", ", "") &amp; IF((OPR_2P!$J$14&gt;=H82)*(OPR_2P!$K$14&lt;=I82), OPR_2P!$A$14 &amp; ", ", "") &amp; IF((OPR_2P!$J$15&gt;=H82)*(OPR_2P!$K$15&lt;=I82), OPR_2P!$A$15 &amp; ", ", "") &amp; IF((OPR_2P!$J$16&gt;=H82)*(OPR_2P!$K$16&lt;=I82), OPR_2P!$A$16 &amp; ", ", "") &amp; IF((OPR_2P!$J$17&gt;=H82)*(OPR_2P!$K$17&lt;=I82), OPR_2P!$A$17 &amp; ", ", "") &amp; IF((OPR_2P!$J$18&gt;=H82)*(OPR_2P!$K$18&lt;=I82), OPR_2P!$A$18 &amp; ", ", ""))-2), "None")</f>
        <v>9, 15, 17, 20, 25, 28, 30, 34, 42, 46, 50, 54, 57, 63, 70</v>
      </c>
    </row>
    <row r="83" spans="1:10" ht="15" customHeight="1" x14ac:dyDescent="0.3">
      <c r="A83" s="10" t="s">
        <v>219</v>
      </c>
      <c r="B83" s="10" t="s">
        <v>221</v>
      </c>
      <c r="C83" s="22">
        <v>46115</v>
      </c>
      <c r="D83" s="10">
        <v>6</v>
      </c>
      <c r="E83" s="10">
        <v>4</v>
      </c>
      <c r="F83" s="10" t="s">
        <v>133</v>
      </c>
      <c r="G83" s="23" t="s">
        <v>134</v>
      </c>
      <c r="H83" s="14">
        <v>100</v>
      </c>
      <c r="I83" s="14">
        <v>4500</v>
      </c>
      <c r="J83" s="110" t="str">
        <f>IFERROR(LEFT(IF((OPR_2P!$J$4&gt;=H83)*(OPR_2P!$K$4&lt;=I83), OPR_2P!$A$4 &amp; ", ", "") &amp; IF((OPR_2P!$J$5&gt;=H83)*(OPR_2P!$K$5&lt;=I83), OPR_2P!$A$5 &amp; ", ", "") &amp; IF((OPR_2P!$J$6&gt;=H83)*(OPR_2P!$K$6&lt;=I83), OPR_2P!$A$6 &amp; ", ", "") &amp; IF((OPR_2P!$J$7&gt;=H83)*(OPR_2P!$K$7&lt;=I83), OPR_2P!$A$7 &amp; ", ", "") &amp; IF((OPR_2P!$J$8&gt;=H83)*(OPR_2P!$K$8&lt;=I83), OPR_2P!$A$8 &amp; ", ", "") &amp; IF((OPR_2P!$J$9&gt;=H83)*(OPR_2P!$K$9&lt;=I83), OPR_2P!$A$9 &amp; ", ", "") &amp; IF((OPR_2P!$J$10&gt;=H83)*(OPR_2P!$K$10&lt;=I83), OPR_2P!$A$10 &amp; ", ", "") &amp; IF((OPR_2P!$J$11&gt;=H83)*(OPR_2P!$K$11&lt;=I83), OPR_2P!$A$11 &amp; ", ", "") &amp; IF((OPR_2P!$J$12&gt;=H83)*(OPR_2P!$K$12&lt;=I83), OPR_2P!$A$12 &amp; ", ", "") &amp; IF((OPR_2P!$J$13&gt;=H83)*(OPR_2P!$K$13&lt;=I83), OPR_2P!$A$13 &amp; ", ", "") &amp; IF((OPR_2P!$J$14&gt;=H83)*(OPR_2P!$K$14&lt;=I83), OPR_2P!$A$14 &amp; ", ", "") &amp; IF((OPR_2P!$J$15&gt;=H83)*(OPR_2P!$K$15&lt;=I83), OPR_2P!$A$15 &amp; ", ", "") &amp; IF((OPR_2P!$J$16&gt;=H83)*(OPR_2P!$K$16&lt;=I83), OPR_2P!$A$16 &amp; ", ", "") &amp; IF((OPR_2P!$J$17&gt;=H83)*(OPR_2P!$K$17&lt;=I83), OPR_2P!$A$17 &amp; ", ", "") &amp; IF((OPR_2P!$J$18&gt;=H83)*(OPR_2P!$K$18&lt;=I83), OPR_2P!$A$18 &amp; ", ", ""), LEN(IF((OPR_2P!$J$4&gt;=H83)*(OPR_2P!$K$4&lt;=I83), OPR_2P!$A$4 &amp; ", ", "") &amp; IF((OPR_2P!$J$5&gt;=H83)*(OPR_2P!$K$5&lt;=I83), OPR_2P!$A$5 &amp; ", ", "") &amp; IF((OPR_2P!$J$6&gt;=H83)*(OPR_2P!$K$6&lt;=I83), OPR_2P!$A$6 &amp; ", ", "") &amp; IF((OPR_2P!$J$7&gt;=H83)*(OPR_2P!$K$7&lt;=I83), OPR_2P!$A$7 &amp; ", ", "") &amp; IF((OPR_2P!$J$8&gt;=H83)*(OPR_2P!$K$8&lt;=I83), OPR_2P!$A$8 &amp; ", ", "") &amp; IF((OPR_2P!$J$9&gt;=H83)*(OPR_2P!$K$9&lt;=I83), OPR_2P!$A$9 &amp; ", ", "") &amp; IF((OPR_2P!$J$10&gt;=H83)*(OPR_2P!$K$10&lt;=I83), OPR_2P!$A$10 &amp; ", ", "") &amp; IF((OPR_2P!$J$11&gt;=H83)*(OPR_2P!$K$11&lt;=I83), OPR_2P!$A$11 &amp; ", ", "") &amp; IF((OPR_2P!$J$12&gt;=H83)*(OPR_2P!$K$12&lt;=I83), OPR_2P!$A$12 &amp; ", ", "") &amp; IF((OPR_2P!$J$13&gt;=H83)*(OPR_2P!$K$13&lt;=I83), OPR_2P!$A$13 &amp; ", ", "") &amp; IF((OPR_2P!$J$14&gt;=H83)*(OPR_2P!$K$14&lt;=I83), OPR_2P!$A$14 &amp; ", ", "") &amp; IF((OPR_2P!$J$15&gt;=H83)*(OPR_2P!$K$15&lt;=I83), OPR_2P!$A$15 &amp; ", ", "") &amp; IF((OPR_2P!$J$16&gt;=H83)*(OPR_2P!$K$16&lt;=I83), OPR_2P!$A$16 &amp; ", ", "") &amp; IF((OPR_2P!$J$17&gt;=H83)*(OPR_2P!$K$17&lt;=I83), OPR_2P!$A$17 &amp; ", ", "") &amp; IF((OPR_2P!$J$18&gt;=H83)*(OPR_2P!$K$18&lt;=I83), OPR_2P!$A$18 &amp; ", ", ""))-2), "None")</f>
        <v>9, 15, 17, 20, 25, 28, 30, 34, 42, 46, 50, 54, 57, 63, 70</v>
      </c>
    </row>
    <row r="84" spans="1:10" ht="15" customHeight="1" x14ac:dyDescent="0.3">
      <c r="A84" s="10" t="s">
        <v>219</v>
      </c>
      <c r="B84" s="10" t="s">
        <v>222</v>
      </c>
      <c r="C84" s="22">
        <v>46172</v>
      </c>
      <c r="D84" s="10">
        <v>6</v>
      </c>
      <c r="E84" s="10">
        <v>4</v>
      </c>
      <c r="F84" s="10" t="s">
        <v>133</v>
      </c>
      <c r="G84" s="23" t="s">
        <v>134</v>
      </c>
      <c r="H84" s="14">
        <v>100</v>
      </c>
      <c r="I84" s="14">
        <v>4500</v>
      </c>
      <c r="J84" s="110" t="str">
        <f>IFERROR(LEFT(IF((OPR_2P!$J$4&gt;=H84)*(OPR_2P!$K$4&lt;=I84), OPR_2P!$A$4 &amp; ", ", "") &amp; IF((OPR_2P!$J$5&gt;=H84)*(OPR_2P!$K$5&lt;=I84), OPR_2P!$A$5 &amp; ", ", "") &amp; IF((OPR_2P!$J$6&gt;=H84)*(OPR_2P!$K$6&lt;=I84), OPR_2P!$A$6 &amp; ", ", "") &amp; IF((OPR_2P!$J$7&gt;=H84)*(OPR_2P!$K$7&lt;=I84), OPR_2P!$A$7 &amp; ", ", "") &amp; IF((OPR_2P!$J$8&gt;=H84)*(OPR_2P!$K$8&lt;=I84), OPR_2P!$A$8 &amp; ", ", "") &amp; IF((OPR_2P!$J$9&gt;=H84)*(OPR_2P!$K$9&lt;=I84), OPR_2P!$A$9 &amp; ", ", "") &amp; IF((OPR_2P!$J$10&gt;=H84)*(OPR_2P!$K$10&lt;=I84), OPR_2P!$A$10 &amp; ", ", "") &amp; IF((OPR_2P!$J$11&gt;=H84)*(OPR_2P!$K$11&lt;=I84), OPR_2P!$A$11 &amp; ", ", "") &amp; IF((OPR_2P!$J$12&gt;=H84)*(OPR_2P!$K$12&lt;=I84), OPR_2P!$A$12 &amp; ", ", "") &amp; IF((OPR_2P!$J$13&gt;=H84)*(OPR_2P!$K$13&lt;=I84), OPR_2P!$A$13 &amp; ", ", "") &amp; IF((OPR_2P!$J$14&gt;=H84)*(OPR_2P!$K$14&lt;=I84), OPR_2P!$A$14 &amp; ", ", "") &amp; IF((OPR_2P!$J$15&gt;=H84)*(OPR_2P!$K$15&lt;=I84), OPR_2P!$A$15 &amp; ", ", "") &amp; IF((OPR_2P!$J$16&gt;=H84)*(OPR_2P!$K$16&lt;=I84), OPR_2P!$A$16 &amp; ", ", "") &amp; IF((OPR_2P!$J$17&gt;=H84)*(OPR_2P!$K$17&lt;=I84), OPR_2P!$A$17 &amp; ", ", "") &amp; IF((OPR_2P!$J$18&gt;=H84)*(OPR_2P!$K$18&lt;=I84), OPR_2P!$A$18 &amp; ", ", ""), LEN(IF((OPR_2P!$J$4&gt;=H84)*(OPR_2P!$K$4&lt;=I84), OPR_2P!$A$4 &amp; ", ", "") &amp; IF((OPR_2P!$J$5&gt;=H84)*(OPR_2P!$K$5&lt;=I84), OPR_2P!$A$5 &amp; ", ", "") &amp; IF((OPR_2P!$J$6&gt;=H84)*(OPR_2P!$K$6&lt;=I84), OPR_2P!$A$6 &amp; ", ", "") &amp; IF((OPR_2P!$J$7&gt;=H84)*(OPR_2P!$K$7&lt;=I84), OPR_2P!$A$7 &amp; ", ", "") &amp; IF((OPR_2P!$J$8&gt;=H84)*(OPR_2P!$K$8&lt;=I84), OPR_2P!$A$8 &amp; ", ", "") &amp; IF((OPR_2P!$J$9&gt;=H84)*(OPR_2P!$K$9&lt;=I84), OPR_2P!$A$9 &amp; ", ", "") &amp; IF((OPR_2P!$J$10&gt;=H84)*(OPR_2P!$K$10&lt;=I84), OPR_2P!$A$10 &amp; ", ", "") &amp; IF((OPR_2P!$J$11&gt;=H84)*(OPR_2P!$K$11&lt;=I84), OPR_2P!$A$11 &amp; ", ", "") &amp; IF((OPR_2P!$J$12&gt;=H84)*(OPR_2P!$K$12&lt;=I84), OPR_2P!$A$12 &amp; ", ", "") &amp; IF((OPR_2P!$J$13&gt;=H84)*(OPR_2P!$K$13&lt;=I84), OPR_2P!$A$13 &amp; ", ", "") &amp; IF((OPR_2P!$J$14&gt;=H84)*(OPR_2P!$K$14&lt;=I84), OPR_2P!$A$14 &amp; ", ", "") &amp; IF((OPR_2P!$J$15&gt;=H84)*(OPR_2P!$K$15&lt;=I84), OPR_2P!$A$15 &amp; ", ", "") &amp; IF((OPR_2P!$J$16&gt;=H84)*(OPR_2P!$K$16&lt;=I84), OPR_2P!$A$16 &amp; ", ", "") &amp; IF((OPR_2P!$J$17&gt;=H84)*(OPR_2P!$K$17&lt;=I84), OPR_2P!$A$17 &amp; ", ", "") &amp; IF((OPR_2P!$J$18&gt;=H84)*(OPR_2P!$K$18&lt;=I84), OPR_2P!$A$18 &amp; ", ", ""))-2), "None")</f>
        <v>9, 15, 17, 20, 25, 28, 30, 34, 42, 46, 50, 54, 57, 63, 70</v>
      </c>
    </row>
    <row r="85" spans="1:10" ht="15" customHeight="1" x14ac:dyDescent="0.3">
      <c r="A85" s="10" t="s">
        <v>219</v>
      </c>
      <c r="B85" s="10" t="s">
        <v>223</v>
      </c>
      <c r="C85" s="22">
        <v>46195</v>
      </c>
      <c r="D85" s="10">
        <v>6</v>
      </c>
      <c r="E85" s="10">
        <v>4</v>
      </c>
      <c r="F85" s="10" t="s">
        <v>133</v>
      </c>
      <c r="G85" s="23" t="s">
        <v>134</v>
      </c>
      <c r="H85" s="14">
        <v>100</v>
      </c>
      <c r="I85" s="14">
        <v>4500</v>
      </c>
      <c r="J85" s="110" t="str">
        <f>IFERROR(LEFT(IF((OPR_2P!$J$4&gt;=H85)*(OPR_2P!$K$4&lt;=I85), OPR_2P!$A$4 &amp; ", ", "") &amp; IF((OPR_2P!$J$5&gt;=H85)*(OPR_2P!$K$5&lt;=I85), OPR_2P!$A$5 &amp; ", ", "") &amp; IF((OPR_2P!$J$6&gt;=H85)*(OPR_2P!$K$6&lt;=I85), OPR_2P!$A$6 &amp; ", ", "") &amp; IF((OPR_2P!$J$7&gt;=H85)*(OPR_2P!$K$7&lt;=I85), OPR_2P!$A$7 &amp; ", ", "") &amp; IF((OPR_2P!$J$8&gt;=H85)*(OPR_2P!$K$8&lt;=I85), OPR_2P!$A$8 &amp; ", ", "") &amp; IF((OPR_2P!$J$9&gt;=H85)*(OPR_2P!$K$9&lt;=I85), OPR_2P!$A$9 &amp; ", ", "") &amp; IF((OPR_2P!$J$10&gt;=H85)*(OPR_2P!$K$10&lt;=I85), OPR_2P!$A$10 &amp; ", ", "") &amp; IF((OPR_2P!$J$11&gt;=H85)*(OPR_2P!$K$11&lt;=I85), OPR_2P!$A$11 &amp; ", ", "") &amp; IF((OPR_2P!$J$12&gt;=H85)*(OPR_2P!$K$12&lt;=I85), OPR_2P!$A$12 &amp; ", ", "") &amp; IF((OPR_2P!$J$13&gt;=H85)*(OPR_2P!$K$13&lt;=I85), OPR_2P!$A$13 &amp; ", ", "") &amp; IF((OPR_2P!$J$14&gt;=H85)*(OPR_2P!$K$14&lt;=I85), OPR_2P!$A$14 &amp; ", ", "") &amp; IF((OPR_2P!$J$15&gt;=H85)*(OPR_2P!$K$15&lt;=I85), OPR_2P!$A$15 &amp; ", ", "") &amp; IF((OPR_2P!$J$16&gt;=H85)*(OPR_2P!$K$16&lt;=I85), OPR_2P!$A$16 &amp; ", ", "") &amp; IF((OPR_2P!$J$17&gt;=H85)*(OPR_2P!$K$17&lt;=I85), OPR_2P!$A$17 &amp; ", ", "") &amp; IF((OPR_2P!$J$18&gt;=H85)*(OPR_2P!$K$18&lt;=I85), OPR_2P!$A$18 &amp; ", ", ""), LEN(IF((OPR_2P!$J$4&gt;=H85)*(OPR_2P!$K$4&lt;=I85), OPR_2P!$A$4 &amp; ", ", "") &amp; IF((OPR_2P!$J$5&gt;=H85)*(OPR_2P!$K$5&lt;=I85), OPR_2P!$A$5 &amp; ", ", "") &amp; IF((OPR_2P!$J$6&gt;=H85)*(OPR_2P!$K$6&lt;=I85), OPR_2P!$A$6 &amp; ", ", "") &amp; IF((OPR_2P!$J$7&gt;=H85)*(OPR_2P!$K$7&lt;=I85), OPR_2P!$A$7 &amp; ", ", "") &amp; IF((OPR_2P!$J$8&gt;=H85)*(OPR_2P!$K$8&lt;=I85), OPR_2P!$A$8 &amp; ", ", "") &amp; IF((OPR_2P!$J$9&gt;=H85)*(OPR_2P!$K$9&lt;=I85), OPR_2P!$A$9 &amp; ", ", "") &amp; IF((OPR_2P!$J$10&gt;=H85)*(OPR_2P!$K$10&lt;=I85), OPR_2P!$A$10 &amp; ", ", "") &amp; IF((OPR_2P!$J$11&gt;=H85)*(OPR_2P!$K$11&lt;=I85), OPR_2P!$A$11 &amp; ", ", "") &amp; IF((OPR_2P!$J$12&gt;=H85)*(OPR_2P!$K$12&lt;=I85), OPR_2P!$A$12 &amp; ", ", "") &amp; IF((OPR_2P!$J$13&gt;=H85)*(OPR_2P!$K$13&lt;=I85), OPR_2P!$A$13 &amp; ", ", "") &amp; IF((OPR_2P!$J$14&gt;=H85)*(OPR_2P!$K$14&lt;=I85), OPR_2P!$A$14 &amp; ", ", "") &amp; IF((OPR_2P!$J$15&gt;=H85)*(OPR_2P!$K$15&lt;=I85), OPR_2P!$A$15 &amp; ", ", "") &amp; IF((OPR_2P!$J$16&gt;=H85)*(OPR_2P!$K$16&lt;=I85), OPR_2P!$A$16 &amp; ", ", "") &amp; IF((OPR_2P!$J$17&gt;=H85)*(OPR_2P!$K$17&lt;=I85), OPR_2P!$A$17 &amp; ", ", "") &amp; IF((OPR_2P!$J$18&gt;=H85)*(OPR_2P!$K$18&lt;=I85), OPR_2P!$A$18 &amp; ", ", ""))-2), "None")</f>
        <v>9, 15, 17, 20, 25, 28, 30, 34, 42, 46, 50, 54, 57, 63, 70</v>
      </c>
    </row>
    <row r="86" spans="1:10" ht="15" customHeight="1" x14ac:dyDescent="0.3">
      <c r="A86" s="10" t="s">
        <v>219</v>
      </c>
      <c r="B86" s="10" t="s">
        <v>224</v>
      </c>
      <c r="C86" s="22">
        <v>46373</v>
      </c>
      <c r="D86" s="10">
        <v>6</v>
      </c>
      <c r="E86" s="10">
        <v>4</v>
      </c>
      <c r="F86" s="10" t="s">
        <v>133</v>
      </c>
      <c r="G86" s="23" t="s">
        <v>134</v>
      </c>
      <c r="H86" s="14">
        <v>100</v>
      </c>
      <c r="I86" s="14">
        <v>4500</v>
      </c>
      <c r="J86" s="110" t="str">
        <f>IFERROR(LEFT(IF((OPR_2P!$J$4&gt;=H86)*(OPR_2P!$K$4&lt;=I86), OPR_2P!$A$4 &amp; ", ", "") &amp; IF((OPR_2P!$J$5&gt;=H86)*(OPR_2P!$K$5&lt;=I86), OPR_2P!$A$5 &amp; ", ", "") &amp; IF((OPR_2P!$J$6&gt;=H86)*(OPR_2P!$K$6&lt;=I86), OPR_2P!$A$6 &amp; ", ", "") &amp; IF((OPR_2P!$J$7&gt;=H86)*(OPR_2P!$K$7&lt;=I86), OPR_2P!$A$7 &amp; ", ", "") &amp; IF((OPR_2P!$J$8&gt;=H86)*(OPR_2P!$K$8&lt;=I86), OPR_2P!$A$8 &amp; ", ", "") &amp; IF((OPR_2P!$J$9&gt;=H86)*(OPR_2P!$K$9&lt;=I86), OPR_2P!$A$9 &amp; ", ", "") &amp; IF((OPR_2P!$J$10&gt;=H86)*(OPR_2P!$K$10&lt;=I86), OPR_2P!$A$10 &amp; ", ", "") &amp; IF((OPR_2P!$J$11&gt;=H86)*(OPR_2P!$K$11&lt;=I86), OPR_2P!$A$11 &amp; ", ", "") &amp; IF((OPR_2P!$J$12&gt;=H86)*(OPR_2P!$K$12&lt;=I86), OPR_2P!$A$12 &amp; ", ", "") &amp; IF((OPR_2P!$J$13&gt;=H86)*(OPR_2P!$K$13&lt;=I86), OPR_2P!$A$13 &amp; ", ", "") &amp; IF((OPR_2P!$J$14&gt;=H86)*(OPR_2P!$K$14&lt;=I86), OPR_2P!$A$14 &amp; ", ", "") &amp; IF((OPR_2P!$J$15&gt;=H86)*(OPR_2P!$K$15&lt;=I86), OPR_2P!$A$15 &amp; ", ", "") &amp; IF((OPR_2P!$J$16&gt;=H86)*(OPR_2P!$K$16&lt;=I86), OPR_2P!$A$16 &amp; ", ", "") &amp; IF((OPR_2P!$J$17&gt;=H86)*(OPR_2P!$K$17&lt;=I86), OPR_2P!$A$17 &amp; ", ", "") &amp; IF((OPR_2P!$J$18&gt;=H86)*(OPR_2P!$K$18&lt;=I86), OPR_2P!$A$18 &amp; ", ", ""), LEN(IF((OPR_2P!$J$4&gt;=H86)*(OPR_2P!$K$4&lt;=I86), OPR_2P!$A$4 &amp; ", ", "") &amp; IF((OPR_2P!$J$5&gt;=H86)*(OPR_2P!$K$5&lt;=I86), OPR_2P!$A$5 &amp; ", ", "") &amp; IF((OPR_2P!$J$6&gt;=H86)*(OPR_2P!$K$6&lt;=I86), OPR_2P!$A$6 &amp; ", ", "") &amp; IF((OPR_2P!$J$7&gt;=H86)*(OPR_2P!$K$7&lt;=I86), OPR_2P!$A$7 &amp; ", ", "") &amp; IF((OPR_2P!$J$8&gt;=H86)*(OPR_2P!$K$8&lt;=I86), OPR_2P!$A$8 &amp; ", ", "") &amp; IF((OPR_2P!$J$9&gt;=H86)*(OPR_2P!$K$9&lt;=I86), OPR_2P!$A$9 &amp; ", ", "") &amp; IF((OPR_2P!$J$10&gt;=H86)*(OPR_2P!$K$10&lt;=I86), OPR_2P!$A$10 &amp; ", ", "") &amp; IF((OPR_2P!$J$11&gt;=H86)*(OPR_2P!$K$11&lt;=I86), OPR_2P!$A$11 &amp; ", ", "") &amp; IF((OPR_2P!$J$12&gt;=H86)*(OPR_2P!$K$12&lt;=I86), OPR_2P!$A$12 &amp; ", ", "") &amp; IF((OPR_2P!$J$13&gt;=H86)*(OPR_2P!$K$13&lt;=I86), OPR_2P!$A$13 &amp; ", ", "") &amp; IF((OPR_2P!$J$14&gt;=H86)*(OPR_2P!$K$14&lt;=I86), OPR_2P!$A$14 &amp; ", ", "") &amp; IF((OPR_2P!$J$15&gt;=H86)*(OPR_2P!$K$15&lt;=I86), OPR_2P!$A$15 &amp; ", ", "") &amp; IF((OPR_2P!$J$16&gt;=H86)*(OPR_2P!$K$16&lt;=I86), OPR_2P!$A$16 &amp; ", ", "") &amp; IF((OPR_2P!$J$17&gt;=H86)*(OPR_2P!$K$17&lt;=I86), OPR_2P!$A$17 &amp; ", ", "") &amp; IF((OPR_2P!$J$18&gt;=H86)*(OPR_2P!$K$18&lt;=I86), OPR_2P!$A$18 &amp; ", ", ""))-2), "None")</f>
        <v>9, 15, 17, 20, 25, 28, 30, 34, 42, 46, 50, 54, 57, 63, 70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R1000"/>
  <sheetViews>
    <sheetView zoomScaleNormal="100"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A5" sqref="A5"/>
    </sheetView>
  </sheetViews>
  <sheetFormatPr defaultColWidth="8.6640625" defaultRowHeight="14.4" x14ac:dyDescent="0.3"/>
  <cols>
    <col min="1" max="1" width="15.5546875" style="78" customWidth="1"/>
    <col min="2" max="2" width="13.21875" style="78" bestFit="1" customWidth="1"/>
    <col min="3" max="3" width="8.77734375" style="78" customWidth="1"/>
    <col min="4" max="4" width="11.33203125" style="110" bestFit="1" customWidth="1"/>
    <col min="5" max="6" width="15" style="110" bestFit="1" customWidth="1"/>
    <col min="7" max="7" width="8" style="110" bestFit="1" customWidth="1"/>
    <col min="8" max="8" width="10.33203125" style="110" bestFit="1" customWidth="1"/>
    <col min="9" max="9" width="9.109375" style="110" bestFit="1" customWidth="1"/>
    <col min="10" max="10" width="19.44140625" style="110" bestFit="1" customWidth="1"/>
    <col min="11" max="11" width="10.33203125" style="110" bestFit="1" customWidth="1"/>
    <col min="12" max="100" width="13" customWidth="1"/>
  </cols>
  <sheetData>
    <row r="2" spans="1:70" ht="15" customHeight="1" x14ac:dyDescent="0.3">
      <c r="A2" s="9" t="s">
        <v>0</v>
      </c>
      <c r="B2" s="121">
        <v>46113.291666666657</v>
      </c>
      <c r="J2" s="114" t="s">
        <v>1</v>
      </c>
    </row>
    <row r="3" spans="1:70" ht="15" customHeight="1" x14ac:dyDescent="0.3">
      <c r="A3" s="9" t="s">
        <v>2</v>
      </c>
      <c r="B3" s="9" t="s">
        <v>3</v>
      </c>
      <c r="C3" s="9" t="s">
        <v>4</v>
      </c>
      <c r="D3" s="115" t="s">
        <v>5</v>
      </c>
      <c r="E3" s="109" t="s">
        <v>6</v>
      </c>
      <c r="F3" s="109" t="s">
        <v>7</v>
      </c>
      <c r="G3" s="116" t="s">
        <v>8</v>
      </c>
      <c r="H3" s="109" t="s">
        <v>9</v>
      </c>
      <c r="I3" s="117" t="s">
        <v>10</v>
      </c>
      <c r="J3" s="118" t="s">
        <v>11</v>
      </c>
      <c r="K3" s="117" t="s">
        <v>12</v>
      </c>
      <c r="L3" s="100">
        <v>46113</v>
      </c>
      <c r="M3" s="100">
        <v>46114</v>
      </c>
      <c r="N3" s="100">
        <v>46115</v>
      </c>
      <c r="O3" s="100">
        <v>46116</v>
      </c>
      <c r="P3" s="100">
        <v>46117</v>
      </c>
      <c r="Q3" s="100">
        <v>46118</v>
      </c>
      <c r="R3" s="100">
        <v>46119</v>
      </c>
      <c r="S3" s="100">
        <v>46120</v>
      </c>
      <c r="T3" s="100">
        <v>46121</v>
      </c>
      <c r="U3" s="100">
        <v>46122</v>
      </c>
      <c r="V3" s="100">
        <v>46123</v>
      </c>
      <c r="W3" s="100">
        <v>46124</v>
      </c>
      <c r="X3" s="100">
        <v>46125</v>
      </c>
      <c r="Y3" s="100">
        <v>46126</v>
      </c>
      <c r="Z3" s="100">
        <v>46127</v>
      </c>
      <c r="AA3" s="100">
        <v>46128</v>
      </c>
      <c r="AB3" s="100">
        <v>46129</v>
      </c>
      <c r="AC3" s="100">
        <v>46130</v>
      </c>
      <c r="AD3" s="100">
        <v>46131</v>
      </c>
      <c r="AE3" s="100">
        <v>46132</v>
      </c>
      <c r="AF3" s="100">
        <v>46133</v>
      </c>
      <c r="AG3" s="100">
        <v>46134</v>
      </c>
      <c r="AH3" s="100">
        <v>46135</v>
      </c>
      <c r="AI3" s="100">
        <v>46136</v>
      </c>
      <c r="AJ3" s="100">
        <v>46137</v>
      </c>
      <c r="AK3" s="100">
        <v>46138</v>
      </c>
      <c r="AL3" s="100">
        <v>46139</v>
      </c>
      <c r="AM3" s="100">
        <v>46140</v>
      </c>
      <c r="AN3" s="100">
        <v>46141</v>
      </c>
      <c r="AO3" s="100">
        <v>46142</v>
      </c>
      <c r="AP3" s="100">
        <v>46143</v>
      </c>
      <c r="AQ3" s="100">
        <v>46144</v>
      </c>
      <c r="AR3" s="100">
        <v>46145</v>
      </c>
      <c r="AS3" s="100">
        <v>46146</v>
      </c>
      <c r="AT3" s="100">
        <v>46147</v>
      </c>
      <c r="AU3" s="100">
        <v>46148</v>
      </c>
      <c r="AV3" s="100">
        <v>46149</v>
      </c>
      <c r="AW3" s="100">
        <v>46150</v>
      </c>
      <c r="AX3" s="100">
        <v>46151</v>
      </c>
      <c r="AY3" s="100">
        <v>46152</v>
      </c>
      <c r="AZ3" s="100">
        <v>46153</v>
      </c>
      <c r="BA3" s="100">
        <v>46154</v>
      </c>
      <c r="BB3" s="100">
        <v>46155</v>
      </c>
      <c r="BC3" s="100">
        <v>46156</v>
      </c>
      <c r="BD3" s="100">
        <v>46157</v>
      </c>
      <c r="BE3" s="100">
        <v>46158</v>
      </c>
      <c r="BF3" s="100">
        <v>46159</v>
      </c>
      <c r="BG3" s="100">
        <v>46160</v>
      </c>
      <c r="BH3" s="100">
        <v>46161</v>
      </c>
      <c r="BI3" s="100">
        <v>46162</v>
      </c>
      <c r="BJ3" s="100">
        <v>46163</v>
      </c>
      <c r="BK3" s="100">
        <v>46164</v>
      </c>
      <c r="BL3" s="100">
        <v>46165</v>
      </c>
      <c r="BM3" s="100">
        <v>46166</v>
      </c>
      <c r="BN3" s="100">
        <v>46167</v>
      </c>
      <c r="BO3" s="100">
        <v>46168</v>
      </c>
      <c r="BP3" s="100">
        <v>46169</v>
      </c>
      <c r="BQ3" s="100">
        <v>46170</v>
      </c>
      <c r="BR3" s="100">
        <v>46171</v>
      </c>
    </row>
    <row r="4" spans="1:70" ht="15" customHeight="1" x14ac:dyDescent="0.3">
      <c r="A4" s="10" t="s">
        <v>13</v>
      </c>
      <c r="B4" s="113">
        <v>28</v>
      </c>
      <c r="C4" s="113" t="s">
        <v>14</v>
      </c>
      <c r="D4" s="119">
        <f>IF($A4="","",IFERROR(CHOOSE(MATCH($C4,Settings!$L$4:$L$10,0),OPR_2P!$B$2,SEG_6P!$B$2,SOL_4P!$B$2,RW_2P!$B$2,RW2_4P!$B$2,FLAP_4P!$B$2,TUBE_4P!$B$2),2))</f>
        <v>2</v>
      </c>
      <c r="E4" s="112">
        <f ca="1">IF($A4="","",VTL_Plan!$J4)</f>
        <v>46113.291666666657</v>
      </c>
      <c r="F4" s="112">
        <f ca="1">IF($A4="","",QC_Plan!$M4)</f>
        <v>46132.339285714275</v>
      </c>
      <c r="G4" s="110" t="s">
        <v>15</v>
      </c>
      <c r="H4" s="110" t="str">
        <f ca="1">IF($A4="","",TEXT(QC_Plan!M4,"MMM-YYYY"))</f>
        <v>Apr-2026</v>
      </c>
      <c r="I4" s="110" t="s">
        <v>16</v>
      </c>
      <c r="J4" s="120">
        <f t="shared" ref="J4:J35" ca="1" si="0">IF($A4="","",F4+30)</f>
        <v>46162.339285714275</v>
      </c>
      <c r="K4" s="110" t="s">
        <v>17</v>
      </c>
    </row>
    <row r="5" spans="1:70" ht="15" customHeight="1" x14ac:dyDescent="0.3">
      <c r="A5" s="10" t="s">
        <v>18</v>
      </c>
      <c r="B5" s="113">
        <v>42</v>
      </c>
      <c r="C5" s="113" t="s">
        <v>19</v>
      </c>
      <c r="D5" s="119">
        <f>IF($A5="","",IFERROR(CHOOSE(MATCH($C5,Settings!$L$4:$L$10,0),OPR_2P!$B$2,SEG_6P!$B$2,SOL_4P!$B$2,RW_2P!$B$2,RW2_4P!$B$2,FLAP_4P!$B$2,TUBE_4P!$B$2),2))</f>
        <v>4</v>
      </c>
      <c r="E5" s="112">
        <f ca="1">IF($A5="","",VTL_Plan!$J5)</f>
        <v>46113.291666666657</v>
      </c>
      <c r="F5" s="112">
        <f ca="1">IF($A5="","",QC_Plan!$M5)</f>
        <v>46170.368386243375</v>
      </c>
      <c r="G5" s="110" t="s">
        <v>15</v>
      </c>
      <c r="H5" s="110" t="str">
        <f ca="1">IF($A5="","",TEXT(QC_Plan!M5,"MMM-YYYY"))</f>
        <v>May-2026</v>
      </c>
      <c r="I5" s="110" t="s">
        <v>20</v>
      </c>
      <c r="J5" s="120">
        <f t="shared" ca="1" si="0"/>
        <v>46200.368386243375</v>
      </c>
      <c r="K5" s="110" t="s">
        <v>21</v>
      </c>
    </row>
    <row r="6" spans="1:70" ht="15" customHeight="1" x14ac:dyDescent="0.3">
      <c r="A6" s="10" t="s">
        <v>22</v>
      </c>
      <c r="B6" s="113">
        <v>28</v>
      </c>
      <c r="C6" s="113" t="s">
        <v>23</v>
      </c>
      <c r="D6" s="119">
        <f>IF($A6="","",IFERROR(CHOOSE(MATCH($C6,Settings!$L$4:$L$10,0),OPR_2P!$B$2,SEG_6P!$B$2,SOL_4P!$B$2,RW_2P!$B$2,RW2_4P!$B$2,FLAP_4P!$B$2,TUBE_4P!$B$2),2))</f>
        <v>2</v>
      </c>
      <c r="E6" s="112">
        <f ca="1">IF($A6="","",VTL_Plan!$J6)</f>
        <v>46113.291666666657</v>
      </c>
      <c r="F6" s="112">
        <f ca="1">IF($A6="","",QC_Plan!$M6)</f>
        <v>46134.58465608464</v>
      </c>
      <c r="G6" s="110" t="s">
        <v>15</v>
      </c>
      <c r="H6" s="110" t="str">
        <f ca="1">IF($A6="","",TEXT(QC_Plan!M6,"MMM-YYYY"))</f>
        <v>Apr-2026</v>
      </c>
      <c r="I6" s="110" t="s">
        <v>16</v>
      </c>
      <c r="J6" s="120">
        <f t="shared" ca="1" si="0"/>
        <v>46164.58465608464</v>
      </c>
      <c r="K6" s="110" t="s">
        <v>17</v>
      </c>
    </row>
    <row r="7" spans="1:70" ht="15" customHeight="1" x14ac:dyDescent="0.3">
      <c r="A7" s="10" t="s">
        <v>24</v>
      </c>
      <c r="B7" s="113">
        <v>25</v>
      </c>
      <c r="C7" s="113" t="s">
        <v>25</v>
      </c>
      <c r="D7" s="119">
        <f>IF($A7="","",IFERROR(CHOOSE(MATCH($C7,Settings!$L$4:$L$10,0),OPR_2P!$B$2,SEG_6P!$B$2,SOL_4P!$B$2,RW_2P!$B$2,RW2_4P!$B$2,FLAP_4P!$B$2,TUBE_4P!$B$2),2))</f>
        <v>6</v>
      </c>
      <c r="E7" s="112">
        <f ca="1">IF($A7="","",VTL_Plan!$J7)</f>
        <v>46115.884259259248</v>
      </c>
      <c r="F7" s="112">
        <f ca="1">IF($A7="","",QC_Plan!$M7)</f>
        <v>46178.949735449729</v>
      </c>
      <c r="G7" s="110" t="s">
        <v>26</v>
      </c>
      <c r="H7" s="110" t="str">
        <f ca="1">IF($A7="","",TEXT(QC_Plan!M7,"MMM-YYYY"))</f>
        <v>Jun-2026</v>
      </c>
      <c r="I7" s="110" t="s">
        <v>16</v>
      </c>
      <c r="J7" s="120">
        <f t="shared" ca="1" si="0"/>
        <v>46208.949735449729</v>
      </c>
      <c r="K7" s="110" t="s">
        <v>27</v>
      </c>
    </row>
    <row r="8" spans="1:70" ht="15" customHeight="1" x14ac:dyDescent="0.3">
      <c r="A8" s="10" t="s">
        <v>28</v>
      </c>
      <c r="B8" s="113">
        <v>34</v>
      </c>
      <c r="C8" s="113" t="s">
        <v>25</v>
      </c>
      <c r="D8" s="119">
        <f>IF($A8="","",IFERROR(CHOOSE(MATCH($C8,Settings!$L$4:$L$10,0),OPR_2P!$B$2,SEG_6P!$B$2,SOL_4P!$B$2,RW_2P!$B$2,RW2_4P!$B$2,FLAP_4P!$B$2,TUBE_4P!$B$2),2))</f>
        <v>6</v>
      </c>
      <c r="E8" s="112">
        <f ca="1">IF($A8="","",VTL_Plan!$J8)</f>
        <v>46113.291666666657</v>
      </c>
      <c r="F8" s="112">
        <f ca="1">IF($A8="","",QC_Plan!$M8)</f>
        <v>46190.01124338623</v>
      </c>
      <c r="G8" s="110" t="s">
        <v>15</v>
      </c>
      <c r="H8" s="110" t="str">
        <f ca="1">IF($A8="","",TEXT(QC_Plan!M8,"MMM-YYYY"))</f>
        <v>Jun-2026</v>
      </c>
      <c r="I8" s="110" t="s">
        <v>29</v>
      </c>
      <c r="J8" s="120">
        <f t="shared" ca="1" si="0"/>
        <v>46220.01124338623</v>
      </c>
      <c r="K8" s="110" t="s">
        <v>21</v>
      </c>
    </row>
    <row r="9" spans="1:70" ht="15" customHeight="1" x14ac:dyDescent="0.3">
      <c r="A9" s="10" t="s">
        <v>30</v>
      </c>
      <c r="B9" s="113">
        <v>20</v>
      </c>
      <c r="C9" s="113" t="s">
        <v>23</v>
      </c>
      <c r="D9" s="119">
        <f>IF($A9="","",IFERROR(CHOOSE(MATCH($C9,Settings!$L$4:$L$10,0),OPR_2P!$B$2,SEG_6P!$B$2,SOL_4P!$B$2,RW_2P!$B$2,RW2_4P!$B$2,FLAP_4P!$B$2,TUBE_4P!$B$2),2))</f>
        <v>2</v>
      </c>
      <c r="E9" s="112">
        <f ca="1">IF($A9="","",VTL_Plan!$J9)</f>
        <v>46115.884259259248</v>
      </c>
      <c r="F9" s="112">
        <f ca="1">IF($A9="","",QC_Plan!$M9)</f>
        <v>46130.480820105811</v>
      </c>
      <c r="G9" s="110" t="s">
        <v>26</v>
      </c>
      <c r="H9" s="110" t="str">
        <f ca="1">IF($A9="","",TEXT(QC_Plan!M9,"MMM-YYYY"))</f>
        <v>Apr-2026</v>
      </c>
      <c r="I9" s="110" t="s">
        <v>16</v>
      </c>
      <c r="J9" s="120">
        <f t="shared" ca="1" si="0"/>
        <v>46160.480820105811</v>
      </c>
      <c r="K9" s="110" t="s">
        <v>31</v>
      </c>
    </row>
    <row r="10" spans="1:70" ht="15" customHeight="1" x14ac:dyDescent="0.3">
      <c r="A10" s="10" t="s">
        <v>32</v>
      </c>
      <c r="B10" s="113">
        <v>70</v>
      </c>
      <c r="C10" s="113" t="s">
        <v>23</v>
      </c>
      <c r="D10" s="119">
        <f>IF($A10="","",IFERROR(CHOOSE(MATCH($C10,Settings!$L$4:$L$10,0),OPR_2P!$B$2,SEG_6P!$B$2,SOL_4P!$B$2,RW_2P!$B$2,RW2_4P!$B$2,FLAP_4P!$B$2,TUBE_4P!$B$2),2))</f>
        <v>2</v>
      </c>
      <c r="E10" s="112">
        <f ca="1">IF($A10="","",VTL_Plan!$J10)</f>
        <v>46122.828703703693</v>
      </c>
      <c r="F10" s="112">
        <f ca="1">IF($A10="","",QC_Plan!$M10)</f>
        <v>46183.675264550257</v>
      </c>
      <c r="G10" s="110" t="s">
        <v>33</v>
      </c>
      <c r="H10" s="110" t="str">
        <f ca="1">IF($A10="","",TEXT(QC_Plan!M10,"MMM-YYYY"))</f>
        <v>Jun-2026</v>
      </c>
      <c r="I10" s="110" t="s">
        <v>16</v>
      </c>
      <c r="J10" s="120">
        <f t="shared" ca="1" si="0"/>
        <v>46213.675264550257</v>
      </c>
      <c r="K10" s="110" t="s">
        <v>17</v>
      </c>
    </row>
    <row r="11" spans="1:70" ht="15" customHeight="1" x14ac:dyDescent="0.3">
      <c r="A11" s="10" t="s">
        <v>34</v>
      </c>
      <c r="B11" s="113">
        <v>15</v>
      </c>
      <c r="C11" s="113" t="s">
        <v>23</v>
      </c>
      <c r="D11" s="119">
        <f>IF($A11="","",IFERROR(CHOOSE(MATCH($C11,Settings!$L$4:$L$10,0),OPR_2P!$B$2,SEG_6P!$B$2,SOL_4P!$B$2,RW_2P!$B$2,RW2_4P!$B$2,FLAP_4P!$B$2,TUBE_4P!$B$2),2))</f>
        <v>2</v>
      </c>
      <c r="E11" s="112">
        <f ca="1">IF($A11="","",VTL_Plan!$J11)</f>
        <v>46117.736111111102</v>
      </c>
      <c r="F11" s="112">
        <f ca="1">IF($A11="","",QC_Plan!$M11)</f>
        <v>46125.259259259255</v>
      </c>
      <c r="G11" s="110" t="s">
        <v>26</v>
      </c>
      <c r="H11" s="110" t="str">
        <f ca="1">IF($A11="","",TEXT(QC_Plan!M11,"MMM-YYYY"))</f>
        <v>Apr-2026</v>
      </c>
      <c r="I11" s="110" t="s">
        <v>20</v>
      </c>
      <c r="J11" s="120">
        <f t="shared" ca="1" si="0"/>
        <v>46155.259259259255</v>
      </c>
      <c r="K11" s="110" t="s">
        <v>27</v>
      </c>
    </row>
    <row r="12" spans="1:70" ht="15" customHeight="1" x14ac:dyDescent="0.3">
      <c r="A12" s="10" t="s">
        <v>35</v>
      </c>
      <c r="B12" s="113">
        <v>30</v>
      </c>
      <c r="C12" s="113" t="s">
        <v>23</v>
      </c>
      <c r="D12" s="119">
        <f>IF($A12="","",IFERROR(CHOOSE(MATCH($C12,Settings!$L$4:$L$10,0),OPR_2P!$B$2,SEG_6P!$B$2,SOL_4P!$B$2,RW_2P!$B$2,RW2_4P!$B$2,FLAP_4P!$B$2,TUBE_4P!$B$2),2))</f>
        <v>2</v>
      </c>
      <c r="E12" s="112">
        <f ca="1">IF($A12="","",VTL_Plan!$J12)</f>
        <v>46121.069444444438</v>
      </c>
      <c r="F12" s="112">
        <f ca="1">IF($A12="","",QC_Plan!$M12)</f>
        <v>46141.91931216931</v>
      </c>
      <c r="G12" s="110" t="s">
        <v>15</v>
      </c>
      <c r="H12" s="110" t="str">
        <f ca="1">IF($A12="","",TEXT(QC_Plan!M12,"MMM-YYYY"))</f>
        <v>Apr-2026</v>
      </c>
      <c r="I12" s="110" t="s">
        <v>16</v>
      </c>
      <c r="J12" s="120">
        <f t="shared" ca="1" si="0"/>
        <v>46171.91931216931</v>
      </c>
      <c r="K12" s="110" t="s">
        <v>21</v>
      </c>
    </row>
    <row r="13" spans="1:70" ht="15" customHeight="1" x14ac:dyDescent="0.3">
      <c r="A13" s="10" t="s">
        <v>36</v>
      </c>
      <c r="B13" s="113">
        <v>17</v>
      </c>
      <c r="C13" s="113" t="s">
        <v>14</v>
      </c>
      <c r="D13" s="119">
        <f>IF($A13="","",IFERROR(CHOOSE(MATCH($C13,Settings!$L$4:$L$10,0),OPR_2P!$B$2,SEG_6P!$B$2,SOL_4P!$B$2,RW_2P!$B$2,RW2_4P!$B$2,FLAP_4P!$B$2,TUBE_4P!$B$2),2))</f>
        <v>2</v>
      </c>
      <c r="E13" s="112">
        <f ca="1">IF($A13="","",VTL_Plan!$J13)</f>
        <v>46119.124999999993</v>
      </c>
      <c r="F13" s="112">
        <f ca="1">IF($A13="","",QC_Plan!$M13)</f>
        <v>46128.923280423267</v>
      </c>
      <c r="G13" s="110" t="s">
        <v>26</v>
      </c>
      <c r="H13" s="110" t="str">
        <f ca="1">IF($A13="","",TEXT(QC_Plan!M13,"MMM-YYYY"))</f>
        <v>Apr-2026</v>
      </c>
      <c r="I13" s="110" t="s">
        <v>16</v>
      </c>
      <c r="J13" s="120">
        <f t="shared" ca="1" si="0"/>
        <v>46158.923280423267</v>
      </c>
      <c r="K13" s="110" t="s">
        <v>31</v>
      </c>
    </row>
    <row r="14" spans="1:70" ht="15" customHeight="1" x14ac:dyDescent="0.3">
      <c r="A14" s="10" t="s">
        <v>37</v>
      </c>
      <c r="B14" s="113">
        <v>25</v>
      </c>
      <c r="C14" s="113" t="s">
        <v>23</v>
      </c>
      <c r="D14" s="119">
        <f>IF($A14="","",IFERROR(CHOOSE(MATCH($C14,Settings!$L$4:$L$10,0),OPR_2P!$B$2,SEG_6P!$B$2,SOL_4P!$B$2,RW_2P!$B$2,RW2_4P!$B$2,FLAP_4P!$B$2,TUBE_4P!$B$2),2))</f>
        <v>2</v>
      </c>
      <c r="E14" s="112">
        <f ca="1">IF($A14="","",VTL_Plan!$J14)</f>
        <v>46120.699074074066</v>
      </c>
      <c r="F14" s="112">
        <f ca="1">IF($A14="","",QC_Plan!$M14)</f>
        <v>46137.78571428571</v>
      </c>
      <c r="G14" s="110" t="s">
        <v>26</v>
      </c>
      <c r="H14" s="110" t="str">
        <f ca="1">IF($A14="","",TEXT(QC_Plan!M14,"MMM-YYYY"))</f>
        <v>Apr-2026</v>
      </c>
      <c r="I14" s="110" t="s">
        <v>16</v>
      </c>
      <c r="J14" s="120">
        <f t="shared" ca="1" si="0"/>
        <v>46167.78571428571</v>
      </c>
      <c r="K14" s="110" t="s">
        <v>17</v>
      </c>
    </row>
    <row r="15" spans="1:70" ht="15" customHeight="1" x14ac:dyDescent="0.3">
      <c r="A15" s="10" t="s">
        <v>38</v>
      </c>
      <c r="B15" s="113">
        <v>20</v>
      </c>
      <c r="C15" s="113" t="s">
        <v>25</v>
      </c>
      <c r="D15" s="119">
        <f>IF($A15="","",IFERROR(CHOOSE(MATCH($C15,Settings!$L$4:$L$10,0),OPR_2P!$B$2,SEG_6P!$B$2,SOL_4P!$B$2,RW_2P!$B$2,RW2_4P!$B$2,FLAP_4P!$B$2,TUBE_4P!$B$2),2))</f>
        <v>6</v>
      </c>
      <c r="E15" s="112">
        <f ca="1">IF($A15="","",VTL_Plan!$J15)</f>
        <v>46123.013888888883</v>
      </c>
      <c r="F15" s="112">
        <f ca="1">IF($A15="","",QC_Plan!$M15)</f>
        <v>46175.199735449722</v>
      </c>
      <c r="G15" s="110" t="s">
        <v>26</v>
      </c>
      <c r="H15" s="110" t="str">
        <f ca="1">IF($A15="","",TEXT(QC_Plan!M15,"MMM-YYYY"))</f>
        <v>Jun-2026</v>
      </c>
      <c r="I15" s="110" t="s">
        <v>20</v>
      </c>
      <c r="J15" s="120">
        <f t="shared" ca="1" si="0"/>
        <v>46205.199735449722</v>
      </c>
      <c r="K15" s="110" t="s">
        <v>21</v>
      </c>
    </row>
    <row r="16" spans="1:70" ht="15" customHeight="1" x14ac:dyDescent="0.3">
      <c r="A16" s="10" t="s">
        <v>39</v>
      </c>
      <c r="B16" s="113">
        <v>17</v>
      </c>
      <c r="C16" s="113" t="s">
        <v>14</v>
      </c>
      <c r="D16" s="119">
        <f>IF($A16="","",IFERROR(CHOOSE(MATCH($C16,Settings!$L$4:$L$10,0),OPR_2P!$B$2,SEG_6P!$B$2,SOL_4P!$B$2,RW_2P!$B$2,RW2_4P!$B$2,FLAP_4P!$B$2,TUBE_4P!$B$2),2))</f>
        <v>2</v>
      </c>
      <c r="E16" s="112">
        <f ca="1">IF($A16="","",VTL_Plan!$J16)</f>
        <v>46128.569444444438</v>
      </c>
      <c r="F16" s="112">
        <f ca="1">IF($A16="","",QC_Plan!$M16)</f>
        <v>46141.608465608449</v>
      </c>
      <c r="G16" s="110" t="s">
        <v>26</v>
      </c>
      <c r="H16" s="110" t="str">
        <f ca="1">IF($A16="","",TEXT(QC_Plan!M16,"MMM-YYYY"))</f>
        <v>Apr-2026</v>
      </c>
      <c r="I16" s="110" t="s">
        <v>16</v>
      </c>
      <c r="J16" s="120">
        <f t="shared" ca="1" si="0"/>
        <v>46171.608465608449</v>
      </c>
      <c r="K16" s="110" t="s">
        <v>17</v>
      </c>
    </row>
    <row r="17" spans="1:11" ht="15" customHeight="1" x14ac:dyDescent="0.3">
      <c r="A17" s="10" t="s">
        <v>40</v>
      </c>
      <c r="B17" s="113">
        <v>50</v>
      </c>
      <c r="C17" s="113" t="s">
        <v>25</v>
      </c>
      <c r="D17" s="119">
        <f>IF($A17="","",IFERROR(CHOOSE(MATCH($C17,Settings!$L$4:$L$10,0),OPR_2P!$B$2,SEG_6P!$B$2,SOL_4P!$B$2,RW_2P!$B$2,RW2_4P!$B$2,FLAP_4P!$B$2,TUBE_4P!$B$2),2))</f>
        <v>6</v>
      </c>
      <c r="E17" s="112">
        <f ca="1">IF($A17="","",VTL_Plan!$J17)</f>
        <v>46122.736111111102</v>
      </c>
      <c r="F17" s="112">
        <f ca="1">IF($A17="","",QC_Plan!$M17)</f>
        <v>46239.495370370365</v>
      </c>
      <c r="G17" s="110" t="s">
        <v>33</v>
      </c>
      <c r="H17" s="110" t="str">
        <f ca="1">IF($A17="","",TEXT(QC_Plan!M17,"MMM-YYYY"))</f>
        <v>Aug-2026</v>
      </c>
      <c r="I17" s="110" t="s">
        <v>16</v>
      </c>
      <c r="J17" s="120">
        <f t="shared" ca="1" si="0"/>
        <v>46269.495370370365</v>
      </c>
      <c r="K17" s="110" t="s">
        <v>27</v>
      </c>
    </row>
    <row r="18" spans="1:11" ht="15" customHeight="1" x14ac:dyDescent="0.3">
      <c r="A18" s="10" t="s">
        <v>41</v>
      </c>
      <c r="B18" s="113">
        <v>46</v>
      </c>
      <c r="C18" s="113" t="s">
        <v>14</v>
      </c>
      <c r="D18" s="119">
        <f>IF($A18="","",IFERROR(CHOOSE(MATCH($C18,Settings!$L$4:$L$10,0),OPR_2P!$B$2,SEG_6P!$B$2,SOL_4P!$B$2,RW_2P!$B$2,RW2_4P!$B$2,FLAP_4P!$B$2,TUBE_4P!$B$2),2))</f>
        <v>2</v>
      </c>
      <c r="E18" s="112">
        <f ca="1">IF($A18="","",VTL_Plan!$J18)</f>
        <v>46123.847222222219</v>
      </c>
      <c r="F18" s="112">
        <f ca="1">IF($A18="","",QC_Plan!$M18)</f>
        <v>46156.813492063491</v>
      </c>
      <c r="G18" s="110" t="s">
        <v>33</v>
      </c>
      <c r="H18" s="110" t="str">
        <f ca="1">IF($A18="","",TEXT(QC_Plan!M18,"MMM-YYYY"))</f>
        <v>May-2026</v>
      </c>
      <c r="I18" s="110" t="s">
        <v>29</v>
      </c>
      <c r="J18" s="120">
        <f t="shared" ca="1" si="0"/>
        <v>46186.813492063491</v>
      </c>
      <c r="K18" s="110" t="s">
        <v>21</v>
      </c>
    </row>
    <row r="19" spans="1:11" ht="15" customHeight="1" x14ac:dyDescent="0.3">
      <c r="A19" s="10" t="s">
        <v>42</v>
      </c>
      <c r="B19" s="113">
        <v>54</v>
      </c>
      <c r="C19" s="113" t="s">
        <v>14</v>
      </c>
      <c r="D19" s="119">
        <f>IF($A19="","",IFERROR(CHOOSE(MATCH($C19,Settings!$L$4:$L$10,0),OPR_2P!$B$2,SEG_6P!$B$2,SOL_4P!$B$2,RW_2P!$B$2,RW2_4P!$B$2,FLAP_4P!$B$2,TUBE_4P!$B$2),2))</f>
        <v>2</v>
      </c>
      <c r="E19" s="112">
        <f ca="1">IF($A19="","",VTL_Plan!$J19)</f>
        <v>46129.310185185175</v>
      </c>
      <c r="F19" s="112">
        <f ca="1">IF($A19="","",QC_Plan!$M19)</f>
        <v>46182.167328042313</v>
      </c>
      <c r="G19" s="110" t="s">
        <v>33</v>
      </c>
      <c r="H19" s="110" t="str">
        <f ca="1">IF($A19="","",TEXT(QC_Plan!M19,"MMM-YYYY"))</f>
        <v>Jun-2026</v>
      </c>
      <c r="I19" s="110" t="s">
        <v>16</v>
      </c>
      <c r="J19" s="120">
        <f t="shared" ca="1" si="0"/>
        <v>46212.167328042313</v>
      </c>
      <c r="K19" s="110" t="s">
        <v>31</v>
      </c>
    </row>
    <row r="20" spans="1:11" ht="15" customHeight="1" x14ac:dyDescent="0.3">
      <c r="A20" s="10" t="s">
        <v>43</v>
      </c>
      <c r="B20" s="113">
        <v>28</v>
      </c>
      <c r="C20" s="113" t="s">
        <v>19</v>
      </c>
      <c r="D20" s="119">
        <f>IF($A20="","",IFERROR(CHOOSE(MATCH($C20,Settings!$L$4:$L$10,0),OPR_2P!$B$2,SEG_6P!$B$2,SOL_4P!$B$2,RW_2P!$B$2,RW2_4P!$B$2,FLAP_4P!$B$2,TUBE_4P!$B$2),2))</f>
        <v>4</v>
      </c>
      <c r="E20" s="112">
        <f ca="1">IF($A20="","",VTL_Plan!$J20)</f>
        <v>46128.106481481482</v>
      </c>
      <c r="F20" s="112">
        <f ca="1">IF($A20="","",QC_Plan!$M20)</f>
        <v>46166.750661375649</v>
      </c>
      <c r="G20" s="110" t="s">
        <v>15</v>
      </c>
      <c r="H20" s="110" t="str">
        <f ca="1">IF($A20="","",TEXT(QC_Plan!M20,"MMM-YYYY"))</f>
        <v>May-2026</v>
      </c>
      <c r="I20" s="110" t="s">
        <v>16</v>
      </c>
      <c r="J20" s="120">
        <f t="shared" ca="1" si="0"/>
        <v>46196.750661375649</v>
      </c>
      <c r="K20" s="110" t="s">
        <v>17</v>
      </c>
    </row>
    <row r="21" spans="1:11" ht="15" customHeight="1" x14ac:dyDescent="0.3">
      <c r="A21" s="10" t="s">
        <v>44</v>
      </c>
      <c r="B21" s="113">
        <v>63</v>
      </c>
      <c r="C21" s="113" t="s">
        <v>19</v>
      </c>
      <c r="D21" s="119">
        <f>IF($A21="","",IFERROR(CHOOSE(MATCH($C21,Settings!$L$4:$L$10,0),OPR_2P!$B$2,SEG_6P!$B$2,SOL_4P!$B$2,RW_2P!$B$2,RW2_4P!$B$2,FLAP_4P!$B$2,TUBE_4P!$B$2),2))</f>
        <v>4</v>
      </c>
      <c r="E21" s="112">
        <f ca="1">IF($A21="","",VTL_Plan!$J21)</f>
        <v>46134.310185185175</v>
      </c>
      <c r="F21" s="112">
        <f ca="1">IF($A21="","",QC_Plan!$M21)</f>
        <v>46258.655423280419</v>
      </c>
      <c r="G21" s="110" t="s">
        <v>33</v>
      </c>
      <c r="H21" s="110" t="str">
        <f ca="1">IF($A21="","",TEXT(QC_Plan!M21,"MMM-YYYY"))</f>
        <v>Aug-2026</v>
      </c>
      <c r="I21" s="110" t="s">
        <v>20</v>
      </c>
      <c r="J21" s="120">
        <f t="shared" ca="1" si="0"/>
        <v>46288.655423280419</v>
      </c>
      <c r="K21" s="110" t="s">
        <v>27</v>
      </c>
    </row>
    <row r="22" spans="1:11" ht="15" customHeight="1" x14ac:dyDescent="0.3">
      <c r="A22" s="10" t="s">
        <v>45</v>
      </c>
      <c r="B22" s="113">
        <v>46</v>
      </c>
      <c r="C22" s="113" t="s">
        <v>14</v>
      </c>
      <c r="D22" s="119">
        <f>IF($A22="","",IFERROR(CHOOSE(MATCH($C22,Settings!$L$4:$L$10,0),OPR_2P!$B$2,SEG_6P!$B$2,SOL_4P!$B$2,RW_2P!$B$2,RW2_4P!$B$2,FLAP_4P!$B$2,TUBE_4P!$B$2),2))</f>
        <v>2</v>
      </c>
      <c r="E22" s="112">
        <f ca="1">IF($A22="","",VTL_Plan!$J22)</f>
        <v>46133.291666666664</v>
      </c>
      <c r="F22" s="112">
        <f ca="1">IF($A22="","",QC_Plan!$M22)</f>
        <v>46166.257936507936</v>
      </c>
      <c r="G22" s="110" t="s">
        <v>33</v>
      </c>
      <c r="H22" s="110" t="str">
        <f ca="1">IF($A22="","",TEXT(QC_Plan!M22,"MMM-YYYY"))</f>
        <v>May-2026</v>
      </c>
      <c r="I22" s="110" t="s">
        <v>16</v>
      </c>
      <c r="J22" s="120">
        <f t="shared" ca="1" si="0"/>
        <v>46196.257936507936</v>
      </c>
      <c r="K22" s="110" t="s">
        <v>21</v>
      </c>
    </row>
    <row r="23" spans="1:11" ht="15" customHeight="1" x14ac:dyDescent="0.3">
      <c r="A23" s="10" t="s">
        <v>46</v>
      </c>
      <c r="B23" s="113">
        <v>9</v>
      </c>
      <c r="C23" s="113" t="s">
        <v>25</v>
      </c>
      <c r="D23" s="119">
        <f>IF($A23="","",IFERROR(CHOOSE(MATCH($C23,Settings!$L$4:$L$10,0),OPR_2P!$B$2,SEG_6P!$B$2,SOL_4P!$B$2,RW_2P!$B$2,RW2_4P!$B$2,FLAP_4P!$B$2,TUBE_4P!$B$2),2))</f>
        <v>6</v>
      </c>
      <c r="E23" s="112">
        <f ca="1">IF($A23="","",VTL_Plan!$J23)</f>
        <v>46130.143518518511</v>
      </c>
      <c r="F23" s="112">
        <f ca="1">IF($A23="","",QC_Plan!$M23)</f>
        <v>46166.813492063491</v>
      </c>
      <c r="G23" s="110" t="s">
        <v>26</v>
      </c>
      <c r="H23" s="110" t="str">
        <f ca="1">IF($A23="","",TEXT(QC_Plan!M23,"MMM-YYYY"))</f>
        <v>May-2026</v>
      </c>
      <c r="I23" s="110" t="s">
        <v>16</v>
      </c>
      <c r="J23" s="120">
        <f t="shared" ca="1" si="0"/>
        <v>46196.813492063491</v>
      </c>
      <c r="K23" s="110" t="s">
        <v>31</v>
      </c>
    </row>
    <row r="24" spans="1:11" ht="15" customHeight="1" x14ac:dyDescent="0.3">
      <c r="A24" s="10" t="s">
        <v>47</v>
      </c>
      <c r="B24" s="113">
        <v>57</v>
      </c>
      <c r="C24" s="113" t="s">
        <v>23</v>
      </c>
      <c r="D24" s="119">
        <f>IF($A24="","",IFERROR(CHOOSE(MATCH($C24,Settings!$L$4:$L$10,0),OPR_2P!$B$2,SEG_6P!$B$2,SOL_4P!$B$2,RW_2P!$B$2,RW2_4P!$B$2,FLAP_4P!$B$2,TUBE_4P!$B$2),2))</f>
        <v>2</v>
      </c>
      <c r="E24" s="112">
        <f ca="1">IF($A24="","",VTL_Plan!$J24)</f>
        <v>46136.624999999993</v>
      </c>
      <c r="F24" s="112">
        <f ca="1">IF($A24="","",QC_Plan!$M24)</f>
        <v>46190.804894179884</v>
      </c>
      <c r="G24" s="110" t="s">
        <v>33</v>
      </c>
      <c r="H24" s="110" t="str">
        <f ca="1">IF($A24="","",TEXT(QC_Plan!M24,"MMM-YYYY"))</f>
        <v>Jun-2026</v>
      </c>
      <c r="I24" s="110" t="s">
        <v>16</v>
      </c>
      <c r="J24" s="120">
        <f t="shared" ca="1" si="0"/>
        <v>46220.804894179884</v>
      </c>
      <c r="K24" s="110" t="s">
        <v>17</v>
      </c>
    </row>
    <row r="25" spans="1:11" ht="15" customHeight="1" x14ac:dyDescent="0.3">
      <c r="A25" s="10" t="s">
        <v>48</v>
      </c>
      <c r="B25" s="113">
        <v>46</v>
      </c>
      <c r="C25" s="113" t="s">
        <v>23</v>
      </c>
      <c r="D25" s="119">
        <f>IF($A25="","",IFERROR(CHOOSE(MATCH($C25,Settings!$L$4:$L$10,0),OPR_2P!$B$2,SEG_6P!$B$2,SOL_4P!$B$2,RW_2P!$B$2,RW2_4P!$B$2,FLAP_4P!$B$2,TUBE_4P!$B$2),2))</f>
        <v>2</v>
      </c>
      <c r="E25" s="112">
        <f ca="1">IF($A25="","",VTL_Plan!$J25)</f>
        <v>46137.550925925927</v>
      </c>
      <c r="F25" s="112">
        <f ca="1">IF($A25="","",QC_Plan!$M25)</f>
        <v>46173.420634920622</v>
      </c>
      <c r="G25" s="110" t="s">
        <v>33</v>
      </c>
      <c r="H25" s="110" t="str">
        <f ca="1">IF($A25="","",TEXT(QC_Plan!M25,"MMM-YYYY"))</f>
        <v>May-2026</v>
      </c>
      <c r="I25" s="110" t="s">
        <v>20</v>
      </c>
      <c r="J25" s="120">
        <f t="shared" ca="1" si="0"/>
        <v>46203.420634920622</v>
      </c>
      <c r="K25" s="110" t="s">
        <v>21</v>
      </c>
    </row>
    <row r="26" spans="1:11" ht="15" customHeight="1" x14ac:dyDescent="0.3">
      <c r="A26" s="10" t="s">
        <v>49</v>
      </c>
      <c r="B26" s="113">
        <v>15</v>
      </c>
      <c r="C26" s="113" t="s">
        <v>23</v>
      </c>
      <c r="D26" s="119">
        <f>IF($A26="","",IFERROR(CHOOSE(MATCH($C26,Settings!$L$4:$L$10,0),OPR_2P!$B$2,SEG_6P!$B$2,SOL_4P!$B$2,RW_2P!$B$2,RW2_4P!$B$2,FLAP_4P!$B$2,TUBE_4P!$B$2),2))</f>
        <v>2</v>
      </c>
      <c r="E26" s="112">
        <f ca="1">IF($A26="","",VTL_Plan!$J26)</f>
        <v>46132.643518518511</v>
      </c>
      <c r="F26" s="112">
        <f ca="1">IF($A26="","",QC_Plan!$M26)</f>
        <v>46167.461640211637</v>
      </c>
      <c r="G26" s="110" t="s">
        <v>26</v>
      </c>
      <c r="H26" s="110" t="str">
        <f ca="1">IF($A26="","",TEXT(QC_Plan!M26,"MMM-YYYY"))</f>
        <v>May-2026</v>
      </c>
      <c r="I26" s="110" t="s">
        <v>16</v>
      </c>
      <c r="J26" s="120">
        <f t="shared" ca="1" si="0"/>
        <v>46197.461640211637</v>
      </c>
      <c r="K26" s="110" t="s">
        <v>17</v>
      </c>
    </row>
    <row r="27" spans="1:11" ht="15" customHeight="1" x14ac:dyDescent="0.3">
      <c r="A27" s="10" t="s">
        <v>50</v>
      </c>
      <c r="B27" s="113">
        <v>54</v>
      </c>
      <c r="C27" s="113" t="s">
        <v>19</v>
      </c>
      <c r="D27" s="119">
        <f>IF($A27="","",IFERROR(CHOOSE(MATCH($C27,Settings!$L$4:$L$10,0),OPR_2P!$B$2,SEG_6P!$B$2,SOL_4P!$B$2,RW_2P!$B$2,RW2_4P!$B$2,FLAP_4P!$B$2,TUBE_4P!$B$2),2))</f>
        <v>4</v>
      </c>
      <c r="E27" s="112">
        <f ca="1">IF($A27="","",VTL_Plan!$J27)</f>
        <v>46141.902777777774</v>
      </c>
      <c r="F27" s="112">
        <f ca="1">IF($A27="","",QC_Plan!$M27)</f>
        <v>46247.418650793647</v>
      </c>
      <c r="G27" s="110" t="s">
        <v>33</v>
      </c>
      <c r="H27" s="110" t="str">
        <f ca="1">IF($A27="","",TEXT(QC_Plan!M27,"MMM-YYYY"))</f>
        <v>Aug-2026</v>
      </c>
      <c r="I27" s="110" t="s">
        <v>16</v>
      </c>
      <c r="J27" s="120">
        <f t="shared" ca="1" si="0"/>
        <v>46277.418650793647</v>
      </c>
      <c r="K27" s="110" t="s">
        <v>27</v>
      </c>
    </row>
    <row r="28" spans="1:11" ht="15" customHeight="1" x14ac:dyDescent="0.3">
      <c r="A28" s="10" t="s">
        <v>51</v>
      </c>
      <c r="B28" s="113">
        <v>42</v>
      </c>
      <c r="C28" s="113" t="s">
        <v>14</v>
      </c>
      <c r="D28" s="119">
        <f>IF($A28="","",IFERROR(CHOOSE(MATCH($C28,Settings!$L$4:$L$10,0),OPR_2P!$B$2,SEG_6P!$B$2,SOL_4P!$B$2,RW_2P!$B$2,RW2_4P!$B$2,FLAP_4P!$B$2,TUBE_4P!$B$2),2))</f>
        <v>2</v>
      </c>
      <c r="E28" s="112">
        <f ca="1">IF($A28="","",VTL_Plan!$J28)</f>
        <v>46141.81018518519</v>
      </c>
      <c r="F28" s="112">
        <f ca="1">IF($A28="","",QC_Plan!$M28)</f>
        <v>46178.473544973545</v>
      </c>
      <c r="G28" s="110" t="s">
        <v>15</v>
      </c>
      <c r="H28" s="110" t="str">
        <f ca="1">IF($A28="","",TEXT(QC_Plan!M28,"MMM-YYYY"))</f>
        <v>Jun-2026</v>
      </c>
      <c r="I28" s="110" t="s">
        <v>29</v>
      </c>
      <c r="J28" s="120">
        <f t="shared" ca="1" si="0"/>
        <v>46208.473544973545</v>
      </c>
      <c r="K28" s="110" t="s">
        <v>21</v>
      </c>
    </row>
    <row r="29" spans="1:11" ht="15" customHeight="1" x14ac:dyDescent="0.3">
      <c r="A29" s="10" t="s">
        <v>52</v>
      </c>
      <c r="B29" s="113">
        <v>42</v>
      </c>
      <c r="C29" s="113" t="s">
        <v>14</v>
      </c>
      <c r="D29" s="119">
        <f>IF($A29="","",IFERROR(CHOOSE(MATCH($C29,Settings!$L$4:$L$10,0),OPR_2P!$B$2,SEG_6P!$B$2,SOL_4P!$B$2,RW_2P!$B$2,RW2_4P!$B$2,FLAP_4P!$B$2,TUBE_4P!$B$2),2))</f>
        <v>2</v>
      </c>
      <c r="E29" s="112">
        <f ca="1">IF($A29="","",VTL_Plan!$J29)</f>
        <v>46145.69907407408</v>
      </c>
      <c r="F29" s="112">
        <f ca="1">IF($A29="","",QC_Plan!$M29)</f>
        <v>46186.519179894167</v>
      </c>
      <c r="G29" s="110" t="s">
        <v>15</v>
      </c>
      <c r="H29" s="110" t="str">
        <f ca="1">IF($A29="","",TEXT(QC_Plan!M29,"MMM-YYYY"))</f>
        <v>Jun-2026</v>
      </c>
      <c r="I29" s="110" t="s">
        <v>16</v>
      </c>
      <c r="J29" s="120">
        <f t="shared" ca="1" si="0"/>
        <v>46216.519179894167</v>
      </c>
      <c r="K29" s="110" t="s">
        <v>31</v>
      </c>
    </row>
    <row r="30" spans="1:11" ht="15" customHeight="1" x14ac:dyDescent="0.3">
      <c r="A30" s="10" t="s">
        <v>53</v>
      </c>
      <c r="B30" s="113">
        <v>15</v>
      </c>
      <c r="C30" s="113" t="s">
        <v>23</v>
      </c>
      <c r="D30" s="119">
        <f>IF($A30="","",IFERROR(CHOOSE(MATCH($C30,Settings!$L$4:$L$10,0),OPR_2P!$B$2,SEG_6P!$B$2,SOL_4P!$B$2,RW_2P!$B$2,RW2_4P!$B$2,FLAP_4P!$B$2,TUBE_4P!$B$2),2))</f>
        <v>2</v>
      </c>
      <c r="E30" s="112">
        <f ca="1">IF($A30="","",VTL_Plan!$J30)</f>
        <v>46134.310185185182</v>
      </c>
      <c r="F30" s="112">
        <f ca="1">IF($A30="","",QC_Plan!$M30)</f>
        <v>46168.109788359783</v>
      </c>
      <c r="G30" s="110" t="s">
        <v>26</v>
      </c>
      <c r="H30" s="110" t="str">
        <f ca="1">IF($A30="","",TEXT(QC_Plan!M30,"MMM-YYYY"))</f>
        <v>May-2026</v>
      </c>
      <c r="I30" s="110" t="s">
        <v>16</v>
      </c>
      <c r="J30" s="120">
        <f t="shared" ca="1" si="0"/>
        <v>46198.109788359783</v>
      </c>
      <c r="K30" s="110" t="s">
        <v>17</v>
      </c>
    </row>
    <row r="31" spans="1:11" ht="15" customHeight="1" x14ac:dyDescent="0.3">
      <c r="A31" s="10" t="s">
        <v>54</v>
      </c>
      <c r="B31" s="113">
        <v>46</v>
      </c>
      <c r="C31" s="113" t="s">
        <v>14</v>
      </c>
      <c r="D31" s="119">
        <f>IF($A31="","",IFERROR(CHOOSE(MATCH($C31,Settings!$L$4:$L$10,0),OPR_2P!$B$2,SEG_6P!$B$2,SOL_4P!$B$2,RW_2P!$B$2,RW2_4P!$B$2,FLAP_4P!$B$2,TUBE_4P!$B$2),2))</f>
        <v>2</v>
      </c>
      <c r="E31" s="112">
        <f ca="1">IF($A31="","",VTL_Plan!$J31)</f>
        <v>46149.587962962971</v>
      </c>
      <c r="F31" s="112">
        <f ca="1">IF($A31="","",QC_Plan!$M31)</f>
        <v>46189.759920634904</v>
      </c>
      <c r="G31" s="110" t="s">
        <v>33</v>
      </c>
      <c r="H31" s="110" t="str">
        <f ca="1">IF($A31="","",TEXT(QC_Plan!M31,"MMM-YYYY"))</f>
        <v>Jun-2026</v>
      </c>
      <c r="I31" s="110" t="s">
        <v>20</v>
      </c>
      <c r="J31" s="120">
        <f t="shared" ca="1" si="0"/>
        <v>46219.759920634904</v>
      </c>
      <c r="K31" s="110" t="s">
        <v>27</v>
      </c>
    </row>
    <row r="32" spans="1:11" ht="15" customHeight="1" x14ac:dyDescent="0.3">
      <c r="A32" s="10" t="s">
        <v>55</v>
      </c>
      <c r="B32" s="113">
        <v>25</v>
      </c>
      <c r="C32" s="113" t="s">
        <v>25</v>
      </c>
      <c r="D32" s="119">
        <f>IF($A32="","",IFERROR(CHOOSE(MATCH($C32,Settings!$L$4:$L$10,0),OPR_2P!$B$2,SEG_6P!$B$2,SOL_4P!$B$2,RW_2P!$B$2,RW2_4P!$B$2,FLAP_4P!$B$2,TUBE_4P!$B$2),2))</f>
        <v>6</v>
      </c>
      <c r="E32" s="112">
        <f ca="1">IF($A32="","",VTL_Plan!$J32)</f>
        <v>46135.699074074073</v>
      </c>
      <c r="F32" s="112">
        <f ca="1">IF($A32="","",QC_Plan!$M32)</f>
        <v>46196.148809523795</v>
      </c>
      <c r="G32" s="110" t="s">
        <v>26</v>
      </c>
      <c r="H32" s="110" t="str">
        <f ca="1">IF($A32="","",TEXT(QC_Plan!M32,"MMM-YYYY"))</f>
        <v>Jun-2026</v>
      </c>
      <c r="I32" s="110" t="s">
        <v>16</v>
      </c>
      <c r="J32" s="120">
        <f t="shared" ca="1" si="0"/>
        <v>46226.148809523795</v>
      </c>
      <c r="K32" s="110" t="s">
        <v>21</v>
      </c>
    </row>
    <row r="33" spans="1:11" ht="15" customHeight="1" x14ac:dyDescent="0.3">
      <c r="A33" s="10" t="s">
        <v>56</v>
      </c>
      <c r="B33" s="113">
        <v>9</v>
      </c>
      <c r="C33" s="113" t="s">
        <v>23</v>
      </c>
      <c r="D33" s="119">
        <f>IF($A33="","",IFERROR(CHOOSE(MATCH($C33,Settings!$L$4:$L$10,0),OPR_2P!$B$2,SEG_6P!$B$2,SOL_4P!$B$2,RW_2P!$B$2,RW2_4P!$B$2,FLAP_4P!$B$2,TUBE_4P!$B$2),2))</f>
        <v>2</v>
      </c>
      <c r="E33" s="112">
        <f ca="1">IF($A33="","",VTL_Plan!$J33)</f>
        <v>46142.643518518518</v>
      </c>
      <c r="F33" s="112">
        <f ca="1">IF($A33="","",QC_Plan!$M33)</f>
        <v>46168.572751322747</v>
      </c>
      <c r="G33" s="110" t="s">
        <v>26</v>
      </c>
      <c r="H33" s="110" t="str">
        <f ca="1">IF($A33="","",TEXT(QC_Plan!M33,"MMM-YYYY"))</f>
        <v>May-2026</v>
      </c>
      <c r="I33" s="110" t="s">
        <v>16</v>
      </c>
      <c r="J33" s="120">
        <f t="shared" ca="1" si="0"/>
        <v>46198.572751322747</v>
      </c>
      <c r="K33" s="110" t="s">
        <v>31</v>
      </c>
    </row>
    <row r="34" spans="1:11" ht="15" customHeight="1" x14ac:dyDescent="0.3">
      <c r="A34" s="10" t="s">
        <v>57</v>
      </c>
      <c r="B34" s="113">
        <v>57</v>
      </c>
      <c r="C34" s="113" t="s">
        <v>23</v>
      </c>
      <c r="D34" s="119">
        <f>IF($A34="","",IFERROR(CHOOSE(MATCH($C34,Settings!$L$4:$L$10,0),OPR_2P!$B$2,SEG_6P!$B$2,SOL_4P!$B$2,RW_2P!$B$2,RW2_4P!$B$2,FLAP_4P!$B$2,TUBE_4P!$B$2),2))</f>
        <v>2</v>
      </c>
      <c r="E34" s="112">
        <f ca="1">IF($A34="","",VTL_Plan!$J34)</f>
        <v>46145.976851851839</v>
      </c>
      <c r="F34" s="112">
        <f ca="1">IF($A34="","",QC_Plan!$M34)</f>
        <v>46203.278439153422</v>
      </c>
      <c r="G34" s="110" t="s">
        <v>33</v>
      </c>
      <c r="H34" s="110" t="str">
        <f ca="1">IF($A34="","",TEXT(QC_Plan!M34,"MMM-YYYY"))</f>
        <v>Jun-2026</v>
      </c>
      <c r="I34" s="110" t="s">
        <v>16</v>
      </c>
      <c r="J34" s="120">
        <f t="shared" ca="1" si="0"/>
        <v>46233.278439153422</v>
      </c>
      <c r="K34" s="110" t="s">
        <v>17</v>
      </c>
    </row>
    <row r="35" spans="1:11" ht="15" customHeight="1" x14ac:dyDescent="0.3">
      <c r="A35" s="10" t="s">
        <v>58</v>
      </c>
      <c r="B35" s="113">
        <v>25</v>
      </c>
      <c r="C35" s="113" t="s">
        <v>23</v>
      </c>
      <c r="D35" s="119">
        <f>IF($A35="","",IFERROR(CHOOSE(MATCH($C35,Settings!$L$4:$L$10,0),OPR_2P!$B$2,SEG_6P!$B$2,SOL_4P!$B$2,RW_2P!$B$2,RW2_4P!$B$2,FLAP_4P!$B$2,TUBE_4P!$B$2),2))</f>
        <v>2</v>
      </c>
      <c r="E35" s="112">
        <f ca="1">IF($A35="","",VTL_Plan!$J35)</f>
        <v>46143.476851851854</v>
      </c>
      <c r="F35" s="112">
        <f ca="1">IF($A35="","",QC_Plan!$M35)</f>
        <v>46170.302248677239</v>
      </c>
      <c r="G35" s="110" t="s">
        <v>26</v>
      </c>
      <c r="H35" s="110" t="str">
        <f ca="1">IF($A35="","",TEXT(QC_Plan!M35,"MMM-YYYY"))</f>
        <v>May-2026</v>
      </c>
      <c r="I35" s="110" t="s">
        <v>20</v>
      </c>
      <c r="J35" s="120">
        <f t="shared" ca="1" si="0"/>
        <v>46200.302248677239</v>
      </c>
      <c r="K35" s="110" t="s">
        <v>21</v>
      </c>
    </row>
    <row r="36" spans="1:11" ht="15" customHeight="1" x14ac:dyDescent="0.3">
      <c r="A36" s="10" t="s">
        <v>59</v>
      </c>
      <c r="B36" s="113">
        <v>70</v>
      </c>
      <c r="C36" s="113" t="s">
        <v>14</v>
      </c>
      <c r="D36" s="119">
        <f>IF($A36="","",IFERROR(CHOOSE(MATCH($C36,Settings!$L$4:$L$10,0),OPR_2P!$B$2,SEG_6P!$B$2,SOL_4P!$B$2,RW_2P!$B$2,RW2_4P!$B$2,FLAP_4P!$B$2,TUBE_4P!$B$2),2))</f>
        <v>2</v>
      </c>
      <c r="E36" s="112">
        <f ca="1">IF($A36="","",VTL_Plan!$J36)</f>
        <v>46151.25462962962</v>
      </c>
      <c r="F36" s="112">
        <f ca="1">IF($A36="","",QC_Plan!$M36)</f>
        <v>46216.373677248674</v>
      </c>
      <c r="G36" s="110" t="s">
        <v>33</v>
      </c>
      <c r="H36" s="110" t="str">
        <f ca="1">IF($A36="","",TEXT(QC_Plan!M36,"MMM-YYYY"))</f>
        <v>Jul-2026</v>
      </c>
      <c r="I36" s="110" t="s">
        <v>16</v>
      </c>
      <c r="J36" s="120">
        <f t="shared" ref="J36:J67" ca="1" si="1">IF($A36="","",F36+30)</f>
        <v>46246.373677248674</v>
      </c>
      <c r="K36" s="110" t="s">
        <v>17</v>
      </c>
    </row>
    <row r="37" spans="1:11" ht="15" customHeight="1" x14ac:dyDescent="0.3">
      <c r="A37" s="10" t="s">
        <v>60</v>
      </c>
      <c r="B37" s="113">
        <v>15</v>
      </c>
      <c r="C37" s="113" t="s">
        <v>23</v>
      </c>
      <c r="D37" s="119">
        <f>IF($A37="","",IFERROR(CHOOSE(MATCH($C37,Settings!$L$4:$L$10,0),OPR_2P!$B$2,SEG_6P!$B$2,SOL_4P!$B$2,RW_2P!$B$2,RW2_4P!$B$2,FLAP_4P!$B$2,TUBE_4P!$B$2),2))</f>
        <v>2</v>
      </c>
      <c r="E37" s="112">
        <f ca="1">IF($A37="","",VTL_Plan!$J37)</f>
        <v>46145.791666666672</v>
      </c>
      <c r="F37" s="112">
        <f ca="1">IF($A37="","",QC_Plan!$M37)</f>
        <v>46170.950396825385</v>
      </c>
      <c r="G37" s="110" t="s">
        <v>26</v>
      </c>
      <c r="H37" s="110" t="str">
        <f ca="1">IF($A37="","",TEXT(QC_Plan!M37,"MMM-YYYY"))</f>
        <v>May-2026</v>
      </c>
      <c r="I37" s="110" t="s">
        <v>16</v>
      </c>
      <c r="J37" s="120">
        <f t="shared" ca="1" si="1"/>
        <v>46200.950396825385</v>
      </c>
      <c r="K37" s="110" t="s">
        <v>27</v>
      </c>
    </row>
    <row r="38" spans="1:11" ht="15" customHeight="1" x14ac:dyDescent="0.3">
      <c r="A38" s="10" t="s">
        <v>61</v>
      </c>
      <c r="B38" s="113">
        <v>28</v>
      </c>
      <c r="C38" s="113" t="s">
        <v>14</v>
      </c>
      <c r="D38" s="119">
        <f>IF($A38="","",IFERROR(CHOOSE(MATCH($C38,Settings!$L$4:$L$10,0),OPR_2P!$B$2,SEG_6P!$B$2,SOL_4P!$B$2,RW_2P!$B$2,RW2_4P!$B$2,FLAP_4P!$B$2,TUBE_4P!$B$2),2))</f>
        <v>2</v>
      </c>
      <c r="E38" s="112">
        <f ca="1">IF($A38="","",VTL_Plan!$J38)</f>
        <v>46147.180555555562</v>
      </c>
      <c r="F38" s="112">
        <f ca="1">IF($A38="","",QC_Plan!$M38)</f>
        <v>46174.654100529093</v>
      </c>
      <c r="G38" s="110" t="s">
        <v>15</v>
      </c>
      <c r="H38" s="110" t="str">
        <f ca="1">IF($A38="","",TEXT(QC_Plan!M38,"MMM-YYYY"))</f>
        <v>Jun-2026</v>
      </c>
      <c r="I38" s="110" t="s">
        <v>29</v>
      </c>
      <c r="J38" s="120">
        <f t="shared" ca="1" si="1"/>
        <v>46204.654100529093</v>
      </c>
      <c r="K38" s="110" t="s">
        <v>21</v>
      </c>
    </row>
    <row r="39" spans="1:11" ht="15" customHeight="1" x14ac:dyDescent="0.3">
      <c r="A39" s="10" t="s">
        <v>62</v>
      </c>
      <c r="B39" s="113">
        <v>57</v>
      </c>
      <c r="C39" s="113" t="s">
        <v>19</v>
      </c>
      <c r="D39" s="119">
        <f>IF($A39="","",IFERROR(CHOOSE(MATCH($C39,Settings!$L$4:$L$10,0),OPR_2P!$B$2,SEG_6P!$B$2,SOL_4P!$B$2,RW_2P!$B$2,RW2_4P!$B$2,FLAP_4P!$B$2,TUBE_4P!$B$2),2))</f>
        <v>4</v>
      </c>
      <c r="E39" s="112">
        <f ca="1">IF($A39="","",VTL_Plan!$J39)</f>
        <v>46151.902777777774</v>
      </c>
      <c r="F39" s="112">
        <f ca="1">IF($A39="","",QC_Plan!$M39)</f>
        <v>46271.241402116386</v>
      </c>
      <c r="G39" s="110" t="s">
        <v>33</v>
      </c>
      <c r="H39" s="110" t="str">
        <f ca="1">IF($A39="","",TEXT(QC_Plan!M39,"MMM-YYYY"))</f>
        <v>Sep-2026</v>
      </c>
      <c r="I39" s="110" t="s">
        <v>16</v>
      </c>
      <c r="J39" s="120">
        <f t="shared" ca="1" si="1"/>
        <v>46301.241402116386</v>
      </c>
      <c r="K39" s="110" t="s">
        <v>31</v>
      </c>
    </row>
    <row r="40" spans="1:11" ht="15" customHeight="1" x14ac:dyDescent="0.3">
      <c r="A40" s="10" t="s">
        <v>63</v>
      </c>
      <c r="B40" s="113">
        <v>20</v>
      </c>
      <c r="C40" s="113" t="s">
        <v>23</v>
      </c>
      <c r="D40" s="119">
        <f>IF($A40="","",IFERROR(CHOOSE(MATCH($C40,Settings!$L$4:$L$10,0),OPR_2P!$B$2,SEG_6P!$B$2,SOL_4P!$B$2,RW_2P!$B$2,RW2_4P!$B$2,FLAP_4P!$B$2,TUBE_4P!$B$2),2))</f>
        <v>2</v>
      </c>
      <c r="E40" s="112">
        <f ca="1">IF($A40="","",VTL_Plan!$J40)</f>
        <v>46149.773148148153</v>
      </c>
      <c r="F40" s="112">
        <f ca="1">IF($A40="","",QC_Plan!$M40)</f>
        <v>46176.413359788356</v>
      </c>
      <c r="G40" s="110" t="s">
        <v>26</v>
      </c>
      <c r="H40" s="110" t="str">
        <f ca="1">IF($A40="","",TEXT(QC_Plan!M40,"MMM-YYYY"))</f>
        <v>Jun-2026</v>
      </c>
      <c r="I40" s="110" t="s">
        <v>16</v>
      </c>
      <c r="J40" s="120">
        <f t="shared" ca="1" si="1"/>
        <v>46206.413359788356</v>
      </c>
      <c r="K40" s="110" t="s">
        <v>17</v>
      </c>
    </row>
    <row r="41" spans="1:11" ht="15" customHeight="1" x14ac:dyDescent="0.3">
      <c r="A41" s="10" t="s">
        <v>64</v>
      </c>
      <c r="B41" s="113">
        <v>34</v>
      </c>
      <c r="C41" s="113" t="s">
        <v>23</v>
      </c>
      <c r="D41" s="119">
        <f>IF($A41="","",IFERROR(CHOOSE(MATCH($C41,Settings!$L$4:$L$10,0),OPR_2P!$B$2,SEG_6P!$B$2,SOL_4P!$B$2,RW_2P!$B$2,RW2_4P!$B$2,FLAP_4P!$B$2,TUBE_4P!$B$2),2))</f>
        <v>2</v>
      </c>
      <c r="E41" s="112">
        <f ca="1">IF($A41="","",VTL_Plan!$J41)</f>
        <v>46153.847222222234</v>
      </c>
      <c r="F41" s="112">
        <f ca="1">IF($A41="","",QC_Plan!$M41)</f>
        <v>46183.711640211637</v>
      </c>
      <c r="G41" s="110" t="s">
        <v>15</v>
      </c>
      <c r="H41" s="110" t="str">
        <f ca="1">IF($A41="","",TEXT(QC_Plan!M41,"MMM-YYYY"))</f>
        <v>Jun-2026</v>
      </c>
      <c r="I41" s="110" t="s">
        <v>20</v>
      </c>
      <c r="J41" s="120">
        <f t="shared" ca="1" si="1"/>
        <v>46213.711640211637</v>
      </c>
      <c r="K41" s="110" t="s">
        <v>27</v>
      </c>
    </row>
    <row r="42" spans="1:11" ht="15" customHeight="1" x14ac:dyDescent="0.3">
      <c r="A42" s="10" t="s">
        <v>65</v>
      </c>
      <c r="B42" s="113">
        <v>54</v>
      </c>
      <c r="C42" s="113" t="s">
        <v>23</v>
      </c>
      <c r="D42" s="119">
        <f>IF($A42="","",IFERROR(CHOOSE(MATCH($C42,Settings!$L$4:$L$10,0),OPR_2P!$B$2,SEG_6P!$B$2,SOL_4P!$B$2,RW_2P!$B$2,RW2_4P!$B$2,FLAP_4P!$B$2,TUBE_4P!$B$2),2))</f>
        <v>2</v>
      </c>
      <c r="E42" s="112">
        <f ca="1">IF($A42="","",VTL_Plan!$J42)</f>
        <v>46157.736111111102</v>
      </c>
      <c r="F42" s="112">
        <f ca="1">IF($A42="","",QC_Plan!$M42)</f>
        <v>46206.902777777788</v>
      </c>
      <c r="G42" s="110" t="s">
        <v>33</v>
      </c>
      <c r="H42" s="110" t="str">
        <f ca="1">IF($A42="","",TEXT(QC_Plan!M42,"MMM-YYYY"))</f>
        <v>Jul-2026</v>
      </c>
      <c r="I42" s="110" t="s">
        <v>16</v>
      </c>
      <c r="J42" s="120">
        <f t="shared" ca="1" si="1"/>
        <v>46236.902777777788</v>
      </c>
      <c r="K42" s="110" t="s">
        <v>21</v>
      </c>
    </row>
    <row r="43" spans="1:11" ht="15" customHeight="1" x14ac:dyDescent="0.3">
      <c r="A43" s="10" t="s">
        <v>66</v>
      </c>
      <c r="B43" s="113">
        <v>9</v>
      </c>
      <c r="C43" s="113" t="s">
        <v>23</v>
      </c>
      <c r="D43" s="119">
        <f>IF($A43="","",IFERROR(CHOOSE(MATCH($C43,Settings!$L$4:$L$10,0),OPR_2P!$B$2,SEG_6P!$B$2,SOL_4P!$B$2,RW_2P!$B$2,RW2_4P!$B$2,FLAP_4P!$B$2,TUBE_4P!$B$2),2))</f>
        <v>2</v>
      </c>
      <c r="E43" s="112">
        <f ca="1">IF($A43="","",VTL_Plan!$J43)</f>
        <v>46151.625000000007</v>
      </c>
      <c r="F43" s="112">
        <f ca="1">IF($A43="","",QC_Plan!$M43)</f>
        <v>46176.876322751319</v>
      </c>
      <c r="G43" s="110" t="s">
        <v>26</v>
      </c>
      <c r="H43" s="110" t="str">
        <f ca="1">IF($A43="","",TEXT(QC_Plan!M43,"MMM-YYYY"))</f>
        <v>Jun-2026</v>
      </c>
      <c r="I43" s="110" t="s">
        <v>16</v>
      </c>
      <c r="J43" s="120">
        <f t="shared" ca="1" si="1"/>
        <v>46206.876322751319</v>
      </c>
      <c r="K43" s="110" t="s">
        <v>31</v>
      </c>
    </row>
    <row r="44" spans="1:11" ht="15" customHeight="1" x14ac:dyDescent="0.3">
      <c r="A44" s="10" t="s">
        <v>67</v>
      </c>
      <c r="B44" s="113">
        <v>63</v>
      </c>
      <c r="C44" s="113" t="s">
        <v>23</v>
      </c>
      <c r="D44" s="119">
        <f>IF($A44="","",IFERROR(CHOOSE(MATCH($C44,Settings!$L$4:$L$10,0),OPR_2P!$B$2,SEG_6P!$B$2,SOL_4P!$B$2,RW_2P!$B$2,RW2_4P!$B$2,FLAP_4P!$B$2,TUBE_4P!$B$2),2))</f>
        <v>2</v>
      </c>
      <c r="E44" s="112">
        <f ca="1">IF($A44="","",VTL_Plan!$J44)</f>
        <v>46162.736111111102</v>
      </c>
      <c r="F44" s="112">
        <f ca="1">IF($A44="","",QC_Plan!$M44)</f>
        <v>46239.412698412692</v>
      </c>
      <c r="G44" s="110" t="s">
        <v>33</v>
      </c>
      <c r="H44" s="110" t="str">
        <f ca="1">IF($A44="","",TEXT(QC_Plan!M44,"MMM-YYYY"))</f>
        <v>Aug-2026</v>
      </c>
      <c r="I44" s="110" t="s">
        <v>16</v>
      </c>
      <c r="J44" s="120">
        <f t="shared" ca="1" si="1"/>
        <v>46269.412698412692</v>
      </c>
      <c r="K44" s="110" t="s">
        <v>17</v>
      </c>
    </row>
    <row r="45" spans="1:11" ht="15" customHeight="1" x14ac:dyDescent="0.3">
      <c r="A45" s="10" t="s">
        <v>68</v>
      </c>
      <c r="B45" s="113">
        <v>20</v>
      </c>
      <c r="C45" s="113" t="s">
        <v>23</v>
      </c>
      <c r="D45" s="119">
        <f>IF($A45="","",IFERROR(CHOOSE(MATCH($C45,Settings!$L$4:$L$10,0),OPR_2P!$B$2,SEG_6P!$B$2,SOL_4P!$B$2,RW_2P!$B$2,RW2_4P!$B$2,FLAP_4P!$B$2,TUBE_4P!$B$2),2))</f>
        <v>2</v>
      </c>
      <c r="E45" s="112">
        <f ca="1">IF($A45="","",VTL_Plan!$J45)</f>
        <v>46152.458333333343</v>
      </c>
      <c r="F45" s="112">
        <f ca="1">IF($A45="","",QC_Plan!$M45)</f>
        <v>46178.635582010582</v>
      </c>
      <c r="G45" s="110" t="s">
        <v>26</v>
      </c>
      <c r="H45" s="110" t="str">
        <f ca="1">IF($A45="","",TEXT(QC_Plan!M45,"MMM-YYYY"))</f>
        <v>Jun-2026</v>
      </c>
      <c r="I45" s="110" t="s">
        <v>20</v>
      </c>
      <c r="J45" s="120">
        <f t="shared" ca="1" si="1"/>
        <v>46208.635582010582</v>
      </c>
      <c r="K45" s="110" t="s">
        <v>21</v>
      </c>
    </row>
    <row r="46" spans="1:11" ht="15" customHeight="1" x14ac:dyDescent="0.3">
      <c r="A46" s="10" t="s">
        <v>69</v>
      </c>
      <c r="B46" s="113">
        <v>15</v>
      </c>
      <c r="C46" s="113" t="s">
        <v>23</v>
      </c>
      <c r="D46" s="119">
        <f>IF($A46="","",IFERROR(CHOOSE(MATCH($C46,Settings!$L$4:$L$10,0),OPR_2P!$B$2,SEG_6P!$B$2,SOL_4P!$B$2,RW_2P!$B$2,RW2_4P!$B$2,FLAP_4P!$B$2,TUBE_4P!$B$2),2))</f>
        <v>2</v>
      </c>
      <c r="E46" s="112">
        <f ca="1">IF($A46="","",VTL_Plan!$J46)</f>
        <v>46154.310185185197</v>
      </c>
      <c r="F46" s="112">
        <f ca="1">IF($A46="","",QC_Plan!$M46)</f>
        <v>46179.283730158728</v>
      </c>
      <c r="G46" s="110" t="s">
        <v>26</v>
      </c>
      <c r="H46" s="110" t="str">
        <f ca="1">IF($A46="","",TEXT(QC_Plan!M46,"MMM-YYYY"))</f>
        <v>Jun-2026</v>
      </c>
      <c r="I46" s="110" t="s">
        <v>16</v>
      </c>
      <c r="J46" s="120">
        <f t="shared" ca="1" si="1"/>
        <v>46209.283730158728</v>
      </c>
      <c r="K46" s="110" t="s">
        <v>17</v>
      </c>
    </row>
    <row r="47" spans="1:11" ht="15" customHeight="1" x14ac:dyDescent="0.3">
      <c r="A47" s="10" t="s">
        <v>70</v>
      </c>
      <c r="B47" s="113">
        <v>50</v>
      </c>
      <c r="C47" s="113" t="s">
        <v>19</v>
      </c>
      <c r="D47" s="119">
        <f>IF($A47="","",IFERROR(CHOOSE(MATCH($C47,Settings!$L$4:$L$10,0),OPR_2P!$B$2,SEG_6P!$B$2,SOL_4P!$B$2,RW_2P!$B$2,RW2_4P!$B$2,FLAP_4P!$B$2,TUBE_4P!$B$2),2))</f>
        <v>4</v>
      </c>
      <c r="E47" s="112">
        <f ca="1">IF($A47="","",VTL_Plan!$J47)</f>
        <v>46162.458333333328</v>
      </c>
      <c r="F47" s="112">
        <f ca="1">IF($A47="","",QC_Plan!$M47)</f>
        <v>46282.438492063477</v>
      </c>
      <c r="G47" s="110" t="s">
        <v>33</v>
      </c>
      <c r="H47" s="110" t="str">
        <f ca="1">IF($A47="","",TEXT(QC_Plan!M47,"MMM-YYYY"))</f>
        <v>Sep-2026</v>
      </c>
      <c r="I47" s="110" t="s">
        <v>16</v>
      </c>
      <c r="J47" s="120">
        <f t="shared" ca="1" si="1"/>
        <v>46312.438492063477</v>
      </c>
      <c r="K47" s="110" t="s">
        <v>27</v>
      </c>
    </row>
    <row r="48" spans="1:11" ht="15" customHeight="1" x14ac:dyDescent="0.3">
      <c r="A48" s="10" t="s">
        <v>71</v>
      </c>
      <c r="B48" s="113">
        <v>9</v>
      </c>
      <c r="C48" s="113" t="s">
        <v>23</v>
      </c>
      <c r="D48" s="119">
        <f>IF($A48="","",IFERROR(CHOOSE(MATCH($C48,Settings!$L$4:$L$10,0),OPR_2P!$B$2,SEG_6P!$B$2,SOL_4P!$B$2,RW_2P!$B$2,RW2_4P!$B$2,FLAP_4P!$B$2,TUBE_4P!$B$2),2))</f>
        <v>2</v>
      </c>
      <c r="E48" s="112">
        <f ca="1">IF($A48="","",VTL_Plan!$J48)</f>
        <v>46155.699074074088</v>
      </c>
      <c r="F48" s="112">
        <f ca="1">IF($A48="","",QC_Plan!$M48)</f>
        <v>46179.746693121691</v>
      </c>
      <c r="G48" s="110" t="s">
        <v>26</v>
      </c>
      <c r="H48" s="110" t="str">
        <f ca="1">IF($A48="","",TEXT(QC_Plan!M48,"MMM-YYYY"))</f>
        <v>Jun-2026</v>
      </c>
      <c r="I48" s="110" t="s">
        <v>29</v>
      </c>
      <c r="J48" s="120">
        <f t="shared" ca="1" si="1"/>
        <v>46209.746693121691</v>
      </c>
      <c r="K48" s="110" t="s">
        <v>21</v>
      </c>
    </row>
    <row r="49" spans="1:11" ht="15" customHeight="1" x14ac:dyDescent="0.3">
      <c r="A49" s="10" t="s">
        <v>72</v>
      </c>
      <c r="B49" s="113">
        <v>34</v>
      </c>
      <c r="C49" s="113" t="s">
        <v>19</v>
      </c>
      <c r="D49" s="119">
        <f>IF($A49="","",IFERROR(CHOOSE(MATCH($C49,Settings!$L$4:$L$10,0),OPR_2P!$B$2,SEG_6P!$B$2,SOL_4P!$B$2,RW_2P!$B$2,RW2_4P!$B$2,FLAP_4P!$B$2,TUBE_4P!$B$2),2))</f>
        <v>4</v>
      </c>
      <c r="E49" s="112">
        <f ca="1">IF($A49="","",VTL_Plan!$J49)</f>
        <v>46156.99537037038</v>
      </c>
      <c r="F49" s="112">
        <f ca="1">IF($A49="","",QC_Plan!$M49)</f>
        <v>46209.912037037051</v>
      </c>
      <c r="G49" s="110" t="s">
        <v>15</v>
      </c>
      <c r="H49" s="110" t="str">
        <f ca="1">IF($A49="","",TEXT(QC_Plan!M49,"MMM-YYYY"))</f>
        <v>Jul-2026</v>
      </c>
      <c r="I49" s="110" t="s">
        <v>16</v>
      </c>
      <c r="J49" s="120">
        <f t="shared" ca="1" si="1"/>
        <v>46239.912037037051</v>
      </c>
      <c r="K49" s="110" t="s">
        <v>31</v>
      </c>
    </row>
    <row r="50" spans="1:11" ht="15" customHeight="1" x14ac:dyDescent="0.3">
      <c r="A50" s="10" t="s">
        <v>73</v>
      </c>
      <c r="B50" s="113">
        <v>34</v>
      </c>
      <c r="C50" s="113" t="s">
        <v>19</v>
      </c>
      <c r="D50" s="119">
        <f>IF($A50="","",IFERROR(CHOOSE(MATCH($C50,Settings!$L$4:$L$10,0),OPR_2P!$B$2,SEG_6P!$B$2,SOL_4P!$B$2,RW_2P!$B$2,RW2_4P!$B$2,FLAP_4P!$B$2,TUBE_4P!$B$2),2))</f>
        <v>4</v>
      </c>
      <c r="E50" s="112">
        <f ca="1">IF($A50="","",VTL_Plan!$J50)</f>
        <v>46163.291666666679</v>
      </c>
      <c r="F50" s="112">
        <f ca="1">IF($A50="","",QC_Plan!$M50)</f>
        <v>46221.949074074088</v>
      </c>
      <c r="G50" s="110" t="s">
        <v>15</v>
      </c>
      <c r="H50" s="110" t="str">
        <f ca="1">IF($A50="","",TEXT(QC_Plan!M50,"MMM-YYYY"))</f>
        <v>Jul-2026</v>
      </c>
      <c r="I50" s="110" t="s">
        <v>16</v>
      </c>
      <c r="J50" s="120">
        <f t="shared" ca="1" si="1"/>
        <v>46251.949074074088</v>
      </c>
      <c r="K50" s="110" t="s">
        <v>17</v>
      </c>
    </row>
    <row r="51" spans="1:11" ht="15" customHeight="1" x14ac:dyDescent="0.3">
      <c r="A51" s="10" t="s">
        <v>74</v>
      </c>
      <c r="B51" s="113">
        <v>25</v>
      </c>
      <c r="C51" s="113" t="s">
        <v>19</v>
      </c>
      <c r="D51" s="119">
        <f>IF($A51="","",IFERROR(CHOOSE(MATCH($C51,Settings!$L$4:$L$10,0),OPR_2P!$B$2,SEG_6P!$B$2,SOL_4P!$B$2,RW_2P!$B$2,RW2_4P!$B$2,FLAP_4P!$B$2,TUBE_4P!$B$2),2))</f>
        <v>4</v>
      </c>
      <c r="E51" s="112">
        <f ca="1">IF($A51="","",VTL_Plan!$J51)</f>
        <v>46156.532407407423</v>
      </c>
      <c r="F51" s="112">
        <f ca="1">IF($A51="","",QC_Plan!$M51)</f>
        <v>46226.20833333335</v>
      </c>
      <c r="G51" s="110" t="s">
        <v>26</v>
      </c>
      <c r="H51" s="110" t="str">
        <f ca="1">IF($A51="","",TEXT(QC_Plan!M51,"MMM-YYYY"))</f>
        <v>Jul-2026</v>
      </c>
      <c r="I51" s="110" t="s">
        <v>20</v>
      </c>
      <c r="J51" s="120">
        <f t="shared" ca="1" si="1"/>
        <v>46256.20833333335</v>
      </c>
      <c r="K51" s="110" t="s">
        <v>27</v>
      </c>
    </row>
    <row r="52" spans="1:11" ht="15" customHeight="1" x14ac:dyDescent="0.3">
      <c r="A52" s="10" t="s">
        <v>75</v>
      </c>
      <c r="B52" s="113">
        <v>34</v>
      </c>
      <c r="C52" s="113" t="s">
        <v>14</v>
      </c>
      <c r="D52" s="119">
        <f>IF($A52="","",IFERROR(CHOOSE(MATCH($C52,Settings!$L$4:$L$10,0),OPR_2P!$B$2,SEG_6P!$B$2,SOL_4P!$B$2,RW_2P!$B$2,RW2_4P!$B$2,FLAP_4P!$B$2,TUBE_4P!$B$2),2))</f>
        <v>2</v>
      </c>
      <c r="E52" s="112">
        <f ca="1">IF($A52="","",VTL_Plan!$J52)</f>
        <v>46169.587962962978</v>
      </c>
      <c r="F52" s="112">
        <f ca="1">IF($A52="","",QC_Plan!$M52)</f>
        <v>46219.773148148168</v>
      </c>
      <c r="G52" s="110" t="s">
        <v>15</v>
      </c>
      <c r="H52" s="110" t="str">
        <f ca="1">IF($A52="","",TEXT(QC_Plan!M52,"MMM-YYYY"))</f>
        <v>Jul-2026</v>
      </c>
      <c r="I52" s="110" t="s">
        <v>16</v>
      </c>
      <c r="J52" s="120">
        <f t="shared" ca="1" si="1"/>
        <v>46249.773148148168</v>
      </c>
      <c r="K52" s="110" t="s">
        <v>21</v>
      </c>
    </row>
    <row r="53" spans="1:11" ht="15" customHeight="1" x14ac:dyDescent="0.3">
      <c r="A53" s="10" t="s">
        <v>76</v>
      </c>
      <c r="B53" s="113">
        <v>17</v>
      </c>
      <c r="C53" s="113" t="s">
        <v>19</v>
      </c>
      <c r="D53" s="119">
        <f>IF($A53="","",IFERROR(CHOOSE(MATCH($C53,Settings!$L$4:$L$10,0),OPR_2P!$B$2,SEG_6P!$B$2,SOL_4P!$B$2,RW_2P!$B$2,RW2_4P!$B$2,FLAP_4P!$B$2,TUBE_4P!$B$2),2))</f>
        <v>4</v>
      </c>
      <c r="E53" s="112">
        <f ca="1">IF($A53="","",VTL_Plan!$J53)</f>
        <v>46161.162037037051</v>
      </c>
      <c r="F53" s="112">
        <f ca="1">IF($A53="","",QC_Plan!$M53)</f>
        <v>46222.550925925949</v>
      </c>
      <c r="G53" s="110" t="s">
        <v>26</v>
      </c>
      <c r="H53" s="110" t="str">
        <f ca="1">IF($A53="","",TEXT(QC_Plan!M53,"MMM-YYYY"))</f>
        <v>Jul-2026</v>
      </c>
      <c r="I53" s="110" t="s">
        <v>16</v>
      </c>
      <c r="J53" s="120">
        <f t="shared" ca="1" si="1"/>
        <v>46252.550925925949</v>
      </c>
      <c r="K53" s="110" t="s">
        <v>31</v>
      </c>
    </row>
    <row r="54" spans="1:11" ht="15" customHeight="1" x14ac:dyDescent="0.3">
      <c r="A54" s="10" t="s">
        <v>77</v>
      </c>
      <c r="B54" s="113">
        <v>25</v>
      </c>
      <c r="C54" s="113" t="s">
        <v>23</v>
      </c>
      <c r="D54" s="119">
        <f>IF($A54="","",IFERROR(CHOOSE(MATCH($C54,Settings!$L$4:$L$10,0),OPR_2P!$B$2,SEG_6P!$B$2,SOL_4P!$B$2,RW_2P!$B$2,RW2_4P!$B$2,FLAP_4P!$B$2,TUBE_4P!$B$2),2))</f>
        <v>2</v>
      </c>
      <c r="E54" s="112">
        <f ca="1">IF($A54="","",VTL_Plan!$J54)</f>
        <v>46164.310185185197</v>
      </c>
      <c r="F54" s="112">
        <f ca="1">IF($A54="","",QC_Plan!$M54)</f>
        <v>46227.689814814832</v>
      </c>
      <c r="G54" s="110" t="s">
        <v>26</v>
      </c>
      <c r="H54" s="110" t="str">
        <f ca="1">IF($A54="","",TEXT(QC_Plan!M54,"MMM-YYYY"))</f>
        <v>Jul-2026</v>
      </c>
      <c r="I54" s="110" t="s">
        <v>16</v>
      </c>
      <c r="J54" s="120">
        <f t="shared" ca="1" si="1"/>
        <v>46257.689814814832</v>
      </c>
      <c r="K54" s="110" t="s">
        <v>17</v>
      </c>
    </row>
    <row r="55" spans="1:11" ht="15" customHeight="1" x14ac:dyDescent="0.3">
      <c r="A55" s="10" t="s">
        <v>78</v>
      </c>
      <c r="B55" s="113">
        <v>25</v>
      </c>
      <c r="C55" s="113" t="s">
        <v>14</v>
      </c>
      <c r="D55" s="119">
        <f>IF($A55="","",IFERROR(CHOOSE(MATCH($C55,Settings!$L$4:$L$10,0),OPR_2P!$B$2,SEG_6P!$B$2,SOL_4P!$B$2,RW_2P!$B$2,RW2_4P!$B$2,FLAP_4P!$B$2,TUBE_4P!$B$2),2))</f>
        <v>2</v>
      </c>
      <c r="E55" s="112">
        <f ca="1">IF($A55="","",VTL_Plan!$J55)</f>
        <v>46166.625000000015</v>
      </c>
      <c r="F55" s="112">
        <f ca="1">IF($A55="","",QC_Plan!$M55)</f>
        <v>46225.050925925949</v>
      </c>
      <c r="G55" s="110" t="s">
        <v>26</v>
      </c>
      <c r="H55" s="110" t="str">
        <f ca="1">IF($A55="","",TEXT(QC_Plan!M55,"MMM-YYYY"))</f>
        <v>Jul-2026</v>
      </c>
      <c r="I55" s="110" t="s">
        <v>20</v>
      </c>
      <c r="J55" s="120">
        <f t="shared" ca="1" si="1"/>
        <v>46255.050925925949</v>
      </c>
      <c r="K55" s="110" t="s">
        <v>21</v>
      </c>
    </row>
    <row r="56" spans="1:11" ht="15" customHeight="1" x14ac:dyDescent="0.3">
      <c r="A56" s="10" t="s">
        <v>79</v>
      </c>
      <c r="B56" s="113">
        <v>15</v>
      </c>
      <c r="C56" s="113" t="s">
        <v>14</v>
      </c>
      <c r="D56" s="119">
        <f>IF($A56="","",IFERROR(CHOOSE(MATCH($C56,Settings!$L$4:$L$10,0),OPR_2P!$B$2,SEG_6P!$B$2,SOL_4P!$B$2,RW_2P!$B$2,RW2_4P!$B$2,FLAP_4P!$B$2,TUBE_4P!$B$2),2))</f>
        <v>2</v>
      </c>
      <c r="E56" s="112">
        <f ca="1">IF($A56="","",VTL_Plan!$J56)</f>
        <v>46168.939814814832</v>
      </c>
      <c r="F56" s="112">
        <f ca="1">IF($A56="","",QC_Plan!$M56)</f>
        <v>46228.893518518533</v>
      </c>
      <c r="G56" s="110" t="s">
        <v>26</v>
      </c>
      <c r="H56" s="110" t="str">
        <f ca="1">IF($A56="","",TEXT(QC_Plan!M56,"MMM-YYYY"))</f>
        <v>Jul-2026</v>
      </c>
      <c r="I56" s="110" t="s">
        <v>16</v>
      </c>
      <c r="J56" s="120">
        <f t="shared" ca="1" si="1"/>
        <v>46258.893518518533</v>
      </c>
      <c r="K56" s="110" t="s">
        <v>17</v>
      </c>
    </row>
    <row r="57" spans="1:11" ht="15" customHeight="1" x14ac:dyDescent="0.3">
      <c r="A57" s="10" t="s">
        <v>80</v>
      </c>
      <c r="B57" s="113">
        <v>34</v>
      </c>
      <c r="C57" s="113" t="s">
        <v>25</v>
      </c>
      <c r="D57" s="119">
        <f>IF($A57="","",IFERROR(CHOOSE(MATCH($C57,Settings!$L$4:$L$10,0),OPR_2P!$B$2,SEG_6P!$B$2,SOL_4P!$B$2,RW_2P!$B$2,RW2_4P!$B$2,FLAP_4P!$B$2,TUBE_4P!$B$2),2))</f>
        <v>6</v>
      </c>
      <c r="E57" s="112">
        <f ca="1">IF($A57="","",VTL_Plan!$J57)</f>
        <v>46172.736111111124</v>
      </c>
      <c r="F57" s="112">
        <f ca="1">IF($A57="","",QC_Plan!$M57)</f>
        <v>46255.609788359776</v>
      </c>
      <c r="G57" s="110" t="s">
        <v>15</v>
      </c>
      <c r="H57" s="110" t="str">
        <f ca="1">IF($A57="","",TEXT(QC_Plan!M57,"MMM-YYYY"))</f>
        <v>Aug-2026</v>
      </c>
      <c r="I57" s="110" t="s">
        <v>16</v>
      </c>
      <c r="J57" s="120">
        <f t="shared" ca="1" si="1"/>
        <v>46285.609788359776</v>
      </c>
      <c r="K57" s="110" t="s">
        <v>27</v>
      </c>
    </row>
    <row r="58" spans="1:11" ht="15" customHeight="1" x14ac:dyDescent="0.3">
      <c r="A58" s="10" t="s">
        <v>81</v>
      </c>
      <c r="B58" s="113">
        <v>34</v>
      </c>
      <c r="C58" s="113" t="s">
        <v>14</v>
      </c>
      <c r="D58" s="119">
        <f>IF($A58="","",IFERROR(CHOOSE(MATCH($C58,Settings!$L$4:$L$10,0),OPR_2P!$B$2,SEG_6P!$B$2,SOL_4P!$B$2,RW_2P!$B$2,RW2_4P!$B$2,FLAP_4P!$B$2,TUBE_4P!$B$2),2))</f>
        <v>2</v>
      </c>
      <c r="E58" s="112">
        <f ca="1">IF($A58="","",VTL_Plan!$J58)</f>
        <v>46168.569444444438</v>
      </c>
      <c r="F58" s="112">
        <f ca="1">IF($A58="","",QC_Plan!$M58)</f>
        <v>46231.393518518533</v>
      </c>
      <c r="G58" s="110" t="s">
        <v>15</v>
      </c>
      <c r="H58" s="110" t="str">
        <f ca="1">IF($A58="","",TEXT(QC_Plan!M58,"MMM-YYYY"))</f>
        <v>Jul-2026</v>
      </c>
      <c r="I58" s="110" t="s">
        <v>29</v>
      </c>
      <c r="J58" s="120">
        <f t="shared" ca="1" si="1"/>
        <v>46261.393518518533</v>
      </c>
      <c r="K58" s="110" t="s">
        <v>21</v>
      </c>
    </row>
    <row r="59" spans="1:11" ht="15" customHeight="1" x14ac:dyDescent="0.3">
      <c r="A59" s="10" t="s">
        <v>82</v>
      </c>
      <c r="B59" s="113">
        <v>54</v>
      </c>
      <c r="C59" s="113" t="s">
        <v>14</v>
      </c>
      <c r="D59" s="119">
        <f>IF($A59="","",IFERROR(CHOOSE(MATCH($C59,Settings!$L$4:$L$10,0),OPR_2P!$B$2,SEG_6P!$B$2,SOL_4P!$B$2,RW_2P!$B$2,RW2_4P!$B$2,FLAP_4P!$B$2,TUBE_4P!$B$2),2))</f>
        <v>2</v>
      </c>
      <c r="E59" s="112">
        <f ca="1">IF($A59="","",VTL_Plan!$J59)</f>
        <v>46171.717592592584</v>
      </c>
      <c r="F59" s="112">
        <f ca="1">IF($A59="","",QC_Plan!$M59)</f>
        <v>46247.398809523802</v>
      </c>
      <c r="G59" s="110" t="s">
        <v>33</v>
      </c>
      <c r="H59" s="110" t="str">
        <f ca="1">IF($A59="","",TEXT(QC_Plan!M59,"MMM-YYYY"))</f>
        <v>Aug-2026</v>
      </c>
      <c r="I59" s="110" t="s">
        <v>16</v>
      </c>
      <c r="J59" s="120">
        <f t="shared" ca="1" si="1"/>
        <v>46277.398809523802</v>
      </c>
      <c r="K59" s="110" t="s">
        <v>31</v>
      </c>
    </row>
    <row r="60" spans="1:11" ht="15" customHeight="1" x14ac:dyDescent="0.3">
      <c r="A60" s="10" t="s">
        <v>83</v>
      </c>
      <c r="B60" s="113">
        <v>50</v>
      </c>
      <c r="C60" s="113" t="s">
        <v>25</v>
      </c>
      <c r="D60" s="119">
        <f>IF($A60="","",IFERROR(CHOOSE(MATCH($C60,Settings!$L$4:$L$10,0),OPR_2P!$B$2,SEG_6P!$B$2,SOL_4P!$B$2,RW_2P!$B$2,RW2_4P!$B$2,FLAP_4P!$B$2,TUBE_4P!$B$2),2))</f>
        <v>6</v>
      </c>
      <c r="E60" s="112">
        <f ca="1">IF($A60="","",VTL_Plan!$J60)</f>
        <v>46171.717592592591</v>
      </c>
      <c r="F60" s="112">
        <f ca="1">IF($A60="","",QC_Plan!$M60)</f>
        <v>46316.43981481481</v>
      </c>
      <c r="G60" s="110" t="s">
        <v>33</v>
      </c>
      <c r="H60" s="110" t="str">
        <f ca="1">IF($A60="","",TEXT(QC_Plan!M60,"MMM-YYYY"))</f>
        <v>Oct-2026</v>
      </c>
      <c r="I60" s="110" t="s">
        <v>16</v>
      </c>
      <c r="J60" s="120">
        <f t="shared" ca="1" si="1"/>
        <v>46346.43981481481</v>
      </c>
      <c r="K60" s="110" t="s">
        <v>17</v>
      </c>
    </row>
    <row r="61" spans="1:11" ht="15" customHeight="1" x14ac:dyDescent="0.3">
      <c r="A61" s="10" t="s">
        <v>84</v>
      </c>
      <c r="B61" s="113">
        <v>54</v>
      </c>
      <c r="C61" s="113" t="s">
        <v>23</v>
      </c>
      <c r="D61" s="119">
        <f>IF($A61="","",IFERROR(CHOOSE(MATCH($C61,Settings!$L$4:$L$10,0),OPR_2P!$B$2,SEG_6P!$B$2,SOL_4P!$B$2,RW_2P!$B$2,RW2_4P!$B$2,FLAP_4P!$B$2,TUBE_4P!$B$2),2))</f>
        <v>2</v>
      </c>
      <c r="E61" s="112">
        <f ca="1">IF($A61="","",VTL_Plan!$J61)</f>
        <v>46176.995370370365</v>
      </c>
      <c r="F61" s="112">
        <f ca="1">IF($A61="","",QC_Plan!$M61)</f>
        <v>46253.695105820101</v>
      </c>
      <c r="G61" s="110" t="s">
        <v>33</v>
      </c>
      <c r="H61" s="110" t="str">
        <f ca="1">IF($A61="","",TEXT(QC_Plan!M61,"MMM-YYYY"))</f>
        <v>Aug-2026</v>
      </c>
      <c r="I61" s="110" t="s">
        <v>20</v>
      </c>
      <c r="J61" s="120">
        <f t="shared" ca="1" si="1"/>
        <v>46283.695105820101</v>
      </c>
      <c r="K61" s="110" t="s">
        <v>27</v>
      </c>
    </row>
    <row r="62" spans="1:11" ht="15" customHeight="1" x14ac:dyDescent="0.3">
      <c r="A62" s="10" t="s">
        <v>85</v>
      </c>
      <c r="B62" s="113">
        <v>9</v>
      </c>
      <c r="C62" s="113" t="s">
        <v>25</v>
      </c>
      <c r="D62" s="119">
        <f>IF($A62="","",IFERROR(CHOOSE(MATCH($C62,Settings!$L$4:$L$10,0),OPR_2P!$B$2,SEG_6P!$B$2,SOL_4P!$B$2,RW_2P!$B$2,RW2_4P!$B$2,FLAP_4P!$B$2,TUBE_4P!$B$2),2))</f>
        <v>6</v>
      </c>
      <c r="E62" s="112">
        <f ca="1">IF($A62="","",VTL_Plan!$J62)</f>
        <v>46170.328703703723</v>
      </c>
      <c r="F62" s="112">
        <f ca="1">IF($A62="","",QC_Plan!$M62)</f>
        <v>46231.949074074088</v>
      </c>
      <c r="G62" s="110" t="s">
        <v>26</v>
      </c>
      <c r="H62" s="110" t="str">
        <f ca="1">IF($A62="","",TEXT(QC_Plan!M62,"MMM-YYYY"))</f>
        <v>Jul-2026</v>
      </c>
      <c r="I62" s="110" t="s">
        <v>16</v>
      </c>
      <c r="J62" s="120">
        <f t="shared" ca="1" si="1"/>
        <v>46261.949074074088</v>
      </c>
      <c r="K62" s="110" t="s">
        <v>21</v>
      </c>
    </row>
    <row r="63" spans="1:11" ht="15" customHeight="1" x14ac:dyDescent="0.3">
      <c r="A63" s="10" t="s">
        <v>86</v>
      </c>
      <c r="B63" s="113">
        <v>30</v>
      </c>
      <c r="C63" s="113" t="s">
        <v>25</v>
      </c>
      <c r="D63" s="119">
        <f>IF($A63="","",IFERROR(CHOOSE(MATCH($C63,Settings!$L$4:$L$10,0),OPR_2P!$B$2,SEG_6P!$B$2,SOL_4P!$B$2,RW_2P!$B$2,RW2_4P!$B$2,FLAP_4P!$B$2,TUBE_4P!$B$2),2))</f>
        <v>6</v>
      </c>
      <c r="E63" s="112">
        <f ca="1">IF($A63="","",VTL_Plan!$J63)</f>
        <v>46182.180555555569</v>
      </c>
      <c r="F63" s="112">
        <f ca="1">IF($A63="","",QC_Plan!$M63)</f>
        <v>46241.191798941807</v>
      </c>
      <c r="G63" s="110" t="s">
        <v>15</v>
      </c>
      <c r="H63" s="110" t="str">
        <f ca="1">IF($A63="","",TEXT(QC_Plan!M63,"MMM-YYYY"))</f>
        <v>Aug-2026</v>
      </c>
      <c r="I63" s="110" t="s">
        <v>16</v>
      </c>
      <c r="J63" s="120">
        <f t="shared" ca="1" si="1"/>
        <v>46271.191798941807</v>
      </c>
      <c r="K63" s="110" t="s">
        <v>31</v>
      </c>
    </row>
    <row r="64" spans="1:11" ht="15" customHeight="1" x14ac:dyDescent="0.3">
      <c r="A64" s="10" t="s">
        <v>87</v>
      </c>
      <c r="B64" s="113">
        <v>9</v>
      </c>
      <c r="C64" s="113" t="s">
        <v>14</v>
      </c>
      <c r="D64" s="119">
        <f>IF($A64="","",IFERROR(CHOOSE(MATCH($C64,Settings!$L$4:$L$10,0),OPR_2P!$B$2,SEG_6P!$B$2,SOL_4P!$B$2,RW_2P!$B$2,RW2_4P!$B$2,FLAP_4P!$B$2,TUBE_4P!$B$2),2))</f>
        <v>2</v>
      </c>
      <c r="E64" s="112">
        <f ca="1">IF($A64="","",VTL_Plan!$J64)</f>
        <v>46172.828703703723</v>
      </c>
      <c r="F64" s="112">
        <f ca="1">IF($A64="","",QC_Plan!$M64)</f>
        <v>46254.158068783065</v>
      </c>
      <c r="G64" s="110" t="s">
        <v>26</v>
      </c>
      <c r="H64" s="110" t="str">
        <f ca="1">IF($A64="","",TEXT(QC_Plan!M64,"MMM-YYYY"))</f>
        <v>Aug-2026</v>
      </c>
      <c r="I64" s="110" t="s">
        <v>16</v>
      </c>
      <c r="J64" s="120">
        <f t="shared" ca="1" si="1"/>
        <v>46284.158068783065</v>
      </c>
      <c r="K64" s="110" t="s">
        <v>17</v>
      </c>
    </row>
    <row r="65" spans="1:11" ht="15" customHeight="1" x14ac:dyDescent="0.3">
      <c r="A65" s="10" t="s">
        <v>88</v>
      </c>
      <c r="B65" s="113">
        <v>70</v>
      </c>
      <c r="C65" s="113" t="s">
        <v>19</v>
      </c>
      <c r="D65" s="119">
        <f>IF($A65="","",IFERROR(CHOOSE(MATCH($C65,Settings!$L$4:$L$10,0),OPR_2P!$B$2,SEG_6P!$B$2,SOL_4P!$B$2,RW_2P!$B$2,RW2_4P!$B$2,FLAP_4P!$B$2,TUBE_4P!$B$2),2))</f>
        <v>4</v>
      </c>
      <c r="E65" s="112">
        <f ca="1">IF($A65="","",VTL_Plan!$J65)</f>
        <v>46181.995370370365</v>
      </c>
      <c r="F65" s="112">
        <f ca="1">IF($A65="","",QC_Plan!$M65)</f>
        <v>46331.995370370365</v>
      </c>
      <c r="G65" s="110" t="s">
        <v>33</v>
      </c>
      <c r="H65" s="110" t="str">
        <f ca="1">IF($A65="","",TEXT(QC_Plan!M65,"MMM-YYYY"))</f>
        <v>Nov-2026</v>
      </c>
      <c r="I65" s="110" t="s">
        <v>20</v>
      </c>
      <c r="J65" s="120">
        <f t="shared" ca="1" si="1"/>
        <v>46361.995370370365</v>
      </c>
      <c r="K65" s="110" t="s">
        <v>21</v>
      </c>
    </row>
    <row r="66" spans="1:11" ht="15" customHeight="1" x14ac:dyDescent="0.3">
      <c r="A66" s="10" t="s">
        <v>89</v>
      </c>
      <c r="B66" s="113">
        <v>42</v>
      </c>
      <c r="C66" s="113" t="s">
        <v>19</v>
      </c>
      <c r="D66" s="119">
        <f>IF($A66="","",IFERROR(CHOOSE(MATCH($C66,Settings!$L$4:$L$10,0),OPR_2P!$B$2,SEG_6P!$B$2,SOL_4P!$B$2,RW_2P!$B$2,RW2_4P!$B$2,FLAP_4P!$B$2,TUBE_4P!$B$2),2))</f>
        <v>4</v>
      </c>
      <c r="E66" s="112">
        <f ca="1">IF($A66="","",VTL_Plan!$J66)</f>
        <v>46190.513888888905</v>
      </c>
      <c r="F66" s="112">
        <f ca="1">IF($A66="","",QC_Plan!$M66)</f>
        <v>46260.431216931203</v>
      </c>
      <c r="G66" s="110" t="s">
        <v>15</v>
      </c>
      <c r="H66" s="110" t="str">
        <f ca="1">IF($A66="","",TEXT(QC_Plan!M66,"MMM-YYYY"))</f>
        <v>Aug-2026</v>
      </c>
      <c r="I66" s="110" t="s">
        <v>16</v>
      </c>
      <c r="J66" s="120">
        <f t="shared" ca="1" si="1"/>
        <v>46290.431216931203</v>
      </c>
      <c r="K66" s="110" t="s">
        <v>17</v>
      </c>
    </row>
    <row r="67" spans="1:11" ht="15" customHeight="1" x14ac:dyDescent="0.3">
      <c r="A67" s="10" t="s">
        <v>90</v>
      </c>
      <c r="B67" s="113">
        <v>20</v>
      </c>
      <c r="C67" s="113" t="s">
        <v>14</v>
      </c>
      <c r="D67" s="119">
        <f>IF($A67="","",IFERROR(CHOOSE(MATCH($C67,Settings!$L$4:$L$10,0),OPR_2P!$B$2,SEG_6P!$B$2,SOL_4P!$B$2,RW_2P!$B$2,RW2_4P!$B$2,FLAP_4P!$B$2,TUBE_4P!$B$2),2))</f>
        <v>2</v>
      </c>
      <c r="E67" s="112">
        <f ca="1">IF($A67="","",VTL_Plan!$J67)</f>
        <v>46173.662037037058</v>
      </c>
      <c r="F67" s="112">
        <f ca="1">IF($A67="","",QC_Plan!$M67)</f>
        <v>46256.720899470885</v>
      </c>
      <c r="G67" s="110" t="s">
        <v>26</v>
      </c>
      <c r="H67" s="110" t="str">
        <f ca="1">IF($A67="","",TEXT(QC_Plan!M67,"MMM-YYYY"))</f>
        <v>Aug-2026</v>
      </c>
      <c r="I67" s="110" t="s">
        <v>16</v>
      </c>
      <c r="J67" s="120">
        <f t="shared" ca="1" si="1"/>
        <v>46286.720899470885</v>
      </c>
      <c r="K67" s="110" t="s">
        <v>27</v>
      </c>
    </row>
    <row r="68" spans="1:11" ht="15" customHeight="1" x14ac:dyDescent="0.3">
      <c r="A68" s="10" t="s">
        <v>91</v>
      </c>
      <c r="B68" s="113">
        <v>17</v>
      </c>
      <c r="C68" s="113" t="s">
        <v>23</v>
      </c>
      <c r="D68" s="119">
        <f>IF($A68="","",IFERROR(CHOOSE(MATCH($C68,Settings!$L$4:$L$10,0),OPR_2P!$B$2,SEG_6P!$B$2,SOL_4P!$B$2,RW_2P!$B$2,RW2_4P!$B$2,FLAP_4P!$B$2,TUBE_4P!$B$2),2))</f>
        <v>2</v>
      </c>
      <c r="E68" s="112">
        <f ca="1">IF($A68="","",VTL_Plan!$J68)</f>
        <v>46175.513888888912</v>
      </c>
      <c r="F68" s="112">
        <f ca="1">IF($A68="","",QC_Plan!$M68)</f>
        <v>46257.739417989404</v>
      </c>
      <c r="G68" s="110" t="s">
        <v>26</v>
      </c>
      <c r="H68" s="110" t="str">
        <f ca="1">IF($A68="","",TEXT(QC_Plan!M68,"MMM-YYYY"))</f>
        <v>Aug-2026</v>
      </c>
      <c r="I68" s="110" t="s">
        <v>29</v>
      </c>
      <c r="J68" s="120">
        <f t="shared" ref="J68:J73" ca="1" si="2">IF($A68="","",F68+30)</f>
        <v>46287.739417989404</v>
      </c>
      <c r="K68" s="110" t="s">
        <v>21</v>
      </c>
    </row>
    <row r="69" spans="1:11" ht="15" customHeight="1" x14ac:dyDescent="0.3">
      <c r="A69" s="10" t="s">
        <v>92</v>
      </c>
      <c r="B69" s="113">
        <v>54</v>
      </c>
      <c r="C69" s="113" t="s">
        <v>14</v>
      </c>
      <c r="D69" s="119">
        <f>IF($A69="","",IFERROR(CHOOSE(MATCH($C69,Settings!$L$4:$L$10,0),OPR_2P!$B$2,SEG_6P!$B$2,SOL_4P!$B$2,RW_2P!$B$2,RW2_4P!$B$2,FLAP_4P!$B$2,TUBE_4P!$B$2),2))</f>
        <v>2</v>
      </c>
      <c r="E69" s="112">
        <f ca="1">IF($A69="","",VTL_Plan!$J69)</f>
        <v>46185.606481481482</v>
      </c>
      <c r="F69" s="112">
        <f ca="1">IF($A69="","",QC_Plan!$M69)</f>
        <v>46288.642195767177</v>
      </c>
      <c r="G69" s="110" t="s">
        <v>33</v>
      </c>
      <c r="H69" s="110" t="str">
        <f ca="1">IF($A69="","",TEXT(QC_Plan!M69,"MMM-YYYY"))</f>
        <v>Sep-2026</v>
      </c>
      <c r="I69" s="110" t="s">
        <v>16</v>
      </c>
      <c r="J69" s="120">
        <f t="shared" ca="1" si="2"/>
        <v>46318.642195767177</v>
      </c>
      <c r="K69" s="110" t="s">
        <v>31</v>
      </c>
    </row>
    <row r="70" spans="1:11" ht="15" customHeight="1" x14ac:dyDescent="0.3">
      <c r="A70" s="10" t="s">
        <v>93</v>
      </c>
      <c r="B70" s="113">
        <v>50</v>
      </c>
      <c r="C70" s="113" t="s">
        <v>19</v>
      </c>
      <c r="D70" s="119">
        <f>IF($A70="","",IFERROR(CHOOSE(MATCH($C70,Settings!$L$4:$L$10,0),OPR_2P!$B$2,SEG_6P!$B$2,SOL_4P!$B$2,RW_2P!$B$2,RW2_4P!$B$2,FLAP_4P!$B$2,TUBE_4P!$B$2),2))</f>
        <v>4</v>
      </c>
      <c r="E70" s="112">
        <f ca="1">IF($A70="","",VTL_Plan!$J70)</f>
        <v>46190.606481481482</v>
      </c>
      <c r="F70" s="112">
        <f ca="1">IF($A70="","",QC_Plan!$M70)</f>
        <v>46313.027116402103</v>
      </c>
      <c r="G70" s="110" t="s">
        <v>33</v>
      </c>
      <c r="H70" s="110" t="str">
        <f ca="1">IF($A70="","",TEXT(QC_Plan!M70,"MMM-YYYY"))</f>
        <v>Oct-2026</v>
      </c>
      <c r="I70" s="110" t="s">
        <v>16</v>
      </c>
      <c r="J70" s="120">
        <f t="shared" ca="1" si="2"/>
        <v>46343.027116402103</v>
      </c>
      <c r="K70" s="110" t="s">
        <v>17</v>
      </c>
    </row>
    <row r="71" spans="1:11" ht="15" customHeight="1" x14ac:dyDescent="0.3">
      <c r="A71" s="10" t="s">
        <v>94</v>
      </c>
      <c r="B71" s="113">
        <v>17</v>
      </c>
      <c r="C71" s="113" t="s">
        <v>19</v>
      </c>
      <c r="D71" s="119">
        <f>IF($A71="","",IFERROR(CHOOSE(MATCH($C71,Settings!$L$4:$L$10,0),OPR_2P!$B$2,SEG_6P!$B$2,SOL_4P!$B$2,RW_2P!$B$2,RW2_4P!$B$2,FLAP_4P!$B$2,TUBE_4P!$B$2),2))</f>
        <v>4</v>
      </c>
      <c r="E71" s="112">
        <f ca="1">IF($A71="","",VTL_Plan!$J71)</f>
        <v>46177.087962962985</v>
      </c>
      <c r="F71" s="112">
        <f ca="1">IF($A71="","",QC_Plan!$M71)</f>
        <v>46243.969576719588</v>
      </c>
      <c r="G71" s="110" t="s">
        <v>26</v>
      </c>
      <c r="H71" s="110" t="str">
        <f ca="1">IF($A71="","",TEXT(QC_Plan!M71,"MMM-YYYY"))</f>
        <v>Aug-2026</v>
      </c>
      <c r="I71" s="110" t="s">
        <v>20</v>
      </c>
      <c r="J71" s="120">
        <f t="shared" ca="1" si="2"/>
        <v>46273.969576719588</v>
      </c>
      <c r="K71" s="110" t="s">
        <v>27</v>
      </c>
    </row>
    <row r="72" spans="1:11" ht="15" customHeight="1" x14ac:dyDescent="0.3">
      <c r="A72" s="10" t="s">
        <v>95</v>
      </c>
      <c r="B72" s="113">
        <v>17</v>
      </c>
      <c r="C72" s="113" t="s">
        <v>14</v>
      </c>
      <c r="D72" s="119">
        <f>IF($A72="","",IFERROR(CHOOSE(MATCH($C72,Settings!$L$4:$L$10,0),OPR_2P!$B$2,SEG_6P!$B$2,SOL_4P!$B$2,RW_2P!$B$2,RW2_4P!$B$2,FLAP_4P!$B$2,TUBE_4P!$B$2),2))</f>
        <v>2</v>
      </c>
      <c r="E72" s="112">
        <f ca="1">IF($A72="","",VTL_Plan!$J72)</f>
        <v>46180.236111111131</v>
      </c>
      <c r="F72" s="112">
        <f ca="1">IF($A72="","",QC_Plan!$M72)</f>
        <v>46258.943121693104</v>
      </c>
      <c r="G72" s="110" t="s">
        <v>26</v>
      </c>
      <c r="H72" s="110" t="str">
        <f ca="1">IF($A72="","",TEXT(QC_Plan!M72,"MMM-YYYY"))</f>
        <v>Aug-2026</v>
      </c>
      <c r="I72" s="110" t="s">
        <v>16</v>
      </c>
      <c r="J72" s="120">
        <f t="shared" ca="1" si="2"/>
        <v>46288.943121693104</v>
      </c>
      <c r="K72" s="110" t="s">
        <v>21</v>
      </c>
    </row>
    <row r="73" spans="1:11" ht="15" customHeight="1" x14ac:dyDescent="0.3">
      <c r="A73" s="10" t="s">
        <v>96</v>
      </c>
      <c r="B73" s="113">
        <v>17</v>
      </c>
      <c r="C73" s="113" t="s">
        <v>25</v>
      </c>
      <c r="D73" s="119">
        <f>IF($A73="","",IFERROR(CHOOSE(MATCH($C73,Settings!$L$4:$L$10,0),OPR_2P!$B$2,SEG_6P!$B$2,SOL_4P!$B$2,RW_2P!$B$2,RW2_4P!$B$2,FLAP_4P!$B$2,TUBE_4P!$B$2),2))</f>
        <v>6</v>
      </c>
      <c r="E73" s="112">
        <f ca="1">IF($A73="","",VTL_Plan!$J73)</f>
        <v>46181.810185185204</v>
      </c>
      <c r="F73" s="112">
        <f ca="1">IF($A73="","",QC_Plan!$M73)</f>
        <v>46261.998677248659</v>
      </c>
      <c r="G73" s="110" t="s">
        <v>26</v>
      </c>
      <c r="H73" s="110" t="str">
        <f ca="1">IF($A73="","",TEXT(QC_Plan!M73,"MMM-YYYY"))</f>
        <v>Aug-2026</v>
      </c>
      <c r="I73" s="110" t="s">
        <v>16</v>
      </c>
      <c r="J73" s="120">
        <f t="shared" ca="1" si="2"/>
        <v>46291.998677248659</v>
      </c>
      <c r="K73" s="110" t="s">
        <v>31</v>
      </c>
    </row>
    <row r="74" spans="1:11" ht="15" customHeight="1" x14ac:dyDescent="0.3">
      <c r="A74" s="10" t="s">
        <v>440</v>
      </c>
      <c r="B74" s="78">
        <v>20</v>
      </c>
      <c r="C74" s="78" t="s">
        <v>19</v>
      </c>
      <c r="D74" s="119">
        <f>IF($A74="","",IFERROR(CHOOSE(MATCH($C74,Settings!$L$4:$L$10,0),OPR_2P!$B$2,SEG_6P!$B$2,SOL_4P!$B$2,RW_2P!$B$2,RW2_4P!$B$2,FLAP_4P!$B$2,TUBE_4P!$B$2),2))</f>
        <v>4</v>
      </c>
      <c r="E74" s="112">
        <f ca="1">IF($A74="","",VTL_Plan!$J74)</f>
        <v>46186.532407407423</v>
      </c>
      <c r="F74" s="112">
        <f ca="1">IF($A74="","",QC_Plan!$M74)</f>
        <v>46334.958333333328</v>
      </c>
      <c r="G74" s="110" t="s">
        <v>33</v>
      </c>
      <c r="H74" s="110" t="str">
        <f ca="1">IF($A74="","",TEXT(QC_Plan!M74,"MMM-YYYY"))</f>
        <v>Nov-2026</v>
      </c>
      <c r="I74" s="110" t="s">
        <v>16</v>
      </c>
      <c r="J74" s="120">
        <f t="shared" ref="J74" ca="1" si="3">IF($A74="","",F74+30)</f>
        <v>46364.958333333328</v>
      </c>
      <c r="K74" s="110" t="s">
        <v>31</v>
      </c>
    </row>
    <row r="75" spans="1:11" ht="15" customHeight="1" x14ac:dyDescent="0.3">
      <c r="A75" s="10"/>
      <c r="D75" s="119"/>
      <c r="E75" s="112"/>
      <c r="F75" s="112"/>
      <c r="H75" s="110" t="str">
        <f>IF($A75="","",TEXT(QC_Plan!M75,"MMM-YYYY"))</f>
        <v/>
      </c>
    </row>
    <row r="76" spans="1:11" ht="15" customHeight="1" x14ac:dyDescent="0.3">
      <c r="A76" s="10"/>
      <c r="D76" s="119"/>
      <c r="E76" s="112"/>
      <c r="F76" s="112"/>
      <c r="H76" s="110" t="str">
        <f>IF($A76="","",TEXT(QC_Plan!M76,"MMM-YYYY"))</f>
        <v/>
      </c>
    </row>
    <row r="77" spans="1:11" ht="15" customHeight="1" x14ac:dyDescent="0.3">
      <c r="A77" s="10"/>
      <c r="D77" s="119"/>
      <c r="E77" s="112"/>
      <c r="F77" s="112"/>
      <c r="H77" s="110" t="str">
        <f>IF($A77="","",TEXT(QC_Plan!M77,"MMM-YYYY"))</f>
        <v/>
      </c>
    </row>
    <row r="78" spans="1:11" ht="15" customHeight="1" x14ac:dyDescent="0.3">
      <c r="A78" s="10"/>
      <c r="D78" s="119"/>
      <c r="E78" s="112"/>
      <c r="F78" s="112"/>
      <c r="H78" s="110" t="str">
        <f>IF($A78="","",TEXT(QC_Plan!M78,"MMM-YYYY"))</f>
        <v/>
      </c>
    </row>
    <row r="79" spans="1:11" ht="15" customHeight="1" x14ac:dyDescent="0.3">
      <c r="A79" s="10"/>
      <c r="D79" s="119"/>
      <c r="E79" s="112"/>
      <c r="F79" s="112"/>
      <c r="H79" s="110" t="str">
        <f>IF($A79="","",TEXT(QC_Plan!M79,"MMM-YYYY"))</f>
        <v/>
      </c>
    </row>
    <row r="80" spans="1:11" ht="15" customHeight="1" x14ac:dyDescent="0.3">
      <c r="A80" s="10"/>
      <c r="D80" s="119"/>
      <c r="E80" s="112"/>
      <c r="F80" s="112"/>
      <c r="H80" s="110" t="str">
        <f>IF($A80="","",TEXT(QC_Plan!M80,"MMM-YYYY"))</f>
        <v/>
      </c>
    </row>
    <row r="81" spans="1:8" ht="15" customHeight="1" x14ac:dyDescent="0.3">
      <c r="A81" s="10"/>
      <c r="D81" s="119"/>
      <c r="E81" s="112"/>
      <c r="F81" s="112"/>
      <c r="H81" s="110" t="str">
        <f>IF($A81="","",TEXT(QC_Plan!M81,"MMM-YYYY"))</f>
        <v/>
      </c>
    </row>
    <row r="82" spans="1:8" ht="15" customHeight="1" x14ac:dyDescent="0.3">
      <c r="A82" s="10"/>
      <c r="D82" s="119"/>
      <c r="E82" s="112"/>
      <c r="F82" s="112"/>
      <c r="H82" s="110" t="str">
        <f>IF($A82="","",TEXT(QC_Plan!M82,"MMM-YYYY"))</f>
        <v/>
      </c>
    </row>
    <row r="83" spans="1:8" ht="15" customHeight="1" x14ac:dyDescent="0.3">
      <c r="A83" s="10"/>
      <c r="D83" s="119"/>
      <c r="E83" s="112"/>
      <c r="F83" s="112"/>
      <c r="H83" s="110" t="str">
        <f>IF($A83="","",TEXT(QC_Plan!M83,"MMM-YYYY"))</f>
        <v/>
      </c>
    </row>
    <row r="84" spans="1:8" ht="15" customHeight="1" x14ac:dyDescent="0.3">
      <c r="A84" s="10"/>
      <c r="D84" s="119"/>
      <c r="E84" s="112"/>
      <c r="F84" s="112"/>
      <c r="H84" s="110" t="str">
        <f>IF($A84="","",TEXT(QC_Plan!M84,"MMM-YYYY"))</f>
        <v/>
      </c>
    </row>
    <row r="85" spans="1:8" ht="15" customHeight="1" x14ac:dyDescent="0.3">
      <c r="A85" s="10"/>
      <c r="D85" s="119"/>
      <c r="E85" s="112"/>
      <c r="F85" s="112"/>
      <c r="H85" s="110" t="str">
        <f>IF($A85="","",TEXT(QC_Plan!M85,"MMM-YYYY"))</f>
        <v/>
      </c>
    </row>
    <row r="86" spans="1:8" ht="15" customHeight="1" x14ac:dyDescent="0.3">
      <c r="A86" s="10"/>
      <c r="D86" s="119"/>
      <c r="E86" s="112"/>
      <c r="F86" s="112"/>
      <c r="H86" s="110" t="str">
        <f>IF($A86="","",TEXT(QC_Plan!M86,"MMM-YYYY"))</f>
        <v/>
      </c>
    </row>
    <row r="87" spans="1:8" ht="15" customHeight="1" x14ac:dyDescent="0.3">
      <c r="A87" s="10"/>
      <c r="D87" s="119"/>
      <c r="E87" s="112"/>
      <c r="F87" s="112"/>
      <c r="H87" s="110" t="str">
        <f>IF($A87="","",TEXT(QC_Plan!M87,"MMM-YYYY"))</f>
        <v/>
      </c>
    </row>
    <row r="88" spans="1:8" ht="15" customHeight="1" x14ac:dyDescent="0.3">
      <c r="A88" s="10"/>
      <c r="D88" s="119"/>
      <c r="E88" s="112"/>
      <c r="F88" s="112"/>
      <c r="H88" s="110" t="str">
        <f>IF($A88="","",TEXT(QC_Plan!M88,"MMM-YYYY"))</f>
        <v/>
      </c>
    </row>
    <row r="89" spans="1:8" ht="15" customHeight="1" x14ac:dyDescent="0.3">
      <c r="A89" s="10"/>
      <c r="D89" s="119"/>
      <c r="E89" s="112"/>
      <c r="F89" s="112"/>
      <c r="H89" s="110" t="str">
        <f>IF($A89="","",TEXT(QC_Plan!M89,"MMM-YYYY"))</f>
        <v/>
      </c>
    </row>
    <row r="90" spans="1:8" ht="15" customHeight="1" x14ac:dyDescent="0.3">
      <c r="A90" s="10"/>
      <c r="D90" s="119"/>
      <c r="E90" s="112"/>
      <c r="F90" s="112"/>
      <c r="H90" s="110" t="str">
        <f>IF($A90="","",TEXT(QC_Plan!M90,"MMM-YYYY"))</f>
        <v/>
      </c>
    </row>
    <row r="91" spans="1:8" ht="15" customHeight="1" x14ac:dyDescent="0.3">
      <c r="A91" s="10"/>
      <c r="D91" s="119"/>
      <c r="E91" s="112"/>
      <c r="F91" s="112"/>
      <c r="H91" s="110" t="str">
        <f>IF($A91="","",TEXT(QC_Plan!M91,"MMM-YYYY"))</f>
        <v/>
      </c>
    </row>
    <row r="92" spans="1:8" ht="15" customHeight="1" x14ac:dyDescent="0.3">
      <c r="A92" s="10"/>
      <c r="D92" s="119"/>
      <c r="E92" s="112"/>
      <c r="F92" s="112"/>
      <c r="H92" s="110" t="str">
        <f>IF($A92="","",TEXT(QC_Plan!M92,"MMM-YYYY"))</f>
        <v/>
      </c>
    </row>
    <row r="93" spans="1:8" ht="15" customHeight="1" x14ac:dyDescent="0.3">
      <c r="A93" s="10"/>
      <c r="D93" s="119"/>
      <c r="E93" s="112"/>
      <c r="F93" s="112"/>
      <c r="H93" s="110" t="str">
        <f>IF($A93="","",TEXT(QC_Plan!M93,"MMM-YYYY"))</f>
        <v/>
      </c>
    </row>
    <row r="94" spans="1:8" ht="15" customHeight="1" x14ac:dyDescent="0.3">
      <c r="A94" s="10"/>
      <c r="D94" s="119"/>
      <c r="E94" s="112"/>
      <c r="F94" s="112"/>
      <c r="H94" s="110" t="str">
        <f>IF($A94="","",TEXT(QC_Plan!M94,"MMM-YYYY"))</f>
        <v/>
      </c>
    </row>
    <row r="95" spans="1:8" ht="15" customHeight="1" x14ac:dyDescent="0.3">
      <c r="A95" s="10"/>
      <c r="D95" s="119"/>
      <c r="E95" s="112"/>
      <c r="F95" s="112"/>
      <c r="H95" s="110" t="str">
        <f>IF($A95="","",TEXT(QC_Plan!M95,"MMM-YYYY"))</f>
        <v/>
      </c>
    </row>
    <row r="96" spans="1:8" ht="15" customHeight="1" x14ac:dyDescent="0.3">
      <c r="A96" s="10"/>
      <c r="D96" s="119"/>
      <c r="E96" s="112"/>
      <c r="F96" s="112"/>
      <c r="H96" s="110" t="str">
        <f>IF($A96="","",TEXT(QC_Plan!M96,"MMM-YYYY"))</f>
        <v/>
      </c>
    </row>
    <row r="97" spans="1:8" ht="15" customHeight="1" x14ac:dyDescent="0.3">
      <c r="A97" s="10"/>
      <c r="D97" s="119"/>
      <c r="E97" s="112"/>
      <c r="F97" s="112"/>
      <c r="H97" s="110" t="str">
        <f>IF($A97="","",TEXT(QC_Plan!M97,"MMM-YYYY"))</f>
        <v/>
      </c>
    </row>
    <row r="98" spans="1:8" ht="15" customHeight="1" x14ac:dyDescent="0.3">
      <c r="A98" s="10"/>
      <c r="D98" s="119"/>
      <c r="E98" s="112"/>
      <c r="F98" s="112"/>
      <c r="H98" s="110" t="str">
        <f>IF($A98="","",TEXT(QC_Plan!M98,"MMM-YYYY"))</f>
        <v/>
      </c>
    </row>
    <row r="99" spans="1:8" ht="15" customHeight="1" x14ac:dyDescent="0.3">
      <c r="A99" s="10"/>
      <c r="D99" s="119"/>
      <c r="E99" s="112"/>
      <c r="F99" s="112"/>
      <c r="H99" s="110" t="str">
        <f>IF($A99="","",TEXT(QC_Plan!M99,"MMM-YYYY"))</f>
        <v/>
      </c>
    </row>
    <row r="100" spans="1:8" ht="15" customHeight="1" x14ac:dyDescent="0.3">
      <c r="A100" s="10"/>
      <c r="D100" s="119"/>
      <c r="E100" s="112"/>
      <c r="F100" s="112"/>
      <c r="H100" s="110" t="str">
        <f>IF($A100="","",TEXT(QC_Plan!M100,"MMM-YYYY"))</f>
        <v/>
      </c>
    </row>
    <row r="101" spans="1:8" ht="15" customHeight="1" x14ac:dyDescent="0.3">
      <c r="A101" s="10"/>
      <c r="D101" s="119"/>
      <c r="E101" s="112"/>
      <c r="F101" s="112"/>
      <c r="H101" s="110" t="str">
        <f>IF($A101="","",TEXT(QC_Plan!M101,"MMM-YYYY"))</f>
        <v/>
      </c>
    </row>
    <row r="102" spans="1:8" ht="15" customHeight="1" x14ac:dyDescent="0.3">
      <c r="A102" s="10"/>
      <c r="D102" s="119"/>
      <c r="E102" s="112"/>
      <c r="F102" s="112"/>
      <c r="H102" s="110" t="str">
        <f>IF($A102="","",TEXT(QC_Plan!M102,"MMM-YYYY"))</f>
        <v/>
      </c>
    </row>
    <row r="103" spans="1:8" ht="15" customHeight="1" x14ac:dyDescent="0.3">
      <c r="A103" s="10"/>
      <c r="D103" s="119"/>
      <c r="E103" s="112"/>
      <c r="F103" s="112"/>
      <c r="H103" s="110" t="str">
        <f>IF($A103="","",TEXT(QC_Plan!M103,"MMM-YYYY"))</f>
        <v/>
      </c>
    </row>
    <row r="104" spans="1:8" ht="15" customHeight="1" x14ac:dyDescent="0.3">
      <c r="D104" s="110" t="str">
        <f>IF(A104="","",IF(C104="2P",OPR_2P!B$2,IF(C104="SEG",SEG_6P!B$2,IF(C104="SOL",SOL_4P!B$2,IF(C104="RW",RW_2P!B$2,IF(C104="RW2",RW2_4P!B$2,0))))))</f>
        <v/>
      </c>
      <c r="F104" s="110" t="str">
        <f>IF(A104="","", QC_Plan!M104)</f>
        <v/>
      </c>
      <c r="G104" s="110" t="str">
        <f t="shared" ref="G104:G167" si="4">IF(B104="","",IF(H104&gt;1000,"High",IF(H104&gt;500,"Medium","Low")))</f>
        <v/>
      </c>
    </row>
    <row r="105" spans="1:8" ht="15" customHeight="1" x14ac:dyDescent="0.3">
      <c r="D105" s="110" t="str">
        <f>IF(A105="","",IF(C105="2P",OPR_2P!B$2,IF(C105="SEG",SEG_6P!B$2,IF(C105="SOL",SOL_4P!B$2,IF(C105="RW",RW_2P!B$2,IF(C105="RW2",RW2_4P!B$2,0))))))</f>
        <v/>
      </c>
      <c r="F105" s="110" t="str">
        <f>IF(A105="","", QC_Plan!M105)</f>
        <v/>
      </c>
      <c r="G105" s="110" t="str">
        <f t="shared" si="4"/>
        <v/>
      </c>
    </row>
    <row r="106" spans="1:8" ht="15" customHeight="1" x14ac:dyDescent="0.3">
      <c r="D106" s="110" t="str">
        <f>IF(A106="","",IF(C106="2P",OPR_2P!B$2,IF(C106="SEG",SEG_6P!B$2,IF(C106="SOL",SOL_4P!B$2,IF(C106="RW",RW_2P!B$2,IF(C106="RW2",RW2_4P!B$2,0))))))</f>
        <v/>
      </c>
      <c r="F106" s="110" t="str">
        <f>IF(A106="","", QC_Plan!M106)</f>
        <v/>
      </c>
      <c r="G106" s="110" t="str">
        <f t="shared" si="4"/>
        <v/>
      </c>
    </row>
    <row r="107" spans="1:8" ht="15" customHeight="1" x14ac:dyDescent="0.3">
      <c r="D107" s="110" t="str">
        <f>IF(A107="","",IF(C107="2P",OPR_2P!B$2,IF(C107="SEG",SEG_6P!B$2,IF(C107="SOL",SOL_4P!B$2,IF(C107="RW",RW_2P!B$2,IF(C107="RW2",RW2_4P!B$2,0))))))</f>
        <v/>
      </c>
      <c r="F107" s="110" t="str">
        <f>IF(A107="","", QC_Plan!M107)</f>
        <v/>
      </c>
      <c r="G107" s="110" t="str">
        <f t="shared" si="4"/>
        <v/>
      </c>
    </row>
    <row r="108" spans="1:8" ht="15" customHeight="1" x14ac:dyDescent="0.3">
      <c r="D108" s="110" t="str">
        <f>IF(A108="","",IF(C108="2P",OPR_2P!B$2,IF(C108="SEG",SEG_6P!B$2,IF(C108="SOL",SOL_4P!B$2,IF(C108="RW",RW_2P!B$2,IF(C108="RW2",RW2_4P!B$2,0))))))</f>
        <v/>
      </c>
      <c r="F108" s="110" t="str">
        <f>IF(A108="","", QC_Plan!M108)</f>
        <v/>
      </c>
      <c r="G108" s="110" t="str">
        <f t="shared" si="4"/>
        <v/>
      </c>
    </row>
    <row r="109" spans="1:8" ht="15" customHeight="1" x14ac:dyDescent="0.3">
      <c r="D109" s="110" t="str">
        <f>IF(A109="","",IF(C109="2P",OPR_2P!B$2,IF(C109="SEG",SEG_6P!B$2,IF(C109="SOL",SOL_4P!B$2,IF(C109="RW",RW_2P!B$2,IF(C109="RW2",RW2_4P!B$2,0))))))</f>
        <v/>
      </c>
      <c r="F109" s="110" t="str">
        <f>IF(A109="","", QC_Plan!M109)</f>
        <v/>
      </c>
      <c r="G109" s="110" t="str">
        <f t="shared" si="4"/>
        <v/>
      </c>
    </row>
    <row r="110" spans="1:8" ht="15" customHeight="1" x14ac:dyDescent="0.3">
      <c r="D110" s="110" t="str">
        <f>IF(A110="","",IF(C110="2P",OPR_2P!B$2,IF(C110="SEG",SEG_6P!B$2,IF(C110="SOL",SOL_4P!B$2,IF(C110="RW",RW_2P!B$2,IF(C110="RW2",RW2_4P!B$2,0))))))</f>
        <v/>
      </c>
      <c r="F110" s="110" t="str">
        <f>IF(A110="","", QC_Plan!M110)</f>
        <v/>
      </c>
      <c r="G110" s="110" t="str">
        <f t="shared" si="4"/>
        <v/>
      </c>
    </row>
    <row r="111" spans="1:8" ht="15" customHeight="1" x14ac:dyDescent="0.3">
      <c r="D111" s="110" t="str">
        <f>IF(A111="","",IF(C111="2P",OPR_2P!B$2,IF(C111="SEG",SEG_6P!B$2,IF(C111="SOL",SOL_4P!B$2,IF(C111="RW",RW_2P!B$2,IF(C111="RW2",RW2_4P!B$2,0))))))</f>
        <v/>
      </c>
      <c r="F111" s="110" t="str">
        <f>IF(A111="","", QC_Plan!M111)</f>
        <v/>
      </c>
      <c r="G111" s="110" t="str">
        <f t="shared" si="4"/>
        <v/>
      </c>
    </row>
    <row r="112" spans="1:8" ht="15" customHeight="1" x14ac:dyDescent="0.3">
      <c r="D112" s="110" t="str">
        <f>IF(A112="","",IF(C112="2P",OPR_2P!B$2,IF(C112="SEG",SEG_6P!B$2,IF(C112="SOL",SOL_4P!B$2,IF(C112="RW",RW_2P!B$2,IF(C112="RW2",RW2_4P!B$2,0))))))</f>
        <v/>
      </c>
      <c r="F112" s="110" t="str">
        <f>IF(A112="","", QC_Plan!M112)</f>
        <v/>
      </c>
      <c r="G112" s="110" t="str">
        <f t="shared" si="4"/>
        <v/>
      </c>
    </row>
    <row r="113" spans="4:7" ht="15" customHeight="1" x14ac:dyDescent="0.3">
      <c r="D113" s="110" t="str">
        <f>IF(A113="","",IF(C113="2P",OPR_2P!B$2,IF(C113="SEG",SEG_6P!B$2,IF(C113="SOL",SOL_4P!B$2,IF(C113="RW",RW_2P!B$2,IF(C113="RW2",RW2_4P!B$2,0))))))</f>
        <v/>
      </c>
      <c r="F113" s="110" t="str">
        <f>IF(A113="","", QC_Plan!M113)</f>
        <v/>
      </c>
      <c r="G113" s="110" t="str">
        <f t="shared" si="4"/>
        <v/>
      </c>
    </row>
    <row r="114" spans="4:7" ht="15" customHeight="1" x14ac:dyDescent="0.3">
      <c r="D114" s="110" t="str">
        <f>IF(A114="","",IF(C114="2P",OPR_2P!B$2,IF(C114="SEG",SEG_6P!B$2,IF(C114="SOL",SOL_4P!B$2,IF(C114="RW",RW_2P!B$2,IF(C114="RW2",RW2_4P!B$2,0))))))</f>
        <v/>
      </c>
      <c r="F114" s="110" t="str">
        <f>IF(A114="","", QC_Plan!M114)</f>
        <v/>
      </c>
      <c r="G114" s="110" t="str">
        <f t="shared" si="4"/>
        <v/>
      </c>
    </row>
    <row r="115" spans="4:7" ht="15" customHeight="1" x14ac:dyDescent="0.3">
      <c r="D115" s="110" t="str">
        <f>IF(A115="","",IF(C115="2P",OPR_2P!B$2,IF(C115="SEG",SEG_6P!B$2,IF(C115="SOL",SOL_4P!B$2,IF(C115="RW",RW_2P!B$2,IF(C115="RW2",RW2_4P!B$2,0))))))</f>
        <v/>
      </c>
      <c r="F115" s="110" t="str">
        <f>IF(A115="","", QC_Plan!M115)</f>
        <v/>
      </c>
      <c r="G115" s="110" t="str">
        <f t="shared" si="4"/>
        <v/>
      </c>
    </row>
    <row r="116" spans="4:7" ht="15" customHeight="1" x14ac:dyDescent="0.3">
      <c r="D116" s="110" t="str">
        <f>IF(A116="","",IF(C116="2P",OPR_2P!B$2,IF(C116="SEG",SEG_6P!B$2,IF(C116="SOL",SOL_4P!B$2,IF(C116="RW",RW_2P!B$2,IF(C116="RW2",RW2_4P!B$2,0))))))</f>
        <v/>
      </c>
      <c r="F116" s="110" t="str">
        <f>IF(A116="","", QC_Plan!M116)</f>
        <v/>
      </c>
      <c r="G116" s="110" t="str">
        <f t="shared" si="4"/>
        <v/>
      </c>
    </row>
    <row r="117" spans="4:7" ht="15" customHeight="1" x14ac:dyDescent="0.3">
      <c r="D117" s="110" t="str">
        <f>IF(A117="","",IF(C117="2P",OPR_2P!B$2,IF(C117="SEG",SEG_6P!B$2,IF(C117="SOL",SOL_4P!B$2,IF(C117="RW",RW_2P!B$2,IF(C117="RW2",RW2_4P!B$2,0))))))</f>
        <v/>
      </c>
      <c r="F117" s="110" t="str">
        <f>IF(A117="","", QC_Plan!M117)</f>
        <v/>
      </c>
      <c r="G117" s="110" t="str">
        <f t="shared" si="4"/>
        <v/>
      </c>
    </row>
    <row r="118" spans="4:7" ht="15" customHeight="1" x14ac:dyDescent="0.3">
      <c r="D118" s="110" t="str">
        <f>IF(A118="","",IF(C118="2P",OPR_2P!B$2,IF(C118="SEG",SEG_6P!B$2,IF(C118="SOL",SOL_4P!B$2,IF(C118="RW",RW_2P!B$2,IF(C118="RW2",RW2_4P!B$2,0))))))</f>
        <v/>
      </c>
      <c r="F118" s="110" t="str">
        <f>IF(A118="","", QC_Plan!M118)</f>
        <v/>
      </c>
      <c r="G118" s="110" t="str">
        <f t="shared" si="4"/>
        <v/>
      </c>
    </row>
    <row r="119" spans="4:7" ht="15" customHeight="1" x14ac:dyDescent="0.3">
      <c r="D119" s="110" t="str">
        <f>IF(A119="","",IF(C119="2P",OPR_2P!B$2,IF(C119="SEG",SEG_6P!B$2,IF(C119="SOL",SOL_4P!B$2,IF(C119="RW",RW_2P!B$2,IF(C119="RW2",RW2_4P!B$2,0))))))</f>
        <v/>
      </c>
      <c r="F119" s="110" t="str">
        <f>IF(A119="","", QC_Plan!M119)</f>
        <v/>
      </c>
      <c r="G119" s="110" t="str">
        <f t="shared" si="4"/>
        <v/>
      </c>
    </row>
    <row r="120" spans="4:7" ht="15" customHeight="1" x14ac:dyDescent="0.3">
      <c r="D120" s="110" t="str">
        <f>IF(A120="","",IF(C120="2P",OPR_2P!B$2,IF(C120="SEG",SEG_6P!B$2,IF(C120="SOL",SOL_4P!B$2,IF(C120="RW",RW_2P!B$2,IF(C120="RW2",RW2_4P!B$2,0))))))</f>
        <v/>
      </c>
      <c r="F120" s="110" t="str">
        <f>IF(A120="","", QC_Plan!M120)</f>
        <v/>
      </c>
      <c r="G120" s="110" t="str">
        <f t="shared" si="4"/>
        <v/>
      </c>
    </row>
    <row r="121" spans="4:7" ht="15" customHeight="1" x14ac:dyDescent="0.3">
      <c r="D121" s="110" t="str">
        <f>IF(A121="","",IF(C121="2P",OPR_2P!B$2,IF(C121="SEG",SEG_6P!B$2,IF(C121="SOL",SOL_4P!B$2,IF(C121="RW",RW_2P!B$2,IF(C121="RW2",RW2_4P!B$2,0))))))</f>
        <v/>
      </c>
      <c r="F121" s="110" t="str">
        <f>IF(A121="","", QC_Plan!M121)</f>
        <v/>
      </c>
      <c r="G121" s="110" t="str">
        <f t="shared" si="4"/>
        <v/>
      </c>
    </row>
    <row r="122" spans="4:7" ht="15" customHeight="1" x14ac:dyDescent="0.3">
      <c r="D122" s="110" t="str">
        <f>IF(A122="","",IF(C122="2P",OPR_2P!B$2,IF(C122="SEG",SEG_6P!B$2,IF(C122="SOL",SOL_4P!B$2,IF(C122="RW",RW_2P!B$2,IF(C122="RW2",RW2_4P!B$2,0))))))</f>
        <v/>
      </c>
      <c r="F122" s="110" t="str">
        <f>IF(A122="","", QC_Plan!M122)</f>
        <v/>
      </c>
      <c r="G122" s="110" t="str">
        <f t="shared" si="4"/>
        <v/>
      </c>
    </row>
    <row r="123" spans="4:7" ht="15" customHeight="1" x14ac:dyDescent="0.3">
      <c r="D123" s="110" t="str">
        <f>IF(A123="","",IF(C123="2P",OPR_2P!B$2,IF(C123="SEG",SEG_6P!B$2,IF(C123="SOL",SOL_4P!B$2,IF(C123="RW",RW_2P!B$2,IF(C123="RW2",RW2_4P!B$2,0))))))</f>
        <v/>
      </c>
      <c r="F123" s="110" t="str">
        <f>IF(A123="","", QC_Plan!M123)</f>
        <v/>
      </c>
      <c r="G123" s="110" t="str">
        <f t="shared" si="4"/>
        <v/>
      </c>
    </row>
    <row r="124" spans="4:7" ht="15" customHeight="1" x14ac:dyDescent="0.3">
      <c r="D124" s="110" t="str">
        <f>IF(A124="","",IF(C124="2P",OPR_2P!B$2,IF(C124="SEG",SEG_6P!B$2,IF(C124="SOL",SOL_4P!B$2,IF(C124="RW",RW_2P!B$2,IF(C124="RW2",RW2_4P!B$2,0))))))</f>
        <v/>
      </c>
      <c r="F124" s="110" t="str">
        <f>IF(A124="","", QC_Plan!M124)</f>
        <v/>
      </c>
      <c r="G124" s="110" t="str">
        <f t="shared" si="4"/>
        <v/>
      </c>
    </row>
    <row r="125" spans="4:7" ht="15" customHeight="1" x14ac:dyDescent="0.3">
      <c r="D125" s="110" t="str">
        <f>IF(A125="","",IF(C125="2P",OPR_2P!B$2,IF(C125="SEG",SEG_6P!B$2,IF(C125="SOL",SOL_4P!B$2,IF(C125="RW",RW_2P!B$2,IF(C125="RW2",RW2_4P!B$2,0))))))</f>
        <v/>
      </c>
      <c r="F125" s="110" t="str">
        <f>IF(A125="","", QC_Plan!M125)</f>
        <v/>
      </c>
      <c r="G125" s="110" t="str">
        <f t="shared" si="4"/>
        <v/>
      </c>
    </row>
    <row r="126" spans="4:7" ht="15" customHeight="1" x14ac:dyDescent="0.3">
      <c r="D126" s="110" t="str">
        <f>IF(A126="","",IF(C126="2P",OPR_2P!B$2,IF(C126="SEG",SEG_6P!B$2,IF(C126="SOL",SOL_4P!B$2,IF(C126="RW",RW_2P!B$2,IF(C126="RW2",RW2_4P!B$2,0))))))</f>
        <v/>
      </c>
      <c r="F126" s="110" t="str">
        <f>IF(A126="","", QC_Plan!M126)</f>
        <v/>
      </c>
      <c r="G126" s="110" t="str">
        <f t="shared" si="4"/>
        <v/>
      </c>
    </row>
    <row r="127" spans="4:7" ht="15" customHeight="1" x14ac:dyDescent="0.3">
      <c r="D127" s="110" t="str">
        <f>IF(A127="","",IF(C127="2P",OPR_2P!B$2,IF(C127="SEG",SEG_6P!B$2,IF(C127="SOL",SOL_4P!B$2,IF(C127="RW",RW_2P!B$2,IF(C127="RW2",RW2_4P!B$2,0))))))</f>
        <v/>
      </c>
      <c r="F127" s="110" t="str">
        <f>IF(A127="","", QC_Plan!M127)</f>
        <v/>
      </c>
      <c r="G127" s="110" t="str">
        <f t="shared" si="4"/>
        <v/>
      </c>
    </row>
    <row r="128" spans="4:7" ht="15" customHeight="1" x14ac:dyDescent="0.3">
      <c r="D128" s="110" t="str">
        <f>IF(A128="","",IF(C128="2P",OPR_2P!B$2,IF(C128="SEG",SEG_6P!B$2,IF(C128="SOL",SOL_4P!B$2,IF(C128="RW",RW_2P!B$2,IF(C128="RW2",RW2_4P!B$2,0))))))</f>
        <v/>
      </c>
      <c r="F128" s="110" t="str">
        <f>IF(A128="","", QC_Plan!M128)</f>
        <v/>
      </c>
      <c r="G128" s="110" t="str">
        <f t="shared" si="4"/>
        <v/>
      </c>
    </row>
    <row r="129" spans="4:7" ht="15" customHeight="1" x14ac:dyDescent="0.3">
      <c r="D129" s="110" t="str">
        <f>IF(A129="","",IF(C129="2P",OPR_2P!B$2,IF(C129="SEG",SEG_6P!B$2,IF(C129="SOL",SOL_4P!B$2,IF(C129="RW",RW_2P!B$2,IF(C129="RW2",RW2_4P!B$2,0))))))</f>
        <v/>
      </c>
      <c r="F129" s="110" t="str">
        <f>IF(A129="","", QC_Plan!M129)</f>
        <v/>
      </c>
      <c r="G129" s="110" t="str">
        <f t="shared" si="4"/>
        <v/>
      </c>
    </row>
    <row r="130" spans="4:7" ht="15" customHeight="1" x14ac:dyDescent="0.3">
      <c r="D130" s="110" t="str">
        <f>IF(A130="","",IF(C130="2P",OPR_2P!B$2,IF(C130="SEG",SEG_6P!B$2,IF(C130="SOL",SOL_4P!B$2,IF(C130="RW",RW_2P!B$2,IF(C130="RW2",RW2_4P!B$2,0))))))</f>
        <v/>
      </c>
      <c r="F130" s="110" t="str">
        <f>IF(A130="","", QC_Plan!M130)</f>
        <v/>
      </c>
      <c r="G130" s="110" t="str">
        <f t="shared" si="4"/>
        <v/>
      </c>
    </row>
    <row r="131" spans="4:7" ht="15" customHeight="1" x14ac:dyDescent="0.3">
      <c r="D131" s="110" t="str">
        <f>IF(A131="","",IF(C131="2P",OPR_2P!B$2,IF(C131="SEG",SEG_6P!B$2,IF(C131="SOL",SOL_4P!B$2,IF(C131="RW",RW_2P!B$2,IF(C131="RW2",RW2_4P!B$2,0))))))</f>
        <v/>
      </c>
      <c r="F131" s="110" t="str">
        <f>IF(A131="","", QC_Plan!M131)</f>
        <v/>
      </c>
      <c r="G131" s="110" t="str">
        <f t="shared" si="4"/>
        <v/>
      </c>
    </row>
    <row r="132" spans="4:7" ht="15" customHeight="1" x14ac:dyDescent="0.3">
      <c r="D132" s="110" t="str">
        <f>IF(A132="","",IF(C132="2P",OPR_2P!B$2,IF(C132="SEG",SEG_6P!B$2,IF(C132="SOL",SOL_4P!B$2,IF(C132="RW",RW_2P!B$2,IF(C132="RW2",RW2_4P!B$2,0))))))</f>
        <v/>
      </c>
      <c r="F132" s="110" t="str">
        <f>IF(A132="","", QC_Plan!M132)</f>
        <v/>
      </c>
      <c r="G132" s="110" t="str">
        <f t="shared" si="4"/>
        <v/>
      </c>
    </row>
    <row r="133" spans="4:7" ht="15" customHeight="1" x14ac:dyDescent="0.3">
      <c r="D133" s="110" t="str">
        <f>IF(A133="","",IF(C133="2P",OPR_2P!B$2,IF(C133="SEG",SEG_6P!B$2,IF(C133="SOL",SOL_4P!B$2,IF(C133="RW",RW_2P!B$2,IF(C133="RW2",RW2_4P!B$2,0))))))</f>
        <v/>
      </c>
      <c r="F133" s="110" t="str">
        <f>IF(A133="","", QC_Plan!M133)</f>
        <v/>
      </c>
      <c r="G133" s="110" t="str">
        <f t="shared" si="4"/>
        <v/>
      </c>
    </row>
    <row r="134" spans="4:7" ht="15" customHeight="1" x14ac:dyDescent="0.3">
      <c r="D134" s="110" t="str">
        <f>IF(A134="","",IF(C134="2P",OPR_2P!B$2,IF(C134="SEG",SEG_6P!B$2,IF(C134="SOL",SOL_4P!B$2,IF(C134="RW",RW_2P!B$2,IF(C134="RW2",RW2_4P!B$2,0))))))</f>
        <v/>
      </c>
      <c r="F134" s="110" t="str">
        <f>IF(A134="","", QC_Plan!M134)</f>
        <v/>
      </c>
      <c r="G134" s="110" t="str">
        <f t="shared" si="4"/>
        <v/>
      </c>
    </row>
    <row r="135" spans="4:7" ht="15" customHeight="1" x14ac:dyDescent="0.3">
      <c r="D135" s="110" t="str">
        <f>IF(A135="","",IF(C135="2P",OPR_2P!B$2,IF(C135="SEG",SEG_6P!B$2,IF(C135="SOL",SOL_4P!B$2,IF(C135="RW",RW_2P!B$2,IF(C135="RW2",RW2_4P!B$2,0))))))</f>
        <v/>
      </c>
      <c r="F135" s="110" t="str">
        <f>IF(A135="","", QC_Plan!M135)</f>
        <v/>
      </c>
      <c r="G135" s="110" t="str">
        <f t="shared" si="4"/>
        <v/>
      </c>
    </row>
    <row r="136" spans="4:7" ht="15" customHeight="1" x14ac:dyDescent="0.3">
      <c r="D136" s="110" t="str">
        <f>IF(A136="","",IF(C136="2P",OPR_2P!B$2,IF(C136="SEG",SEG_6P!B$2,IF(C136="SOL",SOL_4P!B$2,IF(C136="RW",RW_2P!B$2,IF(C136="RW2",RW2_4P!B$2,0))))))</f>
        <v/>
      </c>
      <c r="F136" s="110" t="str">
        <f>IF(A136="","", QC_Plan!M136)</f>
        <v/>
      </c>
      <c r="G136" s="110" t="str">
        <f t="shared" si="4"/>
        <v/>
      </c>
    </row>
    <row r="137" spans="4:7" ht="15" customHeight="1" x14ac:dyDescent="0.3">
      <c r="D137" s="110" t="str">
        <f>IF(A137="","",IF(C137="2P",OPR_2P!B$2,IF(C137="SEG",SEG_6P!B$2,IF(C137="SOL",SOL_4P!B$2,IF(C137="RW",RW_2P!B$2,IF(C137="RW2",RW2_4P!B$2,0))))))</f>
        <v/>
      </c>
      <c r="F137" s="110" t="str">
        <f>IF(A137="","", QC_Plan!M137)</f>
        <v/>
      </c>
      <c r="G137" s="110" t="str">
        <f t="shared" si="4"/>
        <v/>
      </c>
    </row>
    <row r="138" spans="4:7" ht="15" customHeight="1" x14ac:dyDescent="0.3">
      <c r="D138" s="110" t="str">
        <f>IF(A138="","",IF(C138="2P",OPR_2P!B$2,IF(C138="SEG",SEG_6P!B$2,IF(C138="SOL",SOL_4P!B$2,IF(C138="RW",RW_2P!B$2,IF(C138="RW2",RW2_4P!B$2,0))))))</f>
        <v/>
      </c>
      <c r="F138" s="110" t="str">
        <f>IF(A138="","", QC_Plan!M138)</f>
        <v/>
      </c>
      <c r="G138" s="110" t="str">
        <f t="shared" si="4"/>
        <v/>
      </c>
    </row>
    <row r="139" spans="4:7" ht="15" customHeight="1" x14ac:dyDescent="0.3">
      <c r="D139" s="110" t="str">
        <f>IF(A139="","",IF(C139="2P",OPR_2P!B$2,IF(C139="SEG",SEG_6P!B$2,IF(C139="SOL",SOL_4P!B$2,IF(C139="RW",RW_2P!B$2,IF(C139="RW2",RW2_4P!B$2,0))))))</f>
        <v/>
      </c>
      <c r="F139" s="110" t="str">
        <f>IF(A139="","", QC_Plan!M139)</f>
        <v/>
      </c>
      <c r="G139" s="110" t="str">
        <f t="shared" si="4"/>
        <v/>
      </c>
    </row>
    <row r="140" spans="4:7" ht="15" customHeight="1" x14ac:dyDescent="0.3">
      <c r="D140" s="110" t="str">
        <f>IF(A140="","",IF(C140="2P",OPR_2P!B$2,IF(C140="SEG",SEG_6P!B$2,IF(C140="SOL",SOL_4P!B$2,IF(C140="RW",RW_2P!B$2,IF(C140="RW2",RW2_4P!B$2,0))))))</f>
        <v/>
      </c>
      <c r="F140" s="110" t="str">
        <f>IF(A140="","", QC_Plan!M140)</f>
        <v/>
      </c>
      <c r="G140" s="110" t="str">
        <f t="shared" si="4"/>
        <v/>
      </c>
    </row>
    <row r="141" spans="4:7" ht="15" customHeight="1" x14ac:dyDescent="0.3">
      <c r="D141" s="110" t="str">
        <f>IF(A141="","",IF(C141="2P",OPR_2P!B$2,IF(C141="SEG",SEG_6P!B$2,IF(C141="SOL",SOL_4P!B$2,IF(C141="RW",RW_2P!B$2,IF(C141="RW2",RW2_4P!B$2,0))))))</f>
        <v/>
      </c>
      <c r="F141" s="110" t="str">
        <f>IF(A141="","", QC_Plan!M141)</f>
        <v/>
      </c>
      <c r="G141" s="110" t="str">
        <f t="shared" si="4"/>
        <v/>
      </c>
    </row>
    <row r="142" spans="4:7" ht="15" customHeight="1" x14ac:dyDescent="0.3">
      <c r="D142" s="110" t="str">
        <f>IF(A142="","",IF(C142="2P",OPR_2P!B$2,IF(C142="SEG",SEG_6P!B$2,IF(C142="SOL",SOL_4P!B$2,IF(C142="RW",RW_2P!B$2,IF(C142="RW2",RW2_4P!B$2,0))))))</f>
        <v/>
      </c>
      <c r="F142" s="110" t="str">
        <f>IF(A142="","", QC_Plan!M142)</f>
        <v/>
      </c>
      <c r="G142" s="110" t="str">
        <f t="shared" si="4"/>
        <v/>
      </c>
    </row>
    <row r="143" spans="4:7" ht="15" customHeight="1" x14ac:dyDescent="0.3">
      <c r="D143" s="110" t="str">
        <f>IF(A143="","",IF(C143="2P",OPR_2P!B$2,IF(C143="SEG",SEG_6P!B$2,IF(C143="SOL",SOL_4P!B$2,IF(C143="RW",RW_2P!B$2,IF(C143="RW2",RW2_4P!B$2,0))))))</f>
        <v/>
      </c>
      <c r="F143" s="110" t="str">
        <f>IF(A143="","", QC_Plan!M143)</f>
        <v/>
      </c>
      <c r="G143" s="110" t="str">
        <f t="shared" si="4"/>
        <v/>
      </c>
    </row>
    <row r="144" spans="4:7" ht="15" customHeight="1" x14ac:dyDescent="0.3">
      <c r="D144" s="110" t="str">
        <f>IF(A144="","",IF(C144="2P",OPR_2P!B$2,IF(C144="SEG",SEG_6P!B$2,IF(C144="SOL",SOL_4P!B$2,IF(C144="RW",RW_2P!B$2,IF(C144="RW2",RW2_4P!B$2,0))))))</f>
        <v/>
      </c>
      <c r="F144" s="110" t="str">
        <f>IF(A144="","", QC_Plan!M144)</f>
        <v/>
      </c>
      <c r="G144" s="110" t="str">
        <f t="shared" si="4"/>
        <v/>
      </c>
    </row>
    <row r="145" spans="4:7" ht="15" customHeight="1" x14ac:dyDescent="0.3">
      <c r="D145" s="110" t="str">
        <f>IF(A145="","",IF(C145="2P",OPR_2P!B$2,IF(C145="SEG",SEG_6P!B$2,IF(C145="SOL",SOL_4P!B$2,IF(C145="RW",RW_2P!B$2,IF(C145="RW2",RW2_4P!B$2,0))))))</f>
        <v/>
      </c>
      <c r="F145" s="110" t="str">
        <f>IF(A145="","", QC_Plan!M145)</f>
        <v/>
      </c>
      <c r="G145" s="110" t="str">
        <f t="shared" si="4"/>
        <v/>
      </c>
    </row>
    <row r="146" spans="4:7" ht="15" customHeight="1" x14ac:dyDescent="0.3">
      <c r="D146" s="110" t="str">
        <f>IF(A146="","",IF(C146="2P",OPR_2P!B$2,IF(C146="SEG",SEG_6P!B$2,IF(C146="SOL",SOL_4P!B$2,IF(C146="RW",RW_2P!B$2,IF(C146="RW2",RW2_4P!B$2,0))))))</f>
        <v/>
      </c>
      <c r="F146" s="110" t="str">
        <f>IF(A146="","", QC_Plan!M146)</f>
        <v/>
      </c>
      <c r="G146" s="110" t="str">
        <f t="shared" si="4"/>
        <v/>
      </c>
    </row>
    <row r="147" spans="4:7" ht="15" customHeight="1" x14ac:dyDescent="0.3">
      <c r="D147" s="110" t="str">
        <f>IF(A147="","",IF(C147="2P",OPR_2P!B$2,IF(C147="SEG",SEG_6P!B$2,IF(C147="SOL",SOL_4P!B$2,IF(C147="RW",RW_2P!B$2,IF(C147="RW2",RW2_4P!B$2,0))))))</f>
        <v/>
      </c>
      <c r="F147" s="110" t="str">
        <f>IF(A147="","", QC_Plan!M147)</f>
        <v/>
      </c>
      <c r="G147" s="110" t="str">
        <f t="shared" si="4"/>
        <v/>
      </c>
    </row>
    <row r="148" spans="4:7" ht="15" customHeight="1" x14ac:dyDescent="0.3">
      <c r="D148" s="110" t="str">
        <f>IF(A148="","",IF(C148="2P",OPR_2P!B$2,IF(C148="SEG",SEG_6P!B$2,IF(C148="SOL",SOL_4P!B$2,IF(C148="RW",RW_2P!B$2,IF(C148="RW2",RW2_4P!B$2,0))))))</f>
        <v/>
      </c>
      <c r="F148" s="110" t="str">
        <f>IF(A148="","", QC_Plan!M148)</f>
        <v/>
      </c>
      <c r="G148" s="110" t="str">
        <f t="shared" si="4"/>
        <v/>
      </c>
    </row>
    <row r="149" spans="4:7" ht="15" customHeight="1" x14ac:dyDescent="0.3">
      <c r="D149" s="110" t="str">
        <f>IF(A149="","",IF(C149="2P",OPR_2P!B$2,IF(C149="SEG",SEG_6P!B$2,IF(C149="SOL",SOL_4P!B$2,IF(C149="RW",RW_2P!B$2,IF(C149="RW2",RW2_4P!B$2,0))))))</f>
        <v/>
      </c>
      <c r="F149" s="110" t="str">
        <f>IF(A149="","", QC_Plan!M149)</f>
        <v/>
      </c>
      <c r="G149" s="110" t="str">
        <f t="shared" si="4"/>
        <v/>
      </c>
    </row>
    <row r="150" spans="4:7" ht="15" customHeight="1" x14ac:dyDescent="0.3">
      <c r="D150" s="110" t="str">
        <f>IF(A150="","",IF(C150="2P",OPR_2P!B$2,IF(C150="SEG",SEG_6P!B$2,IF(C150="SOL",SOL_4P!B$2,IF(C150="RW",RW_2P!B$2,IF(C150="RW2",RW2_4P!B$2,0))))))</f>
        <v/>
      </c>
      <c r="F150" s="110" t="str">
        <f>IF(A150="","", QC_Plan!M150)</f>
        <v/>
      </c>
      <c r="G150" s="110" t="str">
        <f t="shared" si="4"/>
        <v/>
      </c>
    </row>
    <row r="151" spans="4:7" ht="15" customHeight="1" x14ac:dyDescent="0.3">
      <c r="D151" s="110" t="str">
        <f>IF(A151="","",IF(C151="2P",OPR_2P!B$2,IF(C151="SEG",SEG_6P!B$2,IF(C151="SOL",SOL_4P!B$2,IF(C151="RW",RW_2P!B$2,IF(C151="RW2",RW2_4P!B$2,0))))))</f>
        <v/>
      </c>
      <c r="F151" s="110" t="str">
        <f>IF(A151="","", QC_Plan!M151)</f>
        <v/>
      </c>
      <c r="G151" s="110" t="str">
        <f t="shared" si="4"/>
        <v/>
      </c>
    </row>
    <row r="152" spans="4:7" ht="15" customHeight="1" x14ac:dyDescent="0.3">
      <c r="D152" s="110" t="str">
        <f>IF(A152="","",IF(C152="2P",OPR_2P!B$2,IF(C152="SEG",SEG_6P!B$2,IF(C152="SOL",SOL_4P!B$2,IF(C152="RW",RW_2P!B$2,IF(C152="RW2",RW2_4P!B$2,0))))))</f>
        <v/>
      </c>
      <c r="F152" s="110" t="str">
        <f>IF(A152="","", QC_Plan!M152)</f>
        <v/>
      </c>
      <c r="G152" s="110" t="str">
        <f t="shared" si="4"/>
        <v/>
      </c>
    </row>
    <row r="153" spans="4:7" ht="15" customHeight="1" x14ac:dyDescent="0.3">
      <c r="D153" s="110" t="str">
        <f>IF(A153="","",IF(C153="2P",OPR_2P!B$2,IF(C153="SEG",SEG_6P!B$2,IF(C153="SOL",SOL_4P!B$2,IF(C153="RW",RW_2P!B$2,IF(C153="RW2",RW2_4P!B$2,0))))))</f>
        <v/>
      </c>
      <c r="F153" s="110" t="str">
        <f>IF(A153="","", QC_Plan!M153)</f>
        <v/>
      </c>
      <c r="G153" s="110" t="str">
        <f t="shared" si="4"/>
        <v/>
      </c>
    </row>
    <row r="154" spans="4:7" ht="15" customHeight="1" x14ac:dyDescent="0.3">
      <c r="D154" s="110" t="str">
        <f>IF(A154="","",IF(C154="2P",OPR_2P!B$2,IF(C154="SEG",SEG_6P!B$2,IF(C154="SOL",SOL_4P!B$2,IF(C154="RW",RW_2P!B$2,IF(C154="RW2",RW2_4P!B$2,0))))))</f>
        <v/>
      </c>
      <c r="F154" s="110" t="str">
        <f>IF(A154="","", QC_Plan!M154)</f>
        <v/>
      </c>
      <c r="G154" s="110" t="str">
        <f t="shared" si="4"/>
        <v/>
      </c>
    </row>
    <row r="155" spans="4:7" ht="15" customHeight="1" x14ac:dyDescent="0.3">
      <c r="D155" s="110" t="str">
        <f>IF(A155="","",IF(C155="2P",OPR_2P!B$2,IF(C155="SEG",SEG_6P!B$2,IF(C155="SOL",SOL_4P!B$2,IF(C155="RW",RW_2P!B$2,IF(C155="RW2",RW2_4P!B$2,0))))))</f>
        <v/>
      </c>
      <c r="F155" s="110" t="str">
        <f>IF(A155="","", QC_Plan!M155)</f>
        <v/>
      </c>
      <c r="G155" s="110" t="str">
        <f t="shared" si="4"/>
        <v/>
      </c>
    </row>
    <row r="156" spans="4:7" ht="15" customHeight="1" x14ac:dyDescent="0.3">
      <c r="D156" s="110" t="str">
        <f>IF(A156="","",IF(C156="2P",OPR_2P!B$2,IF(C156="SEG",SEG_6P!B$2,IF(C156="SOL",SOL_4P!B$2,IF(C156="RW",RW_2P!B$2,IF(C156="RW2",RW2_4P!B$2,0))))))</f>
        <v/>
      </c>
      <c r="F156" s="110" t="str">
        <f>IF(A156="","", QC_Plan!M156)</f>
        <v/>
      </c>
      <c r="G156" s="110" t="str">
        <f t="shared" si="4"/>
        <v/>
      </c>
    </row>
    <row r="157" spans="4:7" ht="15" customHeight="1" x14ac:dyDescent="0.3">
      <c r="D157" s="110" t="str">
        <f>IF(A157="","",IF(C157="2P",OPR_2P!B$2,IF(C157="SEG",SEG_6P!B$2,IF(C157="SOL",SOL_4P!B$2,IF(C157="RW",RW_2P!B$2,IF(C157="RW2",RW2_4P!B$2,0))))))</f>
        <v/>
      </c>
      <c r="F157" s="110" t="str">
        <f>IF(A157="","", QC_Plan!M157)</f>
        <v/>
      </c>
      <c r="G157" s="110" t="str">
        <f t="shared" si="4"/>
        <v/>
      </c>
    </row>
    <row r="158" spans="4:7" ht="15" customHeight="1" x14ac:dyDescent="0.3">
      <c r="D158" s="110" t="str">
        <f>IF(A158="","",IF(C158="2P",OPR_2P!B$2,IF(C158="SEG",SEG_6P!B$2,IF(C158="SOL",SOL_4P!B$2,IF(C158="RW",RW_2P!B$2,IF(C158="RW2",RW2_4P!B$2,0))))))</f>
        <v/>
      </c>
      <c r="F158" s="110" t="str">
        <f>IF(A158="","", QC_Plan!M158)</f>
        <v/>
      </c>
      <c r="G158" s="110" t="str">
        <f t="shared" si="4"/>
        <v/>
      </c>
    </row>
    <row r="159" spans="4:7" ht="15" customHeight="1" x14ac:dyDescent="0.3">
      <c r="D159" s="110" t="str">
        <f>IF(A159="","",IF(C159="2P",OPR_2P!B$2,IF(C159="SEG",SEG_6P!B$2,IF(C159="SOL",SOL_4P!B$2,IF(C159="RW",RW_2P!B$2,IF(C159="RW2",RW2_4P!B$2,0))))))</f>
        <v/>
      </c>
      <c r="F159" s="110" t="str">
        <f>IF(A159="","", QC_Plan!M159)</f>
        <v/>
      </c>
      <c r="G159" s="110" t="str">
        <f t="shared" si="4"/>
        <v/>
      </c>
    </row>
    <row r="160" spans="4:7" ht="15" customHeight="1" x14ac:dyDescent="0.3">
      <c r="D160" s="110" t="str">
        <f>IF(A160="","",IF(C160="2P",OPR_2P!B$2,IF(C160="SEG",SEG_6P!B$2,IF(C160="SOL",SOL_4P!B$2,IF(C160="RW",RW_2P!B$2,IF(C160="RW2",RW2_4P!B$2,0))))))</f>
        <v/>
      </c>
      <c r="F160" s="110" t="str">
        <f>IF(A160="","", QC_Plan!M160)</f>
        <v/>
      </c>
      <c r="G160" s="110" t="str">
        <f t="shared" si="4"/>
        <v/>
      </c>
    </row>
    <row r="161" spans="4:7" ht="15" customHeight="1" x14ac:dyDescent="0.3">
      <c r="D161" s="110" t="str">
        <f>IF(A161="","",IF(C161="2P",OPR_2P!B$2,IF(C161="SEG",SEG_6P!B$2,IF(C161="SOL",SOL_4P!B$2,IF(C161="RW",RW_2P!B$2,IF(C161="RW2",RW2_4P!B$2,0))))))</f>
        <v/>
      </c>
      <c r="F161" s="110" t="str">
        <f>IF(A161="","", QC_Plan!M161)</f>
        <v/>
      </c>
      <c r="G161" s="110" t="str">
        <f t="shared" si="4"/>
        <v/>
      </c>
    </row>
    <row r="162" spans="4:7" ht="15" customHeight="1" x14ac:dyDescent="0.3">
      <c r="D162" s="110" t="str">
        <f>IF(A162="","",IF(C162="2P",OPR_2P!B$2,IF(C162="SEG",SEG_6P!B$2,IF(C162="SOL",SOL_4P!B$2,IF(C162="RW",RW_2P!B$2,IF(C162="RW2",RW2_4P!B$2,0))))))</f>
        <v/>
      </c>
      <c r="F162" s="110" t="str">
        <f>IF(A162="","", QC_Plan!M162)</f>
        <v/>
      </c>
      <c r="G162" s="110" t="str">
        <f t="shared" si="4"/>
        <v/>
      </c>
    </row>
    <row r="163" spans="4:7" ht="15" customHeight="1" x14ac:dyDescent="0.3">
      <c r="D163" s="110" t="str">
        <f>IF(A163="","",IF(C163="2P",OPR_2P!B$2,IF(C163="SEG",SEG_6P!B$2,IF(C163="SOL",SOL_4P!B$2,IF(C163="RW",RW_2P!B$2,IF(C163="RW2",RW2_4P!B$2,0))))))</f>
        <v/>
      </c>
      <c r="F163" s="110" t="str">
        <f>IF(A163="","", QC_Plan!M163)</f>
        <v/>
      </c>
      <c r="G163" s="110" t="str">
        <f t="shared" si="4"/>
        <v/>
      </c>
    </row>
    <row r="164" spans="4:7" ht="15" customHeight="1" x14ac:dyDescent="0.3">
      <c r="D164" s="110" t="str">
        <f>IF(A164="","",IF(C164="2P",OPR_2P!B$2,IF(C164="SEG",SEG_6P!B$2,IF(C164="SOL",SOL_4P!B$2,IF(C164="RW",RW_2P!B$2,IF(C164="RW2",RW2_4P!B$2,0))))))</f>
        <v/>
      </c>
      <c r="F164" s="110" t="str">
        <f>IF(A164="","", QC_Plan!M164)</f>
        <v/>
      </c>
      <c r="G164" s="110" t="str">
        <f t="shared" si="4"/>
        <v/>
      </c>
    </row>
    <row r="165" spans="4:7" ht="15" customHeight="1" x14ac:dyDescent="0.3">
      <c r="D165" s="110" t="str">
        <f>IF(A165="","",IF(C165="2P",OPR_2P!B$2,IF(C165="SEG",SEG_6P!B$2,IF(C165="SOL",SOL_4P!B$2,IF(C165="RW",RW_2P!B$2,IF(C165="RW2",RW2_4P!B$2,0))))))</f>
        <v/>
      </c>
      <c r="F165" s="110" t="str">
        <f>IF(A165="","", QC_Plan!M165)</f>
        <v/>
      </c>
      <c r="G165" s="110" t="str">
        <f t="shared" si="4"/>
        <v/>
      </c>
    </row>
    <row r="166" spans="4:7" ht="15" customHeight="1" x14ac:dyDescent="0.3">
      <c r="D166" s="110" t="str">
        <f>IF(A166="","",IF(C166="2P",OPR_2P!B$2,IF(C166="SEG",SEG_6P!B$2,IF(C166="SOL",SOL_4P!B$2,IF(C166="RW",RW_2P!B$2,IF(C166="RW2",RW2_4P!B$2,0))))))</f>
        <v/>
      </c>
      <c r="F166" s="110" t="str">
        <f>IF(A166="","", QC_Plan!M166)</f>
        <v/>
      </c>
      <c r="G166" s="110" t="str">
        <f t="shared" si="4"/>
        <v/>
      </c>
    </row>
    <row r="167" spans="4:7" ht="15" customHeight="1" x14ac:dyDescent="0.3">
      <c r="D167" s="110" t="str">
        <f>IF(A167="","",IF(C167="2P",OPR_2P!B$2,IF(C167="SEG",SEG_6P!B$2,IF(C167="SOL",SOL_4P!B$2,IF(C167="RW",RW_2P!B$2,IF(C167="RW2",RW2_4P!B$2,0))))))</f>
        <v/>
      </c>
      <c r="F167" s="110" t="str">
        <f>IF(A167="","", QC_Plan!M167)</f>
        <v/>
      </c>
      <c r="G167" s="110" t="str">
        <f t="shared" si="4"/>
        <v/>
      </c>
    </row>
    <row r="168" spans="4:7" ht="15" customHeight="1" x14ac:dyDescent="0.3">
      <c r="D168" s="110" t="str">
        <f>IF(A168="","",IF(C168="2P",OPR_2P!B$2,IF(C168="SEG",SEG_6P!B$2,IF(C168="SOL",SOL_4P!B$2,IF(C168="RW",RW_2P!B$2,IF(C168="RW2",RW2_4P!B$2,0))))))</f>
        <v/>
      </c>
      <c r="F168" s="110" t="str">
        <f>IF(A168="","", QC_Plan!M168)</f>
        <v/>
      </c>
      <c r="G168" s="110" t="str">
        <f t="shared" ref="G168:G231" si="5">IF(B168="","",IF(H168&gt;1000,"High",IF(H168&gt;500,"Medium","Low")))</f>
        <v/>
      </c>
    </row>
    <row r="169" spans="4:7" ht="15" customHeight="1" x14ac:dyDescent="0.3">
      <c r="D169" s="110" t="str">
        <f>IF(A169="","",IF(C169="2P",OPR_2P!B$2,IF(C169="SEG",SEG_6P!B$2,IF(C169="SOL",SOL_4P!B$2,IF(C169="RW",RW_2P!B$2,IF(C169="RW2",RW2_4P!B$2,0))))))</f>
        <v/>
      </c>
      <c r="F169" s="110" t="str">
        <f>IF(A169="","", QC_Plan!M169)</f>
        <v/>
      </c>
      <c r="G169" s="110" t="str">
        <f t="shared" si="5"/>
        <v/>
      </c>
    </row>
    <row r="170" spans="4:7" ht="15" customHeight="1" x14ac:dyDescent="0.3">
      <c r="D170" s="110" t="str">
        <f>IF(A170="","",IF(C170="2P",OPR_2P!B$2,IF(C170="SEG",SEG_6P!B$2,IF(C170="SOL",SOL_4P!B$2,IF(C170="RW",RW_2P!B$2,IF(C170="RW2",RW2_4P!B$2,0))))))</f>
        <v/>
      </c>
      <c r="F170" s="110" t="str">
        <f>IF(A170="","", QC_Plan!M170)</f>
        <v/>
      </c>
      <c r="G170" s="110" t="str">
        <f t="shared" si="5"/>
        <v/>
      </c>
    </row>
    <row r="171" spans="4:7" ht="15" customHeight="1" x14ac:dyDescent="0.3">
      <c r="D171" s="110" t="str">
        <f>IF(A171="","",IF(C171="2P",OPR_2P!B$2,IF(C171="SEG",SEG_6P!B$2,IF(C171="SOL",SOL_4P!B$2,IF(C171="RW",RW_2P!B$2,IF(C171="RW2",RW2_4P!B$2,0))))))</f>
        <v/>
      </c>
      <c r="F171" s="110" t="str">
        <f>IF(A171="","", QC_Plan!M171)</f>
        <v/>
      </c>
      <c r="G171" s="110" t="str">
        <f t="shared" si="5"/>
        <v/>
      </c>
    </row>
    <row r="172" spans="4:7" ht="15" customHeight="1" x14ac:dyDescent="0.3">
      <c r="D172" s="110" t="str">
        <f>IF(A172="","",IF(C172="2P",OPR_2P!B$2,IF(C172="SEG",SEG_6P!B$2,IF(C172="SOL",SOL_4P!B$2,IF(C172="RW",RW_2P!B$2,IF(C172="RW2",RW2_4P!B$2,0))))))</f>
        <v/>
      </c>
      <c r="F172" s="110" t="str">
        <f>IF(A172="","", QC_Plan!M172)</f>
        <v/>
      </c>
      <c r="G172" s="110" t="str">
        <f t="shared" si="5"/>
        <v/>
      </c>
    </row>
    <row r="173" spans="4:7" ht="15" customHeight="1" x14ac:dyDescent="0.3">
      <c r="D173" s="110" t="str">
        <f>IF(A173="","",IF(C173="2P",OPR_2P!B$2,IF(C173="SEG",SEG_6P!B$2,IF(C173="SOL",SOL_4P!B$2,IF(C173="RW",RW_2P!B$2,IF(C173="RW2",RW2_4P!B$2,0))))))</f>
        <v/>
      </c>
      <c r="F173" s="110" t="str">
        <f>IF(A173="","", QC_Plan!M173)</f>
        <v/>
      </c>
      <c r="G173" s="110" t="str">
        <f t="shared" si="5"/>
        <v/>
      </c>
    </row>
    <row r="174" spans="4:7" ht="15" customHeight="1" x14ac:dyDescent="0.3">
      <c r="D174" s="110" t="str">
        <f>IF(A174="","",IF(C174="2P",OPR_2P!B$2,IF(C174="SEG",SEG_6P!B$2,IF(C174="SOL",SOL_4P!B$2,IF(C174="RW",RW_2P!B$2,IF(C174="RW2",RW2_4P!B$2,0))))))</f>
        <v/>
      </c>
      <c r="F174" s="110" t="str">
        <f>IF(A174="","", QC_Plan!M174)</f>
        <v/>
      </c>
      <c r="G174" s="110" t="str">
        <f t="shared" si="5"/>
        <v/>
      </c>
    </row>
    <row r="175" spans="4:7" ht="15" customHeight="1" x14ac:dyDescent="0.3">
      <c r="D175" s="110" t="str">
        <f>IF(A175="","",IF(C175="2P",OPR_2P!B$2,IF(C175="SEG",SEG_6P!B$2,IF(C175="SOL",SOL_4P!B$2,IF(C175="RW",RW_2P!B$2,IF(C175="RW2",RW2_4P!B$2,0))))))</f>
        <v/>
      </c>
      <c r="F175" s="110" t="str">
        <f>IF(A175="","", QC_Plan!M175)</f>
        <v/>
      </c>
      <c r="G175" s="110" t="str">
        <f t="shared" si="5"/>
        <v/>
      </c>
    </row>
    <row r="176" spans="4:7" ht="15" customHeight="1" x14ac:dyDescent="0.3">
      <c r="D176" s="110" t="str">
        <f>IF(A176="","",IF(C176="2P",OPR_2P!B$2,IF(C176="SEG",SEG_6P!B$2,IF(C176="SOL",SOL_4P!B$2,IF(C176="RW",RW_2P!B$2,IF(C176="RW2",RW2_4P!B$2,0))))))</f>
        <v/>
      </c>
      <c r="F176" s="110" t="str">
        <f>IF(A176="","", QC_Plan!M176)</f>
        <v/>
      </c>
      <c r="G176" s="110" t="str">
        <f t="shared" si="5"/>
        <v/>
      </c>
    </row>
    <row r="177" spans="4:7" ht="15" customHeight="1" x14ac:dyDescent="0.3">
      <c r="D177" s="110" t="str">
        <f>IF(A177="","",IF(C177="2P",OPR_2P!B$2,IF(C177="SEG",SEG_6P!B$2,IF(C177="SOL",SOL_4P!B$2,IF(C177="RW",RW_2P!B$2,IF(C177="RW2",RW2_4P!B$2,0))))))</f>
        <v/>
      </c>
      <c r="F177" s="110" t="str">
        <f>IF(A177="","", QC_Plan!M177)</f>
        <v/>
      </c>
      <c r="G177" s="110" t="str">
        <f t="shared" si="5"/>
        <v/>
      </c>
    </row>
    <row r="178" spans="4:7" ht="15" customHeight="1" x14ac:dyDescent="0.3">
      <c r="D178" s="110" t="str">
        <f>IF(A178="","",IF(C178="2P",OPR_2P!B$2,IF(C178="SEG",SEG_6P!B$2,IF(C178="SOL",SOL_4P!B$2,IF(C178="RW",RW_2P!B$2,IF(C178="RW2",RW2_4P!B$2,0))))))</f>
        <v/>
      </c>
      <c r="F178" s="110" t="str">
        <f>IF(A178="","", QC_Plan!M178)</f>
        <v/>
      </c>
      <c r="G178" s="110" t="str">
        <f t="shared" si="5"/>
        <v/>
      </c>
    </row>
    <row r="179" spans="4:7" ht="15" customHeight="1" x14ac:dyDescent="0.3">
      <c r="D179" s="110" t="str">
        <f>IF(A179="","",IF(C179="2P",OPR_2P!B$2,IF(C179="SEG",SEG_6P!B$2,IF(C179="SOL",SOL_4P!B$2,IF(C179="RW",RW_2P!B$2,IF(C179="RW2",RW2_4P!B$2,0))))))</f>
        <v/>
      </c>
      <c r="F179" s="110" t="str">
        <f>IF(A179="","", QC_Plan!M179)</f>
        <v/>
      </c>
      <c r="G179" s="110" t="str">
        <f t="shared" si="5"/>
        <v/>
      </c>
    </row>
    <row r="180" spans="4:7" ht="15" customHeight="1" x14ac:dyDescent="0.3">
      <c r="D180" s="110" t="str">
        <f>IF(A180="","",IF(C180="2P",OPR_2P!B$2,IF(C180="SEG",SEG_6P!B$2,IF(C180="SOL",SOL_4P!B$2,IF(C180="RW",RW_2P!B$2,IF(C180="RW2",RW2_4P!B$2,0))))))</f>
        <v/>
      </c>
      <c r="F180" s="110" t="str">
        <f>IF(A180="","", QC_Plan!M180)</f>
        <v/>
      </c>
      <c r="G180" s="110" t="str">
        <f t="shared" si="5"/>
        <v/>
      </c>
    </row>
    <row r="181" spans="4:7" ht="15" customHeight="1" x14ac:dyDescent="0.3">
      <c r="D181" s="110" t="str">
        <f>IF(A181="","",IF(C181="2P",OPR_2P!B$2,IF(C181="SEG",SEG_6P!B$2,IF(C181="SOL",SOL_4P!B$2,IF(C181="RW",RW_2P!B$2,IF(C181="RW2",RW2_4P!B$2,0))))))</f>
        <v/>
      </c>
      <c r="F181" s="110" t="str">
        <f>IF(A181="","", QC_Plan!M181)</f>
        <v/>
      </c>
      <c r="G181" s="110" t="str">
        <f t="shared" si="5"/>
        <v/>
      </c>
    </row>
    <row r="182" spans="4:7" ht="15" customHeight="1" x14ac:dyDescent="0.3">
      <c r="D182" s="110" t="str">
        <f>IF(A182="","",IF(C182="2P",OPR_2P!B$2,IF(C182="SEG",SEG_6P!B$2,IF(C182="SOL",SOL_4P!B$2,IF(C182="RW",RW_2P!B$2,IF(C182="RW2",RW2_4P!B$2,0))))))</f>
        <v/>
      </c>
      <c r="F182" s="110" t="str">
        <f>IF(A182="","", QC_Plan!M182)</f>
        <v/>
      </c>
      <c r="G182" s="110" t="str">
        <f t="shared" si="5"/>
        <v/>
      </c>
    </row>
    <row r="183" spans="4:7" ht="15" customHeight="1" x14ac:dyDescent="0.3">
      <c r="D183" s="110" t="str">
        <f>IF(A183="","",IF(C183="2P",OPR_2P!B$2,IF(C183="SEG",SEG_6P!B$2,IF(C183="SOL",SOL_4P!B$2,IF(C183="RW",RW_2P!B$2,IF(C183="RW2",RW2_4P!B$2,0))))))</f>
        <v/>
      </c>
      <c r="F183" s="110" t="str">
        <f>IF(A183="","", QC_Plan!M183)</f>
        <v/>
      </c>
      <c r="G183" s="110" t="str">
        <f t="shared" si="5"/>
        <v/>
      </c>
    </row>
    <row r="184" spans="4:7" ht="15" customHeight="1" x14ac:dyDescent="0.3">
      <c r="D184" s="110" t="str">
        <f>IF(A184="","",IF(C184="2P",OPR_2P!B$2,IF(C184="SEG",SEG_6P!B$2,IF(C184="SOL",SOL_4P!B$2,IF(C184="RW",RW_2P!B$2,IF(C184="RW2",RW2_4P!B$2,0))))))</f>
        <v/>
      </c>
      <c r="F184" s="110" t="str">
        <f>IF(A184="","", QC_Plan!M184)</f>
        <v/>
      </c>
      <c r="G184" s="110" t="str">
        <f t="shared" si="5"/>
        <v/>
      </c>
    </row>
    <row r="185" spans="4:7" ht="15" customHeight="1" x14ac:dyDescent="0.3">
      <c r="D185" s="110" t="str">
        <f>IF(A185="","",IF(C185="2P",OPR_2P!B$2,IF(C185="SEG",SEG_6P!B$2,IF(C185="SOL",SOL_4P!B$2,IF(C185="RW",RW_2P!B$2,IF(C185="RW2",RW2_4P!B$2,0))))))</f>
        <v/>
      </c>
      <c r="F185" s="110" t="str">
        <f>IF(A185="","", QC_Plan!M185)</f>
        <v/>
      </c>
      <c r="G185" s="110" t="str">
        <f t="shared" si="5"/>
        <v/>
      </c>
    </row>
    <row r="186" spans="4:7" ht="15" customHeight="1" x14ac:dyDescent="0.3">
      <c r="D186" s="110" t="str">
        <f>IF(A186="","",IF(C186="2P",OPR_2P!B$2,IF(C186="SEG",SEG_6P!B$2,IF(C186="SOL",SOL_4P!B$2,IF(C186="RW",RW_2P!B$2,IF(C186="RW2",RW2_4P!B$2,0))))))</f>
        <v/>
      </c>
      <c r="F186" s="110" t="str">
        <f>IF(A186="","", QC_Plan!M186)</f>
        <v/>
      </c>
      <c r="G186" s="110" t="str">
        <f t="shared" si="5"/>
        <v/>
      </c>
    </row>
    <row r="187" spans="4:7" ht="15" customHeight="1" x14ac:dyDescent="0.3">
      <c r="D187" s="110" t="str">
        <f>IF(A187="","",IF(C187="2P",OPR_2P!B$2,IF(C187="SEG",SEG_6P!B$2,IF(C187="SOL",SOL_4P!B$2,IF(C187="RW",RW_2P!B$2,IF(C187="RW2",RW2_4P!B$2,0))))))</f>
        <v/>
      </c>
      <c r="F187" s="110" t="str">
        <f>IF(A187="","", QC_Plan!M187)</f>
        <v/>
      </c>
      <c r="G187" s="110" t="str">
        <f t="shared" si="5"/>
        <v/>
      </c>
    </row>
    <row r="188" spans="4:7" ht="15" customHeight="1" x14ac:dyDescent="0.3">
      <c r="D188" s="110" t="str">
        <f>IF(A188="","",IF(C188="2P",OPR_2P!B$2,IF(C188="SEG",SEG_6P!B$2,IF(C188="SOL",SOL_4P!B$2,IF(C188="RW",RW_2P!B$2,IF(C188="RW2",RW2_4P!B$2,0))))))</f>
        <v/>
      </c>
      <c r="F188" s="110" t="str">
        <f>IF(A188="","", QC_Plan!M188)</f>
        <v/>
      </c>
      <c r="G188" s="110" t="str">
        <f t="shared" si="5"/>
        <v/>
      </c>
    </row>
    <row r="189" spans="4:7" ht="15" customHeight="1" x14ac:dyDescent="0.3">
      <c r="D189" s="110" t="str">
        <f>IF(A189="","",IF(C189="2P",OPR_2P!B$2,IF(C189="SEG",SEG_6P!B$2,IF(C189="SOL",SOL_4P!B$2,IF(C189="RW",RW_2P!B$2,IF(C189="RW2",RW2_4P!B$2,0))))))</f>
        <v/>
      </c>
      <c r="F189" s="110" t="str">
        <f>IF(A189="","", QC_Plan!M189)</f>
        <v/>
      </c>
      <c r="G189" s="110" t="str">
        <f t="shared" si="5"/>
        <v/>
      </c>
    </row>
    <row r="190" spans="4:7" ht="15" customHeight="1" x14ac:dyDescent="0.3">
      <c r="D190" s="110" t="str">
        <f>IF(A190="","",IF(C190="2P",OPR_2P!B$2,IF(C190="SEG",SEG_6P!B$2,IF(C190="SOL",SOL_4P!B$2,IF(C190="RW",RW_2P!B$2,IF(C190="RW2",RW2_4P!B$2,0))))))</f>
        <v/>
      </c>
      <c r="F190" s="110" t="str">
        <f>IF(A190="","", QC_Plan!M190)</f>
        <v/>
      </c>
      <c r="G190" s="110" t="str">
        <f t="shared" si="5"/>
        <v/>
      </c>
    </row>
    <row r="191" spans="4:7" ht="15" customHeight="1" x14ac:dyDescent="0.3">
      <c r="D191" s="110" t="str">
        <f>IF(A191="","",IF(C191="2P",OPR_2P!B$2,IF(C191="SEG",SEG_6P!B$2,IF(C191="SOL",SOL_4P!B$2,IF(C191="RW",RW_2P!B$2,IF(C191="RW2",RW2_4P!B$2,0))))))</f>
        <v/>
      </c>
      <c r="F191" s="110" t="str">
        <f>IF(A191="","", QC_Plan!M191)</f>
        <v/>
      </c>
      <c r="G191" s="110" t="str">
        <f t="shared" si="5"/>
        <v/>
      </c>
    </row>
    <row r="192" spans="4:7" ht="15" customHeight="1" x14ac:dyDescent="0.3">
      <c r="D192" s="110" t="str">
        <f>IF(A192="","",IF(C192="2P",OPR_2P!B$2,IF(C192="SEG",SEG_6P!B$2,IF(C192="SOL",SOL_4P!B$2,IF(C192="RW",RW_2P!B$2,IF(C192="RW2",RW2_4P!B$2,0))))))</f>
        <v/>
      </c>
      <c r="F192" s="110" t="str">
        <f>IF(A192="","", QC_Plan!M192)</f>
        <v/>
      </c>
      <c r="G192" s="110" t="str">
        <f t="shared" si="5"/>
        <v/>
      </c>
    </row>
    <row r="193" spans="4:7" ht="15" customHeight="1" x14ac:dyDescent="0.3">
      <c r="D193" s="110" t="str">
        <f>IF(A193="","",IF(C193="2P",OPR_2P!B$2,IF(C193="SEG",SEG_6P!B$2,IF(C193="SOL",SOL_4P!B$2,IF(C193="RW",RW_2P!B$2,IF(C193="RW2",RW2_4P!B$2,0))))))</f>
        <v/>
      </c>
      <c r="F193" s="110" t="str">
        <f>IF(A193="","", QC_Plan!M193)</f>
        <v/>
      </c>
      <c r="G193" s="110" t="str">
        <f t="shared" si="5"/>
        <v/>
      </c>
    </row>
    <row r="194" spans="4:7" ht="15" customHeight="1" x14ac:dyDescent="0.3">
      <c r="D194" s="110" t="str">
        <f>IF(A194="","",IF(C194="2P",OPR_2P!B$2,IF(C194="SEG",SEG_6P!B$2,IF(C194="SOL",SOL_4P!B$2,IF(C194="RW",RW_2P!B$2,IF(C194="RW2",RW2_4P!B$2,0))))))</f>
        <v/>
      </c>
      <c r="F194" s="110" t="str">
        <f>IF(A194="","", QC_Plan!M194)</f>
        <v/>
      </c>
      <c r="G194" s="110" t="str">
        <f t="shared" si="5"/>
        <v/>
      </c>
    </row>
    <row r="195" spans="4:7" ht="15" customHeight="1" x14ac:dyDescent="0.3">
      <c r="D195" s="110" t="str">
        <f>IF(A195="","",IF(C195="2P",OPR_2P!B$2,IF(C195="SEG",SEG_6P!B$2,IF(C195="SOL",SOL_4P!B$2,IF(C195="RW",RW_2P!B$2,IF(C195="RW2",RW2_4P!B$2,0))))))</f>
        <v/>
      </c>
      <c r="F195" s="110" t="str">
        <f>IF(A195="","", QC_Plan!M195)</f>
        <v/>
      </c>
      <c r="G195" s="110" t="str">
        <f t="shared" si="5"/>
        <v/>
      </c>
    </row>
    <row r="196" spans="4:7" ht="15" customHeight="1" x14ac:dyDescent="0.3">
      <c r="D196" s="110" t="str">
        <f>IF(A196="","",IF(C196="2P",OPR_2P!B$2,IF(C196="SEG",SEG_6P!B$2,IF(C196="SOL",SOL_4P!B$2,IF(C196="RW",RW_2P!B$2,IF(C196="RW2",RW2_4P!B$2,0))))))</f>
        <v/>
      </c>
      <c r="F196" s="110" t="str">
        <f>IF(A196="","", QC_Plan!M196)</f>
        <v/>
      </c>
      <c r="G196" s="110" t="str">
        <f t="shared" si="5"/>
        <v/>
      </c>
    </row>
    <row r="197" spans="4:7" ht="15" customHeight="1" x14ac:dyDescent="0.3">
      <c r="D197" s="110" t="str">
        <f>IF(A197="","",IF(C197="2P",OPR_2P!B$2,IF(C197="SEG",SEG_6P!B$2,IF(C197="SOL",SOL_4P!B$2,IF(C197="RW",RW_2P!B$2,IF(C197="RW2",RW2_4P!B$2,0))))))</f>
        <v/>
      </c>
      <c r="F197" s="110" t="str">
        <f>IF(A197="","", QC_Plan!M197)</f>
        <v/>
      </c>
      <c r="G197" s="110" t="str">
        <f t="shared" si="5"/>
        <v/>
      </c>
    </row>
    <row r="198" spans="4:7" ht="15" customHeight="1" x14ac:dyDescent="0.3">
      <c r="D198" s="110" t="str">
        <f>IF(A198="","",IF(C198="2P",OPR_2P!B$2,IF(C198="SEG",SEG_6P!B$2,IF(C198="SOL",SOL_4P!B$2,IF(C198="RW",RW_2P!B$2,IF(C198="RW2",RW2_4P!B$2,0))))))</f>
        <v/>
      </c>
      <c r="F198" s="110" t="str">
        <f>IF(A198="","", QC_Plan!M198)</f>
        <v/>
      </c>
      <c r="G198" s="110" t="str">
        <f t="shared" si="5"/>
        <v/>
      </c>
    </row>
    <row r="199" spans="4:7" ht="15" customHeight="1" x14ac:dyDescent="0.3">
      <c r="D199" s="110" t="str">
        <f>IF(A199="","",IF(C199="2P",OPR_2P!B$2,IF(C199="SEG",SEG_6P!B$2,IF(C199="SOL",SOL_4P!B$2,IF(C199="RW",RW_2P!B$2,IF(C199="RW2",RW2_4P!B$2,0))))))</f>
        <v/>
      </c>
      <c r="F199" s="110" t="str">
        <f>IF(A199="","", QC_Plan!M199)</f>
        <v/>
      </c>
      <c r="G199" s="110" t="str">
        <f t="shared" si="5"/>
        <v/>
      </c>
    </row>
    <row r="200" spans="4:7" ht="15" customHeight="1" x14ac:dyDescent="0.3">
      <c r="D200" s="110" t="str">
        <f>IF(A200="","",IF(C200="2P",OPR_2P!B$2,IF(C200="SEG",SEG_6P!B$2,IF(C200="SOL",SOL_4P!B$2,IF(C200="RW",RW_2P!B$2,IF(C200="RW2",RW2_4P!B$2,0))))))</f>
        <v/>
      </c>
      <c r="F200" s="110" t="str">
        <f>IF(A200="","", QC_Plan!M200)</f>
        <v/>
      </c>
      <c r="G200" s="110" t="str">
        <f t="shared" si="5"/>
        <v/>
      </c>
    </row>
    <row r="201" spans="4:7" ht="15" customHeight="1" x14ac:dyDescent="0.3">
      <c r="D201" s="110" t="str">
        <f>IF(A201="","",IF(C201="2P",OPR_2P!B$2,IF(C201="SEG",SEG_6P!B$2,IF(C201="SOL",SOL_4P!B$2,IF(C201="RW",RW_2P!B$2,IF(C201="RW2",RW2_4P!B$2,0))))))</f>
        <v/>
      </c>
      <c r="F201" s="110" t="str">
        <f>IF(A201="","", QC_Plan!M201)</f>
        <v/>
      </c>
      <c r="G201" s="110" t="str">
        <f t="shared" si="5"/>
        <v/>
      </c>
    </row>
    <row r="202" spans="4:7" ht="15" customHeight="1" x14ac:dyDescent="0.3">
      <c r="D202" s="110" t="str">
        <f>IF(A202="","",IF(C202="2P",OPR_2P!B$2,IF(C202="SEG",SEG_6P!B$2,IF(C202="SOL",SOL_4P!B$2,IF(C202="RW",RW_2P!B$2,IF(C202="RW2",RW2_4P!B$2,0))))))</f>
        <v/>
      </c>
      <c r="F202" s="110" t="str">
        <f>IF(A202="","", QC_Plan!M202)</f>
        <v/>
      </c>
      <c r="G202" s="110" t="str">
        <f t="shared" si="5"/>
        <v/>
      </c>
    </row>
    <row r="203" spans="4:7" ht="15" customHeight="1" x14ac:dyDescent="0.3">
      <c r="D203" s="110" t="str">
        <f>IF(A203="","",IF(C203="2P",OPR_2P!B$2,IF(C203="SEG",SEG_6P!B$2,IF(C203="SOL",SOL_4P!B$2,IF(C203="RW",RW_2P!B$2,IF(C203="RW2",RW2_4P!B$2,0))))))</f>
        <v/>
      </c>
      <c r="F203" s="110" t="str">
        <f>IF(A203="","", QC_Plan!M203)</f>
        <v/>
      </c>
      <c r="G203" s="110" t="str">
        <f t="shared" si="5"/>
        <v/>
      </c>
    </row>
    <row r="204" spans="4:7" ht="15" customHeight="1" x14ac:dyDescent="0.3">
      <c r="D204" s="110" t="str">
        <f>IF(A204="","",IF(C204="2P",OPR_2P!B$2,IF(C204="SEG",SEG_6P!B$2,IF(C204="SOL",SOL_4P!B$2,IF(C204="RW",RW_2P!B$2,IF(C204="RW2",RW2_4P!B$2,0))))))</f>
        <v/>
      </c>
      <c r="F204" s="110" t="str">
        <f>IF(A204="","", QC_Plan!M204)</f>
        <v/>
      </c>
      <c r="G204" s="110" t="str">
        <f t="shared" si="5"/>
        <v/>
      </c>
    </row>
    <row r="205" spans="4:7" ht="15" customHeight="1" x14ac:dyDescent="0.3">
      <c r="D205" s="110" t="str">
        <f>IF(A205="","",IF(C205="2P",OPR_2P!B$2,IF(C205="SEG",SEG_6P!B$2,IF(C205="SOL",SOL_4P!B$2,IF(C205="RW",RW_2P!B$2,IF(C205="RW2",RW2_4P!B$2,0))))))</f>
        <v/>
      </c>
      <c r="F205" s="110" t="str">
        <f>IF(A205="","", QC_Plan!M205)</f>
        <v/>
      </c>
      <c r="G205" s="110" t="str">
        <f t="shared" si="5"/>
        <v/>
      </c>
    </row>
    <row r="206" spans="4:7" ht="15" customHeight="1" x14ac:dyDescent="0.3">
      <c r="D206" s="110" t="str">
        <f>IF(A206="","",IF(C206="2P",OPR_2P!B$2,IF(C206="SEG",SEG_6P!B$2,IF(C206="SOL",SOL_4P!B$2,IF(C206="RW",RW_2P!B$2,IF(C206="RW2",RW2_4P!B$2,0))))))</f>
        <v/>
      </c>
      <c r="F206" s="110" t="str">
        <f>IF(A206="","", QC_Plan!M206)</f>
        <v/>
      </c>
      <c r="G206" s="110" t="str">
        <f t="shared" si="5"/>
        <v/>
      </c>
    </row>
    <row r="207" spans="4:7" ht="15" customHeight="1" x14ac:dyDescent="0.3">
      <c r="D207" s="110" t="str">
        <f>IF(A207="","",IF(C207="2P",OPR_2P!B$2,IF(C207="SEG",SEG_6P!B$2,IF(C207="SOL",SOL_4P!B$2,IF(C207="RW",RW_2P!B$2,IF(C207="RW2",RW2_4P!B$2,0))))))</f>
        <v/>
      </c>
      <c r="F207" s="110" t="str">
        <f>IF(A207="","", QC_Plan!M207)</f>
        <v/>
      </c>
      <c r="G207" s="110" t="str">
        <f t="shared" si="5"/>
        <v/>
      </c>
    </row>
    <row r="208" spans="4:7" ht="15" customHeight="1" x14ac:dyDescent="0.3">
      <c r="D208" s="110" t="str">
        <f>IF(A208="","",IF(C208="2P",OPR_2P!B$2,IF(C208="SEG",SEG_6P!B$2,IF(C208="SOL",SOL_4P!B$2,IF(C208="RW",RW_2P!B$2,IF(C208="RW2",RW2_4P!B$2,0))))))</f>
        <v/>
      </c>
      <c r="F208" s="110" t="str">
        <f>IF(A208="","", QC_Plan!M208)</f>
        <v/>
      </c>
      <c r="G208" s="110" t="str">
        <f t="shared" si="5"/>
        <v/>
      </c>
    </row>
    <row r="209" spans="4:7" ht="15" customHeight="1" x14ac:dyDescent="0.3">
      <c r="D209" s="110" t="str">
        <f>IF(A209="","",IF(C209="2P",OPR_2P!B$2,IF(C209="SEG",SEG_6P!B$2,IF(C209="SOL",SOL_4P!B$2,IF(C209="RW",RW_2P!B$2,IF(C209="RW2",RW2_4P!B$2,0))))))</f>
        <v/>
      </c>
      <c r="F209" s="110" t="str">
        <f>IF(A209="","", QC_Plan!M209)</f>
        <v/>
      </c>
      <c r="G209" s="110" t="str">
        <f t="shared" si="5"/>
        <v/>
      </c>
    </row>
    <row r="210" spans="4:7" ht="15" customHeight="1" x14ac:dyDescent="0.3">
      <c r="D210" s="110" t="str">
        <f>IF(A210="","",IF(C210="2P",OPR_2P!B$2,IF(C210="SEG",SEG_6P!B$2,IF(C210="SOL",SOL_4P!B$2,IF(C210="RW",RW_2P!B$2,IF(C210="RW2",RW2_4P!B$2,0))))))</f>
        <v/>
      </c>
      <c r="F210" s="110" t="str">
        <f>IF(A210="","", QC_Plan!M210)</f>
        <v/>
      </c>
      <c r="G210" s="110" t="str">
        <f t="shared" si="5"/>
        <v/>
      </c>
    </row>
    <row r="211" spans="4:7" ht="15" customHeight="1" x14ac:dyDescent="0.3">
      <c r="D211" s="110" t="str">
        <f>IF(A211="","",IF(C211="2P",OPR_2P!B$2,IF(C211="SEG",SEG_6P!B$2,IF(C211="SOL",SOL_4P!B$2,IF(C211="RW",RW_2P!B$2,IF(C211="RW2",RW2_4P!B$2,0))))))</f>
        <v/>
      </c>
      <c r="F211" s="110" t="str">
        <f>IF(A211="","", QC_Plan!M211)</f>
        <v/>
      </c>
      <c r="G211" s="110" t="str">
        <f t="shared" si="5"/>
        <v/>
      </c>
    </row>
    <row r="212" spans="4:7" ht="15" customHeight="1" x14ac:dyDescent="0.3">
      <c r="D212" s="110" t="str">
        <f>IF(A212="","",IF(C212="2P",OPR_2P!B$2,IF(C212="SEG",SEG_6P!B$2,IF(C212="SOL",SOL_4P!B$2,IF(C212="RW",RW_2P!B$2,IF(C212="RW2",RW2_4P!B$2,0))))))</f>
        <v/>
      </c>
      <c r="F212" s="110" t="str">
        <f>IF(A212="","", QC_Plan!M212)</f>
        <v/>
      </c>
      <c r="G212" s="110" t="str">
        <f t="shared" si="5"/>
        <v/>
      </c>
    </row>
    <row r="213" spans="4:7" ht="15" customHeight="1" x14ac:dyDescent="0.3">
      <c r="D213" s="110" t="str">
        <f>IF(A213="","",IF(C213="2P",OPR_2P!B$2,IF(C213="SEG",SEG_6P!B$2,IF(C213="SOL",SOL_4P!B$2,IF(C213="RW",RW_2P!B$2,IF(C213="RW2",RW2_4P!B$2,0))))))</f>
        <v/>
      </c>
      <c r="F213" s="110" t="str">
        <f>IF(A213="","", QC_Plan!M213)</f>
        <v/>
      </c>
      <c r="G213" s="110" t="str">
        <f t="shared" si="5"/>
        <v/>
      </c>
    </row>
    <row r="214" spans="4:7" ht="15" customHeight="1" x14ac:dyDescent="0.3">
      <c r="D214" s="110" t="str">
        <f>IF(A214="","",IF(C214="2P",OPR_2P!B$2,IF(C214="SEG",SEG_6P!B$2,IF(C214="SOL",SOL_4P!B$2,IF(C214="RW",RW_2P!B$2,IF(C214="RW2",RW2_4P!B$2,0))))))</f>
        <v/>
      </c>
      <c r="F214" s="110" t="str">
        <f>IF(A214="","", QC_Plan!M214)</f>
        <v/>
      </c>
      <c r="G214" s="110" t="str">
        <f t="shared" si="5"/>
        <v/>
      </c>
    </row>
    <row r="215" spans="4:7" ht="15" customHeight="1" x14ac:dyDescent="0.3">
      <c r="D215" s="110" t="str">
        <f>IF(A215="","",IF(C215="2P",OPR_2P!B$2,IF(C215="SEG",SEG_6P!B$2,IF(C215="SOL",SOL_4P!B$2,IF(C215="RW",RW_2P!B$2,IF(C215="RW2",RW2_4P!B$2,0))))))</f>
        <v/>
      </c>
      <c r="F215" s="110" t="str">
        <f>IF(A215="","", QC_Plan!M215)</f>
        <v/>
      </c>
      <c r="G215" s="110" t="str">
        <f t="shared" si="5"/>
        <v/>
      </c>
    </row>
    <row r="216" spans="4:7" ht="15" customHeight="1" x14ac:dyDescent="0.3">
      <c r="D216" s="110" t="str">
        <f>IF(A216="","",IF(C216="2P",OPR_2P!B$2,IF(C216="SEG",SEG_6P!B$2,IF(C216="SOL",SOL_4P!B$2,IF(C216="RW",RW_2P!B$2,IF(C216="RW2",RW2_4P!B$2,0))))))</f>
        <v/>
      </c>
      <c r="F216" s="110" t="str">
        <f>IF(A216="","", QC_Plan!M216)</f>
        <v/>
      </c>
      <c r="G216" s="110" t="str">
        <f t="shared" si="5"/>
        <v/>
      </c>
    </row>
    <row r="217" spans="4:7" ht="15" customHeight="1" x14ac:dyDescent="0.3">
      <c r="D217" s="110" t="str">
        <f>IF(A217="","",IF(C217="2P",OPR_2P!B$2,IF(C217="SEG",SEG_6P!B$2,IF(C217="SOL",SOL_4P!B$2,IF(C217="RW",RW_2P!B$2,IF(C217="RW2",RW2_4P!B$2,0))))))</f>
        <v/>
      </c>
      <c r="F217" s="110" t="str">
        <f>IF(A217="","", QC_Plan!M217)</f>
        <v/>
      </c>
      <c r="G217" s="110" t="str">
        <f t="shared" si="5"/>
        <v/>
      </c>
    </row>
    <row r="218" spans="4:7" ht="15" customHeight="1" x14ac:dyDescent="0.3">
      <c r="D218" s="110" t="str">
        <f>IF(A218="","",IF(C218="2P",OPR_2P!B$2,IF(C218="SEG",SEG_6P!B$2,IF(C218="SOL",SOL_4P!B$2,IF(C218="RW",RW_2P!B$2,IF(C218="RW2",RW2_4P!B$2,0))))))</f>
        <v/>
      </c>
      <c r="F218" s="110" t="str">
        <f>IF(A218="","", QC_Plan!M218)</f>
        <v/>
      </c>
      <c r="G218" s="110" t="str">
        <f t="shared" si="5"/>
        <v/>
      </c>
    </row>
    <row r="219" spans="4:7" ht="15" customHeight="1" x14ac:dyDescent="0.3">
      <c r="D219" s="110" t="str">
        <f>IF(A219="","",IF(C219="2P",OPR_2P!B$2,IF(C219="SEG",SEG_6P!B$2,IF(C219="SOL",SOL_4P!B$2,IF(C219="RW",RW_2P!B$2,IF(C219="RW2",RW2_4P!B$2,0))))))</f>
        <v/>
      </c>
      <c r="F219" s="110" t="str">
        <f>IF(A219="","", QC_Plan!M219)</f>
        <v/>
      </c>
      <c r="G219" s="110" t="str">
        <f t="shared" si="5"/>
        <v/>
      </c>
    </row>
    <row r="220" spans="4:7" ht="15" customHeight="1" x14ac:dyDescent="0.3">
      <c r="D220" s="110" t="str">
        <f>IF(A220="","",IF(C220="2P",OPR_2P!B$2,IF(C220="SEG",SEG_6P!B$2,IF(C220="SOL",SOL_4P!B$2,IF(C220="RW",RW_2P!B$2,IF(C220="RW2",RW2_4P!B$2,0))))))</f>
        <v/>
      </c>
      <c r="F220" s="110" t="str">
        <f>IF(A220="","", QC_Plan!M220)</f>
        <v/>
      </c>
      <c r="G220" s="110" t="str">
        <f t="shared" si="5"/>
        <v/>
      </c>
    </row>
    <row r="221" spans="4:7" ht="15" customHeight="1" x14ac:dyDescent="0.3">
      <c r="D221" s="110" t="str">
        <f>IF(A221="","",IF(C221="2P",OPR_2P!B$2,IF(C221="SEG",SEG_6P!B$2,IF(C221="SOL",SOL_4P!B$2,IF(C221="RW",RW_2P!B$2,IF(C221="RW2",RW2_4P!B$2,0))))))</f>
        <v/>
      </c>
      <c r="F221" s="110" t="str">
        <f>IF(A221="","", QC_Plan!M221)</f>
        <v/>
      </c>
      <c r="G221" s="110" t="str">
        <f t="shared" si="5"/>
        <v/>
      </c>
    </row>
    <row r="222" spans="4:7" ht="15" customHeight="1" x14ac:dyDescent="0.3">
      <c r="D222" s="110" t="str">
        <f>IF(A222="","",IF(C222="2P",OPR_2P!B$2,IF(C222="SEG",SEG_6P!B$2,IF(C222="SOL",SOL_4P!B$2,IF(C222="RW",RW_2P!B$2,IF(C222="RW2",RW2_4P!B$2,0))))))</f>
        <v/>
      </c>
      <c r="F222" s="110" t="str">
        <f>IF(A222="","", QC_Plan!M222)</f>
        <v/>
      </c>
      <c r="G222" s="110" t="str">
        <f t="shared" si="5"/>
        <v/>
      </c>
    </row>
    <row r="223" spans="4:7" ht="15" customHeight="1" x14ac:dyDescent="0.3">
      <c r="D223" s="110" t="str">
        <f>IF(A223="","",IF(C223="2P",OPR_2P!B$2,IF(C223="SEG",SEG_6P!B$2,IF(C223="SOL",SOL_4P!B$2,IF(C223="RW",RW_2P!B$2,IF(C223="RW2",RW2_4P!B$2,0))))))</f>
        <v/>
      </c>
      <c r="F223" s="110" t="str">
        <f>IF(A223="","", QC_Plan!M223)</f>
        <v/>
      </c>
      <c r="G223" s="110" t="str">
        <f t="shared" si="5"/>
        <v/>
      </c>
    </row>
    <row r="224" spans="4:7" ht="15" customHeight="1" x14ac:dyDescent="0.3">
      <c r="D224" s="110" t="str">
        <f>IF(A224="","",IF(C224="2P",OPR_2P!B$2,IF(C224="SEG",SEG_6P!B$2,IF(C224="SOL",SOL_4P!B$2,IF(C224="RW",RW_2P!B$2,IF(C224="RW2",RW2_4P!B$2,0))))))</f>
        <v/>
      </c>
      <c r="F224" s="110" t="str">
        <f>IF(A224="","", QC_Plan!M224)</f>
        <v/>
      </c>
      <c r="G224" s="110" t="str">
        <f t="shared" si="5"/>
        <v/>
      </c>
    </row>
    <row r="225" spans="4:7" ht="15" customHeight="1" x14ac:dyDescent="0.3">
      <c r="D225" s="110" t="str">
        <f>IF(A225="","",IF(C225="2P",OPR_2P!B$2,IF(C225="SEG",SEG_6P!B$2,IF(C225="SOL",SOL_4P!B$2,IF(C225="RW",RW_2P!B$2,IF(C225="RW2",RW2_4P!B$2,0))))))</f>
        <v/>
      </c>
      <c r="F225" s="110" t="str">
        <f>IF(A225="","", QC_Plan!M225)</f>
        <v/>
      </c>
      <c r="G225" s="110" t="str">
        <f t="shared" si="5"/>
        <v/>
      </c>
    </row>
    <row r="226" spans="4:7" ht="15" customHeight="1" x14ac:dyDescent="0.3">
      <c r="D226" s="110" t="str">
        <f>IF(A226="","",IF(C226="2P",OPR_2P!B$2,IF(C226="SEG",SEG_6P!B$2,IF(C226="SOL",SOL_4P!B$2,IF(C226="RW",RW_2P!B$2,IF(C226="RW2",RW2_4P!B$2,0))))))</f>
        <v/>
      </c>
      <c r="F226" s="110" t="str">
        <f>IF(A226="","", QC_Plan!M226)</f>
        <v/>
      </c>
      <c r="G226" s="110" t="str">
        <f t="shared" si="5"/>
        <v/>
      </c>
    </row>
    <row r="227" spans="4:7" ht="15" customHeight="1" x14ac:dyDescent="0.3">
      <c r="D227" s="110" t="str">
        <f>IF(A227="","",IF(C227="2P",OPR_2P!B$2,IF(C227="SEG",SEG_6P!B$2,IF(C227="SOL",SOL_4P!B$2,IF(C227="RW",RW_2P!B$2,IF(C227="RW2",RW2_4P!B$2,0))))))</f>
        <v/>
      </c>
      <c r="F227" s="110" t="str">
        <f>IF(A227="","", QC_Plan!M227)</f>
        <v/>
      </c>
      <c r="G227" s="110" t="str">
        <f t="shared" si="5"/>
        <v/>
      </c>
    </row>
    <row r="228" spans="4:7" ht="15" customHeight="1" x14ac:dyDescent="0.3">
      <c r="D228" s="110" t="str">
        <f>IF(A228="","",IF(C228="2P",OPR_2P!B$2,IF(C228="SEG",SEG_6P!B$2,IF(C228="SOL",SOL_4P!B$2,IF(C228="RW",RW_2P!B$2,IF(C228="RW2",RW2_4P!B$2,0))))))</f>
        <v/>
      </c>
      <c r="F228" s="110" t="str">
        <f>IF(A228="","", QC_Plan!M228)</f>
        <v/>
      </c>
      <c r="G228" s="110" t="str">
        <f t="shared" si="5"/>
        <v/>
      </c>
    </row>
    <row r="229" spans="4:7" ht="15" customHeight="1" x14ac:dyDescent="0.3">
      <c r="D229" s="110" t="str">
        <f>IF(A229="","",IF(C229="2P",OPR_2P!B$2,IF(C229="SEG",SEG_6P!B$2,IF(C229="SOL",SOL_4P!B$2,IF(C229="RW",RW_2P!B$2,IF(C229="RW2",RW2_4P!B$2,0))))))</f>
        <v/>
      </c>
      <c r="F229" s="110" t="str">
        <f>IF(A229="","", QC_Plan!M229)</f>
        <v/>
      </c>
      <c r="G229" s="110" t="str">
        <f t="shared" si="5"/>
        <v/>
      </c>
    </row>
    <row r="230" spans="4:7" ht="15" customHeight="1" x14ac:dyDescent="0.3">
      <c r="D230" s="110" t="str">
        <f>IF(A230="","",IF(C230="2P",OPR_2P!B$2,IF(C230="SEG",SEG_6P!B$2,IF(C230="SOL",SOL_4P!B$2,IF(C230="RW",RW_2P!B$2,IF(C230="RW2",RW2_4P!B$2,0))))))</f>
        <v/>
      </c>
      <c r="F230" s="110" t="str">
        <f>IF(A230="","", QC_Plan!M230)</f>
        <v/>
      </c>
      <c r="G230" s="110" t="str">
        <f t="shared" si="5"/>
        <v/>
      </c>
    </row>
    <row r="231" spans="4:7" ht="15" customHeight="1" x14ac:dyDescent="0.3">
      <c r="D231" s="110" t="str">
        <f>IF(A231="","",IF(C231="2P",OPR_2P!B$2,IF(C231="SEG",SEG_6P!B$2,IF(C231="SOL",SOL_4P!B$2,IF(C231="RW",RW_2P!B$2,IF(C231="RW2",RW2_4P!B$2,0))))))</f>
        <v/>
      </c>
      <c r="F231" s="110" t="str">
        <f>IF(A231="","", QC_Plan!M231)</f>
        <v/>
      </c>
      <c r="G231" s="110" t="str">
        <f t="shared" si="5"/>
        <v/>
      </c>
    </row>
    <row r="232" spans="4:7" ht="15" customHeight="1" x14ac:dyDescent="0.3">
      <c r="D232" s="110" t="str">
        <f>IF(A232="","",IF(C232="2P",OPR_2P!B$2,IF(C232="SEG",SEG_6P!B$2,IF(C232="SOL",SOL_4P!B$2,IF(C232="RW",RW_2P!B$2,IF(C232="RW2",RW2_4P!B$2,0))))))</f>
        <v/>
      </c>
      <c r="F232" s="110" t="str">
        <f>IF(A232="","", QC_Plan!M232)</f>
        <v/>
      </c>
      <c r="G232" s="110" t="str">
        <f t="shared" ref="G232:G295" si="6">IF(B232="","",IF(H232&gt;1000,"High",IF(H232&gt;500,"Medium","Low")))</f>
        <v/>
      </c>
    </row>
    <row r="233" spans="4:7" ht="15" customHeight="1" x14ac:dyDescent="0.3">
      <c r="D233" s="110" t="str">
        <f>IF(A233="","",IF(C233="2P",OPR_2P!B$2,IF(C233="SEG",SEG_6P!B$2,IF(C233="SOL",SOL_4P!B$2,IF(C233="RW",RW_2P!B$2,IF(C233="RW2",RW2_4P!B$2,0))))))</f>
        <v/>
      </c>
      <c r="F233" s="110" t="str">
        <f>IF(A233="","", QC_Plan!M233)</f>
        <v/>
      </c>
      <c r="G233" s="110" t="str">
        <f t="shared" si="6"/>
        <v/>
      </c>
    </row>
    <row r="234" spans="4:7" ht="15" customHeight="1" x14ac:dyDescent="0.3">
      <c r="D234" s="110" t="str">
        <f>IF(A234="","",IF(C234="2P",OPR_2P!B$2,IF(C234="SEG",SEG_6P!B$2,IF(C234="SOL",SOL_4P!B$2,IF(C234="RW",RW_2P!B$2,IF(C234="RW2",RW2_4P!B$2,0))))))</f>
        <v/>
      </c>
      <c r="F234" s="110" t="str">
        <f>IF(A234="","", QC_Plan!M234)</f>
        <v/>
      </c>
      <c r="G234" s="110" t="str">
        <f t="shared" si="6"/>
        <v/>
      </c>
    </row>
    <row r="235" spans="4:7" ht="15" customHeight="1" x14ac:dyDescent="0.3">
      <c r="D235" s="110" t="str">
        <f>IF(A235="","",IF(C235="2P",OPR_2P!B$2,IF(C235="SEG",SEG_6P!B$2,IF(C235="SOL",SOL_4P!B$2,IF(C235="RW",RW_2P!B$2,IF(C235="RW2",RW2_4P!B$2,0))))))</f>
        <v/>
      </c>
      <c r="F235" s="110" t="str">
        <f>IF(A235="","", QC_Plan!M235)</f>
        <v/>
      </c>
      <c r="G235" s="110" t="str">
        <f t="shared" si="6"/>
        <v/>
      </c>
    </row>
    <row r="236" spans="4:7" ht="15" customHeight="1" x14ac:dyDescent="0.3">
      <c r="D236" s="110" t="str">
        <f>IF(A236="","",IF(C236="2P",OPR_2P!B$2,IF(C236="SEG",SEG_6P!B$2,IF(C236="SOL",SOL_4P!B$2,IF(C236="RW",RW_2P!B$2,IF(C236="RW2",RW2_4P!B$2,0))))))</f>
        <v/>
      </c>
      <c r="F236" s="110" t="str">
        <f>IF(A236="","", QC_Plan!M236)</f>
        <v/>
      </c>
      <c r="G236" s="110" t="str">
        <f t="shared" si="6"/>
        <v/>
      </c>
    </row>
    <row r="237" spans="4:7" ht="15" customHeight="1" x14ac:dyDescent="0.3">
      <c r="D237" s="110" t="str">
        <f>IF(A237="","",IF(C237="2P",OPR_2P!B$2,IF(C237="SEG",SEG_6P!B$2,IF(C237="SOL",SOL_4P!B$2,IF(C237="RW",RW_2P!B$2,IF(C237="RW2",RW2_4P!B$2,0))))))</f>
        <v/>
      </c>
      <c r="F237" s="110" t="str">
        <f>IF(A237="","", QC_Plan!M237)</f>
        <v/>
      </c>
      <c r="G237" s="110" t="str">
        <f t="shared" si="6"/>
        <v/>
      </c>
    </row>
    <row r="238" spans="4:7" ht="15" customHeight="1" x14ac:dyDescent="0.3">
      <c r="D238" s="110" t="str">
        <f>IF(A238="","",IF(C238="2P",OPR_2P!B$2,IF(C238="SEG",SEG_6P!B$2,IF(C238="SOL",SOL_4P!B$2,IF(C238="RW",RW_2P!B$2,IF(C238="RW2",RW2_4P!B$2,0))))))</f>
        <v/>
      </c>
      <c r="F238" s="110" t="str">
        <f>IF(A238="","", QC_Plan!M238)</f>
        <v/>
      </c>
      <c r="G238" s="110" t="str">
        <f t="shared" si="6"/>
        <v/>
      </c>
    </row>
    <row r="239" spans="4:7" ht="15" customHeight="1" x14ac:dyDescent="0.3">
      <c r="D239" s="110" t="str">
        <f>IF(A239="","",IF(C239="2P",OPR_2P!B$2,IF(C239="SEG",SEG_6P!B$2,IF(C239="SOL",SOL_4P!B$2,IF(C239="RW",RW_2P!B$2,IF(C239="RW2",RW2_4P!B$2,0))))))</f>
        <v/>
      </c>
      <c r="F239" s="110" t="str">
        <f>IF(A239="","", QC_Plan!M239)</f>
        <v/>
      </c>
      <c r="G239" s="110" t="str">
        <f t="shared" si="6"/>
        <v/>
      </c>
    </row>
    <row r="240" spans="4:7" ht="15" customHeight="1" x14ac:dyDescent="0.3">
      <c r="D240" s="110" t="str">
        <f>IF(A240="","",IF(C240="2P",OPR_2P!B$2,IF(C240="SEG",SEG_6P!B$2,IF(C240="SOL",SOL_4P!B$2,IF(C240="RW",RW_2P!B$2,IF(C240="RW2",RW2_4P!B$2,0))))))</f>
        <v/>
      </c>
      <c r="F240" s="110" t="str">
        <f>IF(A240="","", QC_Plan!M240)</f>
        <v/>
      </c>
      <c r="G240" s="110" t="str">
        <f t="shared" si="6"/>
        <v/>
      </c>
    </row>
    <row r="241" spans="4:7" ht="15" customHeight="1" x14ac:dyDescent="0.3">
      <c r="D241" s="110" t="str">
        <f>IF(A241="","",IF(C241="2P",OPR_2P!B$2,IF(C241="SEG",SEG_6P!B$2,IF(C241="SOL",SOL_4P!B$2,IF(C241="RW",RW_2P!B$2,IF(C241="RW2",RW2_4P!B$2,0))))))</f>
        <v/>
      </c>
      <c r="F241" s="110" t="str">
        <f>IF(A241="","", QC_Plan!M241)</f>
        <v/>
      </c>
      <c r="G241" s="110" t="str">
        <f t="shared" si="6"/>
        <v/>
      </c>
    </row>
    <row r="242" spans="4:7" ht="15" customHeight="1" x14ac:dyDescent="0.3">
      <c r="D242" s="110" t="str">
        <f>IF(A242="","",IF(C242="2P",OPR_2P!B$2,IF(C242="SEG",SEG_6P!B$2,IF(C242="SOL",SOL_4P!B$2,IF(C242="RW",RW_2P!B$2,IF(C242="RW2",RW2_4P!B$2,0))))))</f>
        <v/>
      </c>
      <c r="F242" s="110" t="str">
        <f>IF(A242="","", QC_Plan!M242)</f>
        <v/>
      </c>
      <c r="G242" s="110" t="str">
        <f t="shared" si="6"/>
        <v/>
      </c>
    </row>
    <row r="243" spans="4:7" ht="15" customHeight="1" x14ac:dyDescent="0.3">
      <c r="D243" s="110" t="str">
        <f>IF(A243="","",IF(C243="2P",OPR_2P!B$2,IF(C243="SEG",SEG_6P!B$2,IF(C243="SOL",SOL_4P!B$2,IF(C243="RW",RW_2P!B$2,IF(C243="RW2",RW2_4P!B$2,0))))))</f>
        <v/>
      </c>
      <c r="F243" s="110" t="str">
        <f>IF(A243="","", QC_Plan!M243)</f>
        <v/>
      </c>
      <c r="G243" s="110" t="str">
        <f t="shared" si="6"/>
        <v/>
      </c>
    </row>
    <row r="244" spans="4:7" ht="15" customHeight="1" x14ac:dyDescent="0.3">
      <c r="D244" s="110" t="str">
        <f>IF(A244="","",IF(C244="2P",OPR_2P!B$2,IF(C244="SEG",SEG_6P!B$2,IF(C244="SOL",SOL_4P!B$2,IF(C244="RW",RW_2P!B$2,IF(C244="RW2",RW2_4P!B$2,0))))))</f>
        <v/>
      </c>
      <c r="F244" s="110" t="str">
        <f>IF(A244="","", QC_Plan!M244)</f>
        <v/>
      </c>
      <c r="G244" s="110" t="str">
        <f t="shared" si="6"/>
        <v/>
      </c>
    </row>
    <row r="245" spans="4:7" ht="15" customHeight="1" x14ac:dyDescent="0.3">
      <c r="D245" s="110" t="str">
        <f>IF(A245="","",IF(C245="2P",OPR_2P!B$2,IF(C245="SEG",SEG_6P!B$2,IF(C245="SOL",SOL_4P!B$2,IF(C245="RW",RW_2P!B$2,IF(C245="RW2",RW2_4P!B$2,0))))))</f>
        <v/>
      </c>
      <c r="F245" s="110" t="str">
        <f>IF(A245="","", QC_Plan!M245)</f>
        <v/>
      </c>
      <c r="G245" s="110" t="str">
        <f t="shared" si="6"/>
        <v/>
      </c>
    </row>
    <row r="246" spans="4:7" ht="15" customHeight="1" x14ac:dyDescent="0.3">
      <c r="D246" s="110" t="str">
        <f>IF(A246="","",IF(C246="2P",OPR_2P!B$2,IF(C246="SEG",SEG_6P!B$2,IF(C246="SOL",SOL_4P!B$2,IF(C246="RW",RW_2P!B$2,IF(C246="RW2",RW2_4P!B$2,0))))))</f>
        <v/>
      </c>
      <c r="F246" s="110" t="str">
        <f>IF(A246="","", QC_Plan!M246)</f>
        <v/>
      </c>
      <c r="G246" s="110" t="str">
        <f t="shared" si="6"/>
        <v/>
      </c>
    </row>
    <row r="247" spans="4:7" ht="15" customHeight="1" x14ac:dyDescent="0.3">
      <c r="D247" s="110" t="str">
        <f>IF(A247="","",IF(C247="2P",OPR_2P!B$2,IF(C247="SEG",SEG_6P!B$2,IF(C247="SOL",SOL_4P!B$2,IF(C247="RW",RW_2P!B$2,IF(C247="RW2",RW2_4P!B$2,0))))))</f>
        <v/>
      </c>
      <c r="F247" s="110" t="str">
        <f>IF(A247="","", QC_Plan!M247)</f>
        <v/>
      </c>
      <c r="G247" s="110" t="str">
        <f t="shared" si="6"/>
        <v/>
      </c>
    </row>
    <row r="248" spans="4:7" ht="15" customHeight="1" x14ac:dyDescent="0.3">
      <c r="D248" s="110" t="str">
        <f>IF(A248="","",IF(C248="2P",OPR_2P!B$2,IF(C248="SEG",SEG_6P!B$2,IF(C248="SOL",SOL_4P!B$2,IF(C248="RW",RW_2P!B$2,IF(C248="RW2",RW2_4P!B$2,0))))))</f>
        <v/>
      </c>
      <c r="F248" s="110" t="str">
        <f>IF(A248="","", QC_Plan!M248)</f>
        <v/>
      </c>
      <c r="G248" s="110" t="str">
        <f t="shared" si="6"/>
        <v/>
      </c>
    </row>
    <row r="249" spans="4:7" ht="15" customHeight="1" x14ac:dyDescent="0.3">
      <c r="D249" s="110" t="str">
        <f>IF(A249="","",IF(C249="2P",OPR_2P!B$2,IF(C249="SEG",SEG_6P!B$2,IF(C249="SOL",SOL_4P!B$2,IF(C249="RW",RW_2P!B$2,IF(C249="RW2",RW2_4P!B$2,0))))))</f>
        <v/>
      </c>
      <c r="F249" s="110" t="str">
        <f>IF(A249="","", QC_Plan!M249)</f>
        <v/>
      </c>
      <c r="G249" s="110" t="str">
        <f t="shared" si="6"/>
        <v/>
      </c>
    </row>
    <row r="250" spans="4:7" ht="15" customHeight="1" x14ac:dyDescent="0.3">
      <c r="D250" s="110" t="str">
        <f>IF(A250="","",IF(C250="2P",OPR_2P!B$2,IF(C250="SEG",SEG_6P!B$2,IF(C250="SOL",SOL_4P!B$2,IF(C250="RW",RW_2P!B$2,IF(C250="RW2",RW2_4P!B$2,0))))))</f>
        <v/>
      </c>
      <c r="F250" s="110" t="str">
        <f>IF(A250="","", QC_Plan!M250)</f>
        <v/>
      </c>
      <c r="G250" s="110" t="str">
        <f t="shared" si="6"/>
        <v/>
      </c>
    </row>
    <row r="251" spans="4:7" ht="15" customHeight="1" x14ac:dyDescent="0.3">
      <c r="D251" s="110" t="str">
        <f>IF(A251="","",IF(C251="2P",OPR_2P!B$2,IF(C251="SEG",SEG_6P!B$2,IF(C251="SOL",SOL_4P!B$2,IF(C251="RW",RW_2P!B$2,IF(C251="RW2",RW2_4P!B$2,0))))))</f>
        <v/>
      </c>
      <c r="F251" s="110" t="str">
        <f>IF(A251="","", QC_Plan!M251)</f>
        <v/>
      </c>
      <c r="G251" s="110" t="str">
        <f t="shared" si="6"/>
        <v/>
      </c>
    </row>
    <row r="252" spans="4:7" ht="15" customHeight="1" x14ac:dyDescent="0.3">
      <c r="D252" s="110" t="str">
        <f>IF(A252="","",IF(C252="2P",OPR_2P!B$2,IF(C252="SEG",SEG_6P!B$2,IF(C252="SOL",SOL_4P!B$2,IF(C252="RW",RW_2P!B$2,IF(C252="RW2",RW2_4P!B$2,0))))))</f>
        <v/>
      </c>
      <c r="F252" s="110" t="str">
        <f>IF(A252="","", QC_Plan!M252)</f>
        <v/>
      </c>
      <c r="G252" s="110" t="str">
        <f t="shared" si="6"/>
        <v/>
      </c>
    </row>
    <row r="253" spans="4:7" ht="15" customHeight="1" x14ac:dyDescent="0.3">
      <c r="D253" s="110" t="str">
        <f>IF(A253="","",IF(C253="2P",OPR_2P!B$2,IF(C253="SEG",SEG_6P!B$2,IF(C253="SOL",SOL_4P!B$2,IF(C253="RW",RW_2P!B$2,IF(C253="RW2",RW2_4P!B$2,0))))))</f>
        <v/>
      </c>
      <c r="F253" s="110" t="str">
        <f>IF(A253="","", QC_Plan!M253)</f>
        <v/>
      </c>
      <c r="G253" s="110" t="str">
        <f t="shared" si="6"/>
        <v/>
      </c>
    </row>
    <row r="254" spans="4:7" ht="15" customHeight="1" x14ac:dyDescent="0.3">
      <c r="D254" s="110" t="str">
        <f>IF(A254="","",IF(C254="2P",OPR_2P!B$2,IF(C254="SEG",SEG_6P!B$2,IF(C254="SOL",SOL_4P!B$2,IF(C254="RW",RW_2P!B$2,IF(C254="RW2",RW2_4P!B$2,0))))))</f>
        <v/>
      </c>
      <c r="F254" s="110" t="str">
        <f>IF(A254="","", QC_Plan!M254)</f>
        <v/>
      </c>
      <c r="G254" s="110" t="str">
        <f t="shared" si="6"/>
        <v/>
      </c>
    </row>
    <row r="255" spans="4:7" ht="15" customHeight="1" x14ac:dyDescent="0.3">
      <c r="D255" s="110" t="str">
        <f>IF(A255="","",IF(C255="2P",OPR_2P!B$2,IF(C255="SEG",SEG_6P!B$2,IF(C255="SOL",SOL_4P!B$2,IF(C255="RW",RW_2P!B$2,IF(C255="RW2",RW2_4P!B$2,0))))))</f>
        <v/>
      </c>
      <c r="F255" s="110" t="str">
        <f>IF(A255="","", QC_Plan!M255)</f>
        <v/>
      </c>
      <c r="G255" s="110" t="str">
        <f t="shared" si="6"/>
        <v/>
      </c>
    </row>
    <row r="256" spans="4:7" ht="15" customHeight="1" x14ac:dyDescent="0.3">
      <c r="D256" s="110" t="str">
        <f>IF(A256="","",IF(C256="2P",OPR_2P!B$2,IF(C256="SEG",SEG_6P!B$2,IF(C256="SOL",SOL_4P!B$2,IF(C256="RW",RW_2P!B$2,IF(C256="RW2",RW2_4P!B$2,0))))))</f>
        <v/>
      </c>
      <c r="F256" s="110" t="str">
        <f>IF(A256="","", QC_Plan!M256)</f>
        <v/>
      </c>
      <c r="G256" s="110" t="str">
        <f t="shared" si="6"/>
        <v/>
      </c>
    </row>
    <row r="257" spans="4:7" ht="15" customHeight="1" x14ac:dyDescent="0.3">
      <c r="D257" s="110" t="str">
        <f>IF(A257="","",IF(C257="2P",OPR_2P!B$2,IF(C257="SEG",SEG_6P!B$2,IF(C257="SOL",SOL_4P!B$2,IF(C257="RW",RW_2P!B$2,IF(C257="RW2",RW2_4P!B$2,0))))))</f>
        <v/>
      </c>
      <c r="F257" s="110" t="str">
        <f>IF(A257="","", QC_Plan!M257)</f>
        <v/>
      </c>
      <c r="G257" s="110" t="str">
        <f t="shared" si="6"/>
        <v/>
      </c>
    </row>
    <row r="258" spans="4:7" ht="15" customHeight="1" x14ac:dyDescent="0.3">
      <c r="D258" s="110" t="str">
        <f>IF(A258="","",IF(C258="2P",OPR_2P!B$2,IF(C258="SEG",SEG_6P!B$2,IF(C258="SOL",SOL_4P!B$2,IF(C258="RW",RW_2P!B$2,IF(C258="RW2",RW2_4P!B$2,0))))))</f>
        <v/>
      </c>
      <c r="F258" s="110" t="str">
        <f>IF(A258="","", QC_Plan!M258)</f>
        <v/>
      </c>
      <c r="G258" s="110" t="str">
        <f t="shared" si="6"/>
        <v/>
      </c>
    </row>
    <row r="259" spans="4:7" ht="15" customHeight="1" x14ac:dyDescent="0.3">
      <c r="D259" s="110" t="str">
        <f>IF(A259="","",IF(C259="2P",OPR_2P!B$2,IF(C259="SEG",SEG_6P!B$2,IF(C259="SOL",SOL_4P!B$2,IF(C259="RW",RW_2P!B$2,IF(C259="RW2",RW2_4P!B$2,0))))))</f>
        <v/>
      </c>
      <c r="F259" s="110" t="str">
        <f>IF(A259="","", QC_Plan!M259)</f>
        <v/>
      </c>
      <c r="G259" s="110" t="str">
        <f t="shared" si="6"/>
        <v/>
      </c>
    </row>
    <row r="260" spans="4:7" ht="15" customHeight="1" x14ac:dyDescent="0.3">
      <c r="D260" s="110" t="str">
        <f>IF(A260="","",IF(C260="2P",OPR_2P!B$2,IF(C260="SEG",SEG_6P!B$2,IF(C260="SOL",SOL_4P!B$2,IF(C260="RW",RW_2P!B$2,IF(C260="RW2",RW2_4P!B$2,0))))))</f>
        <v/>
      </c>
      <c r="F260" s="110" t="str">
        <f>IF(A260="","", QC_Plan!M260)</f>
        <v/>
      </c>
      <c r="G260" s="110" t="str">
        <f t="shared" si="6"/>
        <v/>
      </c>
    </row>
    <row r="261" spans="4:7" ht="15" customHeight="1" x14ac:dyDescent="0.3">
      <c r="D261" s="110" t="str">
        <f>IF(A261="","",IF(C261="2P",OPR_2P!B$2,IF(C261="SEG",SEG_6P!B$2,IF(C261="SOL",SOL_4P!B$2,IF(C261="RW",RW_2P!B$2,IF(C261="RW2",RW2_4P!B$2,0))))))</f>
        <v/>
      </c>
      <c r="F261" s="110" t="str">
        <f>IF(A261="","", QC_Plan!M261)</f>
        <v/>
      </c>
      <c r="G261" s="110" t="str">
        <f t="shared" si="6"/>
        <v/>
      </c>
    </row>
    <row r="262" spans="4:7" ht="15" customHeight="1" x14ac:dyDescent="0.3">
      <c r="D262" s="110" t="str">
        <f>IF(A262="","",IF(C262="2P",OPR_2P!B$2,IF(C262="SEG",SEG_6P!B$2,IF(C262="SOL",SOL_4P!B$2,IF(C262="RW",RW_2P!B$2,IF(C262="RW2",RW2_4P!B$2,0))))))</f>
        <v/>
      </c>
      <c r="F262" s="110" t="str">
        <f>IF(A262="","", QC_Plan!M262)</f>
        <v/>
      </c>
      <c r="G262" s="110" t="str">
        <f t="shared" si="6"/>
        <v/>
      </c>
    </row>
    <row r="263" spans="4:7" ht="15" customHeight="1" x14ac:dyDescent="0.3">
      <c r="D263" s="110" t="str">
        <f>IF(A263="","",IF(C263="2P",OPR_2P!B$2,IF(C263="SEG",SEG_6P!B$2,IF(C263="SOL",SOL_4P!B$2,IF(C263="RW",RW_2P!B$2,IF(C263="RW2",RW2_4P!B$2,0))))))</f>
        <v/>
      </c>
      <c r="F263" s="110" t="str">
        <f>IF(A263="","", QC_Plan!M263)</f>
        <v/>
      </c>
      <c r="G263" s="110" t="str">
        <f t="shared" si="6"/>
        <v/>
      </c>
    </row>
    <row r="264" spans="4:7" ht="15" customHeight="1" x14ac:dyDescent="0.3">
      <c r="D264" s="110" t="str">
        <f>IF(A264="","",IF(C264="2P",OPR_2P!B$2,IF(C264="SEG",SEG_6P!B$2,IF(C264="SOL",SOL_4P!B$2,IF(C264="RW",RW_2P!B$2,IF(C264="RW2",RW2_4P!B$2,0))))))</f>
        <v/>
      </c>
      <c r="F264" s="110" t="str">
        <f>IF(A264="","", QC_Plan!M264)</f>
        <v/>
      </c>
      <c r="G264" s="110" t="str">
        <f t="shared" si="6"/>
        <v/>
      </c>
    </row>
    <row r="265" spans="4:7" ht="15" customHeight="1" x14ac:dyDescent="0.3">
      <c r="D265" s="110" t="str">
        <f>IF(A265="","",IF(C265="2P",OPR_2P!B$2,IF(C265="SEG",SEG_6P!B$2,IF(C265="SOL",SOL_4P!B$2,IF(C265="RW",RW_2P!B$2,IF(C265="RW2",RW2_4P!B$2,0))))))</f>
        <v/>
      </c>
      <c r="F265" s="110" t="str">
        <f>IF(A265="","", QC_Plan!M265)</f>
        <v/>
      </c>
      <c r="G265" s="110" t="str">
        <f t="shared" si="6"/>
        <v/>
      </c>
    </row>
    <row r="266" spans="4:7" ht="15" customHeight="1" x14ac:dyDescent="0.3">
      <c r="D266" s="110" t="str">
        <f>IF(A266="","",IF(C266="2P",OPR_2P!B$2,IF(C266="SEG",SEG_6P!B$2,IF(C266="SOL",SOL_4P!B$2,IF(C266="RW",RW_2P!B$2,IF(C266="RW2",RW2_4P!B$2,0))))))</f>
        <v/>
      </c>
      <c r="F266" s="110" t="str">
        <f>IF(A266="","", QC_Plan!M266)</f>
        <v/>
      </c>
      <c r="G266" s="110" t="str">
        <f t="shared" si="6"/>
        <v/>
      </c>
    </row>
    <row r="267" spans="4:7" ht="15" customHeight="1" x14ac:dyDescent="0.3">
      <c r="D267" s="110" t="str">
        <f>IF(A267="","",IF(C267="2P",OPR_2P!B$2,IF(C267="SEG",SEG_6P!B$2,IF(C267="SOL",SOL_4P!B$2,IF(C267="RW",RW_2P!B$2,IF(C267="RW2",RW2_4P!B$2,0))))))</f>
        <v/>
      </c>
      <c r="F267" s="110" t="str">
        <f>IF(A267="","", QC_Plan!M267)</f>
        <v/>
      </c>
      <c r="G267" s="110" t="str">
        <f t="shared" si="6"/>
        <v/>
      </c>
    </row>
    <row r="268" spans="4:7" ht="15" customHeight="1" x14ac:dyDescent="0.3">
      <c r="D268" s="110" t="str">
        <f>IF(A268="","",IF(C268="2P",OPR_2P!B$2,IF(C268="SEG",SEG_6P!B$2,IF(C268="SOL",SOL_4P!B$2,IF(C268="RW",RW_2P!B$2,IF(C268="RW2",RW2_4P!B$2,0))))))</f>
        <v/>
      </c>
      <c r="F268" s="110" t="str">
        <f>IF(A268="","", QC_Plan!M268)</f>
        <v/>
      </c>
      <c r="G268" s="110" t="str">
        <f t="shared" si="6"/>
        <v/>
      </c>
    </row>
    <row r="269" spans="4:7" ht="15" customHeight="1" x14ac:dyDescent="0.3">
      <c r="D269" s="110" t="str">
        <f>IF(A269="","",IF(C269="2P",OPR_2P!B$2,IF(C269="SEG",SEG_6P!B$2,IF(C269="SOL",SOL_4P!B$2,IF(C269="RW",RW_2P!B$2,IF(C269="RW2",RW2_4P!B$2,0))))))</f>
        <v/>
      </c>
      <c r="F269" s="110" t="str">
        <f>IF(A269="","", QC_Plan!M269)</f>
        <v/>
      </c>
      <c r="G269" s="110" t="str">
        <f t="shared" si="6"/>
        <v/>
      </c>
    </row>
    <row r="270" spans="4:7" ht="15" customHeight="1" x14ac:dyDescent="0.3">
      <c r="D270" s="110" t="str">
        <f>IF(A270="","",IF(C270="2P",OPR_2P!B$2,IF(C270="SEG",SEG_6P!B$2,IF(C270="SOL",SOL_4P!B$2,IF(C270="RW",RW_2P!B$2,IF(C270="RW2",RW2_4P!B$2,0))))))</f>
        <v/>
      </c>
      <c r="F270" s="110" t="str">
        <f>IF(A270="","", QC_Plan!M270)</f>
        <v/>
      </c>
      <c r="G270" s="110" t="str">
        <f t="shared" si="6"/>
        <v/>
      </c>
    </row>
    <row r="271" spans="4:7" ht="15" customHeight="1" x14ac:dyDescent="0.3">
      <c r="D271" s="110" t="str">
        <f>IF(A271="","",IF(C271="2P",OPR_2P!B$2,IF(C271="SEG",SEG_6P!B$2,IF(C271="SOL",SOL_4P!B$2,IF(C271="RW",RW_2P!B$2,IF(C271="RW2",RW2_4P!B$2,0))))))</f>
        <v/>
      </c>
      <c r="F271" s="110" t="str">
        <f>IF(A271="","", QC_Plan!M271)</f>
        <v/>
      </c>
      <c r="G271" s="110" t="str">
        <f t="shared" si="6"/>
        <v/>
      </c>
    </row>
    <row r="272" spans="4:7" ht="15" customHeight="1" x14ac:dyDescent="0.3">
      <c r="D272" s="110" t="str">
        <f>IF(A272="","",IF(C272="2P",OPR_2P!B$2,IF(C272="SEG",SEG_6P!B$2,IF(C272="SOL",SOL_4P!B$2,IF(C272="RW",RW_2P!B$2,IF(C272="RW2",RW2_4P!B$2,0))))))</f>
        <v/>
      </c>
      <c r="F272" s="110" t="str">
        <f>IF(A272="","", QC_Plan!M272)</f>
        <v/>
      </c>
      <c r="G272" s="110" t="str">
        <f t="shared" si="6"/>
        <v/>
      </c>
    </row>
    <row r="273" spans="4:7" ht="15" customHeight="1" x14ac:dyDescent="0.3">
      <c r="D273" s="110" t="str">
        <f>IF(A273="","",IF(C273="2P",OPR_2P!B$2,IF(C273="SEG",SEG_6P!B$2,IF(C273="SOL",SOL_4P!B$2,IF(C273="RW",RW_2P!B$2,IF(C273="RW2",RW2_4P!B$2,0))))))</f>
        <v/>
      </c>
      <c r="F273" s="110" t="str">
        <f>IF(A273="","", QC_Plan!M273)</f>
        <v/>
      </c>
      <c r="G273" s="110" t="str">
        <f t="shared" si="6"/>
        <v/>
      </c>
    </row>
    <row r="274" spans="4:7" ht="15" customHeight="1" x14ac:dyDescent="0.3">
      <c r="D274" s="110" t="str">
        <f>IF(A274="","",IF(C274="2P",OPR_2P!B$2,IF(C274="SEG",SEG_6P!B$2,IF(C274="SOL",SOL_4P!B$2,IF(C274="RW",RW_2P!B$2,IF(C274="RW2",RW2_4P!B$2,0))))))</f>
        <v/>
      </c>
      <c r="F274" s="110" t="str">
        <f>IF(A274="","", QC_Plan!M274)</f>
        <v/>
      </c>
      <c r="G274" s="110" t="str">
        <f t="shared" si="6"/>
        <v/>
      </c>
    </row>
    <row r="275" spans="4:7" ht="15" customHeight="1" x14ac:dyDescent="0.3">
      <c r="D275" s="110" t="str">
        <f>IF(A275="","",IF(C275="2P",OPR_2P!B$2,IF(C275="SEG",SEG_6P!B$2,IF(C275="SOL",SOL_4P!B$2,IF(C275="RW",RW_2P!B$2,IF(C275="RW2",RW2_4P!B$2,0))))))</f>
        <v/>
      </c>
      <c r="F275" s="110" t="str">
        <f>IF(A275="","", QC_Plan!M275)</f>
        <v/>
      </c>
      <c r="G275" s="110" t="str">
        <f t="shared" si="6"/>
        <v/>
      </c>
    </row>
    <row r="276" spans="4:7" ht="15" customHeight="1" x14ac:dyDescent="0.3">
      <c r="D276" s="110" t="str">
        <f>IF(A276="","",IF(C276="2P",OPR_2P!B$2,IF(C276="SEG",SEG_6P!B$2,IF(C276="SOL",SOL_4P!B$2,IF(C276="RW",RW_2P!B$2,IF(C276="RW2",RW2_4P!B$2,0))))))</f>
        <v/>
      </c>
      <c r="F276" s="110" t="str">
        <f>IF(A276="","", QC_Plan!M276)</f>
        <v/>
      </c>
      <c r="G276" s="110" t="str">
        <f t="shared" si="6"/>
        <v/>
      </c>
    </row>
    <row r="277" spans="4:7" ht="15" customHeight="1" x14ac:dyDescent="0.3">
      <c r="D277" s="110" t="str">
        <f>IF(A277="","",IF(C277="2P",OPR_2P!B$2,IF(C277="SEG",SEG_6P!B$2,IF(C277="SOL",SOL_4P!B$2,IF(C277="RW",RW_2P!B$2,IF(C277="RW2",RW2_4P!B$2,0))))))</f>
        <v/>
      </c>
      <c r="F277" s="110" t="str">
        <f>IF(A277="","", QC_Plan!M277)</f>
        <v/>
      </c>
      <c r="G277" s="110" t="str">
        <f t="shared" si="6"/>
        <v/>
      </c>
    </row>
    <row r="278" spans="4:7" ht="15" customHeight="1" x14ac:dyDescent="0.3">
      <c r="D278" s="110" t="str">
        <f>IF(A278="","",IF(C278="2P",OPR_2P!B$2,IF(C278="SEG",SEG_6P!B$2,IF(C278="SOL",SOL_4P!B$2,IF(C278="RW",RW_2P!B$2,IF(C278="RW2",RW2_4P!B$2,0))))))</f>
        <v/>
      </c>
      <c r="F278" s="110" t="str">
        <f>IF(A278="","", QC_Plan!M278)</f>
        <v/>
      </c>
      <c r="G278" s="110" t="str">
        <f t="shared" si="6"/>
        <v/>
      </c>
    </row>
    <row r="279" spans="4:7" ht="15" customHeight="1" x14ac:dyDescent="0.3">
      <c r="D279" s="110" t="str">
        <f>IF(A279="","",IF(C279="2P",OPR_2P!B$2,IF(C279="SEG",SEG_6P!B$2,IF(C279="SOL",SOL_4P!B$2,IF(C279="RW",RW_2P!B$2,IF(C279="RW2",RW2_4P!B$2,0))))))</f>
        <v/>
      </c>
      <c r="F279" s="110" t="str">
        <f>IF(A279="","", QC_Plan!M279)</f>
        <v/>
      </c>
      <c r="G279" s="110" t="str">
        <f t="shared" si="6"/>
        <v/>
      </c>
    </row>
    <row r="280" spans="4:7" ht="15" customHeight="1" x14ac:dyDescent="0.3">
      <c r="D280" s="110" t="str">
        <f>IF(A280="","",IF(C280="2P",OPR_2P!B$2,IF(C280="SEG",SEG_6P!B$2,IF(C280="SOL",SOL_4P!B$2,IF(C280="RW",RW_2P!B$2,IF(C280="RW2",RW2_4P!B$2,0))))))</f>
        <v/>
      </c>
      <c r="F280" s="110" t="str">
        <f>IF(A280="","", QC_Plan!M280)</f>
        <v/>
      </c>
      <c r="G280" s="110" t="str">
        <f t="shared" si="6"/>
        <v/>
      </c>
    </row>
    <row r="281" spans="4:7" ht="15" customHeight="1" x14ac:dyDescent="0.3">
      <c r="D281" s="110" t="str">
        <f>IF(A281="","",IF(C281="2P",OPR_2P!B$2,IF(C281="SEG",SEG_6P!B$2,IF(C281="SOL",SOL_4P!B$2,IF(C281="RW",RW_2P!B$2,IF(C281="RW2",RW2_4P!B$2,0))))))</f>
        <v/>
      </c>
      <c r="F281" s="110" t="str">
        <f>IF(A281="","", QC_Plan!M281)</f>
        <v/>
      </c>
      <c r="G281" s="110" t="str">
        <f t="shared" si="6"/>
        <v/>
      </c>
    </row>
    <row r="282" spans="4:7" ht="15" customHeight="1" x14ac:dyDescent="0.3">
      <c r="D282" s="110" t="str">
        <f>IF(A282="","",IF(C282="2P",OPR_2P!B$2,IF(C282="SEG",SEG_6P!B$2,IF(C282="SOL",SOL_4P!B$2,IF(C282="RW",RW_2P!B$2,IF(C282="RW2",RW2_4P!B$2,0))))))</f>
        <v/>
      </c>
      <c r="F282" s="110" t="str">
        <f>IF(A282="","", QC_Plan!M282)</f>
        <v/>
      </c>
      <c r="G282" s="110" t="str">
        <f t="shared" si="6"/>
        <v/>
      </c>
    </row>
    <row r="283" spans="4:7" ht="15" customHeight="1" x14ac:dyDescent="0.3">
      <c r="D283" s="110" t="str">
        <f>IF(A283="","",IF(C283="2P",OPR_2P!B$2,IF(C283="SEG",SEG_6P!B$2,IF(C283="SOL",SOL_4P!B$2,IF(C283="RW",RW_2P!B$2,IF(C283="RW2",RW2_4P!B$2,0))))))</f>
        <v/>
      </c>
      <c r="F283" s="110" t="str">
        <f>IF(A283="","", QC_Plan!M283)</f>
        <v/>
      </c>
      <c r="G283" s="110" t="str">
        <f t="shared" si="6"/>
        <v/>
      </c>
    </row>
    <row r="284" spans="4:7" ht="15" customHeight="1" x14ac:dyDescent="0.3">
      <c r="D284" s="110" t="str">
        <f>IF(A284="","",IF(C284="2P",OPR_2P!B$2,IF(C284="SEG",SEG_6P!B$2,IF(C284="SOL",SOL_4P!B$2,IF(C284="RW",RW_2P!B$2,IF(C284="RW2",RW2_4P!B$2,0))))))</f>
        <v/>
      </c>
      <c r="F284" s="110" t="str">
        <f>IF(A284="","", QC_Plan!M284)</f>
        <v/>
      </c>
      <c r="G284" s="110" t="str">
        <f t="shared" si="6"/>
        <v/>
      </c>
    </row>
    <row r="285" spans="4:7" ht="15" customHeight="1" x14ac:dyDescent="0.3">
      <c r="D285" s="110" t="str">
        <f>IF(A285="","",IF(C285="2P",OPR_2P!B$2,IF(C285="SEG",SEG_6P!B$2,IF(C285="SOL",SOL_4P!B$2,IF(C285="RW",RW_2P!B$2,IF(C285="RW2",RW2_4P!B$2,0))))))</f>
        <v/>
      </c>
      <c r="F285" s="110" t="str">
        <f>IF(A285="","", QC_Plan!M285)</f>
        <v/>
      </c>
      <c r="G285" s="110" t="str">
        <f t="shared" si="6"/>
        <v/>
      </c>
    </row>
    <row r="286" spans="4:7" ht="15" customHeight="1" x14ac:dyDescent="0.3">
      <c r="D286" s="110" t="str">
        <f>IF(A286="","",IF(C286="2P",OPR_2P!B$2,IF(C286="SEG",SEG_6P!B$2,IF(C286="SOL",SOL_4P!B$2,IF(C286="RW",RW_2P!B$2,IF(C286="RW2",RW2_4P!B$2,0))))))</f>
        <v/>
      </c>
      <c r="F286" s="110" t="str">
        <f>IF(A286="","", QC_Plan!M286)</f>
        <v/>
      </c>
      <c r="G286" s="110" t="str">
        <f t="shared" si="6"/>
        <v/>
      </c>
    </row>
    <row r="287" spans="4:7" ht="15" customHeight="1" x14ac:dyDescent="0.3">
      <c r="D287" s="110" t="str">
        <f>IF(A287="","",IF(C287="2P",OPR_2P!B$2,IF(C287="SEG",SEG_6P!B$2,IF(C287="SOL",SOL_4P!B$2,IF(C287="RW",RW_2P!B$2,IF(C287="RW2",RW2_4P!B$2,0))))))</f>
        <v/>
      </c>
      <c r="F287" s="110" t="str">
        <f>IF(A287="","", QC_Plan!M287)</f>
        <v/>
      </c>
      <c r="G287" s="110" t="str">
        <f t="shared" si="6"/>
        <v/>
      </c>
    </row>
    <row r="288" spans="4:7" ht="15" customHeight="1" x14ac:dyDescent="0.3">
      <c r="D288" s="110" t="str">
        <f>IF(A288="","",IF(C288="2P",OPR_2P!B$2,IF(C288="SEG",SEG_6P!B$2,IF(C288="SOL",SOL_4P!B$2,IF(C288="RW",RW_2P!B$2,IF(C288="RW2",RW2_4P!B$2,0))))))</f>
        <v/>
      </c>
      <c r="F288" s="110" t="str">
        <f>IF(A288="","", QC_Plan!M288)</f>
        <v/>
      </c>
      <c r="G288" s="110" t="str">
        <f t="shared" si="6"/>
        <v/>
      </c>
    </row>
    <row r="289" spans="4:7" ht="15" customHeight="1" x14ac:dyDescent="0.3">
      <c r="D289" s="110" t="str">
        <f>IF(A289="","",IF(C289="2P",OPR_2P!B$2,IF(C289="SEG",SEG_6P!B$2,IF(C289="SOL",SOL_4P!B$2,IF(C289="RW",RW_2P!B$2,IF(C289="RW2",RW2_4P!B$2,0))))))</f>
        <v/>
      </c>
      <c r="F289" s="110" t="str">
        <f>IF(A289="","", QC_Plan!M289)</f>
        <v/>
      </c>
      <c r="G289" s="110" t="str">
        <f t="shared" si="6"/>
        <v/>
      </c>
    </row>
    <row r="290" spans="4:7" ht="15" customHeight="1" x14ac:dyDescent="0.3">
      <c r="D290" s="110" t="str">
        <f>IF(A290="","",IF(C290="2P",OPR_2P!B$2,IF(C290="SEG",SEG_6P!B$2,IF(C290="SOL",SOL_4P!B$2,IF(C290="RW",RW_2P!B$2,IF(C290="RW2",RW2_4P!B$2,0))))))</f>
        <v/>
      </c>
      <c r="F290" s="110" t="str">
        <f>IF(A290="","", QC_Plan!M290)</f>
        <v/>
      </c>
      <c r="G290" s="110" t="str">
        <f t="shared" si="6"/>
        <v/>
      </c>
    </row>
    <row r="291" spans="4:7" ht="15" customHeight="1" x14ac:dyDescent="0.3">
      <c r="D291" s="110" t="str">
        <f>IF(A291="","",IF(C291="2P",OPR_2P!B$2,IF(C291="SEG",SEG_6P!B$2,IF(C291="SOL",SOL_4P!B$2,IF(C291="RW",RW_2P!B$2,IF(C291="RW2",RW2_4P!B$2,0))))))</f>
        <v/>
      </c>
      <c r="F291" s="110" t="str">
        <f>IF(A291="","", QC_Plan!M291)</f>
        <v/>
      </c>
      <c r="G291" s="110" t="str">
        <f t="shared" si="6"/>
        <v/>
      </c>
    </row>
    <row r="292" spans="4:7" ht="15" customHeight="1" x14ac:dyDescent="0.3">
      <c r="D292" s="110" t="str">
        <f>IF(A292="","",IF(C292="2P",OPR_2P!B$2,IF(C292="SEG",SEG_6P!B$2,IF(C292="SOL",SOL_4P!B$2,IF(C292="RW",RW_2P!B$2,IF(C292="RW2",RW2_4P!B$2,0))))))</f>
        <v/>
      </c>
      <c r="F292" s="110" t="str">
        <f>IF(A292="","", QC_Plan!M292)</f>
        <v/>
      </c>
      <c r="G292" s="110" t="str">
        <f t="shared" si="6"/>
        <v/>
      </c>
    </row>
    <row r="293" spans="4:7" ht="15" customHeight="1" x14ac:dyDescent="0.3">
      <c r="D293" s="110" t="str">
        <f>IF(A293="","",IF(C293="2P",OPR_2P!B$2,IF(C293="SEG",SEG_6P!B$2,IF(C293="SOL",SOL_4P!B$2,IF(C293="RW",RW_2P!B$2,IF(C293="RW2",RW2_4P!B$2,0))))))</f>
        <v/>
      </c>
      <c r="F293" s="110" t="str">
        <f>IF(A293="","", QC_Plan!M293)</f>
        <v/>
      </c>
      <c r="G293" s="110" t="str">
        <f t="shared" si="6"/>
        <v/>
      </c>
    </row>
    <row r="294" spans="4:7" ht="15" customHeight="1" x14ac:dyDescent="0.3">
      <c r="D294" s="110" t="str">
        <f>IF(A294="","",IF(C294="2P",OPR_2P!B$2,IF(C294="SEG",SEG_6P!B$2,IF(C294="SOL",SOL_4P!B$2,IF(C294="RW",RW_2P!B$2,IF(C294="RW2",RW2_4P!B$2,0))))))</f>
        <v/>
      </c>
      <c r="F294" s="110" t="str">
        <f>IF(A294="","", QC_Plan!M294)</f>
        <v/>
      </c>
      <c r="G294" s="110" t="str">
        <f t="shared" si="6"/>
        <v/>
      </c>
    </row>
    <row r="295" spans="4:7" ht="15" customHeight="1" x14ac:dyDescent="0.3">
      <c r="D295" s="110" t="str">
        <f>IF(A295="","",IF(C295="2P",OPR_2P!B$2,IF(C295="SEG",SEG_6P!B$2,IF(C295="SOL",SOL_4P!B$2,IF(C295="RW",RW_2P!B$2,IF(C295="RW2",RW2_4P!B$2,0))))))</f>
        <v/>
      </c>
      <c r="F295" s="110" t="str">
        <f>IF(A295="","", QC_Plan!M295)</f>
        <v/>
      </c>
      <c r="G295" s="110" t="str">
        <f t="shared" si="6"/>
        <v/>
      </c>
    </row>
    <row r="296" spans="4:7" ht="15" customHeight="1" x14ac:dyDescent="0.3">
      <c r="D296" s="110" t="str">
        <f>IF(A296="","",IF(C296="2P",OPR_2P!B$2,IF(C296="SEG",SEG_6P!B$2,IF(C296="SOL",SOL_4P!B$2,IF(C296="RW",RW_2P!B$2,IF(C296="RW2",RW2_4P!B$2,0))))))</f>
        <v/>
      </c>
      <c r="F296" s="110" t="str">
        <f>IF(A296="","", QC_Plan!M296)</f>
        <v/>
      </c>
      <c r="G296" s="110" t="str">
        <f t="shared" ref="G296:G359" si="7">IF(B296="","",IF(H296&gt;1000,"High",IF(H296&gt;500,"Medium","Low")))</f>
        <v/>
      </c>
    </row>
    <row r="297" spans="4:7" ht="15" customHeight="1" x14ac:dyDescent="0.3">
      <c r="D297" s="110" t="str">
        <f>IF(A297="","",IF(C297="2P",OPR_2P!B$2,IF(C297="SEG",SEG_6P!B$2,IF(C297="SOL",SOL_4P!B$2,IF(C297="RW",RW_2P!B$2,IF(C297="RW2",RW2_4P!B$2,0))))))</f>
        <v/>
      </c>
      <c r="F297" s="110" t="str">
        <f>IF(A297="","", QC_Plan!M297)</f>
        <v/>
      </c>
      <c r="G297" s="110" t="str">
        <f t="shared" si="7"/>
        <v/>
      </c>
    </row>
    <row r="298" spans="4:7" ht="15" customHeight="1" x14ac:dyDescent="0.3">
      <c r="D298" s="110" t="str">
        <f>IF(A298="","",IF(C298="2P",OPR_2P!B$2,IF(C298="SEG",SEG_6P!B$2,IF(C298="SOL",SOL_4P!B$2,IF(C298="RW",RW_2P!B$2,IF(C298="RW2",RW2_4P!B$2,0))))))</f>
        <v/>
      </c>
      <c r="F298" s="110" t="str">
        <f>IF(A298="","", QC_Plan!M298)</f>
        <v/>
      </c>
      <c r="G298" s="110" t="str">
        <f t="shared" si="7"/>
        <v/>
      </c>
    </row>
    <row r="299" spans="4:7" ht="15" customHeight="1" x14ac:dyDescent="0.3">
      <c r="D299" s="110" t="str">
        <f>IF(A299="","",IF(C299="2P",OPR_2P!B$2,IF(C299="SEG",SEG_6P!B$2,IF(C299="SOL",SOL_4P!B$2,IF(C299="RW",RW_2P!B$2,IF(C299="RW2",RW2_4P!B$2,0))))))</f>
        <v/>
      </c>
      <c r="F299" s="110" t="str">
        <f>IF(A299="","", QC_Plan!M299)</f>
        <v/>
      </c>
      <c r="G299" s="110" t="str">
        <f t="shared" si="7"/>
        <v/>
      </c>
    </row>
    <row r="300" spans="4:7" ht="15" customHeight="1" x14ac:dyDescent="0.3">
      <c r="D300" s="110" t="str">
        <f>IF(A300="","",IF(C300="2P",OPR_2P!B$2,IF(C300="SEG",SEG_6P!B$2,IF(C300="SOL",SOL_4P!B$2,IF(C300="RW",RW_2P!B$2,IF(C300="RW2",RW2_4P!B$2,0))))))</f>
        <v/>
      </c>
      <c r="F300" s="110" t="str">
        <f>IF(A300="","", QC_Plan!M300)</f>
        <v/>
      </c>
      <c r="G300" s="110" t="str">
        <f t="shared" si="7"/>
        <v/>
      </c>
    </row>
    <row r="301" spans="4:7" ht="15" customHeight="1" x14ac:dyDescent="0.3">
      <c r="D301" s="110" t="str">
        <f>IF(A301="","",IF(C301="2P",OPR_2P!B$2,IF(C301="SEG",SEG_6P!B$2,IF(C301="SOL",SOL_4P!B$2,IF(C301="RW",RW_2P!B$2,IF(C301="RW2",RW2_4P!B$2,0))))))</f>
        <v/>
      </c>
      <c r="F301" s="110" t="str">
        <f>IF(A301="","", QC_Plan!M301)</f>
        <v/>
      </c>
      <c r="G301" s="110" t="str">
        <f t="shared" si="7"/>
        <v/>
      </c>
    </row>
    <row r="302" spans="4:7" ht="15" customHeight="1" x14ac:dyDescent="0.3">
      <c r="D302" s="110" t="str">
        <f>IF(A302="","",IF(C302="2P",OPR_2P!B$2,IF(C302="SEG",SEG_6P!B$2,IF(C302="SOL",SOL_4P!B$2,IF(C302="RW",RW_2P!B$2,IF(C302="RW2",RW2_4P!B$2,0))))))</f>
        <v/>
      </c>
      <c r="F302" s="110" t="str">
        <f>IF(A302="","", QC_Plan!M302)</f>
        <v/>
      </c>
      <c r="G302" s="110" t="str">
        <f t="shared" si="7"/>
        <v/>
      </c>
    </row>
    <row r="303" spans="4:7" ht="15" customHeight="1" x14ac:dyDescent="0.3">
      <c r="D303" s="110" t="str">
        <f>IF(A303="","",IF(C303="2P",OPR_2P!B$2,IF(C303="SEG",SEG_6P!B$2,IF(C303="SOL",SOL_4P!B$2,IF(C303="RW",RW_2P!B$2,IF(C303="RW2",RW2_4P!B$2,0))))))</f>
        <v/>
      </c>
      <c r="F303" s="110" t="str">
        <f>IF(A303="","", QC_Plan!M303)</f>
        <v/>
      </c>
      <c r="G303" s="110" t="str">
        <f t="shared" si="7"/>
        <v/>
      </c>
    </row>
    <row r="304" spans="4:7" ht="15" customHeight="1" x14ac:dyDescent="0.3">
      <c r="D304" s="110" t="str">
        <f>IF(A304="","",IF(C304="2P",OPR_2P!B$2,IF(C304="SEG",SEG_6P!B$2,IF(C304="SOL",SOL_4P!B$2,IF(C304="RW",RW_2P!B$2,IF(C304="RW2",RW2_4P!B$2,0))))))</f>
        <v/>
      </c>
      <c r="F304" s="110" t="str">
        <f>IF(A304="","", QC_Plan!M304)</f>
        <v/>
      </c>
      <c r="G304" s="110" t="str">
        <f t="shared" si="7"/>
        <v/>
      </c>
    </row>
    <row r="305" spans="4:7" ht="15" customHeight="1" x14ac:dyDescent="0.3">
      <c r="D305" s="110" t="str">
        <f>IF(A305="","",IF(C305="2P",OPR_2P!B$2,IF(C305="SEG",SEG_6P!B$2,IF(C305="SOL",SOL_4P!B$2,IF(C305="RW",RW_2P!B$2,IF(C305="RW2",RW2_4P!B$2,0))))))</f>
        <v/>
      </c>
      <c r="F305" s="110" t="str">
        <f>IF(A305="","", QC_Plan!M305)</f>
        <v/>
      </c>
      <c r="G305" s="110" t="str">
        <f t="shared" si="7"/>
        <v/>
      </c>
    </row>
    <row r="306" spans="4:7" ht="15" customHeight="1" x14ac:dyDescent="0.3">
      <c r="D306" s="110" t="str">
        <f>IF(A306="","",IF(C306="2P",OPR_2P!B$2,IF(C306="SEG",SEG_6P!B$2,IF(C306="SOL",SOL_4P!B$2,IF(C306="RW",RW_2P!B$2,IF(C306="RW2",RW2_4P!B$2,0))))))</f>
        <v/>
      </c>
      <c r="F306" s="110" t="str">
        <f>IF(A306="","", QC_Plan!M306)</f>
        <v/>
      </c>
      <c r="G306" s="110" t="str">
        <f t="shared" si="7"/>
        <v/>
      </c>
    </row>
    <row r="307" spans="4:7" ht="15" customHeight="1" x14ac:dyDescent="0.3">
      <c r="D307" s="110" t="str">
        <f>IF(A307="","",IF(C307="2P",OPR_2P!B$2,IF(C307="SEG",SEG_6P!B$2,IF(C307="SOL",SOL_4P!B$2,IF(C307="RW",RW_2P!B$2,IF(C307="RW2",RW2_4P!B$2,0))))))</f>
        <v/>
      </c>
      <c r="F307" s="110" t="str">
        <f>IF(A307="","", QC_Plan!M307)</f>
        <v/>
      </c>
      <c r="G307" s="110" t="str">
        <f t="shared" si="7"/>
        <v/>
      </c>
    </row>
    <row r="308" spans="4:7" ht="15" customHeight="1" x14ac:dyDescent="0.3">
      <c r="D308" s="110" t="str">
        <f>IF(A308="","",IF(C308="2P",OPR_2P!B$2,IF(C308="SEG",SEG_6P!B$2,IF(C308="SOL",SOL_4P!B$2,IF(C308="RW",RW_2P!B$2,IF(C308="RW2",RW2_4P!B$2,0))))))</f>
        <v/>
      </c>
      <c r="F308" s="110" t="str">
        <f>IF(A308="","", QC_Plan!M308)</f>
        <v/>
      </c>
      <c r="G308" s="110" t="str">
        <f t="shared" si="7"/>
        <v/>
      </c>
    </row>
    <row r="309" spans="4:7" ht="15" customHeight="1" x14ac:dyDescent="0.3">
      <c r="D309" s="110" t="str">
        <f>IF(A309="","",IF(C309="2P",OPR_2P!B$2,IF(C309="SEG",SEG_6P!B$2,IF(C309="SOL",SOL_4P!B$2,IF(C309="RW",RW_2P!B$2,IF(C309="RW2",RW2_4P!B$2,0))))))</f>
        <v/>
      </c>
      <c r="F309" s="110" t="str">
        <f>IF(A309="","", QC_Plan!M309)</f>
        <v/>
      </c>
      <c r="G309" s="110" t="str">
        <f t="shared" si="7"/>
        <v/>
      </c>
    </row>
    <row r="310" spans="4:7" ht="15" customHeight="1" x14ac:dyDescent="0.3">
      <c r="D310" s="110" t="str">
        <f>IF(A310="","",IF(C310="2P",OPR_2P!B$2,IF(C310="SEG",SEG_6P!B$2,IF(C310="SOL",SOL_4P!B$2,IF(C310="RW",RW_2P!B$2,IF(C310="RW2",RW2_4P!B$2,0))))))</f>
        <v/>
      </c>
      <c r="F310" s="110" t="str">
        <f>IF(A310="","", QC_Plan!M310)</f>
        <v/>
      </c>
      <c r="G310" s="110" t="str">
        <f t="shared" si="7"/>
        <v/>
      </c>
    </row>
    <row r="311" spans="4:7" ht="15" customHeight="1" x14ac:dyDescent="0.3">
      <c r="D311" s="110" t="str">
        <f>IF(A311="","",IF(C311="2P",OPR_2P!B$2,IF(C311="SEG",SEG_6P!B$2,IF(C311="SOL",SOL_4P!B$2,IF(C311="RW",RW_2P!B$2,IF(C311="RW2",RW2_4P!B$2,0))))))</f>
        <v/>
      </c>
      <c r="F311" s="110" t="str">
        <f>IF(A311="","", QC_Plan!M311)</f>
        <v/>
      </c>
      <c r="G311" s="110" t="str">
        <f t="shared" si="7"/>
        <v/>
      </c>
    </row>
    <row r="312" spans="4:7" ht="15" customHeight="1" x14ac:dyDescent="0.3">
      <c r="D312" s="110" t="str">
        <f>IF(A312="","",IF(C312="2P",OPR_2P!B$2,IF(C312="SEG",SEG_6P!B$2,IF(C312="SOL",SOL_4P!B$2,IF(C312="RW",RW_2P!B$2,IF(C312="RW2",RW2_4P!B$2,0))))))</f>
        <v/>
      </c>
      <c r="F312" s="110" t="str">
        <f>IF(A312="","", QC_Plan!M312)</f>
        <v/>
      </c>
      <c r="G312" s="110" t="str">
        <f t="shared" si="7"/>
        <v/>
      </c>
    </row>
    <row r="313" spans="4:7" ht="15" customHeight="1" x14ac:dyDescent="0.3">
      <c r="D313" s="110" t="str">
        <f>IF(A313="","",IF(C313="2P",OPR_2P!B$2,IF(C313="SEG",SEG_6P!B$2,IF(C313="SOL",SOL_4P!B$2,IF(C313="RW",RW_2P!B$2,IF(C313="RW2",RW2_4P!B$2,0))))))</f>
        <v/>
      </c>
      <c r="F313" s="110" t="str">
        <f>IF(A313="","", QC_Plan!M313)</f>
        <v/>
      </c>
      <c r="G313" s="110" t="str">
        <f t="shared" si="7"/>
        <v/>
      </c>
    </row>
    <row r="314" spans="4:7" ht="15" customHeight="1" x14ac:dyDescent="0.3">
      <c r="D314" s="110" t="str">
        <f>IF(A314="","",IF(C314="2P",OPR_2P!B$2,IF(C314="SEG",SEG_6P!B$2,IF(C314="SOL",SOL_4P!B$2,IF(C314="RW",RW_2P!B$2,IF(C314="RW2",RW2_4P!B$2,0))))))</f>
        <v/>
      </c>
      <c r="F314" s="110" t="str">
        <f>IF(A314="","", QC_Plan!M314)</f>
        <v/>
      </c>
      <c r="G314" s="110" t="str">
        <f t="shared" si="7"/>
        <v/>
      </c>
    </row>
    <row r="315" spans="4:7" ht="15" customHeight="1" x14ac:dyDescent="0.3">
      <c r="D315" s="110" t="str">
        <f>IF(A315="","",IF(C315="2P",OPR_2P!B$2,IF(C315="SEG",SEG_6P!B$2,IF(C315="SOL",SOL_4P!B$2,IF(C315="RW",RW_2P!B$2,IF(C315="RW2",RW2_4P!B$2,0))))))</f>
        <v/>
      </c>
      <c r="F315" s="110" t="str">
        <f>IF(A315="","", QC_Plan!M315)</f>
        <v/>
      </c>
      <c r="G315" s="110" t="str">
        <f t="shared" si="7"/>
        <v/>
      </c>
    </row>
    <row r="316" spans="4:7" ht="15" customHeight="1" x14ac:dyDescent="0.3">
      <c r="D316" s="110" t="str">
        <f>IF(A316="","",IF(C316="2P",OPR_2P!B$2,IF(C316="SEG",SEG_6P!B$2,IF(C316="SOL",SOL_4P!B$2,IF(C316="RW",RW_2P!B$2,IF(C316="RW2",RW2_4P!B$2,0))))))</f>
        <v/>
      </c>
      <c r="F316" s="110" t="str">
        <f>IF(A316="","", QC_Plan!M316)</f>
        <v/>
      </c>
      <c r="G316" s="110" t="str">
        <f t="shared" si="7"/>
        <v/>
      </c>
    </row>
    <row r="317" spans="4:7" ht="15" customHeight="1" x14ac:dyDescent="0.3">
      <c r="D317" s="110" t="str">
        <f>IF(A317="","",IF(C317="2P",OPR_2P!B$2,IF(C317="SEG",SEG_6P!B$2,IF(C317="SOL",SOL_4P!B$2,IF(C317="RW",RW_2P!B$2,IF(C317="RW2",RW2_4P!B$2,0))))))</f>
        <v/>
      </c>
      <c r="F317" s="110" t="str">
        <f>IF(A317="","", QC_Plan!M317)</f>
        <v/>
      </c>
      <c r="G317" s="110" t="str">
        <f t="shared" si="7"/>
        <v/>
      </c>
    </row>
    <row r="318" spans="4:7" ht="15" customHeight="1" x14ac:dyDescent="0.3">
      <c r="D318" s="110" t="str">
        <f>IF(A318="","",IF(C318="2P",OPR_2P!B$2,IF(C318="SEG",SEG_6P!B$2,IF(C318="SOL",SOL_4P!B$2,IF(C318="RW",RW_2P!B$2,IF(C318="RW2",RW2_4P!B$2,0))))))</f>
        <v/>
      </c>
      <c r="F318" s="110" t="str">
        <f>IF(A318="","", QC_Plan!M318)</f>
        <v/>
      </c>
      <c r="G318" s="110" t="str">
        <f t="shared" si="7"/>
        <v/>
      </c>
    </row>
    <row r="319" spans="4:7" ht="15" customHeight="1" x14ac:dyDescent="0.3">
      <c r="D319" s="110" t="str">
        <f>IF(A319="","",IF(C319="2P",OPR_2P!B$2,IF(C319="SEG",SEG_6P!B$2,IF(C319="SOL",SOL_4P!B$2,IF(C319="RW",RW_2P!B$2,IF(C319="RW2",RW2_4P!B$2,0))))))</f>
        <v/>
      </c>
      <c r="F319" s="110" t="str">
        <f>IF(A319="","", QC_Plan!M319)</f>
        <v/>
      </c>
      <c r="G319" s="110" t="str">
        <f t="shared" si="7"/>
        <v/>
      </c>
    </row>
    <row r="320" spans="4:7" ht="15" customHeight="1" x14ac:dyDescent="0.3">
      <c r="D320" s="110" t="str">
        <f>IF(A320="","",IF(C320="2P",OPR_2P!B$2,IF(C320="SEG",SEG_6P!B$2,IF(C320="SOL",SOL_4P!B$2,IF(C320="RW",RW_2P!B$2,IF(C320="RW2",RW2_4P!B$2,0))))))</f>
        <v/>
      </c>
      <c r="F320" s="110" t="str">
        <f>IF(A320="","", QC_Plan!M320)</f>
        <v/>
      </c>
      <c r="G320" s="110" t="str">
        <f t="shared" si="7"/>
        <v/>
      </c>
    </row>
    <row r="321" spans="4:7" ht="15" customHeight="1" x14ac:dyDescent="0.3">
      <c r="D321" s="110" t="str">
        <f>IF(A321="","",IF(C321="2P",OPR_2P!B$2,IF(C321="SEG",SEG_6P!B$2,IF(C321="SOL",SOL_4P!B$2,IF(C321="RW",RW_2P!B$2,IF(C321="RW2",RW2_4P!B$2,0))))))</f>
        <v/>
      </c>
      <c r="F321" s="110" t="str">
        <f>IF(A321="","", QC_Plan!M321)</f>
        <v/>
      </c>
      <c r="G321" s="110" t="str">
        <f t="shared" si="7"/>
        <v/>
      </c>
    </row>
    <row r="322" spans="4:7" ht="15" customHeight="1" x14ac:dyDescent="0.3">
      <c r="D322" s="110" t="str">
        <f>IF(A322="","",IF(C322="2P",OPR_2P!B$2,IF(C322="SEG",SEG_6P!B$2,IF(C322="SOL",SOL_4P!B$2,IF(C322="RW",RW_2P!B$2,IF(C322="RW2",RW2_4P!B$2,0))))))</f>
        <v/>
      </c>
      <c r="F322" s="110" t="str">
        <f>IF(A322="","", QC_Plan!M322)</f>
        <v/>
      </c>
      <c r="G322" s="110" t="str">
        <f t="shared" si="7"/>
        <v/>
      </c>
    </row>
    <row r="323" spans="4:7" ht="15" customHeight="1" x14ac:dyDescent="0.3">
      <c r="D323" s="110" t="str">
        <f>IF(A323="","",IF(C323="2P",OPR_2P!B$2,IF(C323="SEG",SEG_6P!B$2,IF(C323="SOL",SOL_4P!B$2,IF(C323="RW",RW_2P!B$2,IF(C323="RW2",RW2_4P!B$2,0))))))</f>
        <v/>
      </c>
      <c r="F323" s="110" t="str">
        <f>IF(A323="","", QC_Plan!M323)</f>
        <v/>
      </c>
      <c r="G323" s="110" t="str">
        <f t="shared" si="7"/>
        <v/>
      </c>
    </row>
    <row r="324" spans="4:7" ht="15" customHeight="1" x14ac:dyDescent="0.3">
      <c r="D324" s="110" t="str">
        <f>IF(A324="","",IF(C324="2P",OPR_2P!B$2,IF(C324="SEG",SEG_6P!B$2,IF(C324="SOL",SOL_4P!B$2,IF(C324="RW",RW_2P!B$2,IF(C324="RW2",RW2_4P!B$2,0))))))</f>
        <v/>
      </c>
      <c r="F324" s="110" t="str">
        <f>IF(A324="","", QC_Plan!M324)</f>
        <v/>
      </c>
      <c r="G324" s="110" t="str">
        <f t="shared" si="7"/>
        <v/>
      </c>
    </row>
    <row r="325" spans="4:7" ht="15" customHeight="1" x14ac:dyDescent="0.3">
      <c r="D325" s="110" t="str">
        <f>IF(A325="","",IF(C325="2P",OPR_2P!B$2,IF(C325="SEG",SEG_6P!B$2,IF(C325="SOL",SOL_4P!B$2,IF(C325="RW",RW_2P!B$2,IF(C325="RW2",RW2_4P!B$2,0))))))</f>
        <v/>
      </c>
      <c r="F325" s="110" t="str">
        <f>IF(A325="","", QC_Plan!M325)</f>
        <v/>
      </c>
      <c r="G325" s="110" t="str">
        <f t="shared" si="7"/>
        <v/>
      </c>
    </row>
    <row r="326" spans="4:7" ht="15" customHeight="1" x14ac:dyDescent="0.3">
      <c r="D326" s="110" t="str">
        <f>IF(A326="","",IF(C326="2P",OPR_2P!B$2,IF(C326="SEG",SEG_6P!B$2,IF(C326="SOL",SOL_4P!B$2,IF(C326="RW",RW_2P!B$2,IF(C326="RW2",RW2_4P!B$2,0))))))</f>
        <v/>
      </c>
      <c r="F326" s="110" t="str">
        <f>IF(A326="","", QC_Plan!M326)</f>
        <v/>
      </c>
      <c r="G326" s="110" t="str">
        <f t="shared" si="7"/>
        <v/>
      </c>
    </row>
    <row r="327" spans="4:7" ht="15" customHeight="1" x14ac:dyDescent="0.3">
      <c r="D327" s="110" t="str">
        <f>IF(A327="","",IF(C327="2P",OPR_2P!B$2,IF(C327="SEG",SEG_6P!B$2,IF(C327="SOL",SOL_4P!B$2,IF(C327="RW",RW_2P!B$2,IF(C327="RW2",RW2_4P!B$2,0))))))</f>
        <v/>
      </c>
      <c r="F327" s="110" t="str">
        <f>IF(A327="","", QC_Plan!M327)</f>
        <v/>
      </c>
      <c r="G327" s="110" t="str">
        <f t="shared" si="7"/>
        <v/>
      </c>
    </row>
    <row r="328" spans="4:7" ht="15" customHeight="1" x14ac:dyDescent="0.3">
      <c r="D328" s="110" t="str">
        <f>IF(A328="","",IF(C328="2P",OPR_2P!B$2,IF(C328="SEG",SEG_6P!B$2,IF(C328="SOL",SOL_4P!B$2,IF(C328="RW",RW_2P!B$2,IF(C328="RW2",RW2_4P!B$2,0))))))</f>
        <v/>
      </c>
      <c r="F328" s="110" t="str">
        <f>IF(A328="","", QC_Plan!M328)</f>
        <v/>
      </c>
      <c r="G328" s="110" t="str">
        <f t="shared" si="7"/>
        <v/>
      </c>
    </row>
    <row r="329" spans="4:7" ht="15" customHeight="1" x14ac:dyDescent="0.3">
      <c r="D329" s="110" t="str">
        <f>IF(A329="","",IF(C329="2P",OPR_2P!B$2,IF(C329="SEG",SEG_6P!B$2,IF(C329="SOL",SOL_4P!B$2,IF(C329="RW",RW_2P!B$2,IF(C329="RW2",RW2_4P!B$2,0))))))</f>
        <v/>
      </c>
      <c r="F329" s="110" t="str">
        <f>IF(A329="","", QC_Plan!M329)</f>
        <v/>
      </c>
      <c r="G329" s="110" t="str">
        <f t="shared" si="7"/>
        <v/>
      </c>
    </row>
    <row r="330" spans="4:7" ht="15" customHeight="1" x14ac:dyDescent="0.3">
      <c r="D330" s="110" t="str">
        <f>IF(A330="","",IF(C330="2P",OPR_2P!B$2,IF(C330="SEG",SEG_6P!B$2,IF(C330="SOL",SOL_4P!B$2,IF(C330="RW",RW_2P!B$2,IF(C330="RW2",RW2_4P!B$2,0))))))</f>
        <v/>
      </c>
      <c r="F330" s="110" t="str">
        <f>IF(A330="","", QC_Plan!M330)</f>
        <v/>
      </c>
      <c r="G330" s="110" t="str">
        <f t="shared" si="7"/>
        <v/>
      </c>
    </row>
    <row r="331" spans="4:7" ht="15" customHeight="1" x14ac:dyDescent="0.3">
      <c r="D331" s="110" t="str">
        <f>IF(A331="","",IF(C331="2P",OPR_2P!B$2,IF(C331="SEG",SEG_6P!B$2,IF(C331="SOL",SOL_4P!B$2,IF(C331="RW",RW_2P!B$2,IF(C331="RW2",RW2_4P!B$2,0))))))</f>
        <v/>
      </c>
      <c r="F331" s="110" t="str">
        <f>IF(A331="","", QC_Plan!M331)</f>
        <v/>
      </c>
      <c r="G331" s="110" t="str">
        <f t="shared" si="7"/>
        <v/>
      </c>
    </row>
    <row r="332" spans="4:7" ht="15" customHeight="1" x14ac:dyDescent="0.3">
      <c r="D332" s="110" t="str">
        <f>IF(A332="","",IF(C332="2P",OPR_2P!B$2,IF(C332="SEG",SEG_6P!B$2,IF(C332="SOL",SOL_4P!B$2,IF(C332="RW",RW_2P!B$2,IF(C332="RW2",RW2_4P!B$2,0))))))</f>
        <v/>
      </c>
      <c r="F332" s="110" t="str">
        <f>IF(A332="","", QC_Plan!M332)</f>
        <v/>
      </c>
      <c r="G332" s="110" t="str">
        <f t="shared" si="7"/>
        <v/>
      </c>
    </row>
    <row r="333" spans="4:7" ht="15" customHeight="1" x14ac:dyDescent="0.3">
      <c r="D333" s="110" t="str">
        <f>IF(A333="","",IF(C333="2P",OPR_2P!B$2,IF(C333="SEG",SEG_6P!B$2,IF(C333="SOL",SOL_4P!B$2,IF(C333="RW",RW_2P!B$2,IF(C333="RW2",RW2_4P!B$2,0))))))</f>
        <v/>
      </c>
      <c r="F333" s="110" t="str">
        <f>IF(A333="","", QC_Plan!M333)</f>
        <v/>
      </c>
      <c r="G333" s="110" t="str">
        <f t="shared" si="7"/>
        <v/>
      </c>
    </row>
    <row r="334" spans="4:7" ht="15" customHeight="1" x14ac:dyDescent="0.3">
      <c r="D334" s="110" t="str">
        <f>IF(A334="","",IF(C334="2P",OPR_2P!B$2,IF(C334="SEG",SEG_6P!B$2,IF(C334="SOL",SOL_4P!B$2,IF(C334="RW",RW_2P!B$2,IF(C334="RW2",RW2_4P!B$2,0))))))</f>
        <v/>
      </c>
      <c r="F334" s="110" t="str">
        <f>IF(A334="","", QC_Plan!M334)</f>
        <v/>
      </c>
      <c r="G334" s="110" t="str">
        <f t="shared" si="7"/>
        <v/>
      </c>
    </row>
    <row r="335" spans="4:7" ht="15" customHeight="1" x14ac:dyDescent="0.3">
      <c r="D335" s="110" t="str">
        <f>IF(A335="","",IF(C335="2P",OPR_2P!B$2,IF(C335="SEG",SEG_6P!B$2,IF(C335="SOL",SOL_4P!B$2,IF(C335="RW",RW_2P!B$2,IF(C335="RW2",RW2_4P!B$2,0))))))</f>
        <v/>
      </c>
      <c r="F335" s="110" t="str">
        <f>IF(A335="","", QC_Plan!M335)</f>
        <v/>
      </c>
      <c r="G335" s="110" t="str">
        <f t="shared" si="7"/>
        <v/>
      </c>
    </row>
    <row r="336" spans="4:7" ht="15" customHeight="1" x14ac:dyDescent="0.3">
      <c r="D336" s="110" t="str">
        <f>IF(A336="","",IF(C336="2P",OPR_2P!B$2,IF(C336="SEG",SEG_6P!B$2,IF(C336="SOL",SOL_4P!B$2,IF(C336="RW",RW_2P!B$2,IF(C336="RW2",RW2_4P!B$2,0))))))</f>
        <v/>
      </c>
      <c r="F336" s="110" t="str">
        <f>IF(A336="","", QC_Plan!M336)</f>
        <v/>
      </c>
      <c r="G336" s="110" t="str">
        <f t="shared" si="7"/>
        <v/>
      </c>
    </row>
    <row r="337" spans="4:7" ht="15" customHeight="1" x14ac:dyDescent="0.3">
      <c r="D337" s="110" t="str">
        <f>IF(A337="","",IF(C337="2P",OPR_2P!B$2,IF(C337="SEG",SEG_6P!B$2,IF(C337="SOL",SOL_4P!B$2,IF(C337="RW",RW_2P!B$2,IF(C337="RW2",RW2_4P!B$2,0))))))</f>
        <v/>
      </c>
      <c r="F337" s="110" t="str">
        <f>IF(A337="","", QC_Plan!M337)</f>
        <v/>
      </c>
      <c r="G337" s="110" t="str">
        <f t="shared" si="7"/>
        <v/>
      </c>
    </row>
    <row r="338" spans="4:7" ht="15" customHeight="1" x14ac:dyDescent="0.3">
      <c r="D338" s="110" t="str">
        <f>IF(A338="","",IF(C338="2P",OPR_2P!B$2,IF(C338="SEG",SEG_6P!B$2,IF(C338="SOL",SOL_4P!B$2,IF(C338="RW",RW_2P!B$2,IF(C338="RW2",RW2_4P!B$2,0))))))</f>
        <v/>
      </c>
      <c r="F338" s="110" t="str">
        <f>IF(A338="","", QC_Plan!M338)</f>
        <v/>
      </c>
      <c r="G338" s="110" t="str">
        <f t="shared" si="7"/>
        <v/>
      </c>
    </row>
    <row r="339" spans="4:7" ht="15" customHeight="1" x14ac:dyDescent="0.3">
      <c r="D339" s="110" t="str">
        <f>IF(A339="","",IF(C339="2P",OPR_2P!B$2,IF(C339="SEG",SEG_6P!B$2,IF(C339="SOL",SOL_4P!B$2,IF(C339="RW",RW_2P!B$2,IF(C339="RW2",RW2_4P!B$2,0))))))</f>
        <v/>
      </c>
      <c r="F339" s="110" t="str">
        <f>IF(A339="","", QC_Plan!M339)</f>
        <v/>
      </c>
      <c r="G339" s="110" t="str">
        <f t="shared" si="7"/>
        <v/>
      </c>
    </row>
    <row r="340" spans="4:7" ht="15" customHeight="1" x14ac:dyDescent="0.3">
      <c r="D340" s="110" t="str">
        <f>IF(A340="","",IF(C340="2P",OPR_2P!B$2,IF(C340="SEG",SEG_6P!B$2,IF(C340="SOL",SOL_4P!B$2,IF(C340="RW",RW_2P!B$2,IF(C340="RW2",RW2_4P!B$2,0))))))</f>
        <v/>
      </c>
      <c r="F340" s="110" t="str">
        <f>IF(A340="","", QC_Plan!M340)</f>
        <v/>
      </c>
      <c r="G340" s="110" t="str">
        <f t="shared" si="7"/>
        <v/>
      </c>
    </row>
    <row r="341" spans="4:7" ht="15" customHeight="1" x14ac:dyDescent="0.3">
      <c r="D341" s="110" t="str">
        <f>IF(A341="","",IF(C341="2P",OPR_2P!B$2,IF(C341="SEG",SEG_6P!B$2,IF(C341="SOL",SOL_4P!B$2,IF(C341="RW",RW_2P!B$2,IF(C341="RW2",RW2_4P!B$2,0))))))</f>
        <v/>
      </c>
      <c r="F341" s="110" t="str">
        <f>IF(A341="","", QC_Plan!M341)</f>
        <v/>
      </c>
      <c r="G341" s="110" t="str">
        <f t="shared" si="7"/>
        <v/>
      </c>
    </row>
    <row r="342" spans="4:7" ht="15" customHeight="1" x14ac:dyDescent="0.3">
      <c r="D342" s="110" t="str">
        <f>IF(A342="","",IF(C342="2P",OPR_2P!B$2,IF(C342="SEG",SEG_6P!B$2,IF(C342="SOL",SOL_4P!B$2,IF(C342="RW",RW_2P!B$2,IF(C342="RW2",RW2_4P!B$2,0))))))</f>
        <v/>
      </c>
      <c r="F342" s="110" t="str">
        <f>IF(A342="","", QC_Plan!M342)</f>
        <v/>
      </c>
      <c r="G342" s="110" t="str">
        <f t="shared" si="7"/>
        <v/>
      </c>
    </row>
    <row r="343" spans="4:7" ht="15" customHeight="1" x14ac:dyDescent="0.3">
      <c r="D343" s="110" t="str">
        <f>IF(A343="","",IF(C343="2P",OPR_2P!B$2,IF(C343="SEG",SEG_6P!B$2,IF(C343="SOL",SOL_4P!B$2,IF(C343="RW",RW_2P!B$2,IF(C343="RW2",RW2_4P!B$2,0))))))</f>
        <v/>
      </c>
      <c r="F343" s="110" t="str">
        <f>IF(A343="","", QC_Plan!M343)</f>
        <v/>
      </c>
      <c r="G343" s="110" t="str">
        <f t="shared" si="7"/>
        <v/>
      </c>
    </row>
    <row r="344" spans="4:7" ht="15" customHeight="1" x14ac:dyDescent="0.3">
      <c r="D344" s="110" t="str">
        <f>IF(A344="","",IF(C344="2P",OPR_2P!B$2,IF(C344="SEG",SEG_6P!B$2,IF(C344="SOL",SOL_4P!B$2,IF(C344="RW",RW_2P!B$2,IF(C344="RW2",RW2_4P!B$2,0))))))</f>
        <v/>
      </c>
      <c r="F344" s="110" t="str">
        <f>IF(A344="","", QC_Plan!M344)</f>
        <v/>
      </c>
      <c r="G344" s="110" t="str">
        <f t="shared" si="7"/>
        <v/>
      </c>
    </row>
    <row r="345" spans="4:7" ht="15" customHeight="1" x14ac:dyDescent="0.3">
      <c r="D345" s="110" t="str">
        <f>IF(A345="","",IF(C345="2P",OPR_2P!B$2,IF(C345="SEG",SEG_6P!B$2,IF(C345="SOL",SOL_4P!B$2,IF(C345="RW",RW_2P!B$2,IF(C345="RW2",RW2_4P!B$2,0))))))</f>
        <v/>
      </c>
      <c r="F345" s="110" t="str">
        <f>IF(A345="","", QC_Plan!M345)</f>
        <v/>
      </c>
      <c r="G345" s="110" t="str">
        <f t="shared" si="7"/>
        <v/>
      </c>
    </row>
    <row r="346" spans="4:7" ht="15" customHeight="1" x14ac:dyDescent="0.3">
      <c r="D346" s="110" t="str">
        <f>IF(A346="","",IF(C346="2P",OPR_2P!B$2,IF(C346="SEG",SEG_6P!B$2,IF(C346="SOL",SOL_4P!B$2,IF(C346="RW",RW_2P!B$2,IF(C346="RW2",RW2_4P!B$2,0))))))</f>
        <v/>
      </c>
      <c r="F346" s="110" t="str">
        <f>IF(A346="","", QC_Plan!M346)</f>
        <v/>
      </c>
      <c r="G346" s="110" t="str">
        <f t="shared" si="7"/>
        <v/>
      </c>
    </row>
    <row r="347" spans="4:7" ht="15" customHeight="1" x14ac:dyDescent="0.3">
      <c r="D347" s="110" t="str">
        <f>IF(A347="","",IF(C347="2P",OPR_2P!B$2,IF(C347="SEG",SEG_6P!B$2,IF(C347="SOL",SOL_4P!B$2,IF(C347="RW",RW_2P!B$2,IF(C347="RW2",RW2_4P!B$2,0))))))</f>
        <v/>
      </c>
      <c r="F347" s="110" t="str">
        <f>IF(A347="","", QC_Plan!M347)</f>
        <v/>
      </c>
      <c r="G347" s="110" t="str">
        <f t="shared" si="7"/>
        <v/>
      </c>
    </row>
    <row r="348" spans="4:7" ht="15" customHeight="1" x14ac:dyDescent="0.3">
      <c r="D348" s="110" t="str">
        <f>IF(A348="","",IF(C348="2P",OPR_2P!B$2,IF(C348="SEG",SEG_6P!B$2,IF(C348="SOL",SOL_4P!B$2,IF(C348="RW",RW_2P!B$2,IF(C348="RW2",RW2_4P!B$2,0))))))</f>
        <v/>
      </c>
      <c r="F348" s="110" t="str">
        <f>IF(A348="","", QC_Plan!M348)</f>
        <v/>
      </c>
      <c r="G348" s="110" t="str">
        <f t="shared" si="7"/>
        <v/>
      </c>
    </row>
    <row r="349" spans="4:7" ht="15" customHeight="1" x14ac:dyDescent="0.3">
      <c r="D349" s="110" t="str">
        <f>IF(A349="","",IF(C349="2P",OPR_2P!B$2,IF(C349="SEG",SEG_6P!B$2,IF(C349="SOL",SOL_4P!B$2,IF(C349="RW",RW_2P!B$2,IF(C349="RW2",RW2_4P!B$2,0))))))</f>
        <v/>
      </c>
      <c r="F349" s="110" t="str">
        <f>IF(A349="","", QC_Plan!M349)</f>
        <v/>
      </c>
      <c r="G349" s="110" t="str">
        <f t="shared" si="7"/>
        <v/>
      </c>
    </row>
    <row r="350" spans="4:7" ht="15" customHeight="1" x14ac:dyDescent="0.3">
      <c r="D350" s="110" t="str">
        <f>IF(A350="","",IF(C350="2P",OPR_2P!B$2,IF(C350="SEG",SEG_6P!B$2,IF(C350="SOL",SOL_4P!B$2,IF(C350="RW",RW_2P!B$2,IF(C350="RW2",RW2_4P!B$2,0))))))</f>
        <v/>
      </c>
      <c r="F350" s="110" t="str">
        <f>IF(A350="","", QC_Plan!M350)</f>
        <v/>
      </c>
      <c r="G350" s="110" t="str">
        <f t="shared" si="7"/>
        <v/>
      </c>
    </row>
    <row r="351" spans="4:7" ht="15" customHeight="1" x14ac:dyDescent="0.3">
      <c r="D351" s="110" t="str">
        <f>IF(A351="","",IF(C351="2P",OPR_2P!B$2,IF(C351="SEG",SEG_6P!B$2,IF(C351="SOL",SOL_4P!B$2,IF(C351="RW",RW_2P!B$2,IF(C351="RW2",RW2_4P!B$2,0))))))</f>
        <v/>
      </c>
      <c r="F351" s="110" t="str">
        <f>IF(A351="","", QC_Plan!M351)</f>
        <v/>
      </c>
      <c r="G351" s="110" t="str">
        <f t="shared" si="7"/>
        <v/>
      </c>
    </row>
    <row r="352" spans="4:7" ht="15" customHeight="1" x14ac:dyDescent="0.3">
      <c r="D352" s="110" t="str">
        <f>IF(A352="","",IF(C352="2P",OPR_2P!B$2,IF(C352="SEG",SEG_6P!B$2,IF(C352="SOL",SOL_4P!B$2,IF(C352="RW",RW_2P!B$2,IF(C352="RW2",RW2_4P!B$2,0))))))</f>
        <v/>
      </c>
      <c r="F352" s="110" t="str">
        <f>IF(A352="","", QC_Plan!M352)</f>
        <v/>
      </c>
      <c r="G352" s="110" t="str">
        <f t="shared" si="7"/>
        <v/>
      </c>
    </row>
    <row r="353" spans="4:7" ht="15" customHeight="1" x14ac:dyDescent="0.3">
      <c r="D353" s="110" t="str">
        <f>IF(A353="","",IF(C353="2P",OPR_2P!B$2,IF(C353="SEG",SEG_6P!B$2,IF(C353="SOL",SOL_4P!B$2,IF(C353="RW",RW_2P!B$2,IF(C353="RW2",RW2_4P!B$2,0))))))</f>
        <v/>
      </c>
      <c r="F353" s="110" t="str">
        <f>IF(A353="","", QC_Plan!M353)</f>
        <v/>
      </c>
      <c r="G353" s="110" t="str">
        <f t="shared" si="7"/>
        <v/>
      </c>
    </row>
    <row r="354" spans="4:7" ht="15" customHeight="1" x14ac:dyDescent="0.3">
      <c r="D354" s="110" t="str">
        <f>IF(A354="","",IF(C354="2P",OPR_2P!B$2,IF(C354="SEG",SEG_6P!B$2,IF(C354="SOL",SOL_4P!B$2,IF(C354="RW",RW_2P!B$2,IF(C354="RW2",RW2_4P!B$2,0))))))</f>
        <v/>
      </c>
      <c r="F354" s="110" t="str">
        <f>IF(A354="","", QC_Plan!M354)</f>
        <v/>
      </c>
      <c r="G354" s="110" t="str">
        <f t="shared" si="7"/>
        <v/>
      </c>
    </row>
    <row r="355" spans="4:7" ht="15" customHeight="1" x14ac:dyDescent="0.3">
      <c r="D355" s="110" t="str">
        <f>IF(A355="","",IF(C355="2P",OPR_2P!B$2,IF(C355="SEG",SEG_6P!B$2,IF(C355="SOL",SOL_4P!B$2,IF(C355="RW",RW_2P!B$2,IF(C355="RW2",RW2_4P!B$2,0))))))</f>
        <v/>
      </c>
      <c r="F355" s="110" t="str">
        <f>IF(A355="","", QC_Plan!M355)</f>
        <v/>
      </c>
      <c r="G355" s="110" t="str">
        <f t="shared" si="7"/>
        <v/>
      </c>
    </row>
    <row r="356" spans="4:7" ht="15" customHeight="1" x14ac:dyDescent="0.3">
      <c r="D356" s="110" t="str">
        <f>IF(A356="","",IF(C356="2P",OPR_2P!B$2,IF(C356="SEG",SEG_6P!B$2,IF(C356="SOL",SOL_4P!B$2,IF(C356="RW",RW_2P!B$2,IF(C356="RW2",RW2_4P!B$2,0))))))</f>
        <v/>
      </c>
      <c r="F356" s="110" t="str">
        <f>IF(A356="","", QC_Plan!M356)</f>
        <v/>
      </c>
      <c r="G356" s="110" t="str">
        <f t="shared" si="7"/>
        <v/>
      </c>
    </row>
    <row r="357" spans="4:7" ht="15" customHeight="1" x14ac:dyDescent="0.3">
      <c r="D357" s="110" t="str">
        <f>IF(A357="","",IF(C357="2P",OPR_2P!B$2,IF(C357="SEG",SEG_6P!B$2,IF(C357="SOL",SOL_4P!B$2,IF(C357="RW",RW_2P!B$2,IF(C357="RW2",RW2_4P!B$2,0))))))</f>
        <v/>
      </c>
      <c r="F357" s="110" t="str">
        <f>IF(A357="","", QC_Plan!M357)</f>
        <v/>
      </c>
      <c r="G357" s="110" t="str">
        <f t="shared" si="7"/>
        <v/>
      </c>
    </row>
    <row r="358" spans="4:7" ht="15" customHeight="1" x14ac:dyDescent="0.3">
      <c r="D358" s="110" t="str">
        <f>IF(A358="","",IF(C358="2P",OPR_2P!B$2,IF(C358="SEG",SEG_6P!B$2,IF(C358="SOL",SOL_4P!B$2,IF(C358="RW",RW_2P!B$2,IF(C358="RW2",RW2_4P!B$2,0))))))</f>
        <v/>
      </c>
      <c r="F358" s="110" t="str">
        <f>IF(A358="","", QC_Plan!M358)</f>
        <v/>
      </c>
      <c r="G358" s="110" t="str">
        <f t="shared" si="7"/>
        <v/>
      </c>
    </row>
    <row r="359" spans="4:7" ht="15" customHeight="1" x14ac:dyDescent="0.3">
      <c r="D359" s="110" t="str">
        <f>IF(A359="","",IF(C359="2P",OPR_2P!B$2,IF(C359="SEG",SEG_6P!B$2,IF(C359="SOL",SOL_4P!B$2,IF(C359="RW",RW_2P!B$2,IF(C359="RW2",RW2_4P!B$2,0))))))</f>
        <v/>
      </c>
      <c r="F359" s="110" t="str">
        <f>IF(A359="","", QC_Plan!M359)</f>
        <v/>
      </c>
      <c r="G359" s="110" t="str">
        <f t="shared" si="7"/>
        <v/>
      </c>
    </row>
    <row r="360" spans="4:7" ht="15" customHeight="1" x14ac:dyDescent="0.3">
      <c r="D360" s="110" t="str">
        <f>IF(A360="","",IF(C360="2P",OPR_2P!B$2,IF(C360="SEG",SEG_6P!B$2,IF(C360="SOL",SOL_4P!B$2,IF(C360="RW",RW_2P!B$2,IF(C360="RW2",RW2_4P!B$2,0))))))</f>
        <v/>
      </c>
      <c r="F360" s="110" t="str">
        <f>IF(A360="","", QC_Plan!M360)</f>
        <v/>
      </c>
      <c r="G360" s="110" t="str">
        <f t="shared" ref="G360:G423" si="8">IF(B360="","",IF(H360&gt;1000,"High",IF(H360&gt;500,"Medium","Low")))</f>
        <v/>
      </c>
    </row>
    <row r="361" spans="4:7" ht="15" customHeight="1" x14ac:dyDescent="0.3">
      <c r="D361" s="110" t="str">
        <f>IF(A361="","",IF(C361="2P",OPR_2P!B$2,IF(C361="SEG",SEG_6P!B$2,IF(C361="SOL",SOL_4P!B$2,IF(C361="RW",RW_2P!B$2,IF(C361="RW2",RW2_4P!B$2,0))))))</f>
        <v/>
      </c>
      <c r="F361" s="110" t="str">
        <f>IF(A361="","", QC_Plan!M361)</f>
        <v/>
      </c>
      <c r="G361" s="110" t="str">
        <f t="shared" si="8"/>
        <v/>
      </c>
    </row>
    <row r="362" spans="4:7" ht="15" customHeight="1" x14ac:dyDescent="0.3">
      <c r="D362" s="110" t="str">
        <f>IF(A362="","",IF(C362="2P",OPR_2P!B$2,IF(C362="SEG",SEG_6P!B$2,IF(C362="SOL",SOL_4P!B$2,IF(C362="RW",RW_2P!B$2,IF(C362="RW2",RW2_4P!B$2,0))))))</f>
        <v/>
      </c>
      <c r="F362" s="110" t="str">
        <f>IF(A362="","", QC_Plan!M362)</f>
        <v/>
      </c>
      <c r="G362" s="110" t="str">
        <f t="shared" si="8"/>
        <v/>
      </c>
    </row>
    <row r="363" spans="4:7" ht="15" customHeight="1" x14ac:dyDescent="0.3">
      <c r="D363" s="110" t="str">
        <f>IF(A363="","",IF(C363="2P",OPR_2P!B$2,IF(C363="SEG",SEG_6P!B$2,IF(C363="SOL",SOL_4P!B$2,IF(C363="RW",RW_2P!B$2,IF(C363="RW2",RW2_4P!B$2,0))))))</f>
        <v/>
      </c>
      <c r="F363" s="110" t="str">
        <f>IF(A363="","", QC_Plan!M363)</f>
        <v/>
      </c>
      <c r="G363" s="110" t="str">
        <f t="shared" si="8"/>
        <v/>
      </c>
    </row>
    <row r="364" spans="4:7" ht="15" customHeight="1" x14ac:dyDescent="0.3">
      <c r="D364" s="110" t="str">
        <f>IF(A364="","",IF(C364="2P",OPR_2P!B$2,IF(C364="SEG",SEG_6P!B$2,IF(C364="SOL",SOL_4P!B$2,IF(C364="RW",RW_2P!B$2,IF(C364="RW2",RW2_4P!B$2,0))))))</f>
        <v/>
      </c>
      <c r="F364" s="110" t="str">
        <f>IF(A364="","", QC_Plan!M364)</f>
        <v/>
      </c>
      <c r="G364" s="110" t="str">
        <f t="shared" si="8"/>
        <v/>
      </c>
    </row>
    <row r="365" spans="4:7" ht="15" customHeight="1" x14ac:dyDescent="0.3">
      <c r="D365" s="110" t="str">
        <f>IF(A365="","",IF(C365="2P",OPR_2P!B$2,IF(C365="SEG",SEG_6P!B$2,IF(C365="SOL",SOL_4P!B$2,IF(C365="RW",RW_2P!B$2,IF(C365="RW2",RW2_4P!B$2,0))))))</f>
        <v/>
      </c>
      <c r="F365" s="110" t="str">
        <f>IF(A365="","", QC_Plan!M365)</f>
        <v/>
      </c>
      <c r="G365" s="110" t="str">
        <f t="shared" si="8"/>
        <v/>
      </c>
    </row>
    <row r="366" spans="4:7" ht="15" customHeight="1" x14ac:dyDescent="0.3">
      <c r="D366" s="110" t="str">
        <f>IF(A366="","",IF(C366="2P",OPR_2P!B$2,IF(C366="SEG",SEG_6P!B$2,IF(C366="SOL",SOL_4P!B$2,IF(C366="RW",RW_2P!B$2,IF(C366="RW2",RW2_4P!B$2,0))))))</f>
        <v/>
      </c>
      <c r="F366" s="110" t="str">
        <f>IF(A366="","", QC_Plan!M366)</f>
        <v/>
      </c>
      <c r="G366" s="110" t="str">
        <f t="shared" si="8"/>
        <v/>
      </c>
    </row>
    <row r="367" spans="4:7" ht="15" customHeight="1" x14ac:dyDescent="0.3">
      <c r="D367" s="110" t="str">
        <f>IF(A367="","",IF(C367="2P",OPR_2P!B$2,IF(C367="SEG",SEG_6P!B$2,IF(C367="SOL",SOL_4P!B$2,IF(C367="RW",RW_2P!B$2,IF(C367="RW2",RW2_4P!B$2,0))))))</f>
        <v/>
      </c>
      <c r="F367" s="110" t="str">
        <f>IF(A367="","", QC_Plan!M367)</f>
        <v/>
      </c>
      <c r="G367" s="110" t="str">
        <f t="shared" si="8"/>
        <v/>
      </c>
    </row>
    <row r="368" spans="4:7" ht="15" customHeight="1" x14ac:dyDescent="0.3">
      <c r="D368" s="110" t="str">
        <f>IF(A368="","",IF(C368="2P",OPR_2P!B$2,IF(C368="SEG",SEG_6P!B$2,IF(C368="SOL",SOL_4P!B$2,IF(C368="RW",RW_2P!B$2,IF(C368="RW2",RW2_4P!B$2,0))))))</f>
        <v/>
      </c>
      <c r="F368" s="110" t="str">
        <f>IF(A368="","", QC_Plan!M368)</f>
        <v/>
      </c>
      <c r="G368" s="110" t="str">
        <f t="shared" si="8"/>
        <v/>
      </c>
    </row>
    <row r="369" spans="4:7" ht="15" customHeight="1" x14ac:dyDescent="0.3">
      <c r="D369" s="110" t="str">
        <f>IF(A369="","",IF(C369="2P",OPR_2P!B$2,IF(C369="SEG",SEG_6P!B$2,IF(C369="SOL",SOL_4P!B$2,IF(C369="RW",RW_2P!B$2,IF(C369="RW2",RW2_4P!B$2,0))))))</f>
        <v/>
      </c>
      <c r="F369" s="110" t="str">
        <f>IF(A369="","", QC_Plan!M369)</f>
        <v/>
      </c>
      <c r="G369" s="110" t="str">
        <f t="shared" si="8"/>
        <v/>
      </c>
    </row>
    <row r="370" spans="4:7" ht="15" customHeight="1" x14ac:dyDescent="0.3">
      <c r="D370" s="110" t="str">
        <f>IF(A370="","",IF(C370="2P",OPR_2P!B$2,IF(C370="SEG",SEG_6P!B$2,IF(C370="SOL",SOL_4P!B$2,IF(C370="RW",RW_2P!B$2,IF(C370="RW2",RW2_4P!B$2,0))))))</f>
        <v/>
      </c>
      <c r="F370" s="110" t="str">
        <f>IF(A370="","", QC_Plan!M370)</f>
        <v/>
      </c>
      <c r="G370" s="110" t="str">
        <f t="shared" si="8"/>
        <v/>
      </c>
    </row>
    <row r="371" spans="4:7" ht="15" customHeight="1" x14ac:dyDescent="0.3">
      <c r="D371" s="110" t="str">
        <f>IF(A371="","",IF(C371="2P",OPR_2P!B$2,IF(C371="SEG",SEG_6P!B$2,IF(C371="SOL",SOL_4P!B$2,IF(C371="RW",RW_2P!B$2,IF(C371="RW2",RW2_4P!B$2,0))))))</f>
        <v/>
      </c>
      <c r="F371" s="110" t="str">
        <f>IF(A371="","", QC_Plan!M371)</f>
        <v/>
      </c>
      <c r="G371" s="110" t="str">
        <f t="shared" si="8"/>
        <v/>
      </c>
    </row>
    <row r="372" spans="4:7" ht="15" customHeight="1" x14ac:dyDescent="0.3">
      <c r="D372" s="110" t="str">
        <f>IF(A372="","",IF(C372="2P",OPR_2P!B$2,IF(C372="SEG",SEG_6P!B$2,IF(C372="SOL",SOL_4P!B$2,IF(C372="RW",RW_2P!B$2,IF(C372="RW2",RW2_4P!B$2,0))))))</f>
        <v/>
      </c>
      <c r="F372" s="110" t="str">
        <f>IF(A372="","", QC_Plan!M372)</f>
        <v/>
      </c>
      <c r="G372" s="110" t="str">
        <f t="shared" si="8"/>
        <v/>
      </c>
    </row>
    <row r="373" spans="4:7" ht="15" customHeight="1" x14ac:dyDescent="0.3">
      <c r="D373" s="110" t="str">
        <f>IF(A373="","",IF(C373="2P",OPR_2P!B$2,IF(C373="SEG",SEG_6P!B$2,IF(C373="SOL",SOL_4P!B$2,IF(C373="RW",RW_2P!B$2,IF(C373="RW2",RW2_4P!B$2,0))))))</f>
        <v/>
      </c>
      <c r="F373" s="110" t="str">
        <f>IF(A373="","", QC_Plan!M373)</f>
        <v/>
      </c>
      <c r="G373" s="110" t="str">
        <f t="shared" si="8"/>
        <v/>
      </c>
    </row>
    <row r="374" spans="4:7" ht="15" customHeight="1" x14ac:dyDescent="0.3">
      <c r="D374" s="110" t="str">
        <f>IF(A374="","",IF(C374="2P",OPR_2P!B$2,IF(C374="SEG",SEG_6P!B$2,IF(C374="SOL",SOL_4P!B$2,IF(C374="RW",RW_2P!B$2,IF(C374="RW2",RW2_4P!B$2,0))))))</f>
        <v/>
      </c>
      <c r="F374" s="110" t="str">
        <f>IF(A374="","", QC_Plan!M374)</f>
        <v/>
      </c>
      <c r="G374" s="110" t="str">
        <f t="shared" si="8"/>
        <v/>
      </c>
    </row>
    <row r="375" spans="4:7" ht="15" customHeight="1" x14ac:dyDescent="0.3">
      <c r="D375" s="110" t="str">
        <f>IF(A375="","",IF(C375="2P",OPR_2P!B$2,IF(C375="SEG",SEG_6P!B$2,IF(C375="SOL",SOL_4P!B$2,IF(C375="RW",RW_2P!B$2,IF(C375="RW2",RW2_4P!B$2,0))))))</f>
        <v/>
      </c>
      <c r="F375" s="110" t="str">
        <f>IF(A375="","", QC_Plan!M375)</f>
        <v/>
      </c>
      <c r="G375" s="110" t="str">
        <f t="shared" si="8"/>
        <v/>
      </c>
    </row>
    <row r="376" spans="4:7" ht="15" customHeight="1" x14ac:dyDescent="0.3">
      <c r="D376" s="110" t="str">
        <f>IF(A376="","",IF(C376="2P",OPR_2P!B$2,IF(C376="SEG",SEG_6P!B$2,IF(C376="SOL",SOL_4P!B$2,IF(C376="RW",RW_2P!B$2,IF(C376="RW2",RW2_4P!B$2,0))))))</f>
        <v/>
      </c>
      <c r="F376" s="110" t="str">
        <f>IF(A376="","", QC_Plan!M376)</f>
        <v/>
      </c>
      <c r="G376" s="110" t="str">
        <f t="shared" si="8"/>
        <v/>
      </c>
    </row>
    <row r="377" spans="4:7" ht="15" customHeight="1" x14ac:dyDescent="0.3">
      <c r="D377" s="110" t="str">
        <f>IF(A377="","",IF(C377="2P",OPR_2P!B$2,IF(C377="SEG",SEG_6P!B$2,IF(C377="SOL",SOL_4P!B$2,IF(C377="RW",RW_2P!B$2,IF(C377="RW2",RW2_4P!B$2,0))))))</f>
        <v/>
      </c>
      <c r="F377" s="110" t="str">
        <f>IF(A377="","", QC_Plan!M377)</f>
        <v/>
      </c>
      <c r="G377" s="110" t="str">
        <f t="shared" si="8"/>
        <v/>
      </c>
    </row>
    <row r="378" spans="4:7" ht="15" customHeight="1" x14ac:dyDescent="0.3">
      <c r="D378" s="110" t="str">
        <f>IF(A378="","",IF(C378="2P",OPR_2P!B$2,IF(C378="SEG",SEG_6P!B$2,IF(C378="SOL",SOL_4P!B$2,IF(C378="RW",RW_2P!B$2,IF(C378="RW2",RW2_4P!B$2,0))))))</f>
        <v/>
      </c>
      <c r="F378" s="110" t="str">
        <f>IF(A378="","", QC_Plan!M378)</f>
        <v/>
      </c>
      <c r="G378" s="110" t="str">
        <f t="shared" si="8"/>
        <v/>
      </c>
    </row>
    <row r="379" spans="4:7" ht="15" customHeight="1" x14ac:dyDescent="0.3">
      <c r="D379" s="110" t="str">
        <f>IF(A379="","",IF(C379="2P",OPR_2P!B$2,IF(C379="SEG",SEG_6P!B$2,IF(C379="SOL",SOL_4P!B$2,IF(C379="RW",RW_2P!B$2,IF(C379="RW2",RW2_4P!B$2,0))))))</f>
        <v/>
      </c>
      <c r="F379" s="110" t="str">
        <f>IF(A379="","", QC_Plan!M379)</f>
        <v/>
      </c>
      <c r="G379" s="110" t="str">
        <f t="shared" si="8"/>
        <v/>
      </c>
    </row>
    <row r="380" spans="4:7" ht="15" customHeight="1" x14ac:dyDescent="0.3">
      <c r="D380" s="110" t="str">
        <f>IF(A380="","",IF(C380="2P",OPR_2P!B$2,IF(C380="SEG",SEG_6P!B$2,IF(C380="SOL",SOL_4P!B$2,IF(C380="RW",RW_2P!B$2,IF(C380="RW2",RW2_4P!B$2,0))))))</f>
        <v/>
      </c>
      <c r="F380" s="110" t="str">
        <f>IF(A380="","", QC_Plan!M380)</f>
        <v/>
      </c>
      <c r="G380" s="110" t="str">
        <f t="shared" si="8"/>
        <v/>
      </c>
    </row>
    <row r="381" spans="4:7" ht="15" customHeight="1" x14ac:dyDescent="0.3">
      <c r="D381" s="110" t="str">
        <f>IF(A381="","",IF(C381="2P",OPR_2P!B$2,IF(C381="SEG",SEG_6P!B$2,IF(C381="SOL",SOL_4P!B$2,IF(C381="RW",RW_2P!B$2,IF(C381="RW2",RW2_4P!B$2,0))))))</f>
        <v/>
      </c>
      <c r="F381" s="110" t="str">
        <f>IF(A381="","", QC_Plan!M381)</f>
        <v/>
      </c>
      <c r="G381" s="110" t="str">
        <f t="shared" si="8"/>
        <v/>
      </c>
    </row>
    <row r="382" spans="4:7" ht="15" customHeight="1" x14ac:dyDescent="0.3">
      <c r="D382" s="110" t="str">
        <f>IF(A382="","",IF(C382="2P",OPR_2P!B$2,IF(C382="SEG",SEG_6P!B$2,IF(C382="SOL",SOL_4P!B$2,IF(C382="RW",RW_2P!B$2,IF(C382="RW2",RW2_4P!B$2,0))))))</f>
        <v/>
      </c>
      <c r="F382" s="110" t="str">
        <f>IF(A382="","", QC_Plan!M382)</f>
        <v/>
      </c>
      <c r="G382" s="110" t="str">
        <f t="shared" si="8"/>
        <v/>
      </c>
    </row>
    <row r="383" spans="4:7" ht="15" customHeight="1" x14ac:dyDescent="0.3">
      <c r="D383" s="110" t="str">
        <f>IF(A383="","",IF(C383="2P",OPR_2P!B$2,IF(C383="SEG",SEG_6P!B$2,IF(C383="SOL",SOL_4P!B$2,IF(C383="RW",RW_2P!B$2,IF(C383="RW2",RW2_4P!B$2,0))))))</f>
        <v/>
      </c>
      <c r="F383" s="110" t="str">
        <f>IF(A383="","", QC_Plan!M383)</f>
        <v/>
      </c>
      <c r="G383" s="110" t="str">
        <f t="shared" si="8"/>
        <v/>
      </c>
    </row>
    <row r="384" spans="4:7" ht="15" customHeight="1" x14ac:dyDescent="0.3">
      <c r="D384" s="110" t="str">
        <f>IF(A384="","",IF(C384="2P",OPR_2P!B$2,IF(C384="SEG",SEG_6P!B$2,IF(C384="SOL",SOL_4P!B$2,IF(C384="RW",RW_2P!B$2,IF(C384="RW2",RW2_4P!B$2,0))))))</f>
        <v/>
      </c>
      <c r="F384" s="110" t="str">
        <f>IF(A384="","", QC_Plan!M384)</f>
        <v/>
      </c>
      <c r="G384" s="110" t="str">
        <f t="shared" si="8"/>
        <v/>
      </c>
    </row>
    <row r="385" spans="4:7" ht="15" customHeight="1" x14ac:dyDescent="0.3">
      <c r="D385" s="110" t="str">
        <f>IF(A385="","",IF(C385="2P",OPR_2P!B$2,IF(C385="SEG",SEG_6P!B$2,IF(C385="SOL",SOL_4P!B$2,IF(C385="RW",RW_2P!B$2,IF(C385="RW2",RW2_4P!B$2,0))))))</f>
        <v/>
      </c>
      <c r="F385" s="110" t="str">
        <f>IF(A385="","", QC_Plan!M385)</f>
        <v/>
      </c>
      <c r="G385" s="110" t="str">
        <f t="shared" si="8"/>
        <v/>
      </c>
    </row>
    <row r="386" spans="4:7" ht="15" customHeight="1" x14ac:dyDescent="0.3">
      <c r="D386" s="110" t="str">
        <f>IF(A386="","",IF(C386="2P",OPR_2P!B$2,IF(C386="SEG",SEG_6P!B$2,IF(C386="SOL",SOL_4P!B$2,IF(C386="RW",RW_2P!B$2,IF(C386="RW2",RW2_4P!B$2,0))))))</f>
        <v/>
      </c>
      <c r="F386" s="110" t="str">
        <f>IF(A386="","", QC_Plan!M386)</f>
        <v/>
      </c>
      <c r="G386" s="110" t="str">
        <f t="shared" si="8"/>
        <v/>
      </c>
    </row>
    <row r="387" spans="4:7" ht="15" customHeight="1" x14ac:dyDescent="0.3">
      <c r="D387" s="110" t="str">
        <f>IF(A387="","",IF(C387="2P",OPR_2P!B$2,IF(C387="SEG",SEG_6P!B$2,IF(C387="SOL",SOL_4P!B$2,IF(C387="RW",RW_2P!B$2,IF(C387="RW2",RW2_4P!B$2,0))))))</f>
        <v/>
      </c>
      <c r="F387" s="110" t="str">
        <f>IF(A387="","", QC_Plan!M387)</f>
        <v/>
      </c>
      <c r="G387" s="110" t="str">
        <f t="shared" si="8"/>
        <v/>
      </c>
    </row>
    <row r="388" spans="4:7" ht="15" customHeight="1" x14ac:dyDescent="0.3">
      <c r="D388" s="110" t="str">
        <f>IF(A388="","",IF(C388="2P",OPR_2P!B$2,IF(C388="SEG",SEG_6P!B$2,IF(C388="SOL",SOL_4P!B$2,IF(C388="RW",RW_2P!B$2,IF(C388="RW2",RW2_4P!B$2,0))))))</f>
        <v/>
      </c>
      <c r="F388" s="110" t="str">
        <f>IF(A388="","", QC_Plan!M388)</f>
        <v/>
      </c>
      <c r="G388" s="110" t="str">
        <f t="shared" si="8"/>
        <v/>
      </c>
    </row>
    <row r="389" spans="4:7" ht="15" customHeight="1" x14ac:dyDescent="0.3">
      <c r="D389" s="110" t="str">
        <f>IF(A389="","",IF(C389="2P",OPR_2P!B$2,IF(C389="SEG",SEG_6P!B$2,IF(C389="SOL",SOL_4P!B$2,IF(C389="RW",RW_2P!B$2,IF(C389="RW2",RW2_4P!B$2,0))))))</f>
        <v/>
      </c>
      <c r="F389" s="110" t="str">
        <f>IF(A389="","", QC_Plan!M389)</f>
        <v/>
      </c>
      <c r="G389" s="110" t="str">
        <f t="shared" si="8"/>
        <v/>
      </c>
    </row>
    <row r="390" spans="4:7" ht="15" customHeight="1" x14ac:dyDescent="0.3">
      <c r="D390" s="110" t="str">
        <f>IF(A390="","",IF(C390="2P",OPR_2P!B$2,IF(C390="SEG",SEG_6P!B$2,IF(C390="SOL",SOL_4P!B$2,IF(C390="RW",RW_2P!B$2,IF(C390="RW2",RW2_4P!B$2,0))))))</f>
        <v/>
      </c>
      <c r="F390" s="110" t="str">
        <f>IF(A390="","", QC_Plan!M390)</f>
        <v/>
      </c>
      <c r="G390" s="110" t="str">
        <f t="shared" si="8"/>
        <v/>
      </c>
    </row>
    <row r="391" spans="4:7" ht="15" customHeight="1" x14ac:dyDescent="0.3">
      <c r="D391" s="110" t="str">
        <f>IF(A391="","",IF(C391="2P",OPR_2P!B$2,IF(C391="SEG",SEG_6P!B$2,IF(C391="SOL",SOL_4P!B$2,IF(C391="RW",RW_2P!B$2,IF(C391="RW2",RW2_4P!B$2,0))))))</f>
        <v/>
      </c>
      <c r="F391" s="110" t="str">
        <f>IF(A391="","", QC_Plan!M391)</f>
        <v/>
      </c>
      <c r="G391" s="110" t="str">
        <f t="shared" si="8"/>
        <v/>
      </c>
    </row>
    <row r="392" spans="4:7" ht="15" customHeight="1" x14ac:dyDescent="0.3">
      <c r="D392" s="110" t="str">
        <f>IF(A392="","",IF(C392="2P",OPR_2P!B$2,IF(C392="SEG",SEG_6P!B$2,IF(C392="SOL",SOL_4P!B$2,IF(C392="RW",RW_2P!B$2,IF(C392="RW2",RW2_4P!B$2,0))))))</f>
        <v/>
      </c>
      <c r="F392" s="110" t="str">
        <f>IF(A392="","", QC_Plan!M392)</f>
        <v/>
      </c>
      <c r="G392" s="110" t="str">
        <f t="shared" si="8"/>
        <v/>
      </c>
    </row>
    <row r="393" spans="4:7" ht="15" customHeight="1" x14ac:dyDescent="0.3">
      <c r="D393" s="110" t="str">
        <f>IF(A393="","",IF(C393="2P",OPR_2P!B$2,IF(C393="SEG",SEG_6P!B$2,IF(C393="SOL",SOL_4P!B$2,IF(C393="RW",RW_2P!B$2,IF(C393="RW2",RW2_4P!B$2,0))))))</f>
        <v/>
      </c>
      <c r="F393" s="110" t="str">
        <f>IF(A393="","", QC_Plan!M393)</f>
        <v/>
      </c>
      <c r="G393" s="110" t="str">
        <f t="shared" si="8"/>
        <v/>
      </c>
    </row>
    <row r="394" spans="4:7" ht="15" customHeight="1" x14ac:dyDescent="0.3">
      <c r="D394" s="110" t="str">
        <f>IF(A394="","",IF(C394="2P",OPR_2P!B$2,IF(C394="SEG",SEG_6P!B$2,IF(C394="SOL",SOL_4P!B$2,IF(C394="RW",RW_2P!B$2,IF(C394="RW2",RW2_4P!B$2,0))))))</f>
        <v/>
      </c>
      <c r="F394" s="110" t="str">
        <f>IF(A394="","", QC_Plan!M394)</f>
        <v/>
      </c>
      <c r="G394" s="110" t="str">
        <f t="shared" si="8"/>
        <v/>
      </c>
    </row>
    <row r="395" spans="4:7" ht="15" customHeight="1" x14ac:dyDescent="0.3">
      <c r="D395" s="110" t="str">
        <f>IF(A395="","",IF(C395="2P",OPR_2P!B$2,IF(C395="SEG",SEG_6P!B$2,IF(C395="SOL",SOL_4P!B$2,IF(C395="RW",RW_2P!B$2,IF(C395="RW2",RW2_4P!B$2,0))))))</f>
        <v/>
      </c>
      <c r="F395" s="110" t="str">
        <f>IF(A395="","", QC_Plan!M395)</f>
        <v/>
      </c>
      <c r="G395" s="110" t="str">
        <f t="shared" si="8"/>
        <v/>
      </c>
    </row>
    <row r="396" spans="4:7" ht="15" customHeight="1" x14ac:dyDescent="0.3">
      <c r="D396" s="110" t="str">
        <f>IF(A396="","",IF(C396="2P",OPR_2P!B$2,IF(C396="SEG",SEG_6P!B$2,IF(C396="SOL",SOL_4P!B$2,IF(C396="RW",RW_2P!B$2,IF(C396="RW2",RW2_4P!B$2,0))))))</f>
        <v/>
      </c>
      <c r="F396" s="110" t="str">
        <f>IF(A396="","", QC_Plan!M396)</f>
        <v/>
      </c>
      <c r="G396" s="110" t="str">
        <f t="shared" si="8"/>
        <v/>
      </c>
    </row>
    <row r="397" spans="4:7" ht="15" customHeight="1" x14ac:dyDescent="0.3">
      <c r="D397" s="110" t="str">
        <f>IF(A397="","",IF(C397="2P",OPR_2P!B$2,IF(C397="SEG",SEG_6P!B$2,IF(C397="SOL",SOL_4P!B$2,IF(C397="RW",RW_2P!B$2,IF(C397="RW2",RW2_4P!B$2,0))))))</f>
        <v/>
      </c>
      <c r="F397" s="110" t="str">
        <f>IF(A397="","", QC_Plan!M397)</f>
        <v/>
      </c>
      <c r="G397" s="110" t="str">
        <f t="shared" si="8"/>
        <v/>
      </c>
    </row>
    <row r="398" spans="4:7" ht="15" customHeight="1" x14ac:dyDescent="0.3">
      <c r="D398" s="110" t="str">
        <f>IF(A398="","",IF(C398="2P",OPR_2P!B$2,IF(C398="SEG",SEG_6P!B$2,IF(C398="SOL",SOL_4P!B$2,IF(C398="RW",RW_2P!B$2,IF(C398="RW2",RW2_4P!B$2,0))))))</f>
        <v/>
      </c>
      <c r="F398" s="110" t="str">
        <f>IF(A398="","", QC_Plan!M398)</f>
        <v/>
      </c>
      <c r="G398" s="110" t="str">
        <f t="shared" si="8"/>
        <v/>
      </c>
    </row>
    <row r="399" spans="4:7" ht="15" customHeight="1" x14ac:dyDescent="0.3">
      <c r="D399" s="110" t="str">
        <f>IF(A399="","",IF(C399="2P",OPR_2P!B$2,IF(C399="SEG",SEG_6P!B$2,IF(C399="SOL",SOL_4P!B$2,IF(C399="RW",RW_2P!B$2,IF(C399="RW2",RW2_4P!B$2,0))))))</f>
        <v/>
      </c>
      <c r="F399" s="110" t="str">
        <f>IF(A399="","", QC_Plan!M399)</f>
        <v/>
      </c>
      <c r="G399" s="110" t="str">
        <f t="shared" si="8"/>
        <v/>
      </c>
    </row>
    <row r="400" spans="4:7" ht="15" customHeight="1" x14ac:dyDescent="0.3">
      <c r="D400" s="110" t="str">
        <f>IF(A400="","",IF(C400="2P",OPR_2P!B$2,IF(C400="SEG",SEG_6P!B$2,IF(C400="SOL",SOL_4P!B$2,IF(C400="RW",RW_2P!B$2,IF(C400="RW2",RW2_4P!B$2,0))))))</f>
        <v/>
      </c>
      <c r="F400" s="110" t="str">
        <f>IF(A400="","", QC_Plan!M400)</f>
        <v/>
      </c>
      <c r="G400" s="110" t="str">
        <f t="shared" si="8"/>
        <v/>
      </c>
    </row>
    <row r="401" spans="4:7" ht="15" customHeight="1" x14ac:dyDescent="0.3">
      <c r="D401" s="110" t="str">
        <f>IF(A401="","",IF(C401="2P",OPR_2P!B$2,IF(C401="SEG",SEG_6P!B$2,IF(C401="SOL",SOL_4P!B$2,IF(C401="RW",RW_2P!B$2,IF(C401="RW2",RW2_4P!B$2,0))))))</f>
        <v/>
      </c>
      <c r="F401" s="110" t="str">
        <f>IF(A401="","", QC_Plan!M401)</f>
        <v/>
      </c>
      <c r="G401" s="110" t="str">
        <f t="shared" si="8"/>
        <v/>
      </c>
    </row>
    <row r="402" spans="4:7" ht="15" customHeight="1" x14ac:dyDescent="0.3">
      <c r="D402" s="110" t="str">
        <f>IF(A402="","",IF(C402="2P",OPR_2P!B$2,IF(C402="SEG",SEG_6P!B$2,IF(C402="SOL",SOL_4P!B$2,IF(C402="RW",RW_2P!B$2,IF(C402="RW2",RW2_4P!B$2,0))))))</f>
        <v/>
      </c>
      <c r="F402" s="110" t="str">
        <f>IF(A402="","", QC_Plan!M402)</f>
        <v/>
      </c>
      <c r="G402" s="110" t="str">
        <f t="shared" si="8"/>
        <v/>
      </c>
    </row>
    <row r="403" spans="4:7" ht="15" customHeight="1" x14ac:dyDescent="0.3">
      <c r="D403" s="110" t="str">
        <f>IF(A403="","",IF(C403="2P",OPR_2P!B$2,IF(C403="SEG",SEG_6P!B$2,IF(C403="SOL",SOL_4P!B$2,IF(C403="RW",RW_2P!B$2,IF(C403="RW2",RW2_4P!B$2,0))))))</f>
        <v/>
      </c>
      <c r="F403" s="110" t="str">
        <f>IF(A403="","", QC_Plan!M403)</f>
        <v/>
      </c>
      <c r="G403" s="110" t="str">
        <f t="shared" si="8"/>
        <v/>
      </c>
    </row>
    <row r="404" spans="4:7" ht="15" customHeight="1" x14ac:dyDescent="0.3">
      <c r="D404" s="110" t="str">
        <f>IF(A404="","",IF(C404="2P",OPR_2P!B$2,IF(C404="SEG",SEG_6P!B$2,IF(C404="SOL",SOL_4P!B$2,IF(C404="RW",RW_2P!B$2,IF(C404="RW2",RW2_4P!B$2,0))))))</f>
        <v/>
      </c>
      <c r="F404" s="110" t="str">
        <f>IF(A404="","", QC_Plan!M404)</f>
        <v/>
      </c>
      <c r="G404" s="110" t="str">
        <f t="shared" si="8"/>
        <v/>
      </c>
    </row>
    <row r="405" spans="4:7" ht="15" customHeight="1" x14ac:dyDescent="0.3">
      <c r="D405" s="110" t="str">
        <f>IF(A405="","",IF(C405="2P",OPR_2P!B$2,IF(C405="SEG",SEG_6P!B$2,IF(C405="SOL",SOL_4P!B$2,IF(C405="RW",RW_2P!B$2,IF(C405="RW2",RW2_4P!B$2,0))))))</f>
        <v/>
      </c>
      <c r="F405" s="110" t="str">
        <f>IF(A405="","", QC_Plan!M405)</f>
        <v/>
      </c>
      <c r="G405" s="110" t="str">
        <f t="shared" si="8"/>
        <v/>
      </c>
    </row>
    <row r="406" spans="4:7" ht="15" customHeight="1" x14ac:dyDescent="0.3">
      <c r="D406" s="110" t="str">
        <f>IF(A406="","",IF(C406="2P",OPR_2P!B$2,IF(C406="SEG",SEG_6P!B$2,IF(C406="SOL",SOL_4P!B$2,IF(C406="RW",RW_2P!B$2,IF(C406="RW2",RW2_4P!B$2,0))))))</f>
        <v/>
      </c>
      <c r="F406" s="110" t="str">
        <f>IF(A406="","", QC_Plan!M406)</f>
        <v/>
      </c>
      <c r="G406" s="110" t="str">
        <f t="shared" si="8"/>
        <v/>
      </c>
    </row>
    <row r="407" spans="4:7" ht="15" customHeight="1" x14ac:dyDescent="0.3">
      <c r="D407" s="110" t="str">
        <f>IF(A407="","",IF(C407="2P",OPR_2P!B$2,IF(C407="SEG",SEG_6P!B$2,IF(C407="SOL",SOL_4P!B$2,IF(C407="RW",RW_2P!B$2,IF(C407="RW2",RW2_4P!B$2,0))))))</f>
        <v/>
      </c>
      <c r="F407" s="110" t="str">
        <f>IF(A407="","", QC_Plan!M407)</f>
        <v/>
      </c>
      <c r="G407" s="110" t="str">
        <f t="shared" si="8"/>
        <v/>
      </c>
    </row>
    <row r="408" spans="4:7" ht="15" customHeight="1" x14ac:dyDescent="0.3">
      <c r="D408" s="110" t="str">
        <f>IF(A408="","",IF(C408="2P",OPR_2P!B$2,IF(C408="SEG",SEG_6P!B$2,IF(C408="SOL",SOL_4P!B$2,IF(C408="RW",RW_2P!B$2,IF(C408="RW2",RW2_4P!B$2,0))))))</f>
        <v/>
      </c>
      <c r="F408" s="110" t="str">
        <f>IF(A408="","", QC_Plan!M408)</f>
        <v/>
      </c>
      <c r="G408" s="110" t="str">
        <f t="shared" si="8"/>
        <v/>
      </c>
    </row>
    <row r="409" spans="4:7" ht="15" customHeight="1" x14ac:dyDescent="0.3">
      <c r="D409" s="110" t="str">
        <f>IF(A409="","",IF(C409="2P",OPR_2P!B$2,IF(C409="SEG",SEG_6P!B$2,IF(C409="SOL",SOL_4P!B$2,IF(C409="RW",RW_2P!B$2,IF(C409="RW2",RW2_4P!B$2,0))))))</f>
        <v/>
      </c>
      <c r="F409" s="110" t="str">
        <f>IF(A409="","", QC_Plan!M409)</f>
        <v/>
      </c>
      <c r="G409" s="110" t="str">
        <f t="shared" si="8"/>
        <v/>
      </c>
    </row>
    <row r="410" spans="4:7" ht="15" customHeight="1" x14ac:dyDescent="0.3">
      <c r="D410" s="110" t="str">
        <f>IF(A410="","",IF(C410="2P",OPR_2P!B$2,IF(C410="SEG",SEG_6P!B$2,IF(C410="SOL",SOL_4P!B$2,IF(C410="RW",RW_2P!B$2,IF(C410="RW2",RW2_4P!B$2,0))))))</f>
        <v/>
      </c>
      <c r="F410" s="110" t="str">
        <f>IF(A410="","", QC_Plan!M410)</f>
        <v/>
      </c>
      <c r="G410" s="110" t="str">
        <f t="shared" si="8"/>
        <v/>
      </c>
    </row>
    <row r="411" spans="4:7" ht="15" customHeight="1" x14ac:dyDescent="0.3">
      <c r="D411" s="110" t="str">
        <f>IF(A411="","",IF(C411="2P",OPR_2P!B$2,IF(C411="SEG",SEG_6P!B$2,IF(C411="SOL",SOL_4P!B$2,IF(C411="RW",RW_2P!B$2,IF(C411="RW2",RW2_4P!B$2,0))))))</f>
        <v/>
      </c>
      <c r="F411" s="110" t="str">
        <f>IF(A411="","", QC_Plan!M411)</f>
        <v/>
      </c>
      <c r="G411" s="110" t="str">
        <f t="shared" si="8"/>
        <v/>
      </c>
    </row>
    <row r="412" spans="4:7" ht="15" customHeight="1" x14ac:dyDescent="0.3">
      <c r="D412" s="110" t="str">
        <f>IF(A412="","",IF(C412="2P",OPR_2P!B$2,IF(C412="SEG",SEG_6P!B$2,IF(C412="SOL",SOL_4P!B$2,IF(C412="RW",RW_2P!B$2,IF(C412="RW2",RW2_4P!B$2,0))))))</f>
        <v/>
      </c>
      <c r="F412" s="110" t="str">
        <f>IF(A412="","", QC_Plan!M412)</f>
        <v/>
      </c>
      <c r="G412" s="110" t="str">
        <f t="shared" si="8"/>
        <v/>
      </c>
    </row>
    <row r="413" spans="4:7" ht="15" customHeight="1" x14ac:dyDescent="0.3">
      <c r="D413" s="110" t="str">
        <f>IF(A413="","",IF(C413="2P",OPR_2P!B$2,IF(C413="SEG",SEG_6P!B$2,IF(C413="SOL",SOL_4P!B$2,IF(C413="RW",RW_2P!B$2,IF(C413="RW2",RW2_4P!B$2,0))))))</f>
        <v/>
      </c>
      <c r="F413" s="110" t="str">
        <f>IF(A413="","", QC_Plan!M413)</f>
        <v/>
      </c>
      <c r="G413" s="110" t="str">
        <f t="shared" si="8"/>
        <v/>
      </c>
    </row>
    <row r="414" spans="4:7" ht="15" customHeight="1" x14ac:dyDescent="0.3">
      <c r="D414" s="110" t="str">
        <f>IF(A414="","",IF(C414="2P",OPR_2P!B$2,IF(C414="SEG",SEG_6P!B$2,IF(C414="SOL",SOL_4P!B$2,IF(C414="RW",RW_2P!B$2,IF(C414="RW2",RW2_4P!B$2,0))))))</f>
        <v/>
      </c>
      <c r="F414" s="110" t="str">
        <f>IF(A414="","", QC_Plan!M414)</f>
        <v/>
      </c>
      <c r="G414" s="110" t="str">
        <f t="shared" si="8"/>
        <v/>
      </c>
    </row>
    <row r="415" spans="4:7" ht="15" customHeight="1" x14ac:dyDescent="0.3">
      <c r="D415" s="110" t="str">
        <f>IF(A415="","",IF(C415="2P",OPR_2P!B$2,IF(C415="SEG",SEG_6P!B$2,IF(C415="SOL",SOL_4P!B$2,IF(C415="RW",RW_2P!B$2,IF(C415="RW2",RW2_4P!B$2,0))))))</f>
        <v/>
      </c>
      <c r="F415" s="110" t="str">
        <f>IF(A415="","", QC_Plan!M415)</f>
        <v/>
      </c>
      <c r="G415" s="110" t="str">
        <f t="shared" si="8"/>
        <v/>
      </c>
    </row>
    <row r="416" spans="4:7" ht="15" customHeight="1" x14ac:dyDescent="0.3">
      <c r="D416" s="110" t="str">
        <f>IF(A416="","",IF(C416="2P",OPR_2P!B$2,IF(C416="SEG",SEG_6P!B$2,IF(C416="SOL",SOL_4P!B$2,IF(C416="RW",RW_2P!B$2,IF(C416="RW2",RW2_4P!B$2,0))))))</f>
        <v/>
      </c>
      <c r="F416" s="110" t="str">
        <f>IF(A416="","", QC_Plan!M416)</f>
        <v/>
      </c>
      <c r="G416" s="110" t="str">
        <f t="shared" si="8"/>
        <v/>
      </c>
    </row>
    <row r="417" spans="4:7" ht="15" customHeight="1" x14ac:dyDescent="0.3">
      <c r="D417" s="110" t="str">
        <f>IF(A417="","",IF(C417="2P",OPR_2P!B$2,IF(C417="SEG",SEG_6P!B$2,IF(C417="SOL",SOL_4P!B$2,IF(C417="RW",RW_2P!B$2,IF(C417="RW2",RW2_4P!B$2,0))))))</f>
        <v/>
      </c>
      <c r="F417" s="110" t="str">
        <f>IF(A417="","", QC_Plan!M417)</f>
        <v/>
      </c>
      <c r="G417" s="110" t="str">
        <f t="shared" si="8"/>
        <v/>
      </c>
    </row>
    <row r="418" spans="4:7" ht="15" customHeight="1" x14ac:dyDescent="0.3">
      <c r="D418" s="110" t="str">
        <f>IF(A418="","",IF(C418="2P",OPR_2P!B$2,IF(C418="SEG",SEG_6P!B$2,IF(C418="SOL",SOL_4P!B$2,IF(C418="RW",RW_2P!B$2,IF(C418="RW2",RW2_4P!B$2,0))))))</f>
        <v/>
      </c>
      <c r="F418" s="110" t="str">
        <f>IF(A418="","", QC_Plan!M418)</f>
        <v/>
      </c>
      <c r="G418" s="110" t="str">
        <f t="shared" si="8"/>
        <v/>
      </c>
    </row>
    <row r="419" spans="4:7" ht="15" customHeight="1" x14ac:dyDescent="0.3">
      <c r="D419" s="110" t="str">
        <f>IF(A419="","",IF(C419="2P",OPR_2P!B$2,IF(C419="SEG",SEG_6P!B$2,IF(C419="SOL",SOL_4P!B$2,IF(C419="RW",RW_2P!B$2,IF(C419="RW2",RW2_4P!B$2,0))))))</f>
        <v/>
      </c>
      <c r="F419" s="110" t="str">
        <f>IF(A419="","", QC_Plan!M419)</f>
        <v/>
      </c>
      <c r="G419" s="110" t="str">
        <f t="shared" si="8"/>
        <v/>
      </c>
    </row>
    <row r="420" spans="4:7" ht="15" customHeight="1" x14ac:dyDescent="0.3">
      <c r="D420" s="110" t="str">
        <f>IF(A420="","",IF(C420="2P",OPR_2P!B$2,IF(C420="SEG",SEG_6P!B$2,IF(C420="SOL",SOL_4P!B$2,IF(C420="RW",RW_2P!B$2,IF(C420="RW2",RW2_4P!B$2,0))))))</f>
        <v/>
      </c>
      <c r="F420" s="110" t="str">
        <f>IF(A420="","", QC_Plan!M420)</f>
        <v/>
      </c>
      <c r="G420" s="110" t="str">
        <f t="shared" si="8"/>
        <v/>
      </c>
    </row>
    <row r="421" spans="4:7" ht="15" customHeight="1" x14ac:dyDescent="0.3">
      <c r="D421" s="110" t="str">
        <f>IF(A421="","",IF(C421="2P",OPR_2P!B$2,IF(C421="SEG",SEG_6P!B$2,IF(C421="SOL",SOL_4P!B$2,IF(C421="RW",RW_2P!B$2,IF(C421="RW2",RW2_4P!B$2,0))))))</f>
        <v/>
      </c>
      <c r="F421" s="110" t="str">
        <f>IF(A421="","", QC_Plan!M421)</f>
        <v/>
      </c>
      <c r="G421" s="110" t="str">
        <f t="shared" si="8"/>
        <v/>
      </c>
    </row>
    <row r="422" spans="4:7" ht="15" customHeight="1" x14ac:dyDescent="0.3">
      <c r="D422" s="110" t="str">
        <f>IF(A422="","",IF(C422="2P",OPR_2P!B$2,IF(C422="SEG",SEG_6P!B$2,IF(C422="SOL",SOL_4P!B$2,IF(C422="RW",RW_2P!B$2,IF(C422="RW2",RW2_4P!B$2,0))))))</f>
        <v/>
      </c>
      <c r="F422" s="110" t="str">
        <f>IF(A422="","", QC_Plan!M422)</f>
        <v/>
      </c>
      <c r="G422" s="110" t="str">
        <f t="shared" si="8"/>
        <v/>
      </c>
    </row>
    <row r="423" spans="4:7" ht="15" customHeight="1" x14ac:dyDescent="0.3">
      <c r="D423" s="110" t="str">
        <f>IF(A423="","",IF(C423="2P",OPR_2P!B$2,IF(C423="SEG",SEG_6P!B$2,IF(C423="SOL",SOL_4P!B$2,IF(C423="RW",RW_2P!B$2,IF(C423="RW2",RW2_4P!B$2,0))))))</f>
        <v/>
      </c>
      <c r="F423" s="110" t="str">
        <f>IF(A423="","", QC_Plan!M423)</f>
        <v/>
      </c>
      <c r="G423" s="110" t="str">
        <f t="shared" si="8"/>
        <v/>
      </c>
    </row>
    <row r="424" spans="4:7" ht="15" customHeight="1" x14ac:dyDescent="0.3">
      <c r="D424" s="110" t="str">
        <f>IF(A424="","",IF(C424="2P",OPR_2P!B$2,IF(C424="SEG",SEG_6P!B$2,IF(C424="SOL",SOL_4P!B$2,IF(C424="RW",RW_2P!B$2,IF(C424="RW2",RW2_4P!B$2,0))))))</f>
        <v/>
      </c>
      <c r="F424" s="110" t="str">
        <f>IF(A424="","", QC_Plan!M424)</f>
        <v/>
      </c>
      <c r="G424" s="110" t="str">
        <f t="shared" ref="G424:G487" si="9">IF(B424="","",IF(H424&gt;1000,"High",IF(H424&gt;500,"Medium","Low")))</f>
        <v/>
      </c>
    </row>
    <row r="425" spans="4:7" ht="15" customHeight="1" x14ac:dyDescent="0.3">
      <c r="D425" s="110" t="str">
        <f>IF(A425="","",IF(C425="2P",OPR_2P!B$2,IF(C425="SEG",SEG_6P!B$2,IF(C425="SOL",SOL_4P!B$2,IF(C425="RW",RW_2P!B$2,IF(C425="RW2",RW2_4P!B$2,0))))))</f>
        <v/>
      </c>
      <c r="F425" s="110" t="str">
        <f>IF(A425="","", QC_Plan!M425)</f>
        <v/>
      </c>
      <c r="G425" s="110" t="str">
        <f t="shared" si="9"/>
        <v/>
      </c>
    </row>
    <row r="426" spans="4:7" ht="15" customHeight="1" x14ac:dyDescent="0.3">
      <c r="D426" s="110" t="str">
        <f>IF(A426="","",IF(C426="2P",OPR_2P!B$2,IF(C426="SEG",SEG_6P!B$2,IF(C426="SOL",SOL_4P!B$2,IF(C426="RW",RW_2P!B$2,IF(C426="RW2",RW2_4P!B$2,0))))))</f>
        <v/>
      </c>
      <c r="F426" s="110" t="str">
        <f>IF(A426="","", QC_Plan!M426)</f>
        <v/>
      </c>
      <c r="G426" s="110" t="str">
        <f t="shared" si="9"/>
        <v/>
      </c>
    </row>
    <row r="427" spans="4:7" ht="15" customHeight="1" x14ac:dyDescent="0.3">
      <c r="D427" s="110" t="str">
        <f>IF(A427="","",IF(C427="2P",OPR_2P!B$2,IF(C427="SEG",SEG_6P!B$2,IF(C427="SOL",SOL_4P!B$2,IF(C427="RW",RW_2P!B$2,IF(C427="RW2",RW2_4P!B$2,0))))))</f>
        <v/>
      </c>
      <c r="F427" s="110" t="str">
        <f>IF(A427="","", QC_Plan!M427)</f>
        <v/>
      </c>
      <c r="G427" s="110" t="str">
        <f t="shared" si="9"/>
        <v/>
      </c>
    </row>
    <row r="428" spans="4:7" ht="15" customHeight="1" x14ac:dyDescent="0.3">
      <c r="D428" s="110" t="str">
        <f>IF(A428="","",IF(C428="2P",OPR_2P!B$2,IF(C428="SEG",SEG_6P!B$2,IF(C428="SOL",SOL_4P!B$2,IF(C428="RW",RW_2P!B$2,IF(C428="RW2",RW2_4P!B$2,0))))))</f>
        <v/>
      </c>
      <c r="F428" s="110" t="str">
        <f>IF(A428="","", QC_Plan!M428)</f>
        <v/>
      </c>
      <c r="G428" s="110" t="str">
        <f t="shared" si="9"/>
        <v/>
      </c>
    </row>
    <row r="429" spans="4:7" ht="15" customHeight="1" x14ac:dyDescent="0.3">
      <c r="D429" s="110" t="str">
        <f>IF(A429="","",IF(C429="2P",OPR_2P!B$2,IF(C429="SEG",SEG_6P!B$2,IF(C429="SOL",SOL_4P!B$2,IF(C429="RW",RW_2P!B$2,IF(C429="RW2",RW2_4P!B$2,0))))))</f>
        <v/>
      </c>
      <c r="F429" s="110" t="str">
        <f>IF(A429="","", QC_Plan!M429)</f>
        <v/>
      </c>
      <c r="G429" s="110" t="str">
        <f t="shared" si="9"/>
        <v/>
      </c>
    </row>
    <row r="430" spans="4:7" ht="15" customHeight="1" x14ac:dyDescent="0.3">
      <c r="D430" s="110" t="str">
        <f>IF(A430="","",IF(C430="2P",OPR_2P!B$2,IF(C430="SEG",SEG_6P!B$2,IF(C430="SOL",SOL_4P!B$2,IF(C430="RW",RW_2P!B$2,IF(C430="RW2",RW2_4P!B$2,0))))))</f>
        <v/>
      </c>
      <c r="F430" s="110" t="str">
        <f>IF(A430="","", QC_Plan!M430)</f>
        <v/>
      </c>
      <c r="G430" s="110" t="str">
        <f t="shared" si="9"/>
        <v/>
      </c>
    </row>
    <row r="431" spans="4:7" ht="15" customHeight="1" x14ac:dyDescent="0.3">
      <c r="D431" s="110" t="str">
        <f>IF(A431="","",IF(C431="2P",OPR_2P!B$2,IF(C431="SEG",SEG_6P!B$2,IF(C431="SOL",SOL_4P!B$2,IF(C431="RW",RW_2P!B$2,IF(C431="RW2",RW2_4P!B$2,0))))))</f>
        <v/>
      </c>
      <c r="F431" s="110" t="str">
        <f>IF(A431="","", QC_Plan!M431)</f>
        <v/>
      </c>
      <c r="G431" s="110" t="str">
        <f t="shared" si="9"/>
        <v/>
      </c>
    </row>
    <row r="432" spans="4:7" ht="15" customHeight="1" x14ac:dyDescent="0.3">
      <c r="D432" s="110" t="str">
        <f>IF(A432="","",IF(C432="2P",OPR_2P!B$2,IF(C432="SEG",SEG_6P!B$2,IF(C432="SOL",SOL_4P!B$2,IF(C432="RW",RW_2P!B$2,IF(C432="RW2",RW2_4P!B$2,0))))))</f>
        <v/>
      </c>
      <c r="F432" s="110" t="str">
        <f>IF(A432="","", QC_Plan!M432)</f>
        <v/>
      </c>
      <c r="G432" s="110" t="str">
        <f t="shared" si="9"/>
        <v/>
      </c>
    </row>
    <row r="433" spans="4:7" ht="15" customHeight="1" x14ac:dyDescent="0.3">
      <c r="D433" s="110" t="str">
        <f>IF(A433="","",IF(C433="2P",OPR_2P!B$2,IF(C433="SEG",SEG_6P!B$2,IF(C433="SOL",SOL_4P!B$2,IF(C433="RW",RW_2P!B$2,IF(C433="RW2",RW2_4P!B$2,0))))))</f>
        <v/>
      </c>
      <c r="F433" s="110" t="str">
        <f>IF(A433="","", QC_Plan!M433)</f>
        <v/>
      </c>
      <c r="G433" s="110" t="str">
        <f t="shared" si="9"/>
        <v/>
      </c>
    </row>
    <row r="434" spans="4:7" ht="15" customHeight="1" x14ac:dyDescent="0.3">
      <c r="D434" s="110" t="str">
        <f>IF(A434="","",IF(C434="2P",OPR_2P!B$2,IF(C434="SEG",SEG_6P!B$2,IF(C434="SOL",SOL_4P!B$2,IF(C434="RW",RW_2P!B$2,IF(C434="RW2",RW2_4P!B$2,0))))))</f>
        <v/>
      </c>
      <c r="F434" s="110" t="str">
        <f>IF(A434="","", QC_Plan!M434)</f>
        <v/>
      </c>
      <c r="G434" s="110" t="str">
        <f t="shared" si="9"/>
        <v/>
      </c>
    </row>
    <row r="435" spans="4:7" ht="15" customHeight="1" x14ac:dyDescent="0.3">
      <c r="D435" s="110" t="str">
        <f>IF(A435="","",IF(C435="2P",OPR_2P!B$2,IF(C435="SEG",SEG_6P!B$2,IF(C435="SOL",SOL_4P!B$2,IF(C435="RW",RW_2P!B$2,IF(C435="RW2",RW2_4P!B$2,0))))))</f>
        <v/>
      </c>
      <c r="F435" s="110" t="str">
        <f>IF(A435="","", QC_Plan!M435)</f>
        <v/>
      </c>
      <c r="G435" s="110" t="str">
        <f t="shared" si="9"/>
        <v/>
      </c>
    </row>
    <row r="436" spans="4:7" ht="15" customHeight="1" x14ac:dyDescent="0.3">
      <c r="D436" s="110" t="str">
        <f>IF(A436="","",IF(C436="2P",OPR_2P!B$2,IF(C436="SEG",SEG_6P!B$2,IF(C436="SOL",SOL_4P!B$2,IF(C436="RW",RW_2P!B$2,IF(C436="RW2",RW2_4P!B$2,0))))))</f>
        <v/>
      </c>
      <c r="F436" s="110" t="str">
        <f>IF(A436="","", QC_Plan!M436)</f>
        <v/>
      </c>
      <c r="G436" s="110" t="str">
        <f t="shared" si="9"/>
        <v/>
      </c>
    </row>
    <row r="437" spans="4:7" ht="15" customHeight="1" x14ac:dyDescent="0.3">
      <c r="D437" s="110" t="str">
        <f>IF(A437="","",IF(C437="2P",OPR_2P!B$2,IF(C437="SEG",SEG_6P!B$2,IF(C437="SOL",SOL_4P!B$2,IF(C437="RW",RW_2P!B$2,IF(C437="RW2",RW2_4P!B$2,0))))))</f>
        <v/>
      </c>
      <c r="F437" s="110" t="str">
        <f>IF(A437="","", QC_Plan!M437)</f>
        <v/>
      </c>
      <c r="G437" s="110" t="str">
        <f t="shared" si="9"/>
        <v/>
      </c>
    </row>
    <row r="438" spans="4:7" ht="15" customHeight="1" x14ac:dyDescent="0.3">
      <c r="D438" s="110" t="str">
        <f>IF(A438="","",IF(C438="2P",OPR_2P!B$2,IF(C438="SEG",SEG_6P!B$2,IF(C438="SOL",SOL_4P!B$2,IF(C438="RW",RW_2P!B$2,IF(C438="RW2",RW2_4P!B$2,0))))))</f>
        <v/>
      </c>
      <c r="F438" s="110" t="str">
        <f>IF(A438="","", QC_Plan!M438)</f>
        <v/>
      </c>
      <c r="G438" s="110" t="str">
        <f t="shared" si="9"/>
        <v/>
      </c>
    </row>
    <row r="439" spans="4:7" ht="15" customHeight="1" x14ac:dyDescent="0.3">
      <c r="D439" s="110" t="str">
        <f>IF(A439="","",IF(C439="2P",OPR_2P!B$2,IF(C439="SEG",SEG_6P!B$2,IF(C439="SOL",SOL_4P!B$2,IF(C439="RW",RW_2P!B$2,IF(C439="RW2",RW2_4P!B$2,0))))))</f>
        <v/>
      </c>
      <c r="F439" s="110" t="str">
        <f>IF(A439="","", QC_Plan!M439)</f>
        <v/>
      </c>
      <c r="G439" s="110" t="str">
        <f t="shared" si="9"/>
        <v/>
      </c>
    </row>
    <row r="440" spans="4:7" ht="15" customHeight="1" x14ac:dyDescent="0.3">
      <c r="D440" s="110" t="str">
        <f>IF(A440="","",IF(C440="2P",OPR_2P!B$2,IF(C440="SEG",SEG_6P!B$2,IF(C440="SOL",SOL_4P!B$2,IF(C440="RW",RW_2P!B$2,IF(C440="RW2",RW2_4P!B$2,0))))))</f>
        <v/>
      </c>
      <c r="F440" s="110" t="str">
        <f>IF(A440="","", QC_Plan!M440)</f>
        <v/>
      </c>
      <c r="G440" s="110" t="str">
        <f t="shared" si="9"/>
        <v/>
      </c>
    </row>
    <row r="441" spans="4:7" ht="15" customHeight="1" x14ac:dyDescent="0.3">
      <c r="D441" s="110" t="str">
        <f>IF(A441="","",IF(C441="2P",OPR_2P!B$2,IF(C441="SEG",SEG_6P!B$2,IF(C441="SOL",SOL_4P!B$2,IF(C441="RW",RW_2P!B$2,IF(C441="RW2",RW2_4P!B$2,0))))))</f>
        <v/>
      </c>
      <c r="F441" s="110" t="str">
        <f>IF(A441="","", QC_Plan!M441)</f>
        <v/>
      </c>
      <c r="G441" s="110" t="str">
        <f t="shared" si="9"/>
        <v/>
      </c>
    </row>
    <row r="442" spans="4:7" ht="15" customHeight="1" x14ac:dyDescent="0.3">
      <c r="D442" s="110" t="str">
        <f>IF(A442="","",IF(C442="2P",OPR_2P!B$2,IF(C442="SEG",SEG_6P!B$2,IF(C442="SOL",SOL_4P!B$2,IF(C442="RW",RW_2P!B$2,IF(C442="RW2",RW2_4P!B$2,0))))))</f>
        <v/>
      </c>
      <c r="F442" s="110" t="str">
        <f>IF(A442="","", QC_Plan!M442)</f>
        <v/>
      </c>
      <c r="G442" s="110" t="str">
        <f t="shared" si="9"/>
        <v/>
      </c>
    </row>
    <row r="443" spans="4:7" ht="15" customHeight="1" x14ac:dyDescent="0.3">
      <c r="D443" s="110" t="str">
        <f>IF(A443="","",IF(C443="2P",OPR_2P!B$2,IF(C443="SEG",SEG_6P!B$2,IF(C443="SOL",SOL_4P!B$2,IF(C443="RW",RW_2P!B$2,IF(C443="RW2",RW2_4P!B$2,0))))))</f>
        <v/>
      </c>
      <c r="F443" s="110" t="str">
        <f>IF(A443="","", QC_Plan!M443)</f>
        <v/>
      </c>
      <c r="G443" s="110" t="str">
        <f t="shared" si="9"/>
        <v/>
      </c>
    </row>
    <row r="444" spans="4:7" ht="15" customHeight="1" x14ac:dyDescent="0.3">
      <c r="D444" s="110" t="str">
        <f>IF(A444="","",IF(C444="2P",OPR_2P!B$2,IF(C444="SEG",SEG_6P!B$2,IF(C444="SOL",SOL_4P!B$2,IF(C444="RW",RW_2P!B$2,IF(C444="RW2",RW2_4P!B$2,0))))))</f>
        <v/>
      </c>
      <c r="F444" s="110" t="str">
        <f>IF(A444="","", QC_Plan!M444)</f>
        <v/>
      </c>
      <c r="G444" s="110" t="str">
        <f t="shared" si="9"/>
        <v/>
      </c>
    </row>
    <row r="445" spans="4:7" ht="15" customHeight="1" x14ac:dyDescent="0.3">
      <c r="D445" s="110" t="str">
        <f>IF(A445="","",IF(C445="2P",OPR_2P!B$2,IF(C445="SEG",SEG_6P!B$2,IF(C445="SOL",SOL_4P!B$2,IF(C445="RW",RW_2P!B$2,IF(C445="RW2",RW2_4P!B$2,0))))))</f>
        <v/>
      </c>
      <c r="F445" s="110" t="str">
        <f>IF(A445="","", QC_Plan!M445)</f>
        <v/>
      </c>
      <c r="G445" s="110" t="str">
        <f t="shared" si="9"/>
        <v/>
      </c>
    </row>
    <row r="446" spans="4:7" ht="15" customHeight="1" x14ac:dyDescent="0.3">
      <c r="D446" s="110" t="str">
        <f>IF(A446="","",IF(C446="2P",OPR_2P!B$2,IF(C446="SEG",SEG_6P!B$2,IF(C446="SOL",SOL_4P!B$2,IF(C446="RW",RW_2P!B$2,IF(C446="RW2",RW2_4P!B$2,0))))))</f>
        <v/>
      </c>
      <c r="F446" s="110" t="str">
        <f>IF(A446="","", QC_Plan!M446)</f>
        <v/>
      </c>
      <c r="G446" s="110" t="str">
        <f t="shared" si="9"/>
        <v/>
      </c>
    </row>
    <row r="447" spans="4:7" ht="15" customHeight="1" x14ac:dyDescent="0.3">
      <c r="D447" s="110" t="str">
        <f>IF(A447="","",IF(C447="2P",OPR_2P!B$2,IF(C447="SEG",SEG_6P!B$2,IF(C447="SOL",SOL_4P!B$2,IF(C447="RW",RW_2P!B$2,IF(C447="RW2",RW2_4P!B$2,0))))))</f>
        <v/>
      </c>
      <c r="F447" s="110" t="str">
        <f>IF(A447="","", QC_Plan!M447)</f>
        <v/>
      </c>
      <c r="G447" s="110" t="str">
        <f t="shared" si="9"/>
        <v/>
      </c>
    </row>
    <row r="448" spans="4:7" ht="15" customHeight="1" x14ac:dyDescent="0.3">
      <c r="D448" s="110" t="str">
        <f>IF(A448="","",IF(C448="2P",OPR_2P!B$2,IF(C448="SEG",SEG_6P!B$2,IF(C448="SOL",SOL_4P!B$2,IF(C448="RW",RW_2P!B$2,IF(C448="RW2",RW2_4P!B$2,0))))))</f>
        <v/>
      </c>
      <c r="F448" s="110" t="str">
        <f>IF(A448="","", QC_Plan!M448)</f>
        <v/>
      </c>
      <c r="G448" s="110" t="str">
        <f t="shared" si="9"/>
        <v/>
      </c>
    </row>
    <row r="449" spans="4:7" ht="15" customHeight="1" x14ac:dyDescent="0.3">
      <c r="D449" s="110" t="str">
        <f>IF(A449="","",IF(C449="2P",OPR_2P!B$2,IF(C449="SEG",SEG_6P!B$2,IF(C449="SOL",SOL_4P!B$2,IF(C449="RW",RW_2P!B$2,IF(C449="RW2",RW2_4P!B$2,0))))))</f>
        <v/>
      </c>
      <c r="F449" s="110" t="str">
        <f>IF(A449="","", QC_Plan!M449)</f>
        <v/>
      </c>
      <c r="G449" s="110" t="str">
        <f t="shared" si="9"/>
        <v/>
      </c>
    </row>
    <row r="450" spans="4:7" ht="15" customHeight="1" x14ac:dyDescent="0.3">
      <c r="D450" s="110" t="str">
        <f>IF(A450="","",IF(C450="2P",OPR_2P!B$2,IF(C450="SEG",SEG_6P!B$2,IF(C450="SOL",SOL_4P!B$2,IF(C450="RW",RW_2P!B$2,IF(C450="RW2",RW2_4P!B$2,0))))))</f>
        <v/>
      </c>
      <c r="F450" s="110" t="str">
        <f>IF(A450="","", QC_Plan!M450)</f>
        <v/>
      </c>
      <c r="G450" s="110" t="str">
        <f t="shared" si="9"/>
        <v/>
      </c>
    </row>
    <row r="451" spans="4:7" ht="15" customHeight="1" x14ac:dyDescent="0.3">
      <c r="D451" s="110" t="str">
        <f>IF(A451="","",IF(C451="2P",OPR_2P!B$2,IF(C451="SEG",SEG_6P!B$2,IF(C451="SOL",SOL_4P!B$2,IF(C451="RW",RW_2P!B$2,IF(C451="RW2",RW2_4P!B$2,0))))))</f>
        <v/>
      </c>
      <c r="F451" s="110" t="str">
        <f>IF(A451="","", QC_Plan!M451)</f>
        <v/>
      </c>
      <c r="G451" s="110" t="str">
        <f t="shared" si="9"/>
        <v/>
      </c>
    </row>
    <row r="452" spans="4:7" ht="15" customHeight="1" x14ac:dyDescent="0.3">
      <c r="D452" s="110" t="str">
        <f>IF(A452="","",IF(C452="2P",OPR_2P!B$2,IF(C452="SEG",SEG_6P!B$2,IF(C452="SOL",SOL_4P!B$2,IF(C452="RW",RW_2P!B$2,IF(C452="RW2",RW2_4P!B$2,0))))))</f>
        <v/>
      </c>
      <c r="F452" s="110" t="str">
        <f>IF(A452="","", QC_Plan!M452)</f>
        <v/>
      </c>
      <c r="G452" s="110" t="str">
        <f t="shared" si="9"/>
        <v/>
      </c>
    </row>
    <row r="453" spans="4:7" ht="15" customHeight="1" x14ac:dyDescent="0.3">
      <c r="D453" s="110" t="str">
        <f>IF(A453="","",IF(C453="2P",OPR_2P!B$2,IF(C453="SEG",SEG_6P!B$2,IF(C453="SOL",SOL_4P!B$2,IF(C453="RW",RW_2P!B$2,IF(C453="RW2",RW2_4P!B$2,0))))))</f>
        <v/>
      </c>
      <c r="F453" s="110" t="str">
        <f>IF(A453="","", QC_Plan!M453)</f>
        <v/>
      </c>
      <c r="G453" s="110" t="str">
        <f t="shared" si="9"/>
        <v/>
      </c>
    </row>
    <row r="454" spans="4:7" ht="15" customHeight="1" x14ac:dyDescent="0.3">
      <c r="D454" s="110" t="str">
        <f>IF(A454="","",IF(C454="2P",OPR_2P!B$2,IF(C454="SEG",SEG_6P!B$2,IF(C454="SOL",SOL_4P!B$2,IF(C454="RW",RW_2P!B$2,IF(C454="RW2",RW2_4P!B$2,0))))))</f>
        <v/>
      </c>
      <c r="F454" s="110" t="str">
        <f>IF(A454="","", QC_Plan!M454)</f>
        <v/>
      </c>
      <c r="G454" s="110" t="str">
        <f t="shared" si="9"/>
        <v/>
      </c>
    </row>
    <row r="455" spans="4:7" ht="15" customHeight="1" x14ac:dyDescent="0.3">
      <c r="D455" s="110" t="str">
        <f>IF(A455="","",IF(C455="2P",OPR_2P!B$2,IF(C455="SEG",SEG_6P!B$2,IF(C455="SOL",SOL_4P!B$2,IF(C455="RW",RW_2P!B$2,IF(C455="RW2",RW2_4P!B$2,0))))))</f>
        <v/>
      </c>
      <c r="F455" s="110" t="str">
        <f>IF(A455="","", QC_Plan!M455)</f>
        <v/>
      </c>
      <c r="G455" s="110" t="str">
        <f t="shared" si="9"/>
        <v/>
      </c>
    </row>
    <row r="456" spans="4:7" ht="15" customHeight="1" x14ac:dyDescent="0.3">
      <c r="D456" s="110" t="str">
        <f>IF(A456="","",IF(C456="2P",OPR_2P!B$2,IF(C456="SEG",SEG_6P!B$2,IF(C456="SOL",SOL_4P!B$2,IF(C456="RW",RW_2P!B$2,IF(C456="RW2",RW2_4P!B$2,0))))))</f>
        <v/>
      </c>
      <c r="F456" s="110" t="str">
        <f>IF(A456="","", QC_Plan!M456)</f>
        <v/>
      </c>
      <c r="G456" s="110" t="str">
        <f t="shared" si="9"/>
        <v/>
      </c>
    </row>
    <row r="457" spans="4:7" ht="15" customHeight="1" x14ac:dyDescent="0.3">
      <c r="D457" s="110" t="str">
        <f>IF(A457="","",IF(C457="2P",OPR_2P!B$2,IF(C457="SEG",SEG_6P!B$2,IF(C457="SOL",SOL_4P!B$2,IF(C457="RW",RW_2P!B$2,IF(C457="RW2",RW2_4P!B$2,0))))))</f>
        <v/>
      </c>
      <c r="F457" s="110" t="str">
        <f>IF(A457="","", QC_Plan!M457)</f>
        <v/>
      </c>
      <c r="G457" s="110" t="str">
        <f t="shared" si="9"/>
        <v/>
      </c>
    </row>
    <row r="458" spans="4:7" ht="15" customHeight="1" x14ac:dyDescent="0.3">
      <c r="D458" s="110" t="str">
        <f>IF(A458="","",IF(C458="2P",OPR_2P!B$2,IF(C458="SEG",SEG_6P!B$2,IF(C458="SOL",SOL_4P!B$2,IF(C458="RW",RW_2P!B$2,IF(C458="RW2",RW2_4P!B$2,0))))))</f>
        <v/>
      </c>
      <c r="F458" s="110" t="str">
        <f>IF(A458="","", QC_Plan!M458)</f>
        <v/>
      </c>
      <c r="G458" s="110" t="str">
        <f t="shared" si="9"/>
        <v/>
      </c>
    </row>
    <row r="459" spans="4:7" ht="15" customHeight="1" x14ac:dyDescent="0.3">
      <c r="D459" s="110" t="str">
        <f>IF(A459="","",IF(C459="2P",OPR_2P!B$2,IF(C459="SEG",SEG_6P!B$2,IF(C459="SOL",SOL_4P!B$2,IF(C459="RW",RW_2P!B$2,IF(C459="RW2",RW2_4P!B$2,0))))))</f>
        <v/>
      </c>
      <c r="F459" s="110" t="str">
        <f>IF(A459="","", QC_Plan!M459)</f>
        <v/>
      </c>
      <c r="G459" s="110" t="str">
        <f t="shared" si="9"/>
        <v/>
      </c>
    </row>
    <row r="460" spans="4:7" ht="15" customHeight="1" x14ac:dyDescent="0.3">
      <c r="D460" s="110" t="str">
        <f>IF(A460="","",IF(C460="2P",OPR_2P!B$2,IF(C460="SEG",SEG_6P!B$2,IF(C460="SOL",SOL_4P!B$2,IF(C460="RW",RW_2P!B$2,IF(C460="RW2",RW2_4P!B$2,0))))))</f>
        <v/>
      </c>
      <c r="F460" s="110" t="str">
        <f>IF(A460="","", QC_Plan!M460)</f>
        <v/>
      </c>
      <c r="G460" s="110" t="str">
        <f t="shared" si="9"/>
        <v/>
      </c>
    </row>
    <row r="461" spans="4:7" ht="15" customHeight="1" x14ac:dyDescent="0.3">
      <c r="D461" s="110" t="str">
        <f>IF(A461="","",IF(C461="2P",OPR_2P!B$2,IF(C461="SEG",SEG_6P!B$2,IF(C461="SOL",SOL_4P!B$2,IF(C461="RW",RW_2P!B$2,IF(C461="RW2",RW2_4P!B$2,0))))))</f>
        <v/>
      </c>
      <c r="F461" s="110" t="str">
        <f>IF(A461="","", QC_Plan!M461)</f>
        <v/>
      </c>
      <c r="G461" s="110" t="str">
        <f t="shared" si="9"/>
        <v/>
      </c>
    </row>
    <row r="462" spans="4:7" ht="15" customHeight="1" x14ac:dyDescent="0.3">
      <c r="D462" s="110" t="str">
        <f>IF(A462="","",IF(C462="2P",OPR_2P!B$2,IF(C462="SEG",SEG_6P!B$2,IF(C462="SOL",SOL_4P!B$2,IF(C462="RW",RW_2P!B$2,IF(C462="RW2",RW2_4P!B$2,0))))))</f>
        <v/>
      </c>
      <c r="F462" s="110" t="str">
        <f>IF(A462="","", QC_Plan!M462)</f>
        <v/>
      </c>
      <c r="G462" s="110" t="str">
        <f t="shared" si="9"/>
        <v/>
      </c>
    </row>
    <row r="463" spans="4:7" ht="15" customHeight="1" x14ac:dyDescent="0.3">
      <c r="D463" s="110" t="str">
        <f>IF(A463="","",IF(C463="2P",OPR_2P!B$2,IF(C463="SEG",SEG_6P!B$2,IF(C463="SOL",SOL_4P!B$2,IF(C463="RW",RW_2P!B$2,IF(C463="RW2",RW2_4P!B$2,0))))))</f>
        <v/>
      </c>
      <c r="F463" s="110" t="str">
        <f>IF(A463="","", QC_Plan!M463)</f>
        <v/>
      </c>
      <c r="G463" s="110" t="str">
        <f t="shared" si="9"/>
        <v/>
      </c>
    </row>
    <row r="464" spans="4:7" ht="15" customHeight="1" x14ac:dyDescent="0.3">
      <c r="D464" s="110" t="str">
        <f>IF(A464="","",IF(C464="2P",OPR_2P!B$2,IF(C464="SEG",SEG_6P!B$2,IF(C464="SOL",SOL_4P!B$2,IF(C464="RW",RW_2P!B$2,IF(C464="RW2",RW2_4P!B$2,0))))))</f>
        <v/>
      </c>
      <c r="F464" s="110" t="str">
        <f>IF(A464="","", QC_Plan!M464)</f>
        <v/>
      </c>
      <c r="G464" s="110" t="str">
        <f t="shared" si="9"/>
        <v/>
      </c>
    </row>
    <row r="465" spans="4:7" ht="15" customHeight="1" x14ac:dyDescent="0.3">
      <c r="D465" s="110" t="str">
        <f>IF(A465="","",IF(C465="2P",OPR_2P!B$2,IF(C465="SEG",SEG_6P!B$2,IF(C465="SOL",SOL_4P!B$2,IF(C465="RW",RW_2P!B$2,IF(C465="RW2",RW2_4P!B$2,0))))))</f>
        <v/>
      </c>
      <c r="F465" s="110" t="str">
        <f>IF(A465="","", QC_Plan!M465)</f>
        <v/>
      </c>
      <c r="G465" s="110" t="str">
        <f t="shared" si="9"/>
        <v/>
      </c>
    </row>
    <row r="466" spans="4:7" ht="15" customHeight="1" x14ac:dyDescent="0.3">
      <c r="D466" s="110" t="str">
        <f>IF(A466="","",IF(C466="2P",OPR_2P!B$2,IF(C466="SEG",SEG_6P!B$2,IF(C466="SOL",SOL_4P!B$2,IF(C466="RW",RW_2P!B$2,IF(C466="RW2",RW2_4P!B$2,0))))))</f>
        <v/>
      </c>
      <c r="F466" s="110" t="str">
        <f>IF(A466="","", QC_Plan!M466)</f>
        <v/>
      </c>
      <c r="G466" s="110" t="str">
        <f t="shared" si="9"/>
        <v/>
      </c>
    </row>
    <row r="467" spans="4:7" ht="15" customHeight="1" x14ac:dyDescent="0.3">
      <c r="D467" s="110" t="str">
        <f>IF(A467="","",IF(C467="2P",OPR_2P!B$2,IF(C467="SEG",SEG_6P!B$2,IF(C467="SOL",SOL_4P!B$2,IF(C467="RW",RW_2P!B$2,IF(C467="RW2",RW2_4P!B$2,0))))))</f>
        <v/>
      </c>
      <c r="F467" s="110" t="str">
        <f>IF(A467="","", QC_Plan!M467)</f>
        <v/>
      </c>
      <c r="G467" s="110" t="str">
        <f t="shared" si="9"/>
        <v/>
      </c>
    </row>
    <row r="468" spans="4:7" ht="15" customHeight="1" x14ac:dyDescent="0.3">
      <c r="D468" s="110" t="str">
        <f>IF(A468="","",IF(C468="2P",OPR_2P!B$2,IF(C468="SEG",SEG_6P!B$2,IF(C468="SOL",SOL_4P!B$2,IF(C468="RW",RW_2P!B$2,IF(C468="RW2",RW2_4P!B$2,0))))))</f>
        <v/>
      </c>
      <c r="F468" s="110" t="str">
        <f>IF(A468="","", QC_Plan!M468)</f>
        <v/>
      </c>
      <c r="G468" s="110" t="str">
        <f t="shared" si="9"/>
        <v/>
      </c>
    </row>
    <row r="469" spans="4:7" ht="15" customHeight="1" x14ac:dyDescent="0.3">
      <c r="D469" s="110" t="str">
        <f>IF(A469="","",IF(C469="2P",OPR_2P!B$2,IF(C469="SEG",SEG_6P!B$2,IF(C469="SOL",SOL_4P!B$2,IF(C469="RW",RW_2P!B$2,IF(C469="RW2",RW2_4P!B$2,0))))))</f>
        <v/>
      </c>
      <c r="F469" s="110" t="str">
        <f>IF(A469="","", QC_Plan!M469)</f>
        <v/>
      </c>
      <c r="G469" s="110" t="str">
        <f t="shared" si="9"/>
        <v/>
      </c>
    </row>
    <row r="470" spans="4:7" ht="15" customHeight="1" x14ac:dyDescent="0.3">
      <c r="D470" s="110" t="str">
        <f>IF(A470="","",IF(C470="2P",OPR_2P!B$2,IF(C470="SEG",SEG_6P!B$2,IF(C470="SOL",SOL_4P!B$2,IF(C470="RW",RW_2P!B$2,IF(C470="RW2",RW2_4P!B$2,0))))))</f>
        <v/>
      </c>
      <c r="F470" s="110" t="str">
        <f>IF(A470="","", QC_Plan!M470)</f>
        <v/>
      </c>
      <c r="G470" s="110" t="str">
        <f t="shared" si="9"/>
        <v/>
      </c>
    </row>
    <row r="471" spans="4:7" ht="15" customHeight="1" x14ac:dyDescent="0.3">
      <c r="D471" s="110" t="str">
        <f>IF(A471="","",IF(C471="2P",OPR_2P!B$2,IF(C471="SEG",SEG_6P!B$2,IF(C471="SOL",SOL_4P!B$2,IF(C471="RW",RW_2P!B$2,IF(C471="RW2",RW2_4P!B$2,0))))))</f>
        <v/>
      </c>
      <c r="F471" s="110" t="str">
        <f>IF(A471="","", QC_Plan!M471)</f>
        <v/>
      </c>
      <c r="G471" s="110" t="str">
        <f t="shared" si="9"/>
        <v/>
      </c>
    </row>
    <row r="472" spans="4:7" ht="15" customHeight="1" x14ac:dyDescent="0.3">
      <c r="D472" s="110" t="str">
        <f>IF(A472="","",IF(C472="2P",OPR_2P!B$2,IF(C472="SEG",SEG_6P!B$2,IF(C472="SOL",SOL_4P!B$2,IF(C472="RW",RW_2P!B$2,IF(C472="RW2",RW2_4P!B$2,0))))))</f>
        <v/>
      </c>
      <c r="F472" s="110" t="str">
        <f>IF(A472="","", QC_Plan!M472)</f>
        <v/>
      </c>
      <c r="G472" s="110" t="str">
        <f t="shared" si="9"/>
        <v/>
      </c>
    </row>
    <row r="473" spans="4:7" ht="15" customHeight="1" x14ac:dyDescent="0.3">
      <c r="D473" s="110" t="str">
        <f>IF(A473="","",IF(C473="2P",OPR_2P!B$2,IF(C473="SEG",SEG_6P!B$2,IF(C473="SOL",SOL_4P!B$2,IF(C473="RW",RW_2P!B$2,IF(C473="RW2",RW2_4P!B$2,0))))))</f>
        <v/>
      </c>
      <c r="F473" s="110" t="str">
        <f>IF(A473="","", QC_Plan!M473)</f>
        <v/>
      </c>
      <c r="G473" s="110" t="str">
        <f t="shared" si="9"/>
        <v/>
      </c>
    </row>
    <row r="474" spans="4:7" ht="15" customHeight="1" x14ac:dyDescent="0.3">
      <c r="D474" s="110" t="str">
        <f>IF(A474="","",IF(C474="2P",OPR_2P!B$2,IF(C474="SEG",SEG_6P!B$2,IF(C474="SOL",SOL_4P!B$2,IF(C474="RW",RW_2P!B$2,IF(C474="RW2",RW2_4P!B$2,0))))))</f>
        <v/>
      </c>
      <c r="F474" s="110" t="str">
        <f>IF(A474="","", QC_Plan!M474)</f>
        <v/>
      </c>
      <c r="G474" s="110" t="str">
        <f t="shared" si="9"/>
        <v/>
      </c>
    </row>
    <row r="475" spans="4:7" ht="15" customHeight="1" x14ac:dyDescent="0.3">
      <c r="D475" s="110" t="str">
        <f>IF(A475="","",IF(C475="2P",OPR_2P!B$2,IF(C475="SEG",SEG_6P!B$2,IF(C475="SOL",SOL_4P!B$2,IF(C475="RW",RW_2P!B$2,IF(C475="RW2",RW2_4P!B$2,0))))))</f>
        <v/>
      </c>
      <c r="F475" s="110" t="str">
        <f>IF(A475="","", QC_Plan!M475)</f>
        <v/>
      </c>
      <c r="G475" s="110" t="str">
        <f t="shared" si="9"/>
        <v/>
      </c>
    </row>
    <row r="476" spans="4:7" ht="15" customHeight="1" x14ac:dyDescent="0.3">
      <c r="D476" s="110" t="str">
        <f>IF(A476="","",IF(C476="2P",OPR_2P!B$2,IF(C476="SEG",SEG_6P!B$2,IF(C476="SOL",SOL_4P!B$2,IF(C476="RW",RW_2P!B$2,IF(C476="RW2",RW2_4P!B$2,0))))))</f>
        <v/>
      </c>
      <c r="F476" s="110" t="str">
        <f>IF(A476="","", QC_Plan!M476)</f>
        <v/>
      </c>
      <c r="G476" s="110" t="str">
        <f t="shared" si="9"/>
        <v/>
      </c>
    </row>
    <row r="477" spans="4:7" ht="15" customHeight="1" x14ac:dyDescent="0.3">
      <c r="D477" s="110" t="str">
        <f>IF(A477="","",IF(C477="2P",OPR_2P!B$2,IF(C477="SEG",SEG_6P!B$2,IF(C477="SOL",SOL_4P!B$2,IF(C477="RW",RW_2P!B$2,IF(C477="RW2",RW2_4P!B$2,0))))))</f>
        <v/>
      </c>
      <c r="F477" s="110" t="str">
        <f>IF(A477="","", QC_Plan!M477)</f>
        <v/>
      </c>
      <c r="G477" s="110" t="str">
        <f t="shared" si="9"/>
        <v/>
      </c>
    </row>
    <row r="478" spans="4:7" ht="15" customHeight="1" x14ac:dyDescent="0.3">
      <c r="D478" s="110" t="str">
        <f>IF(A478="","",IF(C478="2P",OPR_2P!B$2,IF(C478="SEG",SEG_6P!B$2,IF(C478="SOL",SOL_4P!B$2,IF(C478="RW",RW_2P!B$2,IF(C478="RW2",RW2_4P!B$2,0))))))</f>
        <v/>
      </c>
      <c r="F478" s="110" t="str">
        <f>IF(A478="","", QC_Plan!M478)</f>
        <v/>
      </c>
      <c r="G478" s="110" t="str">
        <f t="shared" si="9"/>
        <v/>
      </c>
    </row>
    <row r="479" spans="4:7" ht="15" customHeight="1" x14ac:dyDescent="0.3">
      <c r="D479" s="110" t="str">
        <f>IF(A479="","",IF(C479="2P",OPR_2P!B$2,IF(C479="SEG",SEG_6P!B$2,IF(C479="SOL",SOL_4P!B$2,IF(C479="RW",RW_2P!B$2,IF(C479="RW2",RW2_4P!B$2,0))))))</f>
        <v/>
      </c>
      <c r="F479" s="110" t="str">
        <f>IF(A479="","", QC_Plan!M479)</f>
        <v/>
      </c>
      <c r="G479" s="110" t="str">
        <f t="shared" si="9"/>
        <v/>
      </c>
    </row>
    <row r="480" spans="4:7" ht="15" customHeight="1" x14ac:dyDescent="0.3">
      <c r="D480" s="110" t="str">
        <f>IF(A480="","",IF(C480="2P",OPR_2P!B$2,IF(C480="SEG",SEG_6P!B$2,IF(C480="SOL",SOL_4P!B$2,IF(C480="RW",RW_2P!B$2,IF(C480="RW2",RW2_4P!B$2,0))))))</f>
        <v/>
      </c>
      <c r="F480" s="110" t="str">
        <f>IF(A480="","", QC_Plan!M480)</f>
        <v/>
      </c>
      <c r="G480" s="110" t="str">
        <f t="shared" si="9"/>
        <v/>
      </c>
    </row>
    <row r="481" spans="4:7" ht="15" customHeight="1" x14ac:dyDescent="0.3">
      <c r="D481" s="110" t="str">
        <f>IF(A481="","",IF(C481="2P",OPR_2P!B$2,IF(C481="SEG",SEG_6P!B$2,IF(C481="SOL",SOL_4P!B$2,IF(C481="RW",RW_2P!B$2,IF(C481="RW2",RW2_4P!B$2,0))))))</f>
        <v/>
      </c>
      <c r="F481" s="110" t="str">
        <f>IF(A481="","", QC_Plan!M481)</f>
        <v/>
      </c>
      <c r="G481" s="110" t="str">
        <f t="shared" si="9"/>
        <v/>
      </c>
    </row>
    <row r="482" spans="4:7" ht="15" customHeight="1" x14ac:dyDescent="0.3">
      <c r="D482" s="110" t="str">
        <f>IF(A482="","",IF(C482="2P",OPR_2P!B$2,IF(C482="SEG",SEG_6P!B$2,IF(C482="SOL",SOL_4P!B$2,IF(C482="RW",RW_2P!B$2,IF(C482="RW2",RW2_4P!B$2,0))))))</f>
        <v/>
      </c>
      <c r="F482" s="110" t="str">
        <f>IF(A482="","", QC_Plan!M482)</f>
        <v/>
      </c>
      <c r="G482" s="110" t="str">
        <f t="shared" si="9"/>
        <v/>
      </c>
    </row>
    <row r="483" spans="4:7" ht="15" customHeight="1" x14ac:dyDescent="0.3">
      <c r="D483" s="110" t="str">
        <f>IF(A483="","",IF(C483="2P",OPR_2P!B$2,IF(C483="SEG",SEG_6P!B$2,IF(C483="SOL",SOL_4P!B$2,IF(C483="RW",RW_2P!B$2,IF(C483="RW2",RW2_4P!B$2,0))))))</f>
        <v/>
      </c>
      <c r="F483" s="110" t="str">
        <f>IF(A483="","", QC_Plan!M483)</f>
        <v/>
      </c>
      <c r="G483" s="110" t="str">
        <f t="shared" si="9"/>
        <v/>
      </c>
    </row>
    <row r="484" spans="4:7" ht="15" customHeight="1" x14ac:dyDescent="0.3">
      <c r="D484" s="110" t="str">
        <f>IF(A484="","",IF(C484="2P",OPR_2P!B$2,IF(C484="SEG",SEG_6P!B$2,IF(C484="SOL",SOL_4P!B$2,IF(C484="RW",RW_2P!B$2,IF(C484="RW2",RW2_4P!B$2,0))))))</f>
        <v/>
      </c>
      <c r="F484" s="110" t="str">
        <f>IF(A484="","", QC_Plan!M484)</f>
        <v/>
      </c>
      <c r="G484" s="110" t="str">
        <f t="shared" si="9"/>
        <v/>
      </c>
    </row>
    <row r="485" spans="4:7" ht="15" customHeight="1" x14ac:dyDescent="0.3">
      <c r="D485" s="110" t="str">
        <f>IF(A485="","",IF(C485="2P",OPR_2P!B$2,IF(C485="SEG",SEG_6P!B$2,IF(C485="SOL",SOL_4P!B$2,IF(C485="RW",RW_2P!B$2,IF(C485="RW2",RW2_4P!B$2,0))))))</f>
        <v/>
      </c>
      <c r="F485" s="110" t="str">
        <f>IF(A485="","", QC_Plan!M485)</f>
        <v/>
      </c>
      <c r="G485" s="110" t="str">
        <f t="shared" si="9"/>
        <v/>
      </c>
    </row>
    <row r="486" spans="4:7" ht="15" customHeight="1" x14ac:dyDescent="0.3">
      <c r="D486" s="110" t="str">
        <f>IF(A486="","",IF(C486="2P",OPR_2P!B$2,IF(C486="SEG",SEG_6P!B$2,IF(C486="SOL",SOL_4P!B$2,IF(C486="RW",RW_2P!B$2,IF(C486="RW2",RW2_4P!B$2,0))))))</f>
        <v/>
      </c>
      <c r="F486" s="110" t="str">
        <f>IF(A486="","", QC_Plan!M486)</f>
        <v/>
      </c>
      <c r="G486" s="110" t="str">
        <f t="shared" si="9"/>
        <v/>
      </c>
    </row>
    <row r="487" spans="4:7" ht="15" customHeight="1" x14ac:dyDescent="0.3">
      <c r="D487" s="110" t="str">
        <f>IF(A487="","",IF(C487="2P",OPR_2P!B$2,IF(C487="SEG",SEG_6P!B$2,IF(C487="SOL",SOL_4P!B$2,IF(C487="RW",RW_2P!B$2,IF(C487="RW2",RW2_4P!B$2,0))))))</f>
        <v/>
      </c>
      <c r="F487" s="110" t="str">
        <f>IF(A487="","", QC_Plan!M487)</f>
        <v/>
      </c>
      <c r="G487" s="110" t="str">
        <f t="shared" si="9"/>
        <v/>
      </c>
    </row>
    <row r="488" spans="4:7" ht="15" customHeight="1" x14ac:dyDescent="0.3">
      <c r="D488" s="110" t="str">
        <f>IF(A488="","",IF(C488="2P",OPR_2P!B$2,IF(C488="SEG",SEG_6P!B$2,IF(C488="SOL",SOL_4P!B$2,IF(C488="RW",RW_2P!B$2,IF(C488="RW2",RW2_4P!B$2,0))))))</f>
        <v/>
      </c>
      <c r="F488" s="110" t="str">
        <f>IF(A488="","", QC_Plan!M488)</f>
        <v/>
      </c>
      <c r="G488" s="110" t="str">
        <f t="shared" ref="G488:G551" si="10">IF(B488="","",IF(H488&gt;1000,"High",IF(H488&gt;500,"Medium","Low")))</f>
        <v/>
      </c>
    </row>
    <row r="489" spans="4:7" ht="15" customHeight="1" x14ac:dyDescent="0.3">
      <c r="D489" s="110" t="str">
        <f>IF(A489="","",IF(C489="2P",OPR_2P!B$2,IF(C489="SEG",SEG_6P!B$2,IF(C489="SOL",SOL_4P!B$2,IF(C489="RW",RW_2P!B$2,IF(C489="RW2",RW2_4P!B$2,0))))))</f>
        <v/>
      </c>
      <c r="F489" s="110" t="str">
        <f>IF(A489="","", QC_Plan!M489)</f>
        <v/>
      </c>
      <c r="G489" s="110" t="str">
        <f t="shared" si="10"/>
        <v/>
      </c>
    </row>
    <row r="490" spans="4:7" ht="15" customHeight="1" x14ac:dyDescent="0.3">
      <c r="D490" s="110" t="str">
        <f>IF(A490="","",IF(C490="2P",OPR_2P!B$2,IF(C490="SEG",SEG_6P!B$2,IF(C490="SOL",SOL_4P!B$2,IF(C490="RW",RW_2P!B$2,IF(C490="RW2",RW2_4P!B$2,0))))))</f>
        <v/>
      </c>
      <c r="F490" s="110" t="str">
        <f>IF(A490="","", QC_Plan!M490)</f>
        <v/>
      </c>
      <c r="G490" s="110" t="str">
        <f t="shared" si="10"/>
        <v/>
      </c>
    </row>
    <row r="491" spans="4:7" ht="15" customHeight="1" x14ac:dyDescent="0.3">
      <c r="D491" s="110" t="str">
        <f>IF(A491="","",IF(C491="2P",OPR_2P!B$2,IF(C491="SEG",SEG_6P!B$2,IF(C491="SOL",SOL_4P!B$2,IF(C491="RW",RW_2P!B$2,IF(C491="RW2",RW2_4P!B$2,0))))))</f>
        <v/>
      </c>
      <c r="F491" s="110" t="str">
        <f>IF(A491="","", QC_Plan!M491)</f>
        <v/>
      </c>
      <c r="G491" s="110" t="str">
        <f t="shared" si="10"/>
        <v/>
      </c>
    </row>
    <row r="492" spans="4:7" ht="15" customHeight="1" x14ac:dyDescent="0.3">
      <c r="D492" s="110" t="str">
        <f>IF(A492="","",IF(C492="2P",OPR_2P!B$2,IF(C492="SEG",SEG_6P!B$2,IF(C492="SOL",SOL_4P!B$2,IF(C492="RW",RW_2P!B$2,IF(C492="RW2",RW2_4P!B$2,0))))))</f>
        <v/>
      </c>
      <c r="F492" s="110" t="str">
        <f>IF(A492="","", QC_Plan!M492)</f>
        <v/>
      </c>
      <c r="G492" s="110" t="str">
        <f t="shared" si="10"/>
        <v/>
      </c>
    </row>
    <row r="493" spans="4:7" ht="15" customHeight="1" x14ac:dyDescent="0.3">
      <c r="D493" s="110" t="str">
        <f>IF(A493="","",IF(C493="2P",OPR_2P!B$2,IF(C493="SEG",SEG_6P!B$2,IF(C493="SOL",SOL_4P!B$2,IF(C493="RW",RW_2P!B$2,IF(C493="RW2",RW2_4P!B$2,0))))))</f>
        <v/>
      </c>
      <c r="F493" s="110" t="str">
        <f>IF(A493="","", QC_Plan!M493)</f>
        <v/>
      </c>
      <c r="G493" s="110" t="str">
        <f t="shared" si="10"/>
        <v/>
      </c>
    </row>
    <row r="494" spans="4:7" ht="15" customHeight="1" x14ac:dyDescent="0.3">
      <c r="D494" s="110" t="str">
        <f>IF(A494="","",IF(C494="2P",OPR_2P!B$2,IF(C494="SEG",SEG_6P!B$2,IF(C494="SOL",SOL_4P!B$2,IF(C494="RW",RW_2P!B$2,IF(C494="RW2",RW2_4P!B$2,0))))))</f>
        <v/>
      </c>
      <c r="F494" s="110" t="str">
        <f>IF(A494="","", QC_Plan!M494)</f>
        <v/>
      </c>
      <c r="G494" s="110" t="str">
        <f t="shared" si="10"/>
        <v/>
      </c>
    </row>
    <row r="495" spans="4:7" ht="15" customHeight="1" x14ac:dyDescent="0.3">
      <c r="D495" s="110" t="str">
        <f>IF(A495="","",IF(C495="2P",OPR_2P!B$2,IF(C495="SEG",SEG_6P!B$2,IF(C495="SOL",SOL_4P!B$2,IF(C495="RW",RW_2P!B$2,IF(C495="RW2",RW2_4P!B$2,0))))))</f>
        <v/>
      </c>
      <c r="F495" s="110" t="str">
        <f>IF(A495="","", QC_Plan!M495)</f>
        <v/>
      </c>
      <c r="G495" s="110" t="str">
        <f t="shared" si="10"/>
        <v/>
      </c>
    </row>
    <row r="496" spans="4:7" ht="15" customHeight="1" x14ac:dyDescent="0.3">
      <c r="D496" s="110" t="str">
        <f>IF(A496="","",IF(C496="2P",OPR_2P!B$2,IF(C496="SEG",SEG_6P!B$2,IF(C496="SOL",SOL_4P!B$2,IF(C496="RW",RW_2P!B$2,IF(C496="RW2",RW2_4P!B$2,0))))))</f>
        <v/>
      </c>
      <c r="F496" s="110" t="str">
        <f>IF(A496="","", QC_Plan!M496)</f>
        <v/>
      </c>
      <c r="G496" s="110" t="str">
        <f t="shared" si="10"/>
        <v/>
      </c>
    </row>
    <row r="497" spans="4:7" ht="15" customHeight="1" x14ac:dyDescent="0.3">
      <c r="D497" s="110" t="str">
        <f>IF(A497="","",IF(C497="2P",OPR_2P!B$2,IF(C497="SEG",SEG_6P!B$2,IF(C497="SOL",SOL_4P!B$2,IF(C497="RW",RW_2P!B$2,IF(C497="RW2",RW2_4P!B$2,0))))))</f>
        <v/>
      </c>
      <c r="F497" s="110" t="str">
        <f>IF(A497="","", QC_Plan!M497)</f>
        <v/>
      </c>
      <c r="G497" s="110" t="str">
        <f t="shared" si="10"/>
        <v/>
      </c>
    </row>
    <row r="498" spans="4:7" ht="15" customHeight="1" x14ac:dyDescent="0.3">
      <c r="D498" s="110" t="str">
        <f>IF(A498="","",IF(C498="2P",OPR_2P!B$2,IF(C498="SEG",SEG_6P!B$2,IF(C498="SOL",SOL_4P!B$2,IF(C498="RW",RW_2P!B$2,IF(C498="RW2",RW2_4P!B$2,0))))))</f>
        <v/>
      </c>
      <c r="F498" s="110" t="str">
        <f>IF(A498="","", QC_Plan!M498)</f>
        <v/>
      </c>
      <c r="G498" s="110" t="str">
        <f t="shared" si="10"/>
        <v/>
      </c>
    </row>
    <row r="499" spans="4:7" ht="15" customHeight="1" x14ac:dyDescent="0.3">
      <c r="D499" s="110" t="str">
        <f>IF(A499="","",IF(C499="2P",OPR_2P!B$2,IF(C499="SEG",SEG_6P!B$2,IF(C499="SOL",SOL_4P!B$2,IF(C499="RW",RW_2P!B$2,IF(C499="RW2",RW2_4P!B$2,0))))))</f>
        <v/>
      </c>
      <c r="F499" s="110" t="str">
        <f>IF(A499="","", QC_Plan!M499)</f>
        <v/>
      </c>
      <c r="G499" s="110" t="str">
        <f t="shared" si="10"/>
        <v/>
      </c>
    </row>
    <row r="500" spans="4:7" ht="15" customHeight="1" x14ac:dyDescent="0.3">
      <c r="D500" s="110" t="str">
        <f>IF(A500="","",IF(C500="2P",OPR_2P!B$2,IF(C500="SEG",SEG_6P!B$2,IF(C500="SOL",SOL_4P!B$2,IF(C500="RW",RW_2P!B$2,IF(C500="RW2",RW2_4P!B$2,0))))))</f>
        <v/>
      </c>
      <c r="F500" s="110" t="str">
        <f>IF(A500="","", QC_Plan!M500)</f>
        <v/>
      </c>
      <c r="G500" s="110" t="str">
        <f t="shared" si="10"/>
        <v/>
      </c>
    </row>
    <row r="501" spans="4:7" ht="15" customHeight="1" x14ac:dyDescent="0.3">
      <c r="D501" s="110" t="str">
        <f>IF(A501="","",IF(C501="2P",OPR_2P!B$2,IF(C501="SEG",SEG_6P!B$2,IF(C501="SOL",SOL_4P!B$2,IF(C501="RW",RW_2P!B$2,IF(C501="RW2",RW2_4P!B$2,0))))))</f>
        <v/>
      </c>
    </row>
    <row r="502" spans="4:7" ht="15" customHeight="1" x14ac:dyDescent="0.3">
      <c r="D502" s="110" t="str">
        <f>IF(A502="","",IF(C502="2P",OPR_2P!B$2,IF(C502="SEG",SEG_6P!B$2,IF(C502="SOL",SOL_4P!B$2,IF(C502="RW",RW_2P!B$2,IF(C502="RW2",RW2_4P!B$2,0))))))</f>
        <v/>
      </c>
    </row>
    <row r="503" spans="4:7" ht="15" customHeight="1" x14ac:dyDescent="0.3">
      <c r="D503" s="110" t="str">
        <f>IF(A503="","",IF(C503="2P",OPR_2P!B$2,IF(C503="SEG",SEG_6P!B$2,IF(C503="SOL",SOL_4P!B$2,IF(C503="RW",RW_2P!B$2,IF(C503="RW2",RW2_4P!B$2,0))))))</f>
        <v/>
      </c>
    </row>
    <row r="504" spans="4:7" ht="15" customHeight="1" x14ac:dyDescent="0.3">
      <c r="D504" s="110" t="str">
        <f>IF(A504="","",IF(C504="2P",OPR_2P!B$2,IF(C504="SEG",SEG_6P!B$2,IF(C504="SOL",SOL_4P!B$2,IF(C504="RW",RW_2P!B$2,IF(C504="RW2",RW2_4P!B$2,0))))))</f>
        <v/>
      </c>
    </row>
    <row r="505" spans="4:7" ht="15" customHeight="1" x14ac:dyDescent="0.3">
      <c r="D505" s="110" t="str">
        <f>IF(A505="","",IF(C505="2P",OPR_2P!B$2,IF(C505="SEG",SEG_6P!B$2,IF(C505="SOL",SOL_4P!B$2,IF(C505="RW",RW_2P!B$2,IF(C505="RW2",RW2_4P!B$2,0))))))</f>
        <v/>
      </c>
    </row>
    <row r="506" spans="4:7" ht="15" customHeight="1" x14ac:dyDescent="0.3">
      <c r="D506" s="110" t="str">
        <f>IF(A506="","",IF(C506="2P",OPR_2P!B$2,IF(C506="SEG",SEG_6P!B$2,IF(C506="SOL",SOL_4P!B$2,IF(C506="RW",RW_2P!B$2,IF(C506="RW2",RW2_4P!B$2,0))))))</f>
        <v/>
      </c>
    </row>
    <row r="507" spans="4:7" ht="15" customHeight="1" x14ac:dyDescent="0.3">
      <c r="D507" s="110" t="str">
        <f>IF(A507="","",IF(C507="2P",OPR_2P!B$2,IF(C507="SEG",SEG_6P!B$2,IF(C507="SOL",SOL_4P!B$2,IF(C507="RW",RW_2P!B$2,IF(C507="RW2",RW2_4P!B$2,0))))))</f>
        <v/>
      </c>
    </row>
    <row r="508" spans="4:7" ht="15" customHeight="1" x14ac:dyDescent="0.3">
      <c r="D508" s="110" t="str">
        <f>IF(A508="","",IF(C508="2P",OPR_2P!B$2,IF(C508="SEG",SEG_6P!B$2,IF(C508="SOL",SOL_4P!B$2,IF(C508="RW",RW_2P!B$2,IF(C508="RW2",RW2_4P!B$2,0))))))</f>
        <v/>
      </c>
    </row>
    <row r="509" spans="4:7" ht="15" customHeight="1" x14ac:dyDescent="0.3">
      <c r="D509" s="110" t="str">
        <f>IF(A509="","",IF(C509="2P",OPR_2P!B$2,IF(C509="SEG",SEG_6P!B$2,IF(C509="SOL",SOL_4P!B$2,IF(C509="RW",RW_2P!B$2,IF(C509="RW2",RW2_4P!B$2,0))))))</f>
        <v/>
      </c>
    </row>
    <row r="510" spans="4:7" ht="15" customHeight="1" x14ac:dyDescent="0.3">
      <c r="D510" s="110" t="str">
        <f>IF(A510="","",IF(C510="2P",OPR_2P!B$2,IF(C510="SEG",SEG_6P!B$2,IF(C510="SOL",SOL_4P!B$2,IF(C510="RW",RW_2P!B$2,IF(C510="RW2",RW2_4P!B$2,0))))))</f>
        <v/>
      </c>
    </row>
    <row r="511" spans="4:7" ht="15" customHeight="1" x14ac:dyDescent="0.3">
      <c r="D511" s="110" t="str">
        <f>IF(A511="","",IF(C511="2P",OPR_2P!B$2,IF(C511="SEG",SEG_6P!B$2,IF(C511="SOL",SOL_4P!B$2,IF(C511="RW",RW_2P!B$2,IF(C511="RW2",RW2_4P!B$2,0))))))</f>
        <v/>
      </c>
    </row>
    <row r="512" spans="4:7" ht="15" customHeight="1" x14ac:dyDescent="0.3">
      <c r="D512" s="110" t="str">
        <f>IF(A512="","",IF(C512="2P",OPR_2P!B$2,IF(C512="SEG",SEG_6P!B$2,IF(C512="SOL",SOL_4P!B$2,IF(C512="RW",RW_2P!B$2,IF(C512="RW2",RW2_4P!B$2,0))))))</f>
        <v/>
      </c>
    </row>
    <row r="513" spans="4:4" ht="15" customHeight="1" x14ac:dyDescent="0.3">
      <c r="D513" s="110" t="str">
        <f>IF(A513="","",IF(C513="2P",OPR_2P!B$2,IF(C513="SEG",SEG_6P!B$2,IF(C513="SOL",SOL_4P!B$2,IF(C513="RW",RW_2P!B$2,IF(C513="RW2",RW2_4P!B$2,0))))))</f>
        <v/>
      </c>
    </row>
    <row r="514" spans="4:4" ht="15" customHeight="1" x14ac:dyDescent="0.3">
      <c r="D514" s="110" t="str">
        <f>IF(A514="","",IF(C514="2P",OPR_2P!B$2,IF(C514="SEG",SEG_6P!B$2,IF(C514="SOL",SOL_4P!B$2,IF(C514="RW",RW_2P!B$2,IF(C514="RW2",RW2_4P!B$2,0))))))</f>
        <v/>
      </c>
    </row>
    <row r="515" spans="4:4" ht="15" customHeight="1" x14ac:dyDescent="0.3">
      <c r="D515" s="110" t="str">
        <f>IF(A515="","",IF(C515="2P",OPR_2P!B$2,IF(C515="SEG",SEG_6P!B$2,IF(C515="SOL",SOL_4P!B$2,IF(C515="RW",RW_2P!B$2,IF(C515="RW2",RW2_4P!B$2,0))))))</f>
        <v/>
      </c>
    </row>
    <row r="516" spans="4:4" ht="15" customHeight="1" x14ac:dyDescent="0.3">
      <c r="D516" s="110" t="str">
        <f>IF(A516="","",IF(C516="2P",OPR_2P!B$2,IF(C516="SEG",SEG_6P!B$2,IF(C516="SOL",SOL_4P!B$2,IF(C516="RW",RW_2P!B$2,IF(C516="RW2",RW2_4P!B$2,0))))))</f>
        <v/>
      </c>
    </row>
    <row r="517" spans="4:4" ht="15" customHeight="1" x14ac:dyDescent="0.3">
      <c r="D517" s="110" t="str">
        <f>IF(A517="","",IF(C517="2P",OPR_2P!B$2,IF(C517="SEG",SEG_6P!B$2,IF(C517="SOL",SOL_4P!B$2,IF(C517="RW",RW_2P!B$2,IF(C517="RW2",RW2_4P!B$2,0))))))</f>
        <v/>
      </c>
    </row>
    <row r="518" spans="4:4" ht="15" customHeight="1" x14ac:dyDescent="0.3">
      <c r="D518" s="110" t="str">
        <f>IF(A518="","",IF(C518="2P",OPR_2P!B$2,IF(C518="SEG",SEG_6P!B$2,IF(C518="SOL",SOL_4P!B$2,IF(C518="RW",RW_2P!B$2,IF(C518="RW2",RW2_4P!B$2,0))))))</f>
        <v/>
      </c>
    </row>
    <row r="519" spans="4:4" ht="15" customHeight="1" x14ac:dyDescent="0.3">
      <c r="D519" s="110" t="str">
        <f>IF(A519="","",IF(C519="2P",OPR_2P!B$2,IF(C519="SEG",SEG_6P!B$2,IF(C519="SOL",SOL_4P!B$2,IF(C519="RW",RW_2P!B$2,IF(C519="RW2",RW2_4P!B$2,0))))))</f>
        <v/>
      </c>
    </row>
    <row r="520" spans="4:4" ht="15" customHeight="1" x14ac:dyDescent="0.3">
      <c r="D520" s="110" t="str">
        <f>IF(A520="","",IF(C520="2P",OPR_2P!B$2,IF(C520="SEG",SEG_6P!B$2,IF(C520="SOL",SOL_4P!B$2,IF(C520="RW",RW_2P!B$2,IF(C520="RW2",RW2_4P!B$2,0))))))</f>
        <v/>
      </c>
    </row>
    <row r="521" spans="4:4" ht="15" customHeight="1" x14ac:dyDescent="0.3">
      <c r="D521" s="110" t="str">
        <f>IF(A521="","",IF(C521="2P",OPR_2P!B$2,IF(C521="SEG",SEG_6P!B$2,IF(C521="SOL",SOL_4P!B$2,IF(C521="RW",RW_2P!B$2,IF(C521="RW2",RW2_4P!B$2,0))))))</f>
        <v/>
      </c>
    </row>
    <row r="522" spans="4:4" ht="15" customHeight="1" x14ac:dyDescent="0.3">
      <c r="D522" s="110" t="str">
        <f>IF(A522="","",IF(C522="2P",OPR_2P!B$2,IF(C522="SEG",SEG_6P!B$2,IF(C522="SOL",SOL_4P!B$2,IF(C522="RW",RW_2P!B$2,IF(C522="RW2",RW2_4P!B$2,0))))))</f>
        <v/>
      </c>
    </row>
    <row r="523" spans="4:4" ht="15" customHeight="1" x14ac:dyDescent="0.3">
      <c r="D523" s="110" t="str">
        <f>IF(A523="","",IF(C523="2P",OPR_2P!B$2,IF(C523="SEG",SEG_6P!B$2,IF(C523="SOL",SOL_4P!B$2,IF(C523="RW",RW_2P!B$2,IF(C523="RW2",RW2_4P!B$2,0))))))</f>
        <v/>
      </c>
    </row>
    <row r="524" spans="4:4" ht="15" customHeight="1" x14ac:dyDescent="0.3">
      <c r="D524" s="110" t="str">
        <f>IF(A524="","",IF(C524="2P",OPR_2P!B$2,IF(C524="SEG",SEG_6P!B$2,IF(C524="SOL",SOL_4P!B$2,IF(C524="RW",RW_2P!B$2,IF(C524="RW2",RW2_4P!B$2,0))))))</f>
        <v/>
      </c>
    </row>
    <row r="525" spans="4:4" ht="15" customHeight="1" x14ac:dyDescent="0.3">
      <c r="D525" s="110" t="str">
        <f>IF(A525="","",IF(C525="2P",OPR_2P!B$2,IF(C525="SEG",SEG_6P!B$2,IF(C525="SOL",SOL_4P!B$2,IF(C525="RW",RW_2P!B$2,IF(C525="RW2",RW2_4P!B$2,0))))))</f>
        <v/>
      </c>
    </row>
    <row r="526" spans="4:4" ht="15" customHeight="1" x14ac:dyDescent="0.3">
      <c r="D526" s="110" t="str">
        <f>IF(A526="","",IF(C526="2P",OPR_2P!B$2,IF(C526="SEG",SEG_6P!B$2,IF(C526="SOL",SOL_4P!B$2,IF(C526="RW",RW_2P!B$2,IF(C526="RW2",RW2_4P!B$2,0))))))</f>
        <v/>
      </c>
    </row>
    <row r="527" spans="4:4" ht="15" customHeight="1" x14ac:dyDescent="0.3">
      <c r="D527" s="110" t="str">
        <f>IF(A527="","",IF(C527="2P",OPR_2P!B$2,IF(C527="SEG",SEG_6P!B$2,IF(C527="SOL",SOL_4P!B$2,IF(C527="RW",RW_2P!B$2,IF(C527="RW2",RW2_4P!B$2,0))))))</f>
        <v/>
      </c>
    </row>
    <row r="528" spans="4:4" ht="15" customHeight="1" x14ac:dyDescent="0.3">
      <c r="D528" s="110" t="str">
        <f>IF(A528="","",IF(C528="2P",OPR_2P!B$2,IF(C528="SEG",SEG_6P!B$2,IF(C528="SOL",SOL_4P!B$2,IF(C528="RW",RW_2P!B$2,IF(C528="RW2",RW2_4P!B$2,0))))))</f>
        <v/>
      </c>
    </row>
    <row r="529" spans="4:4" ht="15" customHeight="1" x14ac:dyDescent="0.3">
      <c r="D529" s="110" t="str">
        <f>IF(A529="","",IF(C529="2P",OPR_2P!B$2,IF(C529="SEG",SEG_6P!B$2,IF(C529="SOL",SOL_4P!B$2,IF(C529="RW",RW_2P!B$2,IF(C529="RW2",RW2_4P!B$2,0))))))</f>
        <v/>
      </c>
    </row>
    <row r="530" spans="4:4" ht="15" customHeight="1" x14ac:dyDescent="0.3">
      <c r="D530" s="110" t="str">
        <f>IF(A530="","",IF(C530="2P",OPR_2P!B$2,IF(C530="SEG",SEG_6P!B$2,IF(C530="SOL",SOL_4P!B$2,IF(C530="RW",RW_2P!B$2,IF(C530="RW2",RW2_4P!B$2,0))))))</f>
        <v/>
      </c>
    </row>
    <row r="531" spans="4:4" ht="15" customHeight="1" x14ac:dyDescent="0.3">
      <c r="D531" s="110" t="str">
        <f>IF(A531="","",IF(C531="2P",OPR_2P!B$2,IF(C531="SEG",SEG_6P!B$2,IF(C531="SOL",SOL_4P!B$2,IF(C531="RW",RW_2P!B$2,IF(C531="RW2",RW2_4P!B$2,0))))))</f>
        <v/>
      </c>
    </row>
    <row r="532" spans="4:4" ht="15" customHeight="1" x14ac:dyDescent="0.3">
      <c r="D532" s="110" t="str">
        <f>IF(A532="","",IF(C532="2P",OPR_2P!B$2,IF(C532="SEG",SEG_6P!B$2,IF(C532="SOL",SOL_4P!B$2,IF(C532="RW",RW_2P!B$2,IF(C532="RW2",RW2_4P!B$2,0))))))</f>
        <v/>
      </c>
    </row>
    <row r="533" spans="4:4" ht="15" customHeight="1" x14ac:dyDescent="0.3">
      <c r="D533" s="110" t="str">
        <f>IF(A533="","",IF(C533="2P",OPR_2P!B$2,IF(C533="SEG",SEG_6P!B$2,IF(C533="SOL",SOL_4P!B$2,IF(C533="RW",RW_2P!B$2,IF(C533="RW2",RW2_4P!B$2,0))))))</f>
        <v/>
      </c>
    </row>
    <row r="534" spans="4:4" ht="15" customHeight="1" x14ac:dyDescent="0.3">
      <c r="D534" s="110" t="str">
        <f>IF(A534="","",IF(C534="2P",OPR_2P!B$2,IF(C534="SEG",SEG_6P!B$2,IF(C534="SOL",SOL_4P!B$2,IF(C534="RW",RW_2P!B$2,IF(C534="RW2",RW2_4P!B$2,0))))))</f>
        <v/>
      </c>
    </row>
    <row r="535" spans="4:4" ht="15" customHeight="1" x14ac:dyDescent="0.3">
      <c r="D535" s="110" t="str">
        <f>IF(A535="","",IF(C535="2P",OPR_2P!B$2,IF(C535="SEG",SEG_6P!B$2,IF(C535="SOL",SOL_4P!B$2,IF(C535="RW",RW_2P!B$2,IF(C535="RW2",RW2_4P!B$2,0))))))</f>
        <v/>
      </c>
    </row>
    <row r="536" spans="4:4" ht="15" customHeight="1" x14ac:dyDescent="0.3">
      <c r="D536" s="110" t="str">
        <f>IF(A536="","",IF(C536="2P",OPR_2P!B$2,IF(C536="SEG",SEG_6P!B$2,IF(C536="SOL",SOL_4P!B$2,IF(C536="RW",RW_2P!B$2,IF(C536="RW2",RW2_4P!B$2,0))))))</f>
        <v/>
      </c>
    </row>
    <row r="537" spans="4:4" ht="15" customHeight="1" x14ac:dyDescent="0.3">
      <c r="D537" s="110" t="str">
        <f>IF(A537="","",IF(C537="2P",OPR_2P!B$2,IF(C537="SEG",SEG_6P!B$2,IF(C537="SOL",SOL_4P!B$2,IF(C537="RW",RW_2P!B$2,IF(C537="RW2",RW2_4P!B$2,0))))))</f>
        <v/>
      </c>
    </row>
    <row r="538" spans="4:4" ht="15" customHeight="1" x14ac:dyDescent="0.3">
      <c r="D538" s="110" t="str">
        <f>IF(A538="","",IF(C538="2P",OPR_2P!B$2,IF(C538="SEG",SEG_6P!B$2,IF(C538="SOL",SOL_4P!B$2,IF(C538="RW",RW_2P!B$2,IF(C538="RW2",RW2_4P!B$2,0))))))</f>
        <v/>
      </c>
    </row>
    <row r="539" spans="4:4" ht="15" customHeight="1" x14ac:dyDescent="0.3">
      <c r="D539" s="110" t="str">
        <f>IF(A539="","",IF(C539="2P",OPR_2P!B$2,IF(C539="SEG",SEG_6P!B$2,IF(C539="SOL",SOL_4P!B$2,IF(C539="RW",RW_2P!B$2,IF(C539="RW2",RW2_4P!B$2,0))))))</f>
        <v/>
      </c>
    </row>
    <row r="540" spans="4:4" ht="15" customHeight="1" x14ac:dyDescent="0.3">
      <c r="D540" s="110" t="str">
        <f>IF(A540="","",IF(C540="2P",OPR_2P!B$2,IF(C540="SEG",SEG_6P!B$2,IF(C540="SOL",SOL_4P!B$2,IF(C540="RW",RW_2P!B$2,IF(C540="RW2",RW2_4P!B$2,0))))))</f>
        <v/>
      </c>
    </row>
    <row r="541" spans="4:4" ht="15" customHeight="1" x14ac:dyDescent="0.3">
      <c r="D541" s="110" t="str">
        <f>IF(A541="","",IF(C541="2P",OPR_2P!B$2,IF(C541="SEG",SEG_6P!B$2,IF(C541="SOL",SOL_4P!B$2,IF(C541="RW",RW_2P!B$2,IF(C541="RW2",RW2_4P!B$2,0))))))</f>
        <v/>
      </c>
    </row>
    <row r="542" spans="4:4" ht="15" customHeight="1" x14ac:dyDescent="0.3">
      <c r="D542" s="110" t="str">
        <f>IF(A542="","",IF(C542="2P",OPR_2P!B$2,IF(C542="SEG",SEG_6P!B$2,IF(C542="SOL",SOL_4P!B$2,IF(C542="RW",RW_2P!B$2,IF(C542="RW2",RW2_4P!B$2,0))))))</f>
        <v/>
      </c>
    </row>
    <row r="543" spans="4:4" ht="15" customHeight="1" x14ac:dyDescent="0.3">
      <c r="D543" s="110" t="str">
        <f>IF(A543="","",IF(C543="2P",OPR_2P!B$2,IF(C543="SEG",SEG_6P!B$2,IF(C543="SOL",SOL_4P!B$2,IF(C543="RW",RW_2P!B$2,IF(C543="RW2",RW2_4P!B$2,0))))))</f>
        <v/>
      </c>
    </row>
    <row r="544" spans="4:4" ht="15" customHeight="1" x14ac:dyDescent="0.3">
      <c r="D544" s="110" t="str">
        <f>IF(A544="","",IF(C544="2P",OPR_2P!B$2,IF(C544="SEG",SEG_6P!B$2,IF(C544="SOL",SOL_4P!B$2,IF(C544="RW",RW_2P!B$2,IF(C544="RW2",RW2_4P!B$2,0))))))</f>
        <v/>
      </c>
    </row>
    <row r="545" spans="4:4" ht="15" customHeight="1" x14ac:dyDescent="0.3">
      <c r="D545" s="110" t="str">
        <f>IF(A545="","",IF(C545="2P",OPR_2P!B$2,IF(C545="SEG",SEG_6P!B$2,IF(C545="SOL",SOL_4P!B$2,IF(C545="RW",RW_2P!B$2,IF(C545="RW2",RW2_4P!B$2,0))))))</f>
        <v/>
      </c>
    </row>
    <row r="546" spans="4:4" ht="15" customHeight="1" x14ac:dyDescent="0.3">
      <c r="D546" s="110" t="str">
        <f>IF(A546="","",IF(C546="2P",OPR_2P!B$2,IF(C546="SEG",SEG_6P!B$2,IF(C546="SOL",SOL_4P!B$2,IF(C546="RW",RW_2P!B$2,IF(C546="RW2",RW2_4P!B$2,0))))))</f>
        <v/>
      </c>
    </row>
    <row r="547" spans="4:4" ht="15" customHeight="1" x14ac:dyDescent="0.3">
      <c r="D547" s="110" t="str">
        <f>IF(A547="","",IF(C547="2P",OPR_2P!B$2,IF(C547="SEG",SEG_6P!B$2,IF(C547="SOL",SOL_4P!B$2,IF(C547="RW",RW_2P!B$2,IF(C547="RW2",RW2_4P!B$2,0))))))</f>
        <v/>
      </c>
    </row>
    <row r="548" spans="4:4" ht="15" customHeight="1" x14ac:dyDescent="0.3">
      <c r="D548" s="110" t="str">
        <f>IF(A548="","",IF(C548="2P",OPR_2P!B$2,IF(C548="SEG",SEG_6P!B$2,IF(C548="SOL",SOL_4P!B$2,IF(C548="RW",RW_2P!B$2,IF(C548="RW2",RW2_4P!B$2,0))))))</f>
        <v/>
      </c>
    </row>
    <row r="549" spans="4:4" ht="15" customHeight="1" x14ac:dyDescent="0.3">
      <c r="D549" s="110" t="str">
        <f>IF(A549="","",IF(C549="2P",OPR_2P!B$2,IF(C549="SEG",SEG_6P!B$2,IF(C549="SOL",SOL_4P!B$2,IF(C549="RW",RW_2P!B$2,IF(C549="RW2",RW2_4P!B$2,0))))))</f>
        <v/>
      </c>
    </row>
    <row r="550" spans="4:4" ht="15" customHeight="1" x14ac:dyDescent="0.3">
      <c r="D550" s="110" t="str">
        <f>IF(A550="","",IF(C550="2P",OPR_2P!B$2,IF(C550="SEG",SEG_6P!B$2,IF(C550="SOL",SOL_4P!B$2,IF(C550="RW",RW_2P!B$2,IF(C550="RW2",RW2_4P!B$2,0))))))</f>
        <v/>
      </c>
    </row>
    <row r="551" spans="4:4" ht="15" customHeight="1" x14ac:dyDescent="0.3">
      <c r="D551" s="110" t="str">
        <f>IF(A551="","",IF(C551="2P",OPR_2P!B$2,IF(C551="SEG",SEG_6P!B$2,IF(C551="SOL",SOL_4P!B$2,IF(C551="RW",RW_2P!B$2,IF(C551="RW2",RW2_4P!B$2,0))))))</f>
        <v/>
      </c>
    </row>
    <row r="552" spans="4:4" ht="15" customHeight="1" x14ac:dyDescent="0.3">
      <c r="D552" s="110" t="str">
        <f>IF(A552="","",IF(C552="2P",OPR_2P!B$2,IF(C552="SEG",SEG_6P!B$2,IF(C552="SOL",SOL_4P!B$2,IF(C552="RW",RW_2P!B$2,IF(C552="RW2",RW2_4P!B$2,0))))))</f>
        <v/>
      </c>
    </row>
    <row r="553" spans="4:4" ht="15" customHeight="1" x14ac:dyDescent="0.3">
      <c r="D553" s="110" t="str">
        <f>IF(A553="","",IF(C553="2P",OPR_2P!B$2,IF(C553="SEG",SEG_6P!B$2,IF(C553="SOL",SOL_4P!B$2,IF(C553="RW",RW_2P!B$2,IF(C553="RW2",RW2_4P!B$2,0))))))</f>
        <v/>
      </c>
    </row>
    <row r="554" spans="4:4" ht="15" customHeight="1" x14ac:dyDescent="0.3">
      <c r="D554" s="110" t="str">
        <f>IF(A554="","",IF(C554="2P",OPR_2P!B$2,IF(C554="SEG",SEG_6P!B$2,IF(C554="SOL",SOL_4P!B$2,IF(C554="RW",RW_2P!B$2,IF(C554="RW2",RW2_4P!B$2,0))))))</f>
        <v/>
      </c>
    </row>
    <row r="555" spans="4:4" ht="15" customHeight="1" x14ac:dyDescent="0.3">
      <c r="D555" s="110" t="str">
        <f>IF(A555="","",IF(C555="2P",OPR_2P!B$2,IF(C555="SEG",SEG_6P!B$2,IF(C555="SOL",SOL_4P!B$2,IF(C555="RW",RW_2P!B$2,IF(C555="RW2",RW2_4P!B$2,0))))))</f>
        <v/>
      </c>
    </row>
    <row r="556" spans="4:4" ht="15" customHeight="1" x14ac:dyDescent="0.3">
      <c r="D556" s="110" t="str">
        <f>IF(A556="","",IF(C556="2P",OPR_2P!B$2,IF(C556="SEG",SEG_6P!B$2,IF(C556="SOL",SOL_4P!B$2,IF(C556="RW",RW_2P!B$2,IF(C556="RW2",RW2_4P!B$2,0))))))</f>
        <v/>
      </c>
    </row>
    <row r="557" spans="4:4" ht="15" customHeight="1" x14ac:dyDescent="0.3">
      <c r="D557" s="110" t="str">
        <f>IF(A557="","",IF(C557="2P",OPR_2P!B$2,IF(C557="SEG",SEG_6P!B$2,IF(C557="SOL",SOL_4P!B$2,IF(C557="RW",RW_2P!B$2,IF(C557="RW2",RW2_4P!B$2,0))))))</f>
        <v/>
      </c>
    </row>
    <row r="558" spans="4:4" ht="15" customHeight="1" x14ac:dyDescent="0.3">
      <c r="D558" s="110" t="str">
        <f>IF(A558="","",IF(C558="2P",OPR_2P!B$2,IF(C558="SEG",SEG_6P!B$2,IF(C558="SOL",SOL_4P!B$2,IF(C558="RW",RW_2P!B$2,IF(C558="RW2",RW2_4P!B$2,0))))))</f>
        <v/>
      </c>
    </row>
    <row r="559" spans="4:4" ht="15" customHeight="1" x14ac:dyDescent="0.3">
      <c r="D559" s="110" t="str">
        <f>IF(A559="","",IF(C559="2P",OPR_2P!B$2,IF(C559="SEG",SEG_6P!B$2,IF(C559="SOL",SOL_4P!B$2,IF(C559="RW",RW_2P!B$2,IF(C559="RW2",RW2_4P!B$2,0))))))</f>
        <v/>
      </c>
    </row>
    <row r="560" spans="4:4" ht="15" customHeight="1" x14ac:dyDescent="0.3">
      <c r="D560" s="110" t="str">
        <f>IF(A560="","",IF(C560="2P",OPR_2P!B$2,IF(C560="SEG",SEG_6P!B$2,IF(C560="SOL",SOL_4P!B$2,IF(C560="RW",RW_2P!B$2,IF(C560="RW2",RW2_4P!B$2,0))))))</f>
        <v/>
      </c>
    </row>
    <row r="561" spans="4:4" ht="15" customHeight="1" x14ac:dyDescent="0.3">
      <c r="D561" s="110" t="str">
        <f>IF(A561="","",IF(C561="2P",OPR_2P!B$2,IF(C561="SEG",SEG_6P!B$2,IF(C561="SOL",SOL_4P!B$2,IF(C561="RW",RW_2P!B$2,IF(C561="RW2",RW2_4P!B$2,0))))))</f>
        <v/>
      </c>
    </row>
    <row r="562" spans="4:4" ht="15" customHeight="1" x14ac:dyDescent="0.3">
      <c r="D562" s="110" t="str">
        <f>IF(A562="","",IF(C562="2P",OPR_2P!B$2,IF(C562="SEG",SEG_6P!B$2,IF(C562="SOL",SOL_4P!B$2,IF(C562="RW",RW_2P!B$2,IF(C562="RW2",RW2_4P!B$2,0))))))</f>
        <v/>
      </c>
    </row>
    <row r="563" spans="4:4" ht="15" customHeight="1" x14ac:dyDescent="0.3">
      <c r="D563" s="110" t="str">
        <f>IF(A563="","",IF(C563="2P",OPR_2P!B$2,IF(C563="SEG",SEG_6P!B$2,IF(C563="SOL",SOL_4P!B$2,IF(C563="RW",RW_2P!B$2,IF(C563="RW2",RW2_4P!B$2,0))))))</f>
        <v/>
      </c>
    </row>
    <row r="564" spans="4:4" ht="15" customHeight="1" x14ac:dyDescent="0.3">
      <c r="D564" s="110" t="str">
        <f>IF(A564="","",IF(C564="2P",OPR_2P!B$2,IF(C564="SEG",SEG_6P!B$2,IF(C564="SOL",SOL_4P!B$2,IF(C564="RW",RW_2P!B$2,IF(C564="RW2",RW2_4P!B$2,0))))))</f>
        <v/>
      </c>
    </row>
    <row r="565" spans="4:4" ht="15" customHeight="1" x14ac:dyDescent="0.3">
      <c r="D565" s="110" t="str">
        <f>IF(A565="","",IF(C565="2P",OPR_2P!B$2,IF(C565="SEG",SEG_6P!B$2,IF(C565="SOL",SOL_4P!B$2,IF(C565="RW",RW_2P!B$2,IF(C565="RW2",RW2_4P!B$2,0))))))</f>
        <v/>
      </c>
    </row>
    <row r="566" spans="4:4" ht="15" customHeight="1" x14ac:dyDescent="0.3">
      <c r="D566" s="110" t="str">
        <f>IF(A566="","",IF(C566="2P",OPR_2P!B$2,IF(C566="SEG",SEG_6P!B$2,IF(C566="SOL",SOL_4P!B$2,IF(C566="RW",RW_2P!B$2,IF(C566="RW2",RW2_4P!B$2,0))))))</f>
        <v/>
      </c>
    </row>
    <row r="567" spans="4:4" ht="15" customHeight="1" x14ac:dyDescent="0.3">
      <c r="D567" s="110" t="str">
        <f>IF(A567="","",IF(C567="2P",OPR_2P!B$2,IF(C567="SEG",SEG_6P!B$2,IF(C567="SOL",SOL_4P!B$2,IF(C567="RW",RW_2P!B$2,IF(C567="RW2",RW2_4P!B$2,0))))))</f>
        <v/>
      </c>
    </row>
    <row r="568" spans="4:4" ht="15" customHeight="1" x14ac:dyDescent="0.3">
      <c r="D568" s="110" t="str">
        <f>IF(A568="","",IF(C568="2P",OPR_2P!B$2,IF(C568="SEG",SEG_6P!B$2,IF(C568="SOL",SOL_4P!B$2,IF(C568="RW",RW_2P!B$2,IF(C568="RW2",RW2_4P!B$2,0))))))</f>
        <v/>
      </c>
    </row>
    <row r="569" spans="4:4" ht="15" customHeight="1" x14ac:dyDescent="0.3">
      <c r="D569" s="110" t="str">
        <f>IF(A569="","",IF(C569="2P",OPR_2P!B$2,IF(C569="SEG",SEG_6P!B$2,IF(C569="SOL",SOL_4P!B$2,IF(C569="RW",RW_2P!B$2,IF(C569="RW2",RW2_4P!B$2,0))))))</f>
        <v/>
      </c>
    </row>
    <row r="570" spans="4:4" ht="15" customHeight="1" x14ac:dyDescent="0.3">
      <c r="D570" s="110" t="str">
        <f>IF(A570="","",IF(C570="2P",OPR_2P!B$2,IF(C570="SEG",SEG_6P!B$2,IF(C570="SOL",SOL_4P!B$2,IF(C570="RW",RW_2P!B$2,IF(C570="RW2",RW2_4P!B$2,0))))))</f>
        <v/>
      </c>
    </row>
    <row r="571" spans="4:4" ht="15" customHeight="1" x14ac:dyDescent="0.3">
      <c r="D571" s="110" t="str">
        <f>IF(A571="","",IF(C571="2P",OPR_2P!B$2,IF(C571="SEG",SEG_6P!B$2,IF(C571="SOL",SOL_4P!B$2,IF(C571="RW",RW_2P!B$2,IF(C571="RW2",RW2_4P!B$2,0))))))</f>
        <v/>
      </c>
    </row>
    <row r="572" spans="4:4" ht="15" customHeight="1" x14ac:dyDescent="0.3">
      <c r="D572" s="110" t="str">
        <f>IF(A572="","",IF(C572="2P",OPR_2P!B$2,IF(C572="SEG",SEG_6P!B$2,IF(C572="SOL",SOL_4P!B$2,IF(C572="RW",RW_2P!B$2,IF(C572="RW2",RW2_4P!B$2,0))))))</f>
        <v/>
      </c>
    </row>
    <row r="573" spans="4:4" ht="15" customHeight="1" x14ac:dyDescent="0.3">
      <c r="D573" s="110" t="str">
        <f>IF(A573="","",IF(C573="2P",OPR_2P!B$2,IF(C573="SEG",SEG_6P!B$2,IF(C573="SOL",SOL_4P!B$2,IF(C573="RW",RW_2P!B$2,IF(C573="RW2",RW2_4P!B$2,0))))))</f>
        <v/>
      </c>
    </row>
    <row r="574" spans="4:4" ht="15" customHeight="1" x14ac:dyDescent="0.3">
      <c r="D574" s="110" t="str">
        <f>IF(A574="","",IF(C574="2P",OPR_2P!B$2,IF(C574="SEG",SEG_6P!B$2,IF(C574="SOL",SOL_4P!B$2,IF(C574="RW",RW_2P!B$2,IF(C574="RW2",RW2_4P!B$2,0))))))</f>
        <v/>
      </c>
    </row>
    <row r="575" spans="4:4" ht="15" customHeight="1" x14ac:dyDescent="0.3">
      <c r="D575" s="110" t="str">
        <f>IF(A575="","",IF(C575="2P",OPR_2P!B$2,IF(C575="SEG",SEG_6P!B$2,IF(C575="SOL",SOL_4P!B$2,IF(C575="RW",RW_2P!B$2,IF(C575="RW2",RW2_4P!B$2,0))))))</f>
        <v/>
      </c>
    </row>
    <row r="576" spans="4:4" ht="15" customHeight="1" x14ac:dyDescent="0.3">
      <c r="D576" s="110" t="str">
        <f>IF(A576="","",IF(C576="2P",OPR_2P!B$2,IF(C576="SEG",SEG_6P!B$2,IF(C576="SOL",SOL_4P!B$2,IF(C576="RW",RW_2P!B$2,IF(C576="RW2",RW2_4P!B$2,0))))))</f>
        <v/>
      </c>
    </row>
    <row r="577" spans="4:4" ht="15" customHeight="1" x14ac:dyDescent="0.3">
      <c r="D577" s="110" t="str">
        <f>IF(A577="","",IF(C577="2P",OPR_2P!B$2,IF(C577="SEG",SEG_6P!B$2,IF(C577="SOL",SOL_4P!B$2,IF(C577="RW",RW_2P!B$2,IF(C577="RW2",RW2_4P!B$2,0))))))</f>
        <v/>
      </c>
    </row>
    <row r="578" spans="4:4" ht="15" customHeight="1" x14ac:dyDescent="0.3">
      <c r="D578" s="110" t="str">
        <f>IF(A578="","",IF(C578="2P",OPR_2P!B$2,IF(C578="SEG",SEG_6P!B$2,IF(C578="SOL",SOL_4P!B$2,IF(C578="RW",RW_2P!B$2,IF(C578="RW2",RW2_4P!B$2,0))))))</f>
        <v/>
      </c>
    </row>
    <row r="579" spans="4:4" ht="15" customHeight="1" x14ac:dyDescent="0.3">
      <c r="D579" s="110" t="str">
        <f>IF(A579="","",IF(C579="2P",OPR_2P!B$2,IF(C579="SEG",SEG_6P!B$2,IF(C579="SOL",SOL_4P!B$2,IF(C579="RW",RW_2P!B$2,IF(C579="RW2",RW2_4P!B$2,0))))))</f>
        <v/>
      </c>
    </row>
    <row r="580" spans="4:4" ht="15" customHeight="1" x14ac:dyDescent="0.3">
      <c r="D580" s="110" t="str">
        <f>IF(A580="","",IF(C580="2P",OPR_2P!B$2,IF(C580="SEG",SEG_6P!B$2,IF(C580="SOL",SOL_4P!B$2,IF(C580="RW",RW_2P!B$2,IF(C580="RW2",RW2_4P!B$2,0))))))</f>
        <v/>
      </c>
    </row>
    <row r="581" spans="4:4" ht="15" customHeight="1" x14ac:dyDescent="0.3">
      <c r="D581" s="110" t="str">
        <f>IF(A581="","",IF(C581="2P",OPR_2P!B$2,IF(C581="SEG",SEG_6P!B$2,IF(C581="SOL",SOL_4P!B$2,IF(C581="RW",RW_2P!B$2,IF(C581="RW2",RW2_4P!B$2,0))))))</f>
        <v/>
      </c>
    </row>
    <row r="582" spans="4:4" ht="15" customHeight="1" x14ac:dyDescent="0.3">
      <c r="D582" s="110" t="str">
        <f>IF(A582="","",IF(C582="2P",OPR_2P!B$2,IF(C582="SEG",SEG_6P!B$2,IF(C582="SOL",SOL_4P!B$2,IF(C582="RW",RW_2P!B$2,IF(C582="RW2",RW2_4P!B$2,0))))))</f>
        <v/>
      </c>
    </row>
    <row r="583" spans="4:4" ht="15" customHeight="1" x14ac:dyDescent="0.3">
      <c r="D583" s="110" t="str">
        <f>IF(A583="","",IF(C583="2P",OPR_2P!B$2,IF(C583="SEG",SEG_6P!B$2,IF(C583="SOL",SOL_4P!B$2,IF(C583="RW",RW_2P!B$2,IF(C583="RW2",RW2_4P!B$2,0))))))</f>
        <v/>
      </c>
    </row>
    <row r="584" spans="4:4" ht="15" customHeight="1" x14ac:dyDescent="0.3">
      <c r="D584" s="110" t="str">
        <f>IF(A584="","",IF(C584="2P",OPR_2P!B$2,IF(C584="SEG",SEG_6P!B$2,IF(C584="SOL",SOL_4P!B$2,IF(C584="RW",RW_2P!B$2,IF(C584="RW2",RW2_4P!B$2,0))))))</f>
        <v/>
      </c>
    </row>
    <row r="585" spans="4:4" ht="15" customHeight="1" x14ac:dyDescent="0.3">
      <c r="D585" s="110" t="str">
        <f>IF(A585="","",IF(C585="2P",OPR_2P!B$2,IF(C585="SEG",SEG_6P!B$2,IF(C585="SOL",SOL_4P!B$2,IF(C585="RW",RW_2P!B$2,IF(C585="RW2",RW2_4P!B$2,0))))))</f>
        <v/>
      </c>
    </row>
    <row r="586" spans="4:4" ht="15" customHeight="1" x14ac:dyDescent="0.3">
      <c r="D586" s="110" t="str">
        <f>IF(A586="","",IF(C586="2P",OPR_2P!B$2,IF(C586="SEG",SEG_6P!B$2,IF(C586="SOL",SOL_4P!B$2,IF(C586="RW",RW_2P!B$2,IF(C586="RW2",RW2_4P!B$2,0))))))</f>
        <v/>
      </c>
    </row>
    <row r="587" spans="4:4" ht="15" customHeight="1" x14ac:dyDescent="0.3">
      <c r="D587" s="110" t="str">
        <f>IF(A587="","",IF(C587="2P",OPR_2P!B$2,IF(C587="SEG",SEG_6P!B$2,IF(C587="SOL",SOL_4P!B$2,IF(C587="RW",RW_2P!B$2,IF(C587="RW2",RW2_4P!B$2,0))))))</f>
        <v/>
      </c>
    </row>
    <row r="588" spans="4:4" ht="15" customHeight="1" x14ac:dyDescent="0.3">
      <c r="D588" s="110" t="str">
        <f>IF(A588="","",IF(C588="2P",OPR_2P!B$2,IF(C588="SEG",SEG_6P!B$2,IF(C588="SOL",SOL_4P!B$2,IF(C588="RW",RW_2P!B$2,IF(C588="RW2",RW2_4P!B$2,0))))))</f>
        <v/>
      </c>
    </row>
    <row r="589" spans="4:4" ht="15" customHeight="1" x14ac:dyDescent="0.3">
      <c r="D589" s="110" t="str">
        <f>IF(A589="","",IF(C589="2P",OPR_2P!B$2,IF(C589="SEG",SEG_6P!B$2,IF(C589="SOL",SOL_4P!B$2,IF(C589="RW",RW_2P!B$2,IF(C589="RW2",RW2_4P!B$2,0))))))</f>
        <v/>
      </c>
    </row>
    <row r="590" spans="4:4" ht="15" customHeight="1" x14ac:dyDescent="0.3">
      <c r="D590" s="110" t="str">
        <f>IF(A590="","",IF(C590="2P",OPR_2P!B$2,IF(C590="SEG",SEG_6P!B$2,IF(C590="SOL",SOL_4P!B$2,IF(C590="RW",RW_2P!B$2,IF(C590="RW2",RW2_4P!B$2,0))))))</f>
        <v/>
      </c>
    </row>
    <row r="591" spans="4:4" ht="15" customHeight="1" x14ac:dyDescent="0.3">
      <c r="D591" s="110" t="str">
        <f>IF(A591="","",IF(C591="2P",OPR_2P!B$2,IF(C591="SEG",SEG_6P!B$2,IF(C591="SOL",SOL_4P!B$2,IF(C591="RW",RW_2P!B$2,IF(C591="RW2",RW2_4P!B$2,0))))))</f>
        <v/>
      </c>
    </row>
    <row r="592" spans="4:4" ht="15" customHeight="1" x14ac:dyDescent="0.3">
      <c r="D592" s="110" t="str">
        <f>IF(A592="","",IF(C592="2P",OPR_2P!B$2,IF(C592="SEG",SEG_6P!B$2,IF(C592="SOL",SOL_4P!B$2,IF(C592="RW",RW_2P!B$2,IF(C592="RW2",RW2_4P!B$2,0))))))</f>
        <v/>
      </c>
    </row>
    <row r="593" spans="4:4" ht="15" customHeight="1" x14ac:dyDescent="0.3">
      <c r="D593" s="110" t="str">
        <f>IF(A593="","",IF(C593="2P",OPR_2P!B$2,IF(C593="SEG",SEG_6P!B$2,IF(C593="SOL",SOL_4P!B$2,IF(C593="RW",RW_2P!B$2,IF(C593="RW2",RW2_4P!B$2,0))))))</f>
        <v/>
      </c>
    </row>
    <row r="594" spans="4:4" ht="15" customHeight="1" x14ac:dyDescent="0.3">
      <c r="D594" s="110" t="str">
        <f>IF(A594="","",IF(C594="2P",OPR_2P!B$2,IF(C594="SEG",SEG_6P!B$2,IF(C594="SOL",SOL_4P!B$2,IF(C594="RW",RW_2P!B$2,IF(C594="RW2",RW2_4P!B$2,0))))))</f>
        <v/>
      </c>
    </row>
    <row r="595" spans="4:4" ht="15" customHeight="1" x14ac:dyDescent="0.3">
      <c r="D595" s="110" t="str">
        <f>IF(A595="","",IF(C595="2P",OPR_2P!B$2,IF(C595="SEG",SEG_6P!B$2,IF(C595="SOL",SOL_4P!B$2,IF(C595="RW",RW_2P!B$2,IF(C595="RW2",RW2_4P!B$2,0))))))</f>
        <v/>
      </c>
    </row>
    <row r="596" spans="4:4" ht="15" customHeight="1" x14ac:dyDescent="0.3">
      <c r="D596" s="110" t="str">
        <f>IF(A596="","",IF(C596="2P",OPR_2P!B$2,IF(C596="SEG",SEG_6P!B$2,IF(C596="SOL",SOL_4P!B$2,IF(C596="RW",RW_2P!B$2,IF(C596="RW2",RW2_4P!B$2,0))))))</f>
        <v/>
      </c>
    </row>
    <row r="597" spans="4:4" ht="15" customHeight="1" x14ac:dyDescent="0.3">
      <c r="D597" s="110" t="str">
        <f>IF(A597="","",IF(C597="2P",OPR_2P!B$2,IF(C597="SEG",SEG_6P!B$2,IF(C597="SOL",SOL_4P!B$2,IF(C597="RW",RW_2P!B$2,IF(C597="RW2",RW2_4P!B$2,0))))))</f>
        <v/>
      </c>
    </row>
    <row r="598" spans="4:4" ht="15" customHeight="1" x14ac:dyDescent="0.3">
      <c r="D598" s="110" t="str">
        <f>IF(A598="","",IF(C598="2P",OPR_2P!B$2,IF(C598="SEG",SEG_6P!B$2,IF(C598="SOL",SOL_4P!B$2,IF(C598="RW",RW_2P!B$2,IF(C598="RW2",RW2_4P!B$2,0))))))</f>
        <v/>
      </c>
    </row>
    <row r="599" spans="4:4" ht="15" customHeight="1" x14ac:dyDescent="0.3">
      <c r="D599" s="110" t="str">
        <f>IF(A599="","",IF(C599="2P",OPR_2P!B$2,IF(C599="SEG",SEG_6P!B$2,IF(C599="SOL",SOL_4P!B$2,IF(C599="RW",RW_2P!B$2,IF(C599="RW2",RW2_4P!B$2,0))))))</f>
        <v/>
      </c>
    </row>
    <row r="600" spans="4:4" ht="15" customHeight="1" x14ac:dyDescent="0.3">
      <c r="D600" s="110" t="str">
        <f>IF(A600="","",IF(C600="2P",OPR_2P!B$2,IF(C600="SEG",SEG_6P!B$2,IF(C600="SOL",SOL_4P!B$2,IF(C600="RW",RW_2P!B$2,IF(C600="RW2",RW2_4P!B$2,0))))))</f>
        <v/>
      </c>
    </row>
    <row r="601" spans="4:4" ht="15" customHeight="1" x14ac:dyDescent="0.3">
      <c r="D601" s="110" t="str">
        <f>IF(A601="","",IF(C601="2P",OPR_2P!B$2,IF(C601="SEG",SEG_6P!B$2,IF(C601="SOL",SOL_4P!B$2,IF(C601="RW",RW_2P!B$2,IF(C601="RW2",RW2_4P!B$2,0))))))</f>
        <v/>
      </c>
    </row>
    <row r="602" spans="4:4" ht="15" customHeight="1" x14ac:dyDescent="0.3">
      <c r="D602" s="110" t="str">
        <f>IF(A602="","",IF(C602="2P",OPR_2P!B$2,IF(C602="SEG",SEG_6P!B$2,IF(C602="SOL",SOL_4P!B$2,IF(C602="RW",RW_2P!B$2,IF(C602="RW2",RW2_4P!B$2,0))))))</f>
        <v/>
      </c>
    </row>
    <row r="603" spans="4:4" ht="15" customHeight="1" x14ac:dyDescent="0.3">
      <c r="D603" s="110" t="str">
        <f>IF(A603="","",IF(C603="2P",OPR_2P!B$2,IF(C603="SEG",SEG_6P!B$2,IF(C603="SOL",SOL_4P!B$2,IF(C603="RW",RW_2P!B$2,IF(C603="RW2",RW2_4P!B$2,0))))))</f>
        <v/>
      </c>
    </row>
    <row r="604" spans="4:4" ht="15" customHeight="1" x14ac:dyDescent="0.3">
      <c r="D604" s="110" t="str">
        <f>IF(A604="","",IF(C604="2P",OPR_2P!B$2,IF(C604="SEG",SEG_6P!B$2,IF(C604="SOL",SOL_4P!B$2,IF(C604="RW",RW_2P!B$2,IF(C604="RW2",RW2_4P!B$2,0))))))</f>
        <v/>
      </c>
    </row>
    <row r="605" spans="4:4" ht="15" customHeight="1" x14ac:dyDescent="0.3">
      <c r="D605" s="110" t="str">
        <f>IF(A605="","",IF(C605="2P",OPR_2P!B$2,IF(C605="SEG",SEG_6P!B$2,IF(C605="SOL",SOL_4P!B$2,IF(C605="RW",RW_2P!B$2,IF(C605="RW2",RW2_4P!B$2,0))))))</f>
        <v/>
      </c>
    </row>
    <row r="606" spans="4:4" ht="15" customHeight="1" x14ac:dyDescent="0.3">
      <c r="D606" s="110" t="str">
        <f>IF(A606="","",IF(C606="2P",OPR_2P!B$2,IF(C606="SEG",SEG_6P!B$2,IF(C606="SOL",SOL_4P!B$2,IF(C606="RW",RW_2P!B$2,IF(C606="RW2",RW2_4P!B$2,0))))))</f>
        <v/>
      </c>
    </row>
    <row r="607" spans="4:4" ht="15" customHeight="1" x14ac:dyDescent="0.3">
      <c r="D607" s="110" t="str">
        <f>IF(A607="","",IF(C607="2P",OPR_2P!B$2,IF(C607="SEG",SEG_6P!B$2,IF(C607="SOL",SOL_4P!B$2,IF(C607="RW",RW_2P!B$2,IF(C607="RW2",RW2_4P!B$2,0))))))</f>
        <v/>
      </c>
    </row>
    <row r="608" spans="4:4" ht="15" customHeight="1" x14ac:dyDescent="0.3">
      <c r="D608" s="110" t="str">
        <f>IF(A608="","",IF(C608="2P",OPR_2P!B$2,IF(C608="SEG",SEG_6P!B$2,IF(C608="SOL",SOL_4P!B$2,IF(C608="RW",RW_2P!B$2,IF(C608="RW2",RW2_4P!B$2,0))))))</f>
        <v/>
      </c>
    </row>
    <row r="609" spans="4:4" ht="15" customHeight="1" x14ac:dyDescent="0.3">
      <c r="D609" s="110" t="str">
        <f>IF(A609="","",IF(C609="2P",OPR_2P!B$2,IF(C609="SEG",SEG_6P!B$2,IF(C609="SOL",SOL_4P!B$2,IF(C609="RW",RW_2P!B$2,IF(C609="RW2",RW2_4P!B$2,0))))))</f>
        <v/>
      </c>
    </row>
    <row r="610" spans="4:4" ht="15" customHeight="1" x14ac:dyDescent="0.3">
      <c r="D610" s="110" t="str">
        <f>IF(A610="","",IF(C610="2P",OPR_2P!B$2,IF(C610="SEG",SEG_6P!B$2,IF(C610="SOL",SOL_4P!B$2,IF(C610="RW",RW_2P!B$2,IF(C610="RW2",RW2_4P!B$2,0))))))</f>
        <v/>
      </c>
    </row>
    <row r="611" spans="4:4" ht="15" customHeight="1" x14ac:dyDescent="0.3">
      <c r="D611" s="110" t="str">
        <f>IF(A611="","",IF(C611="2P",OPR_2P!B$2,IF(C611="SEG",SEG_6P!B$2,IF(C611="SOL",SOL_4P!B$2,IF(C611="RW",RW_2P!B$2,IF(C611="RW2",RW2_4P!B$2,0))))))</f>
        <v/>
      </c>
    </row>
    <row r="612" spans="4:4" ht="15" customHeight="1" x14ac:dyDescent="0.3">
      <c r="D612" s="110" t="str">
        <f>IF(A612="","",IF(C612="2P",OPR_2P!B$2,IF(C612="SEG",SEG_6P!B$2,IF(C612="SOL",SOL_4P!B$2,IF(C612="RW",RW_2P!B$2,IF(C612="RW2",RW2_4P!B$2,0))))))</f>
        <v/>
      </c>
    </row>
    <row r="613" spans="4:4" ht="15" customHeight="1" x14ac:dyDescent="0.3">
      <c r="D613" s="110" t="str">
        <f>IF(A613="","",IF(C613="2P",OPR_2P!B$2,IF(C613="SEG",SEG_6P!B$2,IF(C613="SOL",SOL_4P!B$2,IF(C613="RW",RW_2P!B$2,IF(C613="RW2",RW2_4P!B$2,0))))))</f>
        <v/>
      </c>
    </row>
    <row r="614" spans="4:4" ht="15" customHeight="1" x14ac:dyDescent="0.3">
      <c r="D614" s="110" t="str">
        <f>IF(A614="","",IF(C614="2P",OPR_2P!B$2,IF(C614="SEG",SEG_6P!B$2,IF(C614="SOL",SOL_4P!B$2,IF(C614="RW",RW_2P!B$2,IF(C614="RW2",RW2_4P!B$2,0))))))</f>
        <v/>
      </c>
    </row>
    <row r="615" spans="4:4" ht="15" customHeight="1" x14ac:dyDescent="0.3">
      <c r="D615" s="110" t="str">
        <f>IF(A615="","",IF(C615="2P",OPR_2P!B$2,IF(C615="SEG",SEG_6P!B$2,IF(C615="SOL",SOL_4P!B$2,IF(C615="RW",RW_2P!B$2,IF(C615="RW2",RW2_4P!B$2,0))))))</f>
        <v/>
      </c>
    </row>
    <row r="616" spans="4:4" ht="15" customHeight="1" x14ac:dyDescent="0.3">
      <c r="D616" s="110" t="str">
        <f>IF(A616="","",IF(C616="2P",OPR_2P!B$2,IF(C616="SEG",SEG_6P!B$2,IF(C616="SOL",SOL_4P!B$2,IF(C616="RW",RW_2P!B$2,IF(C616="RW2",RW2_4P!B$2,0))))))</f>
        <v/>
      </c>
    </row>
    <row r="617" spans="4:4" ht="15" customHeight="1" x14ac:dyDescent="0.3">
      <c r="D617" s="110" t="str">
        <f>IF(A617="","",IF(C617="2P",OPR_2P!B$2,IF(C617="SEG",SEG_6P!B$2,IF(C617="SOL",SOL_4P!B$2,IF(C617="RW",RW_2P!B$2,IF(C617="RW2",RW2_4P!B$2,0))))))</f>
        <v/>
      </c>
    </row>
    <row r="618" spans="4:4" ht="15" customHeight="1" x14ac:dyDescent="0.3">
      <c r="D618" s="110" t="str">
        <f>IF(A618="","",IF(C618="2P",OPR_2P!B$2,IF(C618="SEG",SEG_6P!B$2,IF(C618="SOL",SOL_4P!B$2,IF(C618="RW",RW_2P!B$2,IF(C618="RW2",RW2_4P!B$2,0))))))</f>
        <v/>
      </c>
    </row>
    <row r="619" spans="4:4" ht="15" customHeight="1" x14ac:dyDescent="0.3">
      <c r="D619" s="110" t="str">
        <f>IF(A619="","",IF(C619="2P",OPR_2P!B$2,IF(C619="SEG",SEG_6P!B$2,IF(C619="SOL",SOL_4P!B$2,IF(C619="RW",RW_2P!B$2,IF(C619="RW2",RW2_4P!B$2,0))))))</f>
        <v/>
      </c>
    </row>
    <row r="620" spans="4:4" ht="15" customHeight="1" x14ac:dyDescent="0.3">
      <c r="D620" s="110" t="str">
        <f>IF(A620="","",IF(C620="2P",OPR_2P!B$2,IF(C620="SEG",SEG_6P!B$2,IF(C620="SOL",SOL_4P!B$2,IF(C620="RW",RW_2P!B$2,IF(C620="RW2",RW2_4P!B$2,0))))))</f>
        <v/>
      </c>
    </row>
    <row r="621" spans="4:4" ht="15" customHeight="1" x14ac:dyDescent="0.3">
      <c r="D621" s="110" t="str">
        <f>IF(A621="","",IF(C621="2P",OPR_2P!B$2,IF(C621="SEG",SEG_6P!B$2,IF(C621="SOL",SOL_4P!B$2,IF(C621="RW",RW_2P!B$2,IF(C621="RW2",RW2_4P!B$2,0))))))</f>
        <v/>
      </c>
    </row>
    <row r="622" spans="4:4" ht="15" customHeight="1" x14ac:dyDescent="0.3">
      <c r="D622" s="110" t="str">
        <f>IF(A622="","",IF(C622="2P",OPR_2P!B$2,IF(C622="SEG",SEG_6P!B$2,IF(C622="SOL",SOL_4P!B$2,IF(C622="RW",RW_2P!B$2,IF(C622="RW2",RW2_4P!B$2,0))))))</f>
        <v/>
      </c>
    </row>
    <row r="623" spans="4:4" ht="15" customHeight="1" x14ac:dyDescent="0.3">
      <c r="D623" s="110" t="str">
        <f>IF(A623="","",IF(C623="2P",OPR_2P!B$2,IF(C623="SEG",SEG_6P!B$2,IF(C623="SOL",SOL_4P!B$2,IF(C623="RW",RW_2P!B$2,IF(C623="RW2",RW2_4P!B$2,0))))))</f>
        <v/>
      </c>
    </row>
    <row r="624" spans="4:4" ht="15" customHeight="1" x14ac:dyDescent="0.3">
      <c r="D624" s="110" t="str">
        <f>IF(A624="","",IF(C624="2P",OPR_2P!B$2,IF(C624="SEG",SEG_6P!B$2,IF(C624="SOL",SOL_4P!B$2,IF(C624="RW",RW_2P!B$2,IF(C624="RW2",RW2_4P!B$2,0))))))</f>
        <v/>
      </c>
    </row>
    <row r="625" spans="4:4" ht="15" customHeight="1" x14ac:dyDescent="0.3">
      <c r="D625" s="110" t="str">
        <f>IF(A625="","",IF(C625="2P",OPR_2P!B$2,IF(C625="SEG",SEG_6P!B$2,IF(C625="SOL",SOL_4P!B$2,IF(C625="RW",RW_2P!B$2,IF(C625="RW2",RW2_4P!B$2,0))))))</f>
        <v/>
      </c>
    </row>
    <row r="626" spans="4:4" ht="15" customHeight="1" x14ac:dyDescent="0.3">
      <c r="D626" s="110" t="str">
        <f>IF(A626="","",IF(C626="2P",OPR_2P!B$2,IF(C626="SEG",SEG_6P!B$2,IF(C626="SOL",SOL_4P!B$2,IF(C626="RW",RW_2P!B$2,IF(C626="RW2",RW2_4P!B$2,0))))))</f>
        <v/>
      </c>
    </row>
    <row r="627" spans="4:4" ht="15" customHeight="1" x14ac:dyDescent="0.3">
      <c r="D627" s="110" t="str">
        <f>IF(A627="","",IF(C627="2P",OPR_2P!B$2,IF(C627="SEG",SEG_6P!B$2,IF(C627="SOL",SOL_4P!B$2,IF(C627="RW",RW_2P!B$2,IF(C627="RW2",RW2_4P!B$2,0))))))</f>
        <v/>
      </c>
    </row>
    <row r="628" spans="4:4" ht="15" customHeight="1" x14ac:dyDescent="0.3">
      <c r="D628" s="110" t="str">
        <f>IF(A628="","",IF(C628="2P",OPR_2P!B$2,IF(C628="SEG",SEG_6P!B$2,IF(C628="SOL",SOL_4P!B$2,IF(C628="RW",RW_2P!B$2,IF(C628="RW2",RW2_4P!B$2,0))))))</f>
        <v/>
      </c>
    </row>
    <row r="629" spans="4:4" ht="15" customHeight="1" x14ac:dyDescent="0.3">
      <c r="D629" s="110" t="str">
        <f>IF(A629="","",IF(C629="2P",OPR_2P!B$2,IF(C629="SEG",SEG_6P!B$2,IF(C629="SOL",SOL_4P!B$2,IF(C629="RW",RW_2P!B$2,IF(C629="RW2",RW2_4P!B$2,0))))))</f>
        <v/>
      </c>
    </row>
    <row r="630" spans="4:4" ht="15" customHeight="1" x14ac:dyDescent="0.3">
      <c r="D630" s="110" t="str">
        <f>IF(A630="","",IF(C630="2P",OPR_2P!B$2,IF(C630="SEG",SEG_6P!B$2,IF(C630="SOL",SOL_4P!B$2,IF(C630="RW",RW_2P!B$2,IF(C630="RW2",RW2_4P!B$2,0))))))</f>
        <v/>
      </c>
    </row>
    <row r="631" spans="4:4" ht="15" customHeight="1" x14ac:dyDescent="0.3">
      <c r="D631" s="110" t="str">
        <f>IF(A631="","",IF(C631="2P",OPR_2P!B$2,IF(C631="SEG",SEG_6P!B$2,IF(C631="SOL",SOL_4P!B$2,IF(C631="RW",RW_2P!B$2,IF(C631="RW2",RW2_4P!B$2,0))))))</f>
        <v/>
      </c>
    </row>
    <row r="632" spans="4:4" ht="15" customHeight="1" x14ac:dyDescent="0.3">
      <c r="D632" s="110" t="str">
        <f>IF(A632="","",IF(C632="2P",OPR_2P!B$2,IF(C632="SEG",SEG_6P!B$2,IF(C632="SOL",SOL_4P!B$2,IF(C632="RW",RW_2P!B$2,IF(C632="RW2",RW2_4P!B$2,0))))))</f>
        <v/>
      </c>
    </row>
    <row r="633" spans="4:4" ht="15" customHeight="1" x14ac:dyDescent="0.3">
      <c r="D633" s="110" t="str">
        <f>IF(A633="","",IF(C633="2P",OPR_2P!B$2,IF(C633="SEG",SEG_6P!B$2,IF(C633="SOL",SOL_4P!B$2,IF(C633="RW",RW_2P!B$2,IF(C633="RW2",RW2_4P!B$2,0))))))</f>
        <v/>
      </c>
    </row>
    <row r="634" spans="4:4" ht="15" customHeight="1" x14ac:dyDescent="0.3">
      <c r="D634" s="110" t="str">
        <f>IF(A634="","",IF(C634="2P",OPR_2P!B$2,IF(C634="SEG",SEG_6P!B$2,IF(C634="SOL",SOL_4P!B$2,IF(C634="RW",RW_2P!B$2,IF(C634="RW2",RW2_4P!B$2,0))))))</f>
        <v/>
      </c>
    </row>
    <row r="635" spans="4:4" ht="15" customHeight="1" x14ac:dyDescent="0.3">
      <c r="D635" s="110" t="str">
        <f>IF(A635="","",IF(C635="2P",OPR_2P!B$2,IF(C635="SEG",SEG_6P!B$2,IF(C635="SOL",SOL_4P!B$2,IF(C635="RW",RW_2P!B$2,IF(C635="RW2",RW2_4P!B$2,0))))))</f>
        <v/>
      </c>
    </row>
    <row r="636" spans="4:4" ht="15" customHeight="1" x14ac:dyDescent="0.3">
      <c r="D636" s="110" t="str">
        <f>IF(A636="","",IF(C636="2P",OPR_2P!B$2,IF(C636="SEG",SEG_6P!B$2,IF(C636="SOL",SOL_4P!B$2,IF(C636="RW",RW_2P!B$2,IF(C636="RW2",RW2_4P!B$2,0))))))</f>
        <v/>
      </c>
    </row>
    <row r="637" spans="4:4" ht="15" customHeight="1" x14ac:dyDescent="0.3">
      <c r="D637" s="110" t="str">
        <f>IF(A637="","",IF(C637="2P",OPR_2P!B$2,IF(C637="SEG",SEG_6P!B$2,IF(C637="SOL",SOL_4P!B$2,IF(C637="RW",RW_2P!B$2,IF(C637="RW2",RW2_4P!B$2,0))))))</f>
        <v/>
      </c>
    </row>
    <row r="638" spans="4:4" ht="15" customHeight="1" x14ac:dyDescent="0.3">
      <c r="D638" s="110" t="str">
        <f>IF(A638="","",IF(C638="2P",OPR_2P!B$2,IF(C638="SEG",SEG_6P!B$2,IF(C638="SOL",SOL_4P!B$2,IF(C638="RW",RW_2P!B$2,IF(C638="RW2",RW2_4P!B$2,0))))))</f>
        <v/>
      </c>
    </row>
    <row r="639" spans="4:4" ht="15" customHeight="1" x14ac:dyDescent="0.3">
      <c r="D639" s="110" t="str">
        <f>IF(A639="","",IF(C639="2P",OPR_2P!B$2,IF(C639="SEG",SEG_6P!B$2,IF(C639="SOL",SOL_4P!B$2,IF(C639="RW",RW_2P!B$2,IF(C639="RW2",RW2_4P!B$2,0))))))</f>
        <v/>
      </c>
    </row>
    <row r="640" spans="4:4" ht="15" customHeight="1" x14ac:dyDescent="0.3">
      <c r="D640" s="110" t="str">
        <f>IF(A640="","",IF(C640="2P",OPR_2P!B$2,IF(C640="SEG",SEG_6P!B$2,IF(C640="SOL",SOL_4P!B$2,IF(C640="RW",RW_2P!B$2,IF(C640="RW2",RW2_4P!B$2,0))))))</f>
        <v/>
      </c>
    </row>
    <row r="641" spans="4:4" ht="15" customHeight="1" x14ac:dyDescent="0.3">
      <c r="D641" s="110" t="str">
        <f>IF(A641="","",IF(C641="2P",OPR_2P!B$2,IF(C641="SEG",SEG_6P!B$2,IF(C641="SOL",SOL_4P!B$2,IF(C641="RW",RW_2P!B$2,IF(C641="RW2",RW2_4P!B$2,0))))))</f>
        <v/>
      </c>
    </row>
    <row r="642" spans="4:4" ht="15" customHeight="1" x14ac:dyDescent="0.3">
      <c r="D642" s="110" t="str">
        <f>IF(A642="","",IF(C642="2P",OPR_2P!B$2,IF(C642="SEG",SEG_6P!B$2,IF(C642="SOL",SOL_4P!B$2,IF(C642="RW",RW_2P!B$2,IF(C642="RW2",RW2_4P!B$2,0))))))</f>
        <v/>
      </c>
    </row>
    <row r="643" spans="4:4" ht="15" customHeight="1" x14ac:dyDescent="0.3">
      <c r="D643" s="110" t="str">
        <f>IF(A643="","",IF(C643="2P",OPR_2P!B$2,IF(C643="SEG",SEG_6P!B$2,IF(C643="SOL",SOL_4P!B$2,IF(C643="RW",RW_2P!B$2,IF(C643="RW2",RW2_4P!B$2,0))))))</f>
        <v/>
      </c>
    </row>
    <row r="644" spans="4:4" ht="15" customHeight="1" x14ac:dyDescent="0.3">
      <c r="D644" s="110" t="str">
        <f>IF(A644="","",IF(C644="2P",OPR_2P!B$2,IF(C644="SEG",SEG_6P!B$2,IF(C644="SOL",SOL_4P!B$2,IF(C644="RW",RW_2P!B$2,IF(C644="RW2",RW2_4P!B$2,0))))))</f>
        <v/>
      </c>
    </row>
    <row r="645" spans="4:4" ht="15" customHeight="1" x14ac:dyDescent="0.3">
      <c r="D645" s="110" t="str">
        <f>IF(A645="","",IF(C645="2P",OPR_2P!B$2,IF(C645="SEG",SEG_6P!B$2,IF(C645="SOL",SOL_4P!B$2,IF(C645="RW",RW_2P!B$2,IF(C645="RW2",RW2_4P!B$2,0))))))</f>
        <v/>
      </c>
    </row>
    <row r="646" spans="4:4" ht="15" customHeight="1" x14ac:dyDescent="0.3">
      <c r="D646" s="110" t="str">
        <f>IF(A646="","",IF(C646="2P",OPR_2P!B$2,IF(C646="SEG",SEG_6P!B$2,IF(C646="SOL",SOL_4P!B$2,IF(C646="RW",RW_2P!B$2,IF(C646="RW2",RW2_4P!B$2,0))))))</f>
        <v/>
      </c>
    </row>
    <row r="647" spans="4:4" ht="15" customHeight="1" x14ac:dyDescent="0.3">
      <c r="D647" s="110" t="str">
        <f>IF(A647="","",IF(C647="2P",OPR_2P!B$2,IF(C647="SEG",SEG_6P!B$2,IF(C647="SOL",SOL_4P!B$2,IF(C647="RW",RW_2P!B$2,IF(C647="RW2",RW2_4P!B$2,0))))))</f>
        <v/>
      </c>
    </row>
    <row r="648" spans="4:4" ht="15" customHeight="1" x14ac:dyDescent="0.3">
      <c r="D648" s="110" t="str">
        <f>IF(A648="","",IF(C648="2P",OPR_2P!B$2,IF(C648="SEG",SEG_6P!B$2,IF(C648="SOL",SOL_4P!B$2,IF(C648="RW",RW_2P!B$2,IF(C648="RW2",RW2_4P!B$2,0))))))</f>
        <v/>
      </c>
    </row>
    <row r="649" spans="4:4" ht="15" customHeight="1" x14ac:dyDescent="0.3">
      <c r="D649" s="110" t="str">
        <f>IF(A649="","",IF(C649="2P",OPR_2P!B$2,IF(C649="SEG",SEG_6P!B$2,IF(C649="SOL",SOL_4P!B$2,IF(C649="RW",RW_2P!B$2,IF(C649="RW2",RW2_4P!B$2,0))))))</f>
        <v/>
      </c>
    </row>
    <row r="650" spans="4:4" ht="15" customHeight="1" x14ac:dyDescent="0.3">
      <c r="D650" s="110" t="str">
        <f>IF(A650="","",IF(C650="2P",OPR_2P!B$2,IF(C650="SEG",SEG_6P!B$2,IF(C650="SOL",SOL_4P!B$2,IF(C650="RW",RW_2P!B$2,IF(C650="RW2",RW2_4P!B$2,0))))))</f>
        <v/>
      </c>
    </row>
    <row r="651" spans="4:4" ht="15" customHeight="1" x14ac:dyDescent="0.3">
      <c r="D651" s="110" t="str">
        <f>IF(A651="","",IF(C651="2P",OPR_2P!B$2,IF(C651="SEG",SEG_6P!B$2,IF(C651="SOL",SOL_4P!B$2,IF(C651="RW",RW_2P!B$2,IF(C651="RW2",RW2_4P!B$2,0))))))</f>
        <v/>
      </c>
    </row>
    <row r="652" spans="4:4" ht="15" customHeight="1" x14ac:dyDescent="0.3">
      <c r="D652" s="110" t="str">
        <f>IF(A652="","",IF(C652="2P",OPR_2P!B$2,IF(C652="SEG",SEG_6P!B$2,IF(C652="SOL",SOL_4P!B$2,IF(C652="RW",RW_2P!B$2,IF(C652="RW2",RW2_4P!B$2,0))))))</f>
        <v/>
      </c>
    </row>
    <row r="653" spans="4:4" ht="15" customHeight="1" x14ac:dyDescent="0.3">
      <c r="D653" s="110" t="str">
        <f>IF(A653="","",IF(C653="2P",OPR_2P!B$2,IF(C653="SEG",SEG_6P!B$2,IF(C653="SOL",SOL_4P!B$2,IF(C653="RW",RW_2P!B$2,IF(C653="RW2",RW2_4P!B$2,0))))))</f>
        <v/>
      </c>
    </row>
    <row r="654" spans="4:4" ht="15" customHeight="1" x14ac:dyDescent="0.3">
      <c r="D654" s="110" t="str">
        <f>IF(A654="","",IF(C654="2P",OPR_2P!B$2,IF(C654="SEG",SEG_6P!B$2,IF(C654="SOL",SOL_4P!B$2,IF(C654="RW",RW_2P!B$2,IF(C654="RW2",RW2_4P!B$2,0))))))</f>
        <v/>
      </c>
    </row>
    <row r="655" spans="4:4" ht="15" customHeight="1" x14ac:dyDescent="0.3">
      <c r="D655" s="110" t="str">
        <f>IF(A655="","",IF(C655="2P",OPR_2P!B$2,IF(C655="SEG",SEG_6P!B$2,IF(C655="SOL",SOL_4P!B$2,IF(C655="RW",RW_2P!B$2,IF(C655="RW2",RW2_4P!B$2,0))))))</f>
        <v/>
      </c>
    </row>
    <row r="656" spans="4:4" ht="15" customHeight="1" x14ac:dyDescent="0.3">
      <c r="D656" s="110" t="str">
        <f>IF(A656="","",IF(C656="2P",OPR_2P!B$2,IF(C656="SEG",SEG_6P!B$2,IF(C656="SOL",SOL_4P!B$2,IF(C656="RW",RW_2P!B$2,IF(C656="RW2",RW2_4P!B$2,0))))))</f>
        <v/>
      </c>
    </row>
    <row r="657" spans="4:4" ht="15" customHeight="1" x14ac:dyDescent="0.3">
      <c r="D657" s="110" t="str">
        <f>IF(A657="","",IF(C657="2P",OPR_2P!B$2,IF(C657="SEG",SEG_6P!B$2,IF(C657="SOL",SOL_4P!B$2,IF(C657="RW",RW_2P!B$2,IF(C657="RW2",RW2_4P!B$2,0))))))</f>
        <v/>
      </c>
    </row>
    <row r="658" spans="4:4" ht="15" customHeight="1" x14ac:dyDescent="0.3">
      <c r="D658" s="110" t="str">
        <f>IF(A658="","",IF(C658="2P",OPR_2P!B$2,IF(C658="SEG",SEG_6P!B$2,IF(C658="SOL",SOL_4P!B$2,IF(C658="RW",RW_2P!B$2,IF(C658="RW2",RW2_4P!B$2,0))))))</f>
        <v/>
      </c>
    </row>
    <row r="659" spans="4:4" ht="15" customHeight="1" x14ac:dyDescent="0.3">
      <c r="D659" s="110" t="str">
        <f>IF(A659="","",IF(C659="2P",OPR_2P!B$2,IF(C659="SEG",SEG_6P!B$2,IF(C659="SOL",SOL_4P!B$2,IF(C659="RW",RW_2P!B$2,IF(C659="RW2",RW2_4P!B$2,0))))))</f>
        <v/>
      </c>
    </row>
    <row r="660" spans="4:4" ht="15" customHeight="1" x14ac:dyDescent="0.3">
      <c r="D660" s="110" t="str">
        <f>IF(A660="","",IF(C660="2P",OPR_2P!B$2,IF(C660="SEG",SEG_6P!B$2,IF(C660="SOL",SOL_4P!B$2,IF(C660="RW",RW_2P!B$2,IF(C660="RW2",RW2_4P!B$2,0))))))</f>
        <v/>
      </c>
    </row>
    <row r="661" spans="4:4" ht="15" customHeight="1" x14ac:dyDescent="0.3">
      <c r="D661" s="110" t="str">
        <f>IF(A661="","",IF(C661="2P",OPR_2P!B$2,IF(C661="SEG",SEG_6P!B$2,IF(C661="SOL",SOL_4P!B$2,IF(C661="RW",RW_2P!B$2,IF(C661="RW2",RW2_4P!B$2,0))))))</f>
        <v/>
      </c>
    </row>
    <row r="662" spans="4:4" ht="15" customHeight="1" x14ac:dyDescent="0.3">
      <c r="D662" s="110" t="str">
        <f>IF(A662="","",IF(C662="2P",OPR_2P!B$2,IF(C662="SEG",SEG_6P!B$2,IF(C662="SOL",SOL_4P!B$2,IF(C662="RW",RW_2P!B$2,IF(C662="RW2",RW2_4P!B$2,0))))))</f>
        <v/>
      </c>
    </row>
    <row r="663" spans="4:4" ht="15" customHeight="1" x14ac:dyDescent="0.3">
      <c r="D663" s="110" t="str">
        <f>IF(A663="","",IF(C663="2P",OPR_2P!B$2,IF(C663="SEG",SEG_6P!B$2,IF(C663="SOL",SOL_4P!B$2,IF(C663="RW",RW_2P!B$2,IF(C663="RW2",RW2_4P!B$2,0))))))</f>
        <v/>
      </c>
    </row>
    <row r="664" spans="4:4" ht="15" customHeight="1" x14ac:dyDescent="0.3">
      <c r="D664" s="110" t="str">
        <f>IF(A664="","",IF(C664="2P",OPR_2P!B$2,IF(C664="SEG",SEG_6P!B$2,IF(C664="SOL",SOL_4P!B$2,IF(C664="RW",RW_2P!B$2,IF(C664="RW2",RW2_4P!B$2,0))))))</f>
        <v/>
      </c>
    </row>
    <row r="665" spans="4:4" ht="15" customHeight="1" x14ac:dyDescent="0.3">
      <c r="D665" s="110" t="str">
        <f>IF(A665="","",IF(C665="2P",OPR_2P!B$2,IF(C665="SEG",SEG_6P!B$2,IF(C665="SOL",SOL_4P!B$2,IF(C665="RW",RW_2P!B$2,IF(C665="RW2",RW2_4P!B$2,0))))))</f>
        <v/>
      </c>
    </row>
    <row r="666" spans="4:4" ht="15" customHeight="1" x14ac:dyDescent="0.3">
      <c r="D666" s="110" t="str">
        <f>IF(A666="","",IF(C666="2P",OPR_2P!B$2,IF(C666="SEG",SEG_6P!B$2,IF(C666="SOL",SOL_4P!B$2,IF(C666="RW",RW_2P!B$2,IF(C666="RW2",RW2_4P!B$2,0))))))</f>
        <v/>
      </c>
    </row>
    <row r="667" spans="4:4" ht="15" customHeight="1" x14ac:dyDescent="0.3">
      <c r="D667" s="110" t="str">
        <f>IF(A667="","",IF(C667="2P",OPR_2P!B$2,IF(C667="SEG",SEG_6P!B$2,IF(C667="SOL",SOL_4P!B$2,IF(C667="RW",RW_2P!B$2,IF(C667="RW2",RW2_4P!B$2,0))))))</f>
        <v/>
      </c>
    </row>
    <row r="668" spans="4:4" ht="15" customHeight="1" x14ac:dyDescent="0.3">
      <c r="D668" s="110" t="str">
        <f>IF(A668="","",IF(C668="2P",OPR_2P!B$2,IF(C668="SEG",SEG_6P!B$2,IF(C668="SOL",SOL_4P!B$2,IF(C668="RW",RW_2P!B$2,IF(C668="RW2",RW2_4P!B$2,0))))))</f>
        <v/>
      </c>
    </row>
    <row r="669" spans="4:4" ht="15" customHeight="1" x14ac:dyDescent="0.3">
      <c r="D669" s="110" t="str">
        <f>IF(A669="","",IF(C669="2P",OPR_2P!B$2,IF(C669="SEG",SEG_6P!B$2,IF(C669="SOL",SOL_4P!B$2,IF(C669="RW",RW_2P!B$2,IF(C669="RW2",RW2_4P!B$2,0))))))</f>
        <v/>
      </c>
    </row>
    <row r="670" spans="4:4" ht="15" customHeight="1" x14ac:dyDescent="0.3">
      <c r="D670" s="110" t="str">
        <f>IF(A670="","",IF(C670="2P",OPR_2P!B$2,IF(C670="SEG",SEG_6P!B$2,IF(C670="SOL",SOL_4P!B$2,IF(C670="RW",RW_2P!B$2,IF(C670="RW2",RW2_4P!B$2,0))))))</f>
        <v/>
      </c>
    </row>
    <row r="671" spans="4:4" ht="15" customHeight="1" x14ac:dyDescent="0.3">
      <c r="D671" s="110" t="str">
        <f>IF(A671="","",IF(C671="2P",OPR_2P!B$2,IF(C671="SEG",SEG_6P!B$2,IF(C671="SOL",SOL_4P!B$2,IF(C671="RW",RW_2P!B$2,IF(C671="RW2",RW2_4P!B$2,0))))))</f>
        <v/>
      </c>
    </row>
    <row r="672" spans="4:4" ht="15" customHeight="1" x14ac:dyDescent="0.3">
      <c r="D672" s="110" t="str">
        <f>IF(A672="","",IF(C672="2P",OPR_2P!B$2,IF(C672="SEG",SEG_6P!B$2,IF(C672="SOL",SOL_4P!B$2,IF(C672="RW",RW_2P!B$2,IF(C672="RW2",RW2_4P!B$2,0))))))</f>
        <v/>
      </c>
    </row>
    <row r="673" spans="4:4" ht="15" customHeight="1" x14ac:dyDescent="0.3">
      <c r="D673" s="110" t="str">
        <f>IF(A673="","",IF(C673="2P",OPR_2P!B$2,IF(C673="SEG",SEG_6P!B$2,IF(C673="SOL",SOL_4P!B$2,IF(C673="RW",RW_2P!B$2,IF(C673="RW2",RW2_4P!B$2,0))))))</f>
        <v/>
      </c>
    </row>
    <row r="674" spans="4:4" ht="15" customHeight="1" x14ac:dyDescent="0.3">
      <c r="D674" s="110" t="str">
        <f>IF(A674="","",IF(C674="2P",OPR_2P!B$2,IF(C674="SEG",SEG_6P!B$2,IF(C674="SOL",SOL_4P!B$2,IF(C674="RW",RW_2P!B$2,IF(C674="RW2",RW2_4P!B$2,0))))))</f>
        <v/>
      </c>
    </row>
    <row r="675" spans="4:4" ht="15" customHeight="1" x14ac:dyDescent="0.3">
      <c r="D675" s="110" t="str">
        <f>IF(A675="","",IF(C675="2P",OPR_2P!B$2,IF(C675="SEG",SEG_6P!B$2,IF(C675="SOL",SOL_4P!B$2,IF(C675="RW",RW_2P!B$2,IF(C675="RW2",RW2_4P!B$2,0))))))</f>
        <v/>
      </c>
    </row>
    <row r="676" spans="4:4" ht="15" customHeight="1" x14ac:dyDescent="0.3">
      <c r="D676" s="110" t="str">
        <f>IF(A676="","",IF(C676="2P",OPR_2P!B$2,IF(C676="SEG",SEG_6P!B$2,IF(C676="SOL",SOL_4P!B$2,IF(C676="RW",RW_2P!B$2,IF(C676="RW2",RW2_4P!B$2,0))))))</f>
        <v/>
      </c>
    </row>
    <row r="677" spans="4:4" ht="15" customHeight="1" x14ac:dyDescent="0.3">
      <c r="D677" s="110" t="str">
        <f>IF(A677="","",IF(C677="2P",OPR_2P!B$2,IF(C677="SEG",SEG_6P!B$2,IF(C677="SOL",SOL_4P!B$2,IF(C677="RW",RW_2P!B$2,IF(C677="RW2",RW2_4P!B$2,0))))))</f>
        <v/>
      </c>
    </row>
    <row r="678" spans="4:4" ht="15" customHeight="1" x14ac:dyDescent="0.3">
      <c r="D678" s="110" t="str">
        <f>IF(A678="","",IF(C678="2P",OPR_2P!B$2,IF(C678="SEG",SEG_6P!B$2,IF(C678="SOL",SOL_4P!B$2,IF(C678="RW",RW_2P!B$2,IF(C678="RW2",RW2_4P!B$2,0))))))</f>
        <v/>
      </c>
    </row>
    <row r="679" spans="4:4" ht="15" customHeight="1" x14ac:dyDescent="0.3">
      <c r="D679" s="110" t="str">
        <f>IF(A679="","",IF(C679="2P",OPR_2P!B$2,IF(C679="SEG",SEG_6P!B$2,IF(C679="SOL",SOL_4P!B$2,IF(C679="RW",RW_2P!B$2,IF(C679="RW2",RW2_4P!B$2,0))))))</f>
        <v/>
      </c>
    </row>
    <row r="680" spans="4:4" ht="15" customHeight="1" x14ac:dyDescent="0.3">
      <c r="D680" s="110" t="str">
        <f>IF(A680="","",IF(C680="2P",OPR_2P!B$2,IF(C680="SEG",SEG_6P!B$2,IF(C680="SOL",SOL_4P!B$2,IF(C680="RW",RW_2P!B$2,IF(C680="RW2",RW2_4P!B$2,0))))))</f>
        <v/>
      </c>
    </row>
    <row r="681" spans="4:4" ht="15" customHeight="1" x14ac:dyDescent="0.3">
      <c r="D681" s="110" t="str">
        <f>IF(A681="","",IF(C681="2P",OPR_2P!B$2,IF(C681="SEG",SEG_6P!B$2,IF(C681="SOL",SOL_4P!B$2,IF(C681="RW",RW_2P!B$2,IF(C681="RW2",RW2_4P!B$2,0))))))</f>
        <v/>
      </c>
    </row>
    <row r="682" spans="4:4" ht="15" customHeight="1" x14ac:dyDescent="0.3">
      <c r="D682" s="110" t="str">
        <f>IF(A682="","",IF(C682="2P",OPR_2P!B$2,IF(C682="SEG",SEG_6P!B$2,IF(C682="SOL",SOL_4P!B$2,IF(C682="RW",RW_2P!B$2,IF(C682="RW2",RW2_4P!B$2,0))))))</f>
        <v/>
      </c>
    </row>
    <row r="683" spans="4:4" ht="15" customHeight="1" x14ac:dyDescent="0.3">
      <c r="D683" s="110" t="str">
        <f>IF(A683="","",IF(C683="2P",OPR_2P!B$2,IF(C683="SEG",SEG_6P!B$2,IF(C683="SOL",SOL_4P!B$2,IF(C683="RW",RW_2P!B$2,IF(C683="RW2",RW2_4P!B$2,0))))))</f>
        <v/>
      </c>
    </row>
    <row r="684" spans="4:4" ht="15" customHeight="1" x14ac:dyDescent="0.3">
      <c r="D684" s="110" t="str">
        <f>IF(A684="","",IF(C684="2P",OPR_2P!B$2,IF(C684="SEG",SEG_6P!B$2,IF(C684="SOL",SOL_4P!B$2,IF(C684="RW",RW_2P!B$2,IF(C684="RW2",RW2_4P!B$2,0))))))</f>
        <v/>
      </c>
    </row>
    <row r="685" spans="4:4" ht="15" customHeight="1" x14ac:dyDescent="0.3">
      <c r="D685" s="110" t="str">
        <f>IF(A685="","",IF(C685="2P",OPR_2P!B$2,IF(C685="SEG",SEG_6P!B$2,IF(C685="SOL",SOL_4P!B$2,IF(C685="RW",RW_2P!B$2,IF(C685="RW2",RW2_4P!B$2,0))))))</f>
        <v/>
      </c>
    </row>
    <row r="686" spans="4:4" ht="15" customHeight="1" x14ac:dyDescent="0.3">
      <c r="D686" s="110" t="str">
        <f>IF(A686="","",IF(C686="2P",OPR_2P!B$2,IF(C686="SEG",SEG_6P!B$2,IF(C686="SOL",SOL_4P!B$2,IF(C686="RW",RW_2P!B$2,IF(C686="RW2",RW2_4P!B$2,0))))))</f>
        <v/>
      </c>
    </row>
    <row r="687" spans="4:4" ht="15" customHeight="1" x14ac:dyDescent="0.3">
      <c r="D687" s="110" t="str">
        <f>IF(A687="","",IF(C687="2P",OPR_2P!B$2,IF(C687="SEG",SEG_6P!B$2,IF(C687="SOL",SOL_4P!B$2,IF(C687="RW",RW_2P!B$2,IF(C687="RW2",RW2_4P!B$2,0))))))</f>
        <v/>
      </c>
    </row>
    <row r="688" spans="4:4" ht="15" customHeight="1" x14ac:dyDescent="0.3">
      <c r="D688" s="110" t="str">
        <f>IF(A688="","",IF(C688="2P",OPR_2P!B$2,IF(C688="SEG",SEG_6P!B$2,IF(C688="SOL",SOL_4P!B$2,IF(C688="RW",RW_2P!B$2,IF(C688="RW2",RW2_4P!B$2,0))))))</f>
        <v/>
      </c>
    </row>
    <row r="689" spans="4:4" ht="15" customHeight="1" x14ac:dyDescent="0.3">
      <c r="D689" s="110" t="str">
        <f>IF(A689="","",IF(C689="2P",OPR_2P!B$2,IF(C689="SEG",SEG_6P!B$2,IF(C689="SOL",SOL_4P!B$2,IF(C689="RW",RW_2P!B$2,IF(C689="RW2",RW2_4P!B$2,0))))))</f>
        <v/>
      </c>
    </row>
    <row r="690" spans="4:4" ht="15" customHeight="1" x14ac:dyDescent="0.3">
      <c r="D690" s="110" t="str">
        <f>IF(A690="","",IF(C690="2P",OPR_2P!B$2,IF(C690="SEG",SEG_6P!B$2,IF(C690="SOL",SOL_4P!B$2,IF(C690="RW",RW_2P!B$2,IF(C690="RW2",RW2_4P!B$2,0))))))</f>
        <v/>
      </c>
    </row>
    <row r="691" spans="4:4" ht="15" customHeight="1" x14ac:dyDescent="0.3">
      <c r="D691" s="110" t="str">
        <f>IF(A691="","",IF(C691="2P",OPR_2P!B$2,IF(C691="SEG",SEG_6P!B$2,IF(C691="SOL",SOL_4P!B$2,IF(C691="RW",RW_2P!B$2,IF(C691="RW2",RW2_4P!B$2,0))))))</f>
        <v/>
      </c>
    </row>
    <row r="692" spans="4:4" ht="15" customHeight="1" x14ac:dyDescent="0.3">
      <c r="D692" s="110" t="str">
        <f>IF(A692="","",IF(C692="2P",OPR_2P!B$2,IF(C692="SEG",SEG_6P!B$2,IF(C692="SOL",SOL_4P!B$2,IF(C692="RW",RW_2P!B$2,IF(C692="RW2",RW2_4P!B$2,0))))))</f>
        <v/>
      </c>
    </row>
    <row r="693" spans="4:4" ht="15" customHeight="1" x14ac:dyDescent="0.3">
      <c r="D693" s="110" t="str">
        <f>IF(A693="","",IF(C693="2P",OPR_2P!B$2,IF(C693="SEG",SEG_6P!B$2,IF(C693="SOL",SOL_4P!B$2,IF(C693="RW",RW_2P!B$2,IF(C693="RW2",RW2_4P!B$2,0))))))</f>
        <v/>
      </c>
    </row>
    <row r="694" spans="4:4" ht="15" customHeight="1" x14ac:dyDescent="0.3">
      <c r="D694" s="110" t="str">
        <f>IF(A694="","",IF(C694="2P",OPR_2P!B$2,IF(C694="SEG",SEG_6P!B$2,IF(C694="SOL",SOL_4P!B$2,IF(C694="RW",RW_2P!B$2,IF(C694="RW2",RW2_4P!B$2,0))))))</f>
        <v/>
      </c>
    </row>
    <row r="695" spans="4:4" ht="15" customHeight="1" x14ac:dyDescent="0.3">
      <c r="D695" s="110" t="str">
        <f>IF(A695="","",IF(C695="2P",OPR_2P!B$2,IF(C695="SEG",SEG_6P!B$2,IF(C695="SOL",SOL_4P!B$2,IF(C695="RW",RW_2P!B$2,IF(C695="RW2",RW2_4P!B$2,0))))))</f>
        <v/>
      </c>
    </row>
    <row r="696" spans="4:4" ht="15" customHeight="1" x14ac:dyDescent="0.3">
      <c r="D696" s="110" t="str">
        <f>IF(A696="","",IF(C696="2P",OPR_2P!B$2,IF(C696="SEG",SEG_6P!B$2,IF(C696="SOL",SOL_4P!B$2,IF(C696="RW",RW_2P!B$2,IF(C696="RW2",RW2_4P!B$2,0))))))</f>
        <v/>
      </c>
    </row>
    <row r="697" spans="4:4" ht="15" customHeight="1" x14ac:dyDescent="0.3">
      <c r="D697" s="110" t="str">
        <f>IF(A697="","",IF(C697="2P",OPR_2P!B$2,IF(C697="SEG",SEG_6P!B$2,IF(C697="SOL",SOL_4P!B$2,IF(C697="RW",RW_2P!B$2,IF(C697="RW2",RW2_4P!B$2,0))))))</f>
        <v/>
      </c>
    </row>
    <row r="698" spans="4:4" ht="15" customHeight="1" x14ac:dyDescent="0.3">
      <c r="D698" s="110" t="str">
        <f>IF(A698="","",IF(C698="2P",OPR_2P!B$2,IF(C698="SEG",SEG_6P!B$2,IF(C698="SOL",SOL_4P!B$2,IF(C698="RW",RW_2P!B$2,IF(C698="RW2",RW2_4P!B$2,0))))))</f>
        <v/>
      </c>
    </row>
    <row r="699" spans="4:4" ht="15" customHeight="1" x14ac:dyDescent="0.3">
      <c r="D699" s="110" t="str">
        <f>IF(A699="","",IF(C699="2P",OPR_2P!B$2,IF(C699="SEG",SEG_6P!B$2,IF(C699="SOL",SOL_4P!B$2,IF(C699="RW",RW_2P!B$2,IF(C699="RW2",RW2_4P!B$2,0))))))</f>
        <v/>
      </c>
    </row>
    <row r="700" spans="4:4" ht="15" customHeight="1" x14ac:dyDescent="0.3">
      <c r="D700" s="110" t="str">
        <f>IF(A700="","",IF(C700="2P",OPR_2P!B$2,IF(C700="SEG",SEG_6P!B$2,IF(C700="SOL",SOL_4P!B$2,IF(C700="RW",RW_2P!B$2,IF(C700="RW2",RW2_4P!B$2,0))))))</f>
        <v/>
      </c>
    </row>
    <row r="701" spans="4:4" ht="15" customHeight="1" x14ac:dyDescent="0.3">
      <c r="D701" s="110" t="str">
        <f>IF(A701="","",IF(C701="2P",OPR_2P!B$2,IF(C701="SEG",SEG_6P!B$2,IF(C701="SOL",SOL_4P!B$2,IF(C701="RW",RW_2P!B$2,IF(C701="RW2",RW2_4P!B$2,0))))))</f>
        <v/>
      </c>
    </row>
    <row r="702" spans="4:4" ht="15" customHeight="1" x14ac:dyDescent="0.3">
      <c r="D702" s="110" t="str">
        <f>IF(A702="","",IF(C702="2P",OPR_2P!B$2,IF(C702="SEG",SEG_6P!B$2,IF(C702="SOL",SOL_4P!B$2,IF(C702="RW",RW_2P!B$2,IF(C702="RW2",RW2_4P!B$2,0))))))</f>
        <v/>
      </c>
    </row>
    <row r="703" spans="4:4" ht="15" customHeight="1" x14ac:dyDescent="0.3">
      <c r="D703" s="110" t="str">
        <f>IF(A703="","",IF(C703="2P",OPR_2P!B$2,IF(C703="SEG",SEG_6P!B$2,IF(C703="SOL",SOL_4P!B$2,IF(C703="RW",RW_2P!B$2,IF(C703="RW2",RW2_4P!B$2,0))))))</f>
        <v/>
      </c>
    </row>
    <row r="704" spans="4:4" ht="15" customHeight="1" x14ac:dyDescent="0.3">
      <c r="D704" s="110" t="str">
        <f>IF(A704="","",IF(C704="2P",OPR_2P!B$2,IF(C704="SEG",SEG_6P!B$2,IF(C704="SOL",SOL_4P!B$2,IF(C704="RW",RW_2P!B$2,IF(C704="RW2",RW2_4P!B$2,0))))))</f>
        <v/>
      </c>
    </row>
    <row r="705" spans="4:4" ht="15" customHeight="1" x14ac:dyDescent="0.3">
      <c r="D705" s="110" t="str">
        <f>IF(A705="","",IF(C705="2P",OPR_2P!B$2,IF(C705="SEG",SEG_6P!B$2,IF(C705="SOL",SOL_4P!B$2,IF(C705="RW",RW_2P!B$2,IF(C705="RW2",RW2_4P!B$2,0))))))</f>
        <v/>
      </c>
    </row>
    <row r="706" spans="4:4" ht="15" customHeight="1" x14ac:dyDescent="0.3">
      <c r="D706" s="110" t="str">
        <f>IF(A706="","",IF(C706="2P",OPR_2P!B$2,IF(C706="SEG",SEG_6P!B$2,IF(C706="SOL",SOL_4P!B$2,IF(C706="RW",RW_2P!B$2,IF(C706="RW2",RW2_4P!B$2,0))))))</f>
        <v/>
      </c>
    </row>
    <row r="707" spans="4:4" ht="15" customHeight="1" x14ac:dyDescent="0.3">
      <c r="D707" s="110" t="str">
        <f>IF(A707="","",IF(C707="2P",OPR_2P!B$2,IF(C707="SEG",SEG_6P!B$2,IF(C707="SOL",SOL_4P!B$2,IF(C707="RW",RW_2P!B$2,IF(C707="RW2",RW2_4P!B$2,0))))))</f>
        <v/>
      </c>
    </row>
    <row r="708" spans="4:4" ht="15" customHeight="1" x14ac:dyDescent="0.3">
      <c r="D708" s="110" t="str">
        <f>IF(A708="","",IF(C708="2P",OPR_2P!B$2,IF(C708="SEG",SEG_6P!B$2,IF(C708="SOL",SOL_4P!B$2,IF(C708="RW",RW_2P!B$2,IF(C708="RW2",RW2_4P!B$2,0))))))</f>
        <v/>
      </c>
    </row>
    <row r="709" spans="4:4" ht="15" customHeight="1" x14ac:dyDescent="0.3">
      <c r="D709" s="110" t="str">
        <f>IF(A709="","",IF(C709="2P",OPR_2P!B$2,IF(C709="SEG",SEG_6P!B$2,IF(C709="SOL",SOL_4P!B$2,IF(C709="RW",RW_2P!B$2,IF(C709="RW2",RW2_4P!B$2,0))))))</f>
        <v/>
      </c>
    </row>
    <row r="710" spans="4:4" ht="15" customHeight="1" x14ac:dyDescent="0.3">
      <c r="D710" s="110" t="str">
        <f>IF(A710="","",IF(C710="2P",OPR_2P!B$2,IF(C710="SEG",SEG_6P!B$2,IF(C710="SOL",SOL_4P!B$2,IF(C710="RW",RW_2P!B$2,IF(C710="RW2",RW2_4P!B$2,0))))))</f>
        <v/>
      </c>
    </row>
    <row r="711" spans="4:4" ht="15" customHeight="1" x14ac:dyDescent="0.3">
      <c r="D711" s="110" t="str">
        <f>IF(A711="","",IF(C711="2P",OPR_2P!B$2,IF(C711="SEG",SEG_6P!B$2,IF(C711="SOL",SOL_4P!B$2,IF(C711="RW",RW_2P!B$2,IF(C711="RW2",RW2_4P!B$2,0))))))</f>
        <v/>
      </c>
    </row>
    <row r="712" spans="4:4" ht="15" customHeight="1" x14ac:dyDescent="0.3">
      <c r="D712" s="110" t="str">
        <f>IF(A712="","",IF(C712="2P",OPR_2P!B$2,IF(C712="SEG",SEG_6P!B$2,IF(C712="SOL",SOL_4P!B$2,IF(C712="RW",RW_2P!B$2,IF(C712="RW2",RW2_4P!B$2,0))))))</f>
        <v/>
      </c>
    </row>
    <row r="713" spans="4:4" ht="15" customHeight="1" x14ac:dyDescent="0.3">
      <c r="D713" s="110" t="str">
        <f>IF(A713="","",IF(C713="2P",OPR_2P!B$2,IF(C713="SEG",SEG_6P!B$2,IF(C713="SOL",SOL_4P!B$2,IF(C713="RW",RW_2P!B$2,IF(C713="RW2",RW2_4P!B$2,0))))))</f>
        <v/>
      </c>
    </row>
    <row r="714" spans="4:4" ht="15" customHeight="1" x14ac:dyDescent="0.3">
      <c r="D714" s="110" t="str">
        <f>IF(A714="","",IF(C714="2P",OPR_2P!B$2,IF(C714="SEG",SEG_6P!B$2,IF(C714="SOL",SOL_4P!B$2,IF(C714="RW",RW_2P!B$2,IF(C714="RW2",RW2_4P!B$2,0))))))</f>
        <v/>
      </c>
    </row>
    <row r="715" spans="4:4" ht="15" customHeight="1" x14ac:dyDescent="0.3">
      <c r="D715" s="110" t="str">
        <f>IF(A715="","",IF(C715="2P",OPR_2P!B$2,IF(C715="SEG",SEG_6P!B$2,IF(C715="SOL",SOL_4P!B$2,IF(C715="RW",RW_2P!B$2,IF(C715="RW2",RW2_4P!B$2,0))))))</f>
        <v/>
      </c>
    </row>
    <row r="716" spans="4:4" ht="15" customHeight="1" x14ac:dyDescent="0.3">
      <c r="D716" s="110" t="str">
        <f>IF(A716="","",IF(C716="2P",OPR_2P!B$2,IF(C716="SEG",SEG_6P!B$2,IF(C716="SOL",SOL_4P!B$2,IF(C716="RW",RW_2P!B$2,IF(C716="RW2",RW2_4P!B$2,0))))))</f>
        <v/>
      </c>
    </row>
    <row r="717" spans="4:4" ht="15" customHeight="1" x14ac:dyDescent="0.3">
      <c r="D717" s="110" t="str">
        <f>IF(A717="","",IF(C717="2P",OPR_2P!B$2,IF(C717="SEG",SEG_6P!B$2,IF(C717="SOL",SOL_4P!B$2,IF(C717="RW",RW_2P!B$2,IF(C717="RW2",RW2_4P!B$2,0))))))</f>
        <v/>
      </c>
    </row>
    <row r="718" spans="4:4" ht="15" customHeight="1" x14ac:dyDescent="0.3">
      <c r="D718" s="110" t="str">
        <f>IF(A718="","",IF(C718="2P",OPR_2P!B$2,IF(C718="SEG",SEG_6P!B$2,IF(C718="SOL",SOL_4P!B$2,IF(C718="RW",RW_2P!B$2,IF(C718="RW2",RW2_4P!B$2,0))))))</f>
        <v/>
      </c>
    </row>
    <row r="719" spans="4:4" ht="15" customHeight="1" x14ac:dyDescent="0.3">
      <c r="D719" s="110" t="str">
        <f>IF(A719="","",IF(C719="2P",OPR_2P!B$2,IF(C719="SEG",SEG_6P!B$2,IF(C719="SOL",SOL_4P!B$2,IF(C719="RW",RW_2P!B$2,IF(C719="RW2",RW2_4P!B$2,0))))))</f>
        <v/>
      </c>
    </row>
    <row r="720" spans="4:4" ht="15" customHeight="1" x14ac:dyDescent="0.3">
      <c r="D720" s="110" t="str">
        <f>IF(A720="","",IF(C720="2P",OPR_2P!B$2,IF(C720="SEG",SEG_6P!B$2,IF(C720="SOL",SOL_4P!B$2,IF(C720="RW",RW_2P!B$2,IF(C720="RW2",RW2_4P!B$2,0))))))</f>
        <v/>
      </c>
    </row>
    <row r="721" spans="4:4" ht="15" customHeight="1" x14ac:dyDescent="0.3">
      <c r="D721" s="110" t="str">
        <f>IF(A721="","",IF(C721="2P",OPR_2P!B$2,IF(C721="SEG",SEG_6P!B$2,IF(C721="SOL",SOL_4P!B$2,IF(C721="RW",RW_2P!B$2,IF(C721="RW2",RW2_4P!B$2,0))))))</f>
        <v/>
      </c>
    </row>
    <row r="722" spans="4:4" ht="15" customHeight="1" x14ac:dyDescent="0.3">
      <c r="D722" s="110" t="str">
        <f>IF(A722="","",IF(C722="2P",OPR_2P!B$2,IF(C722="SEG",SEG_6P!B$2,IF(C722="SOL",SOL_4P!B$2,IF(C722="RW",RW_2P!B$2,IF(C722="RW2",RW2_4P!B$2,0))))))</f>
        <v/>
      </c>
    </row>
    <row r="723" spans="4:4" ht="15" customHeight="1" x14ac:dyDescent="0.3">
      <c r="D723" s="110" t="str">
        <f>IF(A723="","",IF(C723="2P",OPR_2P!B$2,IF(C723="SEG",SEG_6P!B$2,IF(C723="SOL",SOL_4P!B$2,IF(C723="RW",RW_2P!B$2,IF(C723="RW2",RW2_4P!B$2,0))))))</f>
        <v/>
      </c>
    </row>
    <row r="724" spans="4:4" ht="15" customHeight="1" x14ac:dyDescent="0.3">
      <c r="D724" s="110" t="str">
        <f>IF(A724="","",IF(C724="2P",OPR_2P!B$2,IF(C724="SEG",SEG_6P!B$2,IF(C724="SOL",SOL_4P!B$2,IF(C724="RW",RW_2P!B$2,IF(C724="RW2",RW2_4P!B$2,0))))))</f>
        <v/>
      </c>
    </row>
    <row r="725" spans="4:4" ht="15" customHeight="1" x14ac:dyDescent="0.3">
      <c r="D725" s="110" t="str">
        <f>IF(A725="","",IF(C725="2P",OPR_2P!B$2,IF(C725="SEG",SEG_6P!B$2,IF(C725="SOL",SOL_4P!B$2,IF(C725="RW",RW_2P!B$2,IF(C725="RW2",RW2_4P!B$2,0))))))</f>
        <v/>
      </c>
    </row>
    <row r="726" spans="4:4" ht="15" customHeight="1" x14ac:dyDescent="0.3">
      <c r="D726" s="110" t="str">
        <f>IF(A726="","",IF(C726="2P",OPR_2P!B$2,IF(C726="SEG",SEG_6P!B$2,IF(C726="SOL",SOL_4P!B$2,IF(C726="RW",RW_2P!B$2,IF(C726="RW2",RW2_4P!B$2,0))))))</f>
        <v/>
      </c>
    </row>
    <row r="727" spans="4:4" ht="15" customHeight="1" x14ac:dyDescent="0.3">
      <c r="D727" s="110" t="str">
        <f>IF(A727="","",IF(C727="2P",OPR_2P!B$2,IF(C727="SEG",SEG_6P!B$2,IF(C727="SOL",SOL_4P!B$2,IF(C727="RW",RW_2P!B$2,IF(C727="RW2",RW2_4P!B$2,0))))))</f>
        <v/>
      </c>
    </row>
    <row r="728" spans="4:4" ht="15" customHeight="1" x14ac:dyDescent="0.3">
      <c r="D728" s="110" t="str">
        <f>IF(A728="","",IF(C728="2P",OPR_2P!B$2,IF(C728="SEG",SEG_6P!B$2,IF(C728="SOL",SOL_4P!B$2,IF(C728="RW",RW_2P!B$2,IF(C728="RW2",RW2_4P!B$2,0))))))</f>
        <v/>
      </c>
    </row>
    <row r="729" spans="4:4" ht="15" customHeight="1" x14ac:dyDescent="0.3">
      <c r="D729" s="110" t="str">
        <f>IF(A729="","",IF(C729="2P",OPR_2P!B$2,IF(C729="SEG",SEG_6P!B$2,IF(C729="SOL",SOL_4P!B$2,IF(C729="RW",RW_2P!B$2,IF(C729="RW2",RW2_4P!B$2,0))))))</f>
        <v/>
      </c>
    </row>
    <row r="730" spans="4:4" ht="15" customHeight="1" x14ac:dyDescent="0.3">
      <c r="D730" s="110" t="str">
        <f>IF(A730="","",IF(C730="2P",OPR_2P!B$2,IF(C730="SEG",SEG_6P!B$2,IF(C730="SOL",SOL_4P!B$2,IF(C730="RW",RW_2P!B$2,IF(C730="RW2",RW2_4P!B$2,0))))))</f>
        <v/>
      </c>
    </row>
    <row r="731" spans="4:4" ht="15" customHeight="1" x14ac:dyDescent="0.3">
      <c r="D731" s="110" t="str">
        <f>IF(A731="","",IF(C731="2P",OPR_2P!B$2,IF(C731="SEG",SEG_6P!B$2,IF(C731="SOL",SOL_4P!B$2,IF(C731="RW",RW_2P!B$2,IF(C731="RW2",RW2_4P!B$2,0))))))</f>
        <v/>
      </c>
    </row>
    <row r="732" spans="4:4" ht="15" customHeight="1" x14ac:dyDescent="0.3">
      <c r="D732" s="110" t="str">
        <f>IF(A732="","",IF(C732="2P",OPR_2P!B$2,IF(C732="SEG",SEG_6P!B$2,IF(C732="SOL",SOL_4P!B$2,IF(C732="RW",RW_2P!B$2,IF(C732="RW2",RW2_4P!B$2,0))))))</f>
        <v/>
      </c>
    </row>
    <row r="733" spans="4:4" ht="15" customHeight="1" x14ac:dyDescent="0.3">
      <c r="D733" s="110" t="str">
        <f>IF(A733="","",IF(C733="2P",OPR_2P!B$2,IF(C733="SEG",SEG_6P!B$2,IF(C733="SOL",SOL_4P!B$2,IF(C733="RW",RW_2P!B$2,IF(C733="RW2",RW2_4P!B$2,0))))))</f>
        <v/>
      </c>
    </row>
    <row r="734" spans="4:4" ht="15" customHeight="1" x14ac:dyDescent="0.3">
      <c r="D734" s="110" t="str">
        <f>IF(A734="","",IF(C734="2P",OPR_2P!B$2,IF(C734="SEG",SEG_6P!B$2,IF(C734="SOL",SOL_4P!B$2,IF(C734="RW",RW_2P!B$2,IF(C734="RW2",RW2_4P!B$2,0))))))</f>
        <v/>
      </c>
    </row>
    <row r="735" spans="4:4" ht="15" customHeight="1" x14ac:dyDescent="0.3">
      <c r="D735" s="110" t="str">
        <f>IF(A735="","",IF(C735="2P",OPR_2P!B$2,IF(C735="SEG",SEG_6P!B$2,IF(C735="SOL",SOL_4P!B$2,IF(C735="RW",RW_2P!B$2,IF(C735="RW2",RW2_4P!B$2,0))))))</f>
        <v/>
      </c>
    </row>
    <row r="736" spans="4:4" ht="15" customHeight="1" x14ac:dyDescent="0.3">
      <c r="D736" s="110" t="str">
        <f>IF(A736="","",IF(C736="2P",OPR_2P!B$2,IF(C736="SEG",SEG_6P!B$2,IF(C736="SOL",SOL_4P!B$2,IF(C736="RW",RW_2P!B$2,IF(C736="RW2",RW2_4P!B$2,0))))))</f>
        <v/>
      </c>
    </row>
    <row r="737" spans="4:4" ht="15" customHeight="1" x14ac:dyDescent="0.3">
      <c r="D737" s="110" t="str">
        <f>IF(A737="","",IF(C737="2P",OPR_2P!B$2,IF(C737="SEG",SEG_6P!B$2,IF(C737="SOL",SOL_4P!B$2,IF(C737="RW",RW_2P!B$2,IF(C737="RW2",RW2_4P!B$2,0))))))</f>
        <v/>
      </c>
    </row>
    <row r="738" spans="4:4" ht="15" customHeight="1" x14ac:dyDescent="0.3">
      <c r="D738" s="110" t="str">
        <f>IF(A738="","",IF(C738="2P",OPR_2P!B$2,IF(C738="SEG",SEG_6P!B$2,IF(C738="SOL",SOL_4P!B$2,IF(C738="RW",RW_2P!B$2,IF(C738="RW2",RW2_4P!B$2,0))))))</f>
        <v/>
      </c>
    </row>
    <row r="739" spans="4:4" ht="15" customHeight="1" x14ac:dyDescent="0.3">
      <c r="D739" s="110" t="str">
        <f>IF(A739="","",IF(C739="2P",OPR_2P!B$2,IF(C739="SEG",SEG_6P!B$2,IF(C739="SOL",SOL_4P!B$2,IF(C739="RW",RW_2P!B$2,IF(C739="RW2",RW2_4P!B$2,0))))))</f>
        <v/>
      </c>
    </row>
    <row r="740" spans="4:4" ht="15" customHeight="1" x14ac:dyDescent="0.3">
      <c r="D740" s="110" t="str">
        <f>IF(A740="","",IF(C740="2P",OPR_2P!B$2,IF(C740="SEG",SEG_6P!B$2,IF(C740="SOL",SOL_4P!B$2,IF(C740="RW",RW_2P!B$2,IF(C740="RW2",RW2_4P!B$2,0))))))</f>
        <v/>
      </c>
    </row>
    <row r="741" spans="4:4" ht="15" customHeight="1" x14ac:dyDescent="0.3">
      <c r="D741" s="110" t="str">
        <f>IF(A741="","",IF(C741="2P",OPR_2P!B$2,IF(C741="SEG",SEG_6P!B$2,IF(C741="SOL",SOL_4P!B$2,IF(C741="RW",RW_2P!B$2,IF(C741="RW2",RW2_4P!B$2,0))))))</f>
        <v/>
      </c>
    </row>
    <row r="742" spans="4:4" ht="15" customHeight="1" x14ac:dyDescent="0.3">
      <c r="D742" s="110" t="str">
        <f>IF(A742="","",IF(C742="2P",OPR_2P!B$2,IF(C742="SEG",SEG_6P!B$2,IF(C742="SOL",SOL_4P!B$2,IF(C742="RW",RW_2P!B$2,IF(C742="RW2",RW2_4P!B$2,0))))))</f>
        <v/>
      </c>
    </row>
    <row r="743" spans="4:4" ht="15" customHeight="1" x14ac:dyDescent="0.3">
      <c r="D743" s="110" t="str">
        <f>IF(A743="","",IF(C743="2P",OPR_2P!B$2,IF(C743="SEG",SEG_6P!B$2,IF(C743="SOL",SOL_4P!B$2,IF(C743="RW",RW_2P!B$2,IF(C743="RW2",RW2_4P!B$2,0))))))</f>
        <v/>
      </c>
    </row>
    <row r="744" spans="4:4" ht="15" customHeight="1" x14ac:dyDescent="0.3">
      <c r="D744" s="110" t="str">
        <f>IF(A744="","",IF(C744="2P",OPR_2P!B$2,IF(C744="SEG",SEG_6P!B$2,IF(C744="SOL",SOL_4P!B$2,IF(C744="RW",RW_2P!B$2,IF(C744="RW2",RW2_4P!B$2,0))))))</f>
        <v/>
      </c>
    </row>
    <row r="745" spans="4:4" ht="15" customHeight="1" x14ac:dyDescent="0.3">
      <c r="D745" s="110" t="str">
        <f>IF(A745="","",IF(C745="2P",OPR_2P!B$2,IF(C745="SEG",SEG_6P!B$2,IF(C745="SOL",SOL_4P!B$2,IF(C745="RW",RW_2P!B$2,IF(C745="RW2",RW2_4P!B$2,0))))))</f>
        <v/>
      </c>
    </row>
    <row r="746" spans="4:4" ht="15" customHeight="1" x14ac:dyDescent="0.3">
      <c r="D746" s="110" t="str">
        <f>IF(A746="","",IF(C746="2P",OPR_2P!B$2,IF(C746="SEG",SEG_6P!B$2,IF(C746="SOL",SOL_4P!B$2,IF(C746="RW",RW_2P!B$2,IF(C746="RW2",RW2_4P!B$2,0))))))</f>
        <v/>
      </c>
    </row>
    <row r="747" spans="4:4" ht="15" customHeight="1" x14ac:dyDescent="0.3">
      <c r="D747" s="110" t="str">
        <f>IF(A747="","",IF(C747="2P",OPR_2P!B$2,IF(C747="SEG",SEG_6P!B$2,IF(C747="SOL",SOL_4P!B$2,IF(C747="RW",RW_2P!B$2,IF(C747="RW2",RW2_4P!B$2,0))))))</f>
        <v/>
      </c>
    </row>
    <row r="748" spans="4:4" ht="15" customHeight="1" x14ac:dyDescent="0.3">
      <c r="D748" s="110" t="str">
        <f>IF(A748="","",IF(C748="2P",OPR_2P!B$2,IF(C748="SEG",SEG_6P!B$2,IF(C748="SOL",SOL_4P!B$2,IF(C748="RW",RW_2P!B$2,IF(C748="RW2",RW2_4P!B$2,0))))))</f>
        <v/>
      </c>
    </row>
    <row r="749" spans="4:4" ht="15" customHeight="1" x14ac:dyDescent="0.3">
      <c r="D749" s="110" t="str">
        <f>IF(A749="","",IF(C749="2P",OPR_2P!B$2,IF(C749="SEG",SEG_6P!B$2,IF(C749="SOL",SOL_4P!B$2,IF(C749="RW",RW_2P!B$2,IF(C749="RW2",RW2_4P!B$2,0))))))</f>
        <v/>
      </c>
    </row>
    <row r="750" spans="4:4" ht="15" customHeight="1" x14ac:dyDescent="0.3">
      <c r="D750" s="110" t="str">
        <f>IF(A750="","",IF(C750="2P",OPR_2P!B$2,IF(C750="SEG",SEG_6P!B$2,IF(C750="SOL",SOL_4P!B$2,IF(C750="RW",RW_2P!B$2,IF(C750="RW2",RW2_4P!B$2,0))))))</f>
        <v/>
      </c>
    </row>
    <row r="751" spans="4:4" ht="15" customHeight="1" x14ac:dyDescent="0.3">
      <c r="D751" s="110" t="str">
        <f>IF(A751="","",IF(C751="2P",OPR_2P!B$2,IF(C751="SEG",SEG_6P!B$2,IF(C751="SOL",SOL_4P!B$2,IF(C751="RW",RW_2P!B$2,IF(C751="RW2",RW2_4P!B$2,0))))))</f>
        <v/>
      </c>
    </row>
    <row r="752" spans="4:4" ht="15" customHeight="1" x14ac:dyDescent="0.3">
      <c r="D752" s="110" t="str">
        <f>IF(A752="","",IF(C752="2P",OPR_2P!B$2,IF(C752="SEG",SEG_6P!B$2,IF(C752="SOL",SOL_4P!B$2,IF(C752="RW",RW_2P!B$2,IF(C752="RW2",RW2_4P!B$2,0))))))</f>
        <v/>
      </c>
    </row>
    <row r="753" spans="4:4" ht="15" customHeight="1" x14ac:dyDescent="0.3">
      <c r="D753" s="110" t="str">
        <f>IF(A753="","",IF(C753="2P",OPR_2P!B$2,IF(C753="SEG",SEG_6P!B$2,IF(C753="SOL",SOL_4P!B$2,IF(C753="RW",RW_2P!B$2,IF(C753="RW2",RW2_4P!B$2,0))))))</f>
        <v/>
      </c>
    </row>
    <row r="754" spans="4:4" ht="15" customHeight="1" x14ac:dyDescent="0.3">
      <c r="D754" s="110" t="str">
        <f>IF(A754="","",IF(C754="2P",OPR_2P!B$2,IF(C754="SEG",SEG_6P!B$2,IF(C754="SOL",SOL_4P!B$2,IF(C754="RW",RW_2P!B$2,IF(C754="RW2",RW2_4P!B$2,0))))))</f>
        <v/>
      </c>
    </row>
    <row r="755" spans="4:4" ht="15" customHeight="1" x14ac:dyDescent="0.3">
      <c r="D755" s="110" t="str">
        <f>IF(A755="","",IF(C755="2P",OPR_2P!B$2,IF(C755="SEG",SEG_6P!B$2,IF(C755="SOL",SOL_4P!B$2,IF(C755="RW",RW_2P!B$2,IF(C755="RW2",RW2_4P!B$2,0))))))</f>
        <v/>
      </c>
    </row>
    <row r="756" spans="4:4" ht="15" customHeight="1" x14ac:dyDescent="0.3">
      <c r="D756" s="110" t="str">
        <f>IF(A756="","",IF(C756="2P",OPR_2P!B$2,IF(C756="SEG",SEG_6P!B$2,IF(C756="SOL",SOL_4P!B$2,IF(C756="RW",RW_2P!B$2,IF(C756="RW2",RW2_4P!B$2,0))))))</f>
        <v/>
      </c>
    </row>
    <row r="757" spans="4:4" ht="15" customHeight="1" x14ac:dyDescent="0.3">
      <c r="D757" s="110" t="str">
        <f>IF(A757="","",IF(C757="2P",OPR_2P!B$2,IF(C757="SEG",SEG_6P!B$2,IF(C757="SOL",SOL_4P!B$2,IF(C757="RW",RW_2P!B$2,IF(C757="RW2",RW2_4P!B$2,0))))))</f>
        <v/>
      </c>
    </row>
    <row r="758" spans="4:4" ht="15" customHeight="1" x14ac:dyDescent="0.3">
      <c r="D758" s="110" t="str">
        <f>IF(A758="","",IF(C758="2P",OPR_2P!B$2,IF(C758="SEG",SEG_6P!B$2,IF(C758="SOL",SOL_4P!B$2,IF(C758="RW",RW_2P!B$2,IF(C758="RW2",RW2_4P!B$2,0))))))</f>
        <v/>
      </c>
    </row>
    <row r="759" spans="4:4" ht="15" customHeight="1" x14ac:dyDescent="0.3">
      <c r="D759" s="110" t="str">
        <f>IF(A759="","",IF(C759="2P",OPR_2P!B$2,IF(C759="SEG",SEG_6P!B$2,IF(C759="SOL",SOL_4P!B$2,IF(C759="RW",RW_2P!B$2,IF(C759="RW2",RW2_4P!B$2,0))))))</f>
        <v/>
      </c>
    </row>
    <row r="760" spans="4:4" ht="15" customHeight="1" x14ac:dyDescent="0.3">
      <c r="D760" s="110" t="str">
        <f>IF(A760="","",IF(C760="2P",OPR_2P!B$2,IF(C760="SEG",SEG_6P!B$2,IF(C760="SOL",SOL_4P!B$2,IF(C760="RW",RW_2P!B$2,IF(C760="RW2",RW2_4P!B$2,0))))))</f>
        <v/>
      </c>
    </row>
    <row r="761" spans="4:4" ht="15" customHeight="1" x14ac:dyDescent="0.3">
      <c r="D761" s="110" t="str">
        <f>IF(A761="","",IF(C761="2P",OPR_2P!B$2,IF(C761="SEG",SEG_6P!B$2,IF(C761="SOL",SOL_4P!B$2,IF(C761="RW",RW_2P!B$2,IF(C761="RW2",RW2_4P!B$2,0))))))</f>
        <v/>
      </c>
    </row>
    <row r="762" spans="4:4" ht="15" customHeight="1" x14ac:dyDescent="0.3">
      <c r="D762" s="110" t="str">
        <f>IF(A762="","",IF(C762="2P",OPR_2P!B$2,IF(C762="SEG",SEG_6P!B$2,IF(C762="SOL",SOL_4P!B$2,IF(C762="RW",RW_2P!B$2,IF(C762="RW2",RW2_4P!B$2,0))))))</f>
        <v/>
      </c>
    </row>
    <row r="763" spans="4:4" ht="15" customHeight="1" x14ac:dyDescent="0.3">
      <c r="D763" s="110" t="str">
        <f>IF(A763="","",IF(C763="2P",OPR_2P!B$2,IF(C763="SEG",SEG_6P!B$2,IF(C763="SOL",SOL_4P!B$2,IF(C763="RW",RW_2P!B$2,IF(C763="RW2",RW2_4P!B$2,0))))))</f>
        <v/>
      </c>
    </row>
    <row r="764" spans="4:4" ht="15" customHeight="1" x14ac:dyDescent="0.3">
      <c r="D764" s="110" t="str">
        <f>IF(A764="","",IF(C764="2P",OPR_2P!B$2,IF(C764="SEG",SEG_6P!B$2,IF(C764="SOL",SOL_4P!B$2,IF(C764="RW",RW_2P!B$2,IF(C764="RW2",RW2_4P!B$2,0))))))</f>
        <v/>
      </c>
    </row>
    <row r="765" spans="4:4" ht="15" customHeight="1" x14ac:dyDescent="0.3">
      <c r="D765" s="110" t="str">
        <f>IF(A765="","",IF(C765="2P",OPR_2P!B$2,IF(C765="SEG",SEG_6P!B$2,IF(C765="SOL",SOL_4P!B$2,IF(C765="RW",RW_2P!B$2,IF(C765="RW2",RW2_4P!B$2,0))))))</f>
        <v/>
      </c>
    </row>
    <row r="766" spans="4:4" ht="15" customHeight="1" x14ac:dyDescent="0.3">
      <c r="D766" s="110" t="str">
        <f>IF(A766="","",IF(C766="2P",OPR_2P!B$2,IF(C766="SEG",SEG_6P!B$2,IF(C766="SOL",SOL_4P!B$2,IF(C766="RW",RW_2P!B$2,IF(C766="RW2",RW2_4P!B$2,0))))))</f>
        <v/>
      </c>
    </row>
    <row r="767" spans="4:4" ht="15" customHeight="1" x14ac:dyDescent="0.3">
      <c r="D767" s="110" t="str">
        <f>IF(A767="","",IF(C767="2P",OPR_2P!B$2,IF(C767="SEG",SEG_6P!B$2,IF(C767="SOL",SOL_4P!B$2,IF(C767="RW",RW_2P!B$2,IF(C767="RW2",RW2_4P!B$2,0))))))</f>
        <v/>
      </c>
    </row>
    <row r="768" spans="4:4" ht="15" customHeight="1" x14ac:dyDescent="0.3">
      <c r="D768" s="110" t="str">
        <f>IF(A768="","",IF(C768="2P",OPR_2P!B$2,IF(C768="SEG",SEG_6P!B$2,IF(C768="SOL",SOL_4P!B$2,IF(C768="RW",RW_2P!B$2,IF(C768="RW2",RW2_4P!B$2,0))))))</f>
        <v/>
      </c>
    </row>
    <row r="769" spans="4:4" ht="15" customHeight="1" x14ac:dyDescent="0.3">
      <c r="D769" s="110" t="str">
        <f>IF(A769="","",IF(C769="2P",OPR_2P!B$2,IF(C769="SEG",SEG_6P!B$2,IF(C769="SOL",SOL_4P!B$2,IF(C769="RW",RW_2P!B$2,IF(C769="RW2",RW2_4P!B$2,0))))))</f>
        <v/>
      </c>
    </row>
    <row r="770" spans="4:4" ht="15" customHeight="1" x14ac:dyDescent="0.3">
      <c r="D770" s="110" t="str">
        <f>IF(A770="","",IF(C770="2P",OPR_2P!B$2,IF(C770="SEG",SEG_6P!B$2,IF(C770="SOL",SOL_4P!B$2,IF(C770="RW",RW_2P!B$2,IF(C770="RW2",RW2_4P!B$2,0))))))</f>
        <v/>
      </c>
    </row>
    <row r="771" spans="4:4" ht="15" customHeight="1" x14ac:dyDescent="0.3">
      <c r="D771" s="110" t="str">
        <f>IF(A771="","",IF(C771="2P",OPR_2P!B$2,IF(C771="SEG",SEG_6P!B$2,IF(C771="SOL",SOL_4P!B$2,IF(C771="RW",RW_2P!B$2,IF(C771="RW2",RW2_4P!B$2,0))))))</f>
        <v/>
      </c>
    </row>
    <row r="772" spans="4:4" ht="15" customHeight="1" x14ac:dyDescent="0.3">
      <c r="D772" s="110" t="str">
        <f>IF(A772="","",IF(C772="2P",OPR_2P!B$2,IF(C772="SEG",SEG_6P!B$2,IF(C772="SOL",SOL_4P!B$2,IF(C772="RW",RW_2P!B$2,IF(C772="RW2",RW2_4P!B$2,0))))))</f>
        <v/>
      </c>
    </row>
    <row r="773" spans="4:4" ht="15" customHeight="1" x14ac:dyDescent="0.3">
      <c r="D773" s="110" t="str">
        <f>IF(A773="","",IF(C773="2P",OPR_2P!B$2,IF(C773="SEG",SEG_6P!B$2,IF(C773="SOL",SOL_4P!B$2,IF(C773="RW",RW_2P!B$2,IF(C773="RW2",RW2_4P!B$2,0))))))</f>
        <v/>
      </c>
    </row>
    <row r="774" spans="4:4" ht="15" customHeight="1" x14ac:dyDescent="0.3">
      <c r="D774" s="110" t="str">
        <f>IF(A774="","",IF(C774="2P",OPR_2P!B$2,IF(C774="SEG",SEG_6P!B$2,IF(C774="SOL",SOL_4P!B$2,IF(C774="RW",RW_2P!B$2,IF(C774="RW2",RW2_4P!B$2,0))))))</f>
        <v/>
      </c>
    </row>
    <row r="775" spans="4:4" ht="15" customHeight="1" x14ac:dyDescent="0.3">
      <c r="D775" s="110" t="str">
        <f>IF(A775="","",IF(C775="2P",OPR_2P!B$2,IF(C775="SEG",SEG_6P!B$2,IF(C775="SOL",SOL_4P!B$2,IF(C775="RW",RW_2P!B$2,IF(C775="RW2",RW2_4P!B$2,0))))))</f>
        <v/>
      </c>
    </row>
    <row r="776" spans="4:4" ht="15" customHeight="1" x14ac:dyDescent="0.3">
      <c r="D776" s="110" t="str">
        <f>IF(A776="","",IF(C776="2P",OPR_2P!B$2,IF(C776="SEG",SEG_6P!B$2,IF(C776="SOL",SOL_4P!B$2,IF(C776="RW",RW_2P!B$2,IF(C776="RW2",RW2_4P!B$2,0))))))</f>
        <v/>
      </c>
    </row>
    <row r="777" spans="4:4" ht="15" customHeight="1" x14ac:dyDescent="0.3">
      <c r="D777" s="110" t="str">
        <f>IF(A777="","",IF(C777="2P",OPR_2P!B$2,IF(C777="SEG",SEG_6P!B$2,IF(C777="SOL",SOL_4P!B$2,IF(C777="RW",RW_2P!B$2,IF(C777="RW2",RW2_4P!B$2,0))))))</f>
        <v/>
      </c>
    </row>
    <row r="778" spans="4:4" ht="15" customHeight="1" x14ac:dyDescent="0.3">
      <c r="D778" s="110" t="str">
        <f>IF(A778="","",IF(C778="2P",OPR_2P!B$2,IF(C778="SEG",SEG_6P!B$2,IF(C778="SOL",SOL_4P!B$2,IF(C778="RW",RW_2P!B$2,IF(C778="RW2",RW2_4P!B$2,0))))))</f>
        <v/>
      </c>
    </row>
    <row r="779" spans="4:4" ht="15" customHeight="1" x14ac:dyDescent="0.3">
      <c r="D779" s="110" t="str">
        <f>IF(A779="","",IF(C779="2P",OPR_2P!B$2,IF(C779="SEG",SEG_6P!B$2,IF(C779="SOL",SOL_4P!B$2,IF(C779="RW",RW_2P!B$2,IF(C779="RW2",RW2_4P!B$2,0))))))</f>
        <v/>
      </c>
    </row>
    <row r="780" spans="4:4" ht="15" customHeight="1" x14ac:dyDescent="0.3">
      <c r="D780" s="110" t="str">
        <f>IF(A780="","",IF(C780="2P",OPR_2P!B$2,IF(C780="SEG",SEG_6P!B$2,IF(C780="SOL",SOL_4P!B$2,IF(C780="RW",RW_2P!B$2,IF(C780="RW2",RW2_4P!B$2,0))))))</f>
        <v/>
      </c>
    </row>
    <row r="781" spans="4:4" ht="15" customHeight="1" x14ac:dyDescent="0.3">
      <c r="D781" s="110" t="str">
        <f>IF(A781="","",IF(C781="2P",OPR_2P!B$2,IF(C781="SEG",SEG_6P!B$2,IF(C781="SOL",SOL_4P!B$2,IF(C781="RW",RW_2P!B$2,IF(C781="RW2",RW2_4P!B$2,0))))))</f>
        <v/>
      </c>
    </row>
    <row r="782" spans="4:4" ht="15" customHeight="1" x14ac:dyDescent="0.3">
      <c r="D782" s="110" t="str">
        <f>IF(A782="","",IF(C782="2P",OPR_2P!B$2,IF(C782="SEG",SEG_6P!B$2,IF(C782="SOL",SOL_4P!B$2,IF(C782="RW",RW_2P!B$2,IF(C782="RW2",RW2_4P!B$2,0))))))</f>
        <v/>
      </c>
    </row>
    <row r="783" spans="4:4" ht="15" customHeight="1" x14ac:dyDescent="0.3">
      <c r="D783" s="110" t="str">
        <f>IF(A783="","",IF(C783="2P",OPR_2P!B$2,IF(C783="SEG",SEG_6P!B$2,IF(C783="SOL",SOL_4P!B$2,IF(C783="RW",RW_2P!B$2,IF(C783="RW2",RW2_4P!B$2,0))))))</f>
        <v/>
      </c>
    </row>
    <row r="784" spans="4:4" ht="15" customHeight="1" x14ac:dyDescent="0.3">
      <c r="D784" s="110" t="str">
        <f>IF(A784="","",IF(C784="2P",OPR_2P!B$2,IF(C784="SEG",SEG_6P!B$2,IF(C784="SOL",SOL_4P!B$2,IF(C784="RW",RW_2P!B$2,IF(C784="RW2",RW2_4P!B$2,0))))))</f>
        <v/>
      </c>
    </row>
    <row r="785" spans="4:4" ht="15" customHeight="1" x14ac:dyDescent="0.3">
      <c r="D785" s="110" t="str">
        <f>IF(A785="","",IF(C785="2P",OPR_2P!B$2,IF(C785="SEG",SEG_6P!B$2,IF(C785="SOL",SOL_4P!B$2,IF(C785="RW",RW_2P!B$2,IF(C785="RW2",RW2_4P!B$2,0))))))</f>
        <v/>
      </c>
    </row>
    <row r="786" spans="4:4" ht="15" customHeight="1" x14ac:dyDescent="0.3">
      <c r="D786" s="110" t="str">
        <f>IF(A786="","",IF(C786="2P",OPR_2P!B$2,IF(C786="SEG",SEG_6P!B$2,IF(C786="SOL",SOL_4P!B$2,IF(C786="RW",RW_2P!B$2,IF(C786="RW2",RW2_4P!B$2,0))))))</f>
        <v/>
      </c>
    </row>
    <row r="787" spans="4:4" ht="15" customHeight="1" x14ac:dyDescent="0.3">
      <c r="D787" s="110" t="str">
        <f>IF(A787="","",IF(C787="2P",OPR_2P!B$2,IF(C787="SEG",SEG_6P!B$2,IF(C787="SOL",SOL_4P!B$2,IF(C787="RW",RW_2P!B$2,IF(C787="RW2",RW2_4P!B$2,0))))))</f>
        <v/>
      </c>
    </row>
    <row r="788" spans="4:4" ht="15" customHeight="1" x14ac:dyDescent="0.3">
      <c r="D788" s="110" t="str">
        <f>IF(A788="","",IF(C788="2P",OPR_2P!B$2,IF(C788="SEG",SEG_6P!B$2,IF(C788="SOL",SOL_4P!B$2,IF(C788="RW",RW_2P!B$2,IF(C788="RW2",RW2_4P!B$2,0))))))</f>
        <v/>
      </c>
    </row>
    <row r="789" spans="4:4" ht="15" customHeight="1" x14ac:dyDescent="0.3">
      <c r="D789" s="110" t="str">
        <f>IF(A789="","",IF(C789="2P",OPR_2P!B$2,IF(C789="SEG",SEG_6P!B$2,IF(C789="SOL",SOL_4P!B$2,IF(C789="RW",RW_2P!B$2,IF(C789="RW2",RW2_4P!B$2,0))))))</f>
        <v/>
      </c>
    </row>
    <row r="790" spans="4:4" ht="15" customHeight="1" x14ac:dyDescent="0.3">
      <c r="D790" s="110" t="str">
        <f>IF(A790="","",IF(C790="2P",OPR_2P!B$2,IF(C790="SEG",SEG_6P!B$2,IF(C790="SOL",SOL_4P!B$2,IF(C790="RW",RW_2P!B$2,IF(C790="RW2",RW2_4P!B$2,0))))))</f>
        <v/>
      </c>
    </row>
    <row r="791" spans="4:4" ht="15" customHeight="1" x14ac:dyDescent="0.3">
      <c r="D791" s="110" t="str">
        <f>IF(A791="","",IF(C791="2P",OPR_2P!B$2,IF(C791="SEG",SEG_6P!B$2,IF(C791="SOL",SOL_4P!B$2,IF(C791="RW",RW_2P!B$2,IF(C791="RW2",RW2_4P!B$2,0))))))</f>
        <v/>
      </c>
    </row>
    <row r="792" spans="4:4" ht="15" customHeight="1" x14ac:dyDescent="0.3">
      <c r="D792" s="110" t="str">
        <f>IF(A792="","",IF(C792="2P",OPR_2P!B$2,IF(C792="SEG",SEG_6P!B$2,IF(C792="SOL",SOL_4P!B$2,IF(C792="RW",RW_2P!B$2,IF(C792="RW2",RW2_4P!B$2,0))))))</f>
        <v/>
      </c>
    </row>
    <row r="793" spans="4:4" ht="15" customHeight="1" x14ac:dyDescent="0.3">
      <c r="D793" s="110" t="str">
        <f>IF(A793="","",IF(C793="2P",OPR_2P!B$2,IF(C793="SEG",SEG_6P!B$2,IF(C793="SOL",SOL_4P!B$2,IF(C793="RW",RW_2P!B$2,IF(C793="RW2",RW2_4P!B$2,0))))))</f>
        <v/>
      </c>
    </row>
    <row r="794" spans="4:4" ht="15" customHeight="1" x14ac:dyDescent="0.3">
      <c r="D794" s="110" t="str">
        <f>IF(A794="","",IF(C794="2P",OPR_2P!B$2,IF(C794="SEG",SEG_6P!B$2,IF(C794="SOL",SOL_4P!B$2,IF(C794="RW",RW_2P!B$2,IF(C794="RW2",RW2_4P!B$2,0))))))</f>
        <v/>
      </c>
    </row>
    <row r="795" spans="4:4" ht="15" customHeight="1" x14ac:dyDescent="0.3">
      <c r="D795" s="110" t="str">
        <f>IF(A795="","",IF(C795="2P",OPR_2P!B$2,IF(C795="SEG",SEG_6P!B$2,IF(C795="SOL",SOL_4P!B$2,IF(C795="RW",RW_2P!B$2,IF(C795="RW2",RW2_4P!B$2,0))))))</f>
        <v/>
      </c>
    </row>
    <row r="796" spans="4:4" ht="15" customHeight="1" x14ac:dyDescent="0.3">
      <c r="D796" s="110" t="str">
        <f>IF(A796="","",IF(C796="2P",OPR_2P!B$2,IF(C796="SEG",SEG_6P!B$2,IF(C796="SOL",SOL_4P!B$2,IF(C796="RW",RW_2P!B$2,IF(C796="RW2",RW2_4P!B$2,0))))))</f>
        <v/>
      </c>
    </row>
    <row r="797" spans="4:4" ht="15" customHeight="1" x14ac:dyDescent="0.3">
      <c r="D797" s="110" t="str">
        <f>IF(A797="","",IF(C797="2P",OPR_2P!B$2,IF(C797="SEG",SEG_6P!B$2,IF(C797="SOL",SOL_4P!B$2,IF(C797="RW",RW_2P!B$2,IF(C797="RW2",RW2_4P!B$2,0))))))</f>
        <v/>
      </c>
    </row>
    <row r="798" spans="4:4" ht="15" customHeight="1" x14ac:dyDescent="0.3">
      <c r="D798" s="110" t="str">
        <f>IF(A798="","",IF(C798="2P",OPR_2P!B$2,IF(C798="SEG",SEG_6P!B$2,IF(C798="SOL",SOL_4P!B$2,IF(C798="RW",RW_2P!B$2,IF(C798="RW2",RW2_4P!B$2,0))))))</f>
        <v/>
      </c>
    </row>
    <row r="799" spans="4:4" ht="15" customHeight="1" x14ac:dyDescent="0.3">
      <c r="D799" s="110" t="str">
        <f>IF(A799="","",IF(C799="2P",OPR_2P!B$2,IF(C799="SEG",SEG_6P!B$2,IF(C799="SOL",SOL_4P!B$2,IF(C799="RW",RW_2P!B$2,IF(C799="RW2",RW2_4P!B$2,0))))))</f>
        <v/>
      </c>
    </row>
    <row r="800" spans="4:4" ht="15" customHeight="1" x14ac:dyDescent="0.3">
      <c r="D800" s="110" t="str">
        <f>IF(A800="","",IF(C800="2P",OPR_2P!B$2,IF(C800="SEG",SEG_6P!B$2,IF(C800="SOL",SOL_4P!B$2,IF(C800="RW",RW_2P!B$2,IF(C800="RW2",RW2_4P!B$2,0))))))</f>
        <v/>
      </c>
    </row>
    <row r="801" spans="4:4" ht="15" customHeight="1" x14ac:dyDescent="0.3">
      <c r="D801" s="110" t="str">
        <f>IF(A801="","",IF(C801="2P",OPR_2P!B$2,IF(C801="SEG",SEG_6P!B$2,IF(C801="SOL",SOL_4P!B$2,IF(C801="RW",RW_2P!B$2,IF(C801="RW2",RW2_4P!B$2,0))))))</f>
        <v/>
      </c>
    </row>
    <row r="802" spans="4:4" ht="15" customHeight="1" x14ac:dyDescent="0.3">
      <c r="D802" s="110" t="str">
        <f>IF(A802="","",IF(C802="2P",OPR_2P!B$2,IF(C802="SEG",SEG_6P!B$2,IF(C802="SOL",SOL_4P!B$2,IF(C802="RW",RW_2P!B$2,IF(C802="RW2",RW2_4P!B$2,0))))))</f>
        <v/>
      </c>
    </row>
    <row r="803" spans="4:4" ht="15" customHeight="1" x14ac:dyDescent="0.3">
      <c r="D803" s="110" t="str">
        <f>IF(A803="","",IF(C803="2P",OPR_2P!B$2,IF(C803="SEG",SEG_6P!B$2,IF(C803="SOL",SOL_4P!B$2,IF(C803="RW",RW_2P!B$2,IF(C803="RW2",RW2_4P!B$2,0))))))</f>
        <v/>
      </c>
    </row>
    <row r="804" spans="4:4" ht="15" customHeight="1" x14ac:dyDescent="0.3">
      <c r="D804" s="110" t="str">
        <f>IF(A804="","",IF(C804="2P",OPR_2P!B$2,IF(C804="SEG",SEG_6P!B$2,IF(C804="SOL",SOL_4P!B$2,IF(C804="RW",RW_2P!B$2,IF(C804="RW2",RW2_4P!B$2,0))))))</f>
        <v/>
      </c>
    </row>
    <row r="805" spans="4:4" ht="15" customHeight="1" x14ac:dyDescent="0.3">
      <c r="D805" s="110" t="str">
        <f>IF(A805="","",IF(C805="2P",OPR_2P!B$2,IF(C805="SEG",SEG_6P!B$2,IF(C805="SOL",SOL_4P!B$2,IF(C805="RW",RW_2P!B$2,IF(C805="RW2",RW2_4P!B$2,0))))))</f>
        <v/>
      </c>
    </row>
    <row r="806" spans="4:4" ht="15" customHeight="1" x14ac:dyDescent="0.3">
      <c r="D806" s="110" t="str">
        <f>IF(A806="","",IF(C806="2P",OPR_2P!B$2,IF(C806="SEG",SEG_6P!B$2,IF(C806="SOL",SOL_4P!B$2,IF(C806="RW",RW_2P!B$2,IF(C806="RW2",RW2_4P!B$2,0))))))</f>
        <v/>
      </c>
    </row>
    <row r="807" spans="4:4" ht="15" customHeight="1" x14ac:dyDescent="0.3">
      <c r="D807" s="110" t="str">
        <f>IF(A807="","",IF(C807="2P",OPR_2P!B$2,IF(C807="SEG",SEG_6P!B$2,IF(C807="SOL",SOL_4P!B$2,IF(C807="RW",RW_2P!B$2,IF(C807="RW2",RW2_4P!B$2,0))))))</f>
        <v/>
      </c>
    </row>
    <row r="808" spans="4:4" ht="15" customHeight="1" x14ac:dyDescent="0.3">
      <c r="D808" s="110" t="str">
        <f>IF(A808="","",IF(C808="2P",OPR_2P!B$2,IF(C808="SEG",SEG_6P!B$2,IF(C808="SOL",SOL_4P!B$2,IF(C808="RW",RW_2P!B$2,IF(C808="RW2",RW2_4P!B$2,0))))))</f>
        <v/>
      </c>
    </row>
    <row r="809" spans="4:4" ht="15" customHeight="1" x14ac:dyDescent="0.3">
      <c r="D809" s="110" t="str">
        <f>IF(A809="","",IF(C809="2P",OPR_2P!B$2,IF(C809="SEG",SEG_6P!B$2,IF(C809="SOL",SOL_4P!B$2,IF(C809="RW",RW_2P!B$2,IF(C809="RW2",RW2_4P!B$2,0))))))</f>
        <v/>
      </c>
    </row>
    <row r="810" spans="4:4" ht="15" customHeight="1" x14ac:dyDescent="0.3">
      <c r="D810" s="110" t="str">
        <f>IF(A810="","",IF(C810="2P",OPR_2P!B$2,IF(C810="SEG",SEG_6P!B$2,IF(C810="SOL",SOL_4P!B$2,IF(C810="RW",RW_2P!B$2,IF(C810="RW2",RW2_4P!B$2,0))))))</f>
        <v/>
      </c>
    </row>
    <row r="811" spans="4:4" ht="15" customHeight="1" x14ac:dyDescent="0.3">
      <c r="D811" s="110" t="str">
        <f>IF(A811="","",IF(C811="2P",OPR_2P!B$2,IF(C811="SEG",SEG_6P!B$2,IF(C811="SOL",SOL_4P!B$2,IF(C811="RW",RW_2P!B$2,IF(C811="RW2",RW2_4P!B$2,0))))))</f>
        <v/>
      </c>
    </row>
    <row r="812" spans="4:4" ht="15" customHeight="1" x14ac:dyDescent="0.3">
      <c r="D812" s="110" t="str">
        <f>IF(A812="","",IF(C812="2P",OPR_2P!B$2,IF(C812="SEG",SEG_6P!B$2,IF(C812="SOL",SOL_4P!B$2,IF(C812="RW",RW_2P!B$2,IF(C812="RW2",RW2_4P!B$2,0))))))</f>
        <v/>
      </c>
    </row>
    <row r="813" spans="4:4" ht="15" customHeight="1" x14ac:dyDescent="0.3">
      <c r="D813" s="110" t="str">
        <f>IF(A813="","",IF(C813="2P",OPR_2P!B$2,IF(C813="SEG",SEG_6P!B$2,IF(C813="SOL",SOL_4P!B$2,IF(C813="RW",RW_2P!B$2,IF(C813="RW2",RW2_4P!B$2,0))))))</f>
        <v/>
      </c>
    </row>
    <row r="814" spans="4:4" ht="15" customHeight="1" x14ac:dyDescent="0.3">
      <c r="D814" s="110" t="str">
        <f>IF(A814="","",IF(C814="2P",OPR_2P!B$2,IF(C814="SEG",SEG_6P!B$2,IF(C814="SOL",SOL_4P!B$2,IF(C814="RW",RW_2P!B$2,IF(C814="RW2",RW2_4P!B$2,0))))))</f>
        <v/>
      </c>
    </row>
    <row r="815" spans="4:4" ht="15" customHeight="1" x14ac:dyDescent="0.3">
      <c r="D815" s="110" t="str">
        <f>IF(A815="","",IF(C815="2P",OPR_2P!B$2,IF(C815="SEG",SEG_6P!B$2,IF(C815="SOL",SOL_4P!B$2,IF(C815="RW",RW_2P!B$2,IF(C815="RW2",RW2_4P!B$2,0))))))</f>
        <v/>
      </c>
    </row>
    <row r="816" spans="4:4" ht="15" customHeight="1" x14ac:dyDescent="0.3">
      <c r="D816" s="110" t="str">
        <f>IF(A816="","",IF(C816="2P",OPR_2P!B$2,IF(C816="SEG",SEG_6P!B$2,IF(C816="SOL",SOL_4P!B$2,IF(C816="RW",RW_2P!B$2,IF(C816="RW2",RW2_4P!B$2,0))))))</f>
        <v/>
      </c>
    </row>
    <row r="817" spans="4:4" ht="15" customHeight="1" x14ac:dyDescent="0.3">
      <c r="D817" s="110" t="str">
        <f>IF(A817="","",IF(C817="2P",OPR_2P!B$2,IF(C817="SEG",SEG_6P!B$2,IF(C817="SOL",SOL_4P!B$2,IF(C817="RW",RW_2P!B$2,IF(C817="RW2",RW2_4P!B$2,0))))))</f>
        <v/>
      </c>
    </row>
    <row r="818" spans="4:4" ht="15" customHeight="1" x14ac:dyDescent="0.3">
      <c r="D818" s="110" t="str">
        <f>IF(A818="","",IF(C818="2P",OPR_2P!B$2,IF(C818="SEG",SEG_6P!B$2,IF(C818="SOL",SOL_4P!B$2,IF(C818="RW",RW_2P!B$2,IF(C818="RW2",RW2_4P!B$2,0))))))</f>
        <v/>
      </c>
    </row>
    <row r="819" spans="4:4" ht="15" customHeight="1" x14ac:dyDescent="0.3">
      <c r="D819" s="110" t="str">
        <f>IF(A819="","",IF(C819="2P",OPR_2P!B$2,IF(C819="SEG",SEG_6P!B$2,IF(C819="SOL",SOL_4P!B$2,IF(C819="RW",RW_2P!B$2,IF(C819="RW2",RW2_4P!B$2,0))))))</f>
        <v/>
      </c>
    </row>
    <row r="820" spans="4:4" ht="15" customHeight="1" x14ac:dyDescent="0.3">
      <c r="D820" s="110" t="str">
        <f>IF(A820="","",IF(C820="2P",OPR_2P!B$2,IF(C820="SEG",SEG_6P!B$2,IF(C820="SOL",SOL_4P!B$2,IF(C820="RW",RW_2P!B$2,IF(C820="RW2",RW2_4P!B$2,0))))))</f>
        <v/>
      </c>
    </row>
    <row r="821" spans="4:4" ht="15" customHeight="1" x14ac:dyDescent="0.3">
      <c r="D821" s="110" t="str">
        <f>IF(A821="","",IF(C821="2P",OPR_2P!B$2,IF(C821="SEG",SEG_6P!B$2,IF(C821="SOL",SOL_4P!B$2,IF(C821="RW",RW_2P!B$2,IF(C821="RW2",RW2_4P!B$2,0))))))</f>
        <v/>
      </c>
    </row>
    <row r="822" spans="4:4" ht="15" customHeight="1" x14ac:dyDescent="0.3">
      <c r="D822" s="110" t="str">
        <f>IF(A822="","",IF(C822="2P",OPR_2P!B$2,IF(C822="SEG",SEG_6P!B$2,IF(C822="SOL",SOL_4P!B$2,IF(C822="RW",RW_2P!B$2,IF(C822="RW2",RW2_4P!B$2,0))))))</f>
        <v/>
      </c>
    </row>
    <row r="823" spans="4:4" ht="15" customHeight="1" x14ac:dyDescent="0.3">
      <c r="D823" s="110" t="str">
        <f>IF(A823="","",IF(C823="2P",OPR_2P!B$2,IF(C823="SEG",SEG_6P!B$2,IF(C823="SOL",SOL_4P!B$2,IF(C823="RW",RW_2P!B$2,IF(C823="RW2",RW2_4P!B$2,0))))))</f>
        <v/>
      </c>
    </row>
    <row r="824" spans="4:4" ht="15" customHeight="1" x14ac:dyDescent="0.3">
      <c r="D824" s="110" t="str">
        <f>IF(A824="","",IF(C824="2P",OPR_2P!B$2,IF(C824="SEG",SEG_6P!B$2,IF(C824="SOL",SOL_4P!B$2,IF(C824="RW",RW_2P!B$2,IF(C824="RW2",RW2_4P!B$2,0))))))</f>
        <v/>
      </c>
    </row>
    <row r="825" spans="4:4" ht="15" customHeight="1" x14ac:dyDescent="0.3">
      <c r="D825" s="110" t="str">
        <f>IF(A825="","",IF(C825="2P",OPR_2P!B$2,IF(C825="SEG",SEG_6P!B$2,IF(C825="SOL",SOL_4P!B$2,IF(C825="RW",RW_2P!B$2,IF(C825="RW2",RW2_4P!B$2,0))))))</f>
        <v/>
      </c>
    </row>
    <row r="826" spans="4:4" ht="15" customHeight="1" x14ac:dyDescent="0.3">
      <c r="D826" s="110" t="str">
        <f>IF(A826="","",IF(C826="2P",OPR_2P!B$2,IF(C826="SEG",SEG_6P!B$2,IF(C826="SOL",SOL_4P!B$2,IF(C826="RW",RW_2P!B$2,IF(C826="RW2",RW2_4P!B$2,0))))))</f>
        <v/>
      </c>
    </row>
    <row r="827" spans="4:4" ht="15" customHeight="1" x14ac:dyDescent="0.3">
      <c r="D827" s="110" t="str">
        <f>IF(A827="","",IF(C827="2P",OPR_2P!B$2,IF(C827="SEG",SEG_6P!B$2,IF(C827="SOL",SOL_4P!B$2,IF(C827="RW",RW_2P!B$2,IF(C827="RW2",RW2_4P!B$2,0))))))</f>
        <v/>
      </c>
    </row>
    <row r="828" spans="4:4" ht="15" customHeight="1" x14ac:dyDescent="0.3">
      <c r="D828" s="110" t="str">
        <f>IF(A828="","",IF(C828="2P",OPR_2P!B$2,IF(C828="SEG",SEG_6P!B$2,IF(C828="SOL",SOL_4P!B$2,IF(C828="RW",RW_2P!B$2,IF(C828="RW2",RW2_4P!B$2,0))))))</f>
        <v/>
      </c>
    </row>
    <row r="829" spans="4:4" ht="15" customHeight="1" x14ac:dyDescent="0.3">
      <c r="D829" s="110" t="str">
        <f>IF(A829="","",IF(C829="2P",OPR_2P!B$2,IF(C829="SEG",SEG_6P!B$2,IF(C829="SOL",SOL_4P!B$2,IF(C829="RW",RW_2P!B$2,IF(C829="RW2",RW2_4P!B$2,0))))))</f>
        <v/>
      </c>
    </row>
    <row r="830" spans="4:4" ht="15" customHeight="1" x14ac:dyDescent="0.3">
      <c r="D830" s="110" t="str">
        <f>IF(A830="","",IF(C830="2P",OPR_2P!B$2,IF(C830="SEG",SEG_6P!B$2,IF(C830="SOL",SOL_4P!B$2,IF(C830="RW",RW_2P!B$2,IF(C830="RW2",RW2_4P!B$2,0))))))</f>
        <v/>
      </c>
    </row>
    <row r="831" spans="4:4" ht="15" customHeight="1" x14ac:dyDescent="0.3">
      <c r="D831" s="110" t="str">
        <f>IF(A831="","",IF(C831="2P",OPR_2P!B$2,IF(C831="SEG",SEG_6P!B$2,IF(C831="SOL",SOL_4P!B$2,IF(C831="RW",RW_2P!B$2,IF(C831="RW2",RW2_4P!B$2,0))))))</f>
        <v/>
      </c>
    </row>
    <row r="832" spans="4:4" ht="15" customHeight="1" x14ac:dyDescent="0.3">
      <c r="D832" s="110" t="str">
        <f>IF(A832="","",IF(C832="2P",OPR_2P!B$2,IF(C832="SEG",SEG_6P!B$2,IF(C832="SOL",SOL_4P!B$2,IF(C832="RW",RW_2P!B$2,IF(C832="RW2",RW2_4P!B$2,0))))))</f>
        <v/>
      </c>
    </row>
    <row r="833" spans="4:4" ht="15" customHeight="1" x14ac:dyDescent="0.3">
      <c r="D833" s="110" t="str">
        <f>IF(A833="","",IF(C833="2P",OPR_2P!B$2,IF(C833="SEG",SEG_6P!B$2,IF(C833="SOL",SOL_4P!B$2,IF(C833="RW",RW_2P!B$2,IF(C833="RW2",RW2_4P!B$2,0))))))</f>
        <v/>
      </c>
    </row>
    <row r="834" spans="4:4" ht="15" customHeight="1" x14ac:dyDescent="0.3">
      <c r="D834" s="110" t="str">
        <f>IF(A834="","",IF(C834="2P",OPR_2P!B$2,IF(C834="SEG",SEG_6P!B$2,IF(C834="SOL",SOL_4P!B$2,IF(C834="RW",RW_2P!B$2,IF(C834="RW2",RW2_4P!B$2,0))))))</f>
        <v/>
      </c>
    </row>
    <row r="835" spans="4:4" ht="15" customHeight="1" x14ac:dyDescent="0.3">
      <c r="D835" s="110" t="str">
        <f>IF(A835="","",IF(C835="2P",OPR_2P!B$2,IF(C835="SEG",SEG_6P!B$2,IF(C835="SOL",SOL_4P!B$2,IF(C835="RW",RW_2P!B$2,IF(C835="RW2",RW2_4P!B$2,0))))))</f>
        <v/>
      </c>
    </row>
    <row r="836" spans="4:4" ht="15" customHeight="1" x14ac:dyDescent="0.3">
      <c r="D836" s="110" t="str">
        <f>IF(A836="","",IF(C836="2P",OPR_2P!B$2,IF(C836="SEG",SEG_6P!B$2,IF(C836="SOL",SOL_4P!B$2,IF(C836="RW",RW_2P!B$2,IF(C836="RW2",RW2_4P!B$2,0))))))</f>
        <v/>
      </c>
    </row>
    <row r="837" spans="4:4" ht="15" customHeight="1" x14ac:dyDescent="0.3">
      <c r="D837" s="110" t="str">
        <f>IF(A837="","",IF(C837="2P",OPR_2P!B$2,IF(C837="SEG",SEG_6P!B$2,IF(C837="SOL",SOL_4P!B$2,IF(C837="RW",RW_2P!B$2,IF(C837="RW2",RW2_4P!B$2,0))))))</f>
        <v/>
      </c>
    </row>
    <row r="838" spans="4:4" ht="15" customHeight="1" x14ac:dyDescent="0.3">
      <c r="D838" s="110" t="str">
        <f>IF(A838="","",IF(C838="2P",OPR_2P!B$2,IF(C838="SEG",SEG_6P!B$2,IF(C838="SOL",SOL_4P!B$2,IF(C838="RW",RW_2P!B$2,IF(C838="RW2",RW2_4P!B$2,0))))))</f>
        <v/>
      </c>
    </row>
    <row r="839" spans="4:4" ht="15" customHeight="1" x14ac:dyDescent="0.3">
      <c r="D839" s="110" t="str">
        <f>IF(A839="","",IF(C839="2P",OPR_2P!B$2,IF(C839="SEG",SEG_6P!B$2,IF(C839="SOL",SOL_4P!B$2,IF(C839="RW",RW_2P!B$2,IF(C839="RW2",RW2_4P!B$2,0))))))</f>
        <v/>
      </c>
    </row>
    <row r="840" spans="4:4" ht="15" customHeight="1" x14ac:dyDescent="0.3">
      <c r="D840" s="110" t="str">
        <f>IF(A840="","",IF(C840="2P",OPR_2P!B$2,IF(C840="SEG",SEG_6P!B$2,IF(C840="SOL",SOL_4P!B$2,IF(C840="RW",RW_2P!B$2,IF(C840="RW2",RW2_4P!B$2,0))))))</f>
        <v/>
      </c>
    </row>
    <row r="841" spans="4:4" ht="15" customHeight="1" x14ac:dyDescent="0.3">
      <c r="D841" s="110" t="str">
        <f>IF(A841="","",IF(C841="2P",OPR_2P!B$2,IF(C841="SEG",SEG_6P!B$2,IF(C841="SOL",SOL_4P!B$2,IF(C841="RW",RW_2P!B$2,IF(C841="RW2",RW2_4P!B$2,0))))))</f>
        <v/>
      </c>
    </row>
    <row r="842" spans="4:4" ht="15" customHeight="1" x14ac:dyDescent="0.3">
      <c r="D842" s="110" t="str">
        <f>IF(A842="","",IF(C842="2P",OPR_2P!B$2,IF(C842="SEG",SEG_6P!B$2,IF(C842="SOL",SOL_4P!B$2,IF(C842="RW",RW_2P!B$2,IF(C842="RW2",RW2_4P!B$2,0))))))</f>
        <v/>
      </c>
    </row>
    <row r="843" spans="4:4" ht="15" customHeight="1" x14ac:dyDescent="0.3">
      <c r="D843" s="110" t="str">
        <f>IF(A843="","",IF(C843="2P",OPR_2P!B$2,IF(C843="SEG",SEG_6P!B$2,IF(C843="SOL",SOL_4P!B$2,IF(C843="RW",RW_2P!B$2,IF(C843="RW2",RW2_4P!B$2,0))))))</f>
        <v/>
      </c>
    </row>
    <row r="844" spans="4:4" ht="15" customHeight="1" x14ac:dyDescent="0.3">
      <c r="D844" s="110" t="str">
        <f>IF(A844="","",IF(C844="2P",OPR_2P!B$2,IF(C844="SEG",SEG_6P!B$2,IF(C844="SOL",SOL_4P!B$2,IF(C844="RW",RW_2P!B$2,IF(C844="RW2",RW2_4P!B$2,0))))))</f>
        <v/>
      </c>
    </row>
    <row r="845" spans="4:4" ht="15" customHeight="1" x14ac:dyDescent="0.3">
      <c r="D845" s="110" t="str">
        <f>IF(A845="","",IF(C845="2P",OPR_2P!B$2,IF(C845="SEG",SEG_6P!B$2,IF(C845="SOL",SOL_4P!B$2,IF(C845="RW",RW_2P!B$2,IF(C845="RW2",RW2_4P!B$2,0))))))</f>
        <v/>
      </c>
    </row>
    <row r="846" spans="4:4" ht="15" customHeight="1" x14ac:dyDescent="0.3">
      <c r="D846" s="110" t="str">
        <f>IF(A846="","",IF(C846="2P",OPR_2P!B$2,IF(C846="SEG",SEG_6P!B$2,IF(C846="SOL",SOL_4P!B$2,IF(C846="RW",RW_2P!B$2,IF(C846="RW2",RW2_4P!B$2,0))))))</f>
        <v/>
      </c>
    </row>
    <row r="847" spans="4:4" ht="15" customHeight="1" x14ac:dyDescent="0.3">
      <c r="D847" s="110" t="str">
        <f>IF(A847="","",IF(C847="2P",OPR_2P!B$2,IF(C847="SEG",SEG_6P!B$2,IF(C847="SOL",SOL_4P!B$2,IF(C847="RW",RW_2P!B$2,IF(C847="RW2",RW2_4P!B$2,0))))))</f>
        <v/>
      </c>
    </row>
    <row r="848" spans="4:4" ht="15" customHeight="1" x14ac:dyDescent="0.3">
      <c r="D848" s="110" t="str">
        <f>IF(A848="","",IF(C848="2P",OPR_2P!B$2,IF(C848="SEG",SEG_6P!B$2,IF(C848="SOL",SOL_4P!B$2,IF(C848="RW",RW_2P!B$2,IF(C848="RW2",RW2_4P!B$2,0))))))</f>
        <v/>
      </c>
    </row>
    <row r="849" spans="4:4" ht="15" customHeight="1" x14ac:dyDescent="0.3">
      <c r="D849" s="110" t="str">
        <f>IF(A849="","",IF(C849="2P",OPR_2P!B$2,IF(C849="SEG",SEG_6P!B$2,IF(C849="SOL",SOL_4P!B$2,IF(C849="RW",RW_2P!B$2,IF(C849="RW2",RW2_4P!B$2,0))))))</f>
        <v/>
      </c>
    </row>
    <row r="850" spans="4:4" ht="15" customHeight="1" x14ac:dyDescent="0.3">
      <c r="D850" s="110" t="str">
        <f>IF(A850="","",IF(C850="2P",OPR_2P!B$2,IF(C850="SEG",SEG_6P!B$2,IF(C850="SOL",SOL_4P!B$2,IF(C850="RW",RW_2P!B$2,IF(C850="RW2",RW2_4P!B$2,0))))))</f>
        <v/>
      </c>
    </row>
    <row r="851" spans="4:4" ht="15" customHeight="1" x14ac:dyDescent="0.3">
      <c r="D851" s="110" t="str">
        <f>IF(A851="","",IF(C851="2P",OPR_2P!B$2,IF(C851="SEG",SEG_6P!B$2,IF(C851="SOL",SOL_4P!B$2,IF(C851="RW",RW_2P!B$2,IF(C851="RW2",RW2_4P!B$2,0))))))</f>
        <v/>
      </c>
    </row>
    <row r="852" spans="4:4" ht="15" customHeight="1" x14ac:dyDescent="0.3">
      <c r="D852" s="110" t="str">
        <f>IF(A852="","",IF(C852="2P",OPR_2P!B$2,IF(C852="SEG",SEG_6P!B$2,IF(C852="SOL",SOL_4P!B$2,IF(C852="RW",RW_2P!B$2,IF(C852="RW2",RW2_4P!B$2,0))))))</f>
        <v/>
      </c>
    </row>
    <row r="853" spans="4:4" ht="15" customHeight="1" x14ac:dyDescent="0.3">
      <c r="D853" s="110" t="str">
        <f>IF(A853="","",IF(C853="2P",OPR_2P!B$2,IF(C853="SEG",SEG_6P!B$2,IF(C853="SOL",SOL_4P!B$2,IF(C853="RW",RW_2P!B$2,IF(C853="RW2",RW2_4P!B$2,0))))))</f>
        <v/>
      </c>
    </row>
    <row r="854" spans="4:4" ht="15" customHeight="1" x14ac:dyDescent="0.3">
      <c r="D854" s="110" t="str">
        <f>IF(A854="","",IF(C854="2P",OPR_2P!B$2,IF(C854="SEG",SEG_6P!B$2,IF(C854="SOL",SOL_4P!B$2,IF(C854="RW",RW_2P!B$2,IF(C854="RW2",RW2_4P!B$2,0))))))</f>
        <v/>
      </c>
    </row>
    <row r="855" spans="4:4" ht="15" customHeight="1" x14ac:dyDescent="0.3">
      <c r="D855" s="110" t="str">
        <f>IF(A855="","",IF(C855="2P",OPR_2P!B$2,IF(C855="SEG",SEG_6P!B$2,IF(C855="SOL",SOL_4P!B$2,IF(C855="RW",RW_2P!B$2,IF(C855="RW2",RW2_4P!B$2,0))))))</f>
        <v/>
      </c>
    </row>
    <row r="856" spans="4:4" ht="15" customHeight="1" x14ac:dyDescent="0.3">
      <c r="D856" s="110" t="str">
        <f>IF(A856="","",IF(C856="2P",OPR_2P!B$2,IF(C856="SEG",SEG_6P!B$2,IF(C856="SOL",SOL_4P!B$2,IF(C856="RW",RW_2P!B$2,IF(C856="RW2",RW2_4P!B$2,0))))))</f>
        <v/>
      </c>
    </row>
    <row r="857" spans="4:4" ht="15" customHeight="1" x14ac:dyDescent="0.3">
      <c r="D857" s="110" t="str">
        <f>IF(A857="","",IF(C857="2P",OPR_2P!B$2,IF(C857="SEG",SEG_6P!B$2,IF(C857="SOL",SOL_4P!B$2,IF(C857="RW",RW_2P!B$2,IF(C857="RW2",RW2_4P!B$2,0))))))</f>
        <v/>
      </c>
    </row>
    <row r="858" spans="4:4" ht="15" customHeight="1" x14ac:dyDescent="0.3">
      <c r="D858" s="110" t="str">
        <f>IF(A858="","",IF(C858="2P",OPR_2P!B$2,IF(C858="SEG",SEG_6P!B$2,IF(C858="SOL",SOL_4P!B$2,IF(C858="RW",RW_2P!B$2,IF(C858="RW2",RW2_4P!B$2,0))))))</f>
        <v/>
      </c>
    </row>
    <row r="859" spans="4:4" ht="15" customHeight="1" x14ac:dyDescent="0.3">
      <c r="D859" s="110" t="str">
        <f>IF(A859="","",IF(C859="2P",OPR_2P!B$2,IF(C859="SEG",SEG_6P!B$2,IF(C859="SOL",SOL_4P!B$2,IF(C859="RW",RW_2P!B$2,IF(C859="RW2",RW2_4P!B$2,0))))))</f>
        <v/>
      </c>
    </row>
    <row r="860" spans="4:4" ht="15" customHeight="1" x14ac:dyDescent="0.3">
      <c r="D860" s="110" t="str">
        <f>IF(A860="","",IF(C860="2P",OPR_2P!B$2,IF(C860="SEG",SEG_6P!B$2,IF(C860="SOL",SOL_4P!B$2,IF(C860="RW",RW_2P!B$2,IF(C860="RW2",RW2_4P!B$2,0))))))</f>
        <v/>
      </c>
    </row>
    <row r="861" spans="4:4" ht="15" customHeight="1" x14ac:dyDescent="0.3">
      <c r="D861" s="110" t="str">
        <f>IF(A861="","",IF(C861="2P",OPR_2P!B$2,IF(C861="SEG",SEG_6P!B$2,IF(C861="SOL",SOL_4P!B$2,IF(C861="RW",RW_2P!B$2,IF(C861="RW2",RW2_4P!B$2,0))))))</f>
        <v/>
      </c>
    </row>
    <row r="862" spans="4:4" ht="15" customHeight="1" x14ac:dyDescent="0.3">
      <c r="D862" s="110" t="str">
        <f>IF(A862="","",IF(C862="2P",OPR_2P!B$2,IF(C862="SEG",SEG_6P!B$2,IF(C862="SOL",SOL_4P!B$2,IF(C862="RW",RW_2P!B$2,IF(C862="RW2",RW2_4P!B$2,0))))))</f>
        <v/>
      </c>
    </row>
    <row r="863" spans="4:4" ht="15" customHeight="1" x14ac:dyDescent="0.3">
      <c r="D863" s="110" t="str">
        <f>IF(A863="","",IF(C863="2P",OPR_2P!B$2,IF(C863="SEG",SEG_6P!B$2,IF(C863="SOL",SOL_4P!B$2,IF(C863="RW",RW_2P!B$2,IF(C863="RW2",RW2_4P!B$2,0))))))</f>
        <v/>
      </c>
    </row>
    <row r="864" spans="4:4" ht="15" customHeight="1" x14ac:dyDescent="0.3">
      <c r="D864" s="110" t="str">
        <f>IF(A864="","",IF(C864="2P",OPR_2P!B$2,IF(C864="SEG",SEG_6P!B$2,IF(C864="SOL",SOL_4P!B$2,IF(C864="RW",RW_2P!B$2,IF(C864="RW2",RW2_4P!B$2,0))))))</f>
        <v/>
      </c>
    </row>
    <row r="865" spans="4:4" ht="15" customHeight="1" x14ac:dyDescent="0.3">
      <c r="D865" s="110" t="str">
        <f>IF(A865="","",IF(C865="2P",OPR_2P!B$2,IF(C865="SEG",SEG_6P!B$2,IF(C865="SOL",SOL_4P!B$2,IF(C865="RW",RW_2P!B$2,IF(C865="RW2",RW2_4P!B$2,0))))))</f>
        <v/>
      </c>
    </row>
    <row r="866" spans="4:4" ht="15" customHeight="1" x14ac:dyDescent="0.3">
      <c r="D866" s="110" t="str">
        <f>IF(A866="","",IF(C866="2P",OPR_2P!B$2,IF(C866="SEG",SEG_6P!B$2,IF(C866="SOL",SOL_4P!B$2,IF(C866="RW",RW_2P!B$2,IF(C866="RW2",RW2_4P!B$2,0))))))</f>
        <v/>
      </c>
    </row>
    <row r="867" spans="4:4" ht="15" customHeight="1" x14ac:dyDescent="0.3">
      <c r="D867" s="110" t="str">
        <f>IF(A867="","",IF(C867="2P",OPR_2P!B$2,IF(C867="SEG",SEG_6P!B$2,IF(C867="SOL",SOL_4P!B$2,IF(C867="RW",RW_2P!B$2,IF(C867="RW2",RW2_4P!B$2,0))))))</f>
        <v/>
      </c>
    </row>
    <row r="868" spans="4:4" ht="15" customHeight="1" x14ac:dyDescent="0.3">
      <c r="D868" s="110" t="str">
        <f>IF(A868="","",IF(C868="2P",OPR_2P!B$2,IF(C868="SEG",SEG_6P!B$2,IF(C868="SOL",SOL_4P!B$2,IF(C868="RW",RW_2P!B$2,IF(C868="RW2",RW2_4P!B$2,0))))))</f>
        <v/>
      </c>
    </row>
    <row r="869" spans="4:4" ht="15" customHeight="1" x14ac:dyDescent="0.3">
      <c r="D869" s="110" t="str">
        <f>IF(A869="","",IF(C869="2P",OPR_2P!B$2,IF(C869="SEG",SEG_6P!B$2,IF(C869="SOL",SOL_4P!B$2,IF(C869="RW",RW_2P!B$2,IF(C869="RW2",RW2_4P!B$2,0))))))</f>
        <v/>
      </c>
    </row>
    <row r="870" spans="4:4" ht="15" customHeight="1" x14ac:dyDescent="0.3">
      <c r="D870" s="110" t="str">
        <f>IF(A870="","",IF(C870="2P",OPR_2P!B$2,IF(C870="SEG",SEG_6P!B$2,IF(C870="SOL",SOL_4P!B$2,IF(C870="RW",RW_2P!B$2,IF(C870="RW2",RW2_4P!B$2,0))))))</f>
        <v/>
      </c>
    </row>
    <row r="871" spans="4:4" ht="15" customHeight="1" x14ac:dyDescent="0.3">
      <c r="D871" s="110" t="str">
        <f>IF(A871="","",IF(C871="2P",OPR_2P!B$2,IF(C871="SEG",SEG_6P!B$2,IF(C871="SOL",SOL_4P!B$2,IF(C871="RW",RW_2P!B$2,IF(C871="RW2",RW2_4P!B$2,0))))))</f>
        <v/>
      </c>
    </row>
    <row r="872" spans="4:4" ht="15" customHeight="1" x14ac:dyDescent="0.3">
      <c r="D872" s="110" t="str">
        <f>IF(A872="","",IF(C872="2P",OPR_2P!B$2,IF(C872="SEG",SEG_6P!B$2,IF(C872="SOL",SOL_4P!B$2,IF(C872="RW",RW_2P!B$2,IF(C872="RW2",RW2_4P!B$2,0))))))</f>
        <v/>
      </c>
    </row>
    <row r="873" spans="4:4" ht="15" customHeight="1" x14ac:dyDescent="0.3">
      <c r="D873" s="110" t="str">
        <f>IF(A873="","",IF(C873="2P",OPR_2P!B$2,IF(C873="SEG",SEG_6P!B$2,IF(C873="SOL",SOL_4P!B$2,IF(C873="RW",RW_2P!B$2,IF(C873="RW2",RW2_4P!B$2,0))))))</f>
        <v/>
      </c>
    </row>
    <row r="874" spans="4:4" ht="15" customHeight="1" x14ac:dyDescent="0.3">
      <c r="D874" s="110" t="str">
        <f>IF(A874="","",IF(C874="2P",OPR_2P!B$2,IF(C874="SEG",SEG_6P!B$2,IF(C874="SOL",SOL_4P!B$2,IF(C874="RW",RW_2P!B$2,IF(C874="RW2",RW2_4P!B$2,0))))))</f>
        <v/>
      </c>
    </row>
    <row r="875" spans="4:4" ht="15" customHeight="1" x14ac:dyDescent="0.3">
      <c r="D875" s="110" t="str">
        <f>IF(A875="","",IF(C875="2P",OPR_2P!B$2,IF(C875="SEG",SEG_6P!B$2,IF(C875="SOL",SOL_4P!B$2,IF(C875="RW",RW_2P!B$2,IF(C875="RW2",RW2_4P!B$2,0))))))</f>
        <v/>
      </c>
    </row>
    <row r="876" spans="4:4" ht="15" customHeight="1" x14ac:dyDescent="0.3">
      <c r="D876" s="110" t="str">
        <f>IF(A876="","",IF(C876="2P",OPR_2P!B$2,IF(C876="SEG",SEG_6P!B$2,IF(C876="SOL",SOL_4P!B$2,IF(C876="RW",RW_2P!B$2,IF(C876="RW2",RW2_4P!B$2,0))))))</f>
        <v/>
      </c>
    </row>
    <row r="877" spans="4:4" ht="15" customHeight="1" x14ac:dyDescent="0.3">
      <c r="D877" s="110" t="str">
        <f>IF(A877="","",IF(C877="2P",OPR_2P!B$2,IF(C877="SEG",SEG_6P!B$2,IF(C877="SOL",SOL_4P!B$2,IF(C877="RW",RW_2P!B$2,IF(C877="RW2",RW2_4P!B$2,0))))))</f>
        <v/>
      </c>
    </row>
    <row r="878" spans="4:4" ht="15" customHeight="1" x14ac:dyDescent="0.3">
      <c r="D878" s="110" t="str">
        <f>IF(A878="","",IF(C878="2P",OPR_2P!B$2,IF(C878="SEG",SEG_6P!B$2,IF(C878="SOL",SOL_4P!B$2,IF(C878="RW",RW_2P!B$2,IF(C878="RW2",RW2_4P!B$2,0))))))</f>
        <v/>
      </c>
    </row>
    <row r="879" spans="4:4" ht="15" customHeight="1" x14ac:dyDescent="0.3">
      <c r="D879" s="110" t="str">
        <f>IF(A879="","",IF(C879="2P",OPR_2P!B$2,IF(C879="SEG",SEG_6P!B$2,IF(C879="SOL",SOL_4P!B$2,IF(C879="RW",RW_2P!B$2,IF(C879="RW2",RW2_4P!B$2,0))))))</f>
        <v/>
      </c>
    </row>
    <row r="880" spans="4:4" ht="15" customHeight="1" x14ac:dyDescent="0.3">
      <c r="D880" s="110" t="str">
        <f>IF(A880="","",IF(C880="2P",OPR_2P!B$2,IF(C880="SEG",SEG_6P!B$2,IF(C880="SOL",SOL_4P!B$2,IF(C880="RW",RW_2P!B$2,IF(C880="RW2",RW2_4P!B$2,0))))))</f>
        <v/>
      </c>
    </row>
    <row r="881" spans="4:4" ht="15" customHeight="1" x14ac:dyDescent="0.3">
      <c r="D881" s="110" t="str">
        <f>IF(A881="","",IF(C881="2P",OPR_2P!B$2,IF(C881="SEG",SEG_6P!B$2,IF(C881="SOL",SOL_4P!B$2,IF(C881="RW",RW_2P!B$2,IF(C881="RW2",RW2_4P!B$2,0))))))</f>
        <v/>
      </c>
    </row>
    <row r="882" spans="4:4" ht="15" customHeight="1" x14ac:dyDescent="0.3">
      <c r="D882" s="110" t="str">
        <f>IF(A882="","",IF(C882="2P",OPR_2P!B$2,IF(C882="SEG",SEG_6P!B$2,IF(C882="SOL",SOL_4P!B$2,IF(C882="RW",RW_2P!B$2,IF(C882="RW2",RW2_4P!B$2,0))))))</f>
        <v/>
      </c>
    </row>
    <row r="883" spans="4:4" ht="15" customHeight="1" x14ac:dyDescent="0.3">
      <c r="D883" s="110" t="str">
        <f>IF(A883="","",IF(C883="2P",OPR_2P!B$2,IF(C883="SEG",SEG_6P!B$2,IF(C883="SOL",SOL_4P!B$2,IF(C883="RW",RW_2P!B$2,IF(C883="RW2",RW2_4P!B$2,0))))))</f>
        <v/>
      </c>
    </row>
    <row r="884" spans="4:4" ht="15" customHeight="1" x14ac:dyDescent="0.3">
      <c r="D884" s="110" t="str">
        <f>IF(A884="","",IF(C884="2P",OPR_2P!B$2,IF(C884="SEG",SEG_6P!B$2,IF(C884="SOL",SOL_4P!B$2,IF(C884="RW",RW_2P!B$2,IF(C884="RW2",RW2_4P!B$2,0))))))</f>
        <v/>
      </c>
    </row>
    <row r="885" spans="4:4" ht="15" customHeight="1" x14ac:dyDescent="0.3">
      <c r="D885" s="110" t="str">
        <f>IF(A885="","",IF(C885="2P",OPR_2P!B$2,IF(C885="SEG",SEG_6P!B$2,IF(C885="SOL",SOL_4P!B$2,IF(C885="RW",RW_2P!B$2,IF(C885="RW2",RW2_4P!B$2,0))))))</f>
        <v/>
      </c>
    </row>
    <row r="886" spans="4:4" ht="15" customHeight="1" x14ac:dyDescent="0.3">
      <c r="D886" s="110" t="str">
        <f>IF(A886="","",IF(C886="2P",OPR_2P!B$2,IF(C886="SEG",SEG_6P!B$2,IF(C886="SOL",SOL_4P!B$2,IF(C886="RW",RW_2P!B$2,IF(C886="RW2",RW2_4P!B$2,0))))))</f>
        <v/>
      </c>
    </row>
    <row r="887" spans="4:4" ht="15" customHeight="1" x14ac:dyDescent="0.3">
      <c r="D887" s="110" t="str">
        <f>IF(A887="","",IF(C887="2P",OPR_2P!B$2,IF(C887="SEG",SEG_6P!B$2,IF(C887="SOL",SOL_4P!B$2,IF(C887="RW",RW_2P!B$2,IF(C887="RW2",RW2_4P!B$2,0))))))</f>
        <v/>
      </c>
    </row>
    <row r="888" spans="4:4" ht="15" customHeight="1" x14ac:dyDescent="0.3">
      <c r="D888" s="110" t="str">
        <f>IF(A888="","",IF(C888="2P",OPR_2P!B$2,IF(C888="SEG",SEG_6P!B$2,IF(C888="SOL",SOL_4P!B$2,IF(C888="RW",RW_2P!B$2,IF(C888="RW2",RW2_4P!B$2,0))))))</f>
        <v/>
      </c>
    </row>
    <row r="889" spans="4:4" ht="15" customHeight="1" x14ac:dyDescent="0.3">
      <c r="D889" s="110" t="str">
        <f>IF(A889="","",IF(C889="2P",OPR_2P!B$2,IF(C889="SEG",SEG_6P!B$2,IF(C889="SOL",SOL_4P!B$2,IF(C889="RW",RW_2P!B$2,IF(C889="RW2",RW2_4P!B$2,0))))))</f>
        <v/>
      </c>
    </row>
    <row r="890" spans="4:4" ht="15" customHeight="1" x14ac:dyDescent="0.3">
      <c r="D890" s="110" t="str">
        <f>IF(A890="","",IF(C890="2P",OPR_2P!B$2,IF(C890="SEG",SEG_6P!B$2,IF(C890="SOL",SOL_4P!B$2,IF(C890="RW",RW_2P!B$2,IF(C890="RW2",RW2_4P!B$2,0))))))</f>
        <v/>
      </c>
    </row>
    <row r="891" spans="4:4" ht="15" customHeight="1" x14ac:dyDescent="0.3">
      <c r="D891" s="110" t="str">
        <f>IF(A891="","",IF(C891="2P",OPR_2P!B$2,IF(C891="SEG",SEG_6P!B$2,IF(C891="SOL",SOL_4P!B$2,IF(C891="RW",RW_2P!B$2,IF(C891="RW2",RW2_4P!B$2,0))))))</f>
        <v/>
      </c>
    </row>
    <row r="892" spans="4:4" ht="15" customHeight="1" x14ac:dyDescent="0.3">
      <c r="D892" s="110" t="str">
        <f>IF(A892="","",IF(C892="2P",OPR_2P!B$2,IF(C892="SEG",SEG_6P!B$2,IF(C892="SOL",SOL_4P!B$2,IF(C892="RW",RW_2P!B$2,IF(C892="RW2",RW2_4P!B$2,0))))))</f>
        <v/>
      </c>
    </row>
    <row r="893" spans="4:4" ht="15" customHeight="1" x14ac:dyDescent="0.3">
      <c r="D893" s="110" t="str">
        <f>IF(A893="","",IF(C893="2P",OPR_2P!B$2,IF(C893="SEG",SEG_6P!B$2,IF(C893="SOL",SOL_4P!B$2,IF(C893="RW",RW_2P!B$2,IF(C893="RW2",RW2_4P!B$2,0))))))</f>
        <v/>
      </c>
    </row>
    <row r="894" spans="4:4" ht="15" customHeight="1" x14ac:dyDescent="0.3">
      <c r="D894" s="110" t="str">
        <f>IF(A894="","",IF(C894="2P",OPR_2P!B$2,IF(C894="SEG",SEG_6P!B$2,IF(C894="SOL",SOL_4P!B$2,IF(C894="RW",RW_2P!B$2,IF(C894="RW2",RW2_4P!B$2,0))))))</f>
        <v/>
      </c>
    </row>
    <row r="895" spans="4:4" ht="15" customHeight="1" x14ac:dyDescent="0.3">
      <c r="D895" s="110" t="str">
        <f>IF(A895="","",IF(C895="2P",OPR_2P!B$2,IF(C895="SEG",SEG_6P!B$2,IF(C895="SOL",SOL_4P!B$2,IF(C895="RW",RW_2P!B$2,IF(C895="RW2",RW2_4P!B$2,0))))))</f>
        <v/>
      </c>
    </row>
    <row r="896" spans="4:4" ht="15" customHeight="1" x14ac:dyDescent="0.3">
      <c r="D896" s="110" t="str">
        <f>IF(A896="","",IF(C896="2P",OPR_2P!B$2,IF(C896="SEG",SEG_6P!B$2,IF(C896="SOL",SOL_4P!B$2,IF(C896="RW",RW_2P!B$2,IF(C896="RW2",RW2_4P!B$2,0))))))</f>
        <v/>
      </c>
    </row>
    <row r="897" spans="4:4" ht="15" customHeight="1" x14ac:dyDescent="0.3">
      <c r="D897" s="110" t="str">
        <f>IF(A897="","",IF(C897="2P",OPR_2P!B$2,IF(C897="SEG",SEG_6P!B$2,IF(C897="SOL",SOL_4P!B$2,IF(C897="RW",RW_2P!B$2,IF(C897="RW2",RW2_4P!B$2,0))))))</f>
        <v/>
      </c>
    </row>
    <row r="898" spans="4:4" ht="15" customHeight="1" x14ac:dyDescent="0.3">
      <c r="D898" s="110" t="str">
        <f>IF(A898="","",IF(C898="2P",OPR_2P!B$2,IF(C898="SEG",SEG_6P!B$2,IF(C898="SOL",SOL_4P!B$2,IF(C898="RW",RW_2P!B$2,IF(C898="RW2",RW2_4P!B$2,0))))))</f>
        <v/>
      </c>
    </row>
    <row r="899" spans="4:4" ht="15" customHeight="1" x14ac:dyDescent="0.3">
      <c r="D899" s="110" t="str">
        <f>IF(A899="","",IF(C899="2P",OPR_2P!B$2,IF(C899="SEG",SEG_6P!B$2,IF(C899="SOL",SOL_4P!B$2,IF(C899="RW",RW_2P!B$2,IF(C899="RW2",RW2_4P!B$2,0))))))</f>
        <v/>
      </c>
    </row>
    <row r="900" spans="4:4" ht="15" customHeight="1" x14ac:dyDescent="0.3">
      <c r="D900" s="110" t="str">
        <f>IF(A900="","",IF(C900="2P",OPR_2P!B$2,IF(C900="SEG",SEG_6P!B$2,IF(C900="SOL",SOL_4P!B$2,IF(C900="RW",RW_2P!B$2,IF(C900="RW2",RW2_4P!B$2,0))))))</f>
        <v/>
      </c>
    </row>
    <row r="901" spans="4:4" ht="15" customHeight="1" x14ac:dyDescent="0.3">
      <c r="D901" s="110" t="str">
        <f>IF(A901="","",IF(C901="2P",OPR_2P!B$2,IF(C901="SEG",SEG_6P!B$2,IF(C901="SOL",SOL_4P!B$2,IF(C901="RW",RW_2P!B$2,IF(C901="RW2",RW2_4P!B$2,0))))))</f>
        <v/>
      </c>
    </row>
    <row r="902" spans="4:4" ht="15" customHeight="1" x14ac:dyDescent="0.3">
      <c r="D902" s="110" t="str">
        <f>IF(A902="","",IF(C902="2P",OPR_2P!B$2,IF(C902="SEG",SEG_6P!B$2,IF(C902="SOL",SOL_4P!B$2,IF(C902="RW",RW_2P!B$2,IF(C902="RW2",RW2_4P!B$2,0))))))</f>
        <v/>
      </c>
    </row>
    <row r="903" spans="4:4" ht="15" customHeight="1" x14ac:dyDescent="0.3">
      <c r="D903" s="110" t="str">
        <f>IF(A903="","",IF(C903="2P",OPR_2P!B$2,IF(C903="SEG",SEG_6P!B$2,IF(C903="SOL",SOL_4P!B$2,IF(C903="RW",RW_2P!B$2,IF(C903="RW2",RW2_4P!B$2,0))))))</f>
        <v/>
      </c>
    </row>
    <row r="904" spans="4:4" ht="15" customHeight="1" x14ac:dyDescent="0.3">
      <c r="D904" s="110" t="str">
        <f>IF(A904="","",IF(C904="2P",OPR_2P!B$2,IF(C904="SEG",SEG_6P!B$2,IF(C904="SOL",SOL_4P!B$2,IF(C904="RW",RW_2P!B$2,IF(C904="RW2",RW2_4P!B$2,0))))))</f>
        <v/>
      </c>
    </row>
    <row r="905" spans="4:4" ht="15" customHeight="1" x14ac:dyDescent="0.3">
      <c r="D905" s="110" t="str">
        <f>IF(A905="","",IF(C905="2P",OPR_2P!B$2,IF(C905="SEG",SEG_6P!B$2,IF(C905="SOL",SOL_4P!B$2,IF(C905="RW",RW_2P!B$2,IF(C905="RW2",RW2_4P!B$2,0))))))</f>
        <v/>
      </c>
    </row>
    <row r="906" spans="4:4" ht="15" customHeight="1" x14ac:dyDescent="0.3">
      <c r="D906" s="110" t="str">
        <f>IF(A906="","",IF(C906="2P",OPR_2P!B$2,IF(C906="SEG",SEG_6P!B$2,IF(C906="SOL",SOL_4P!B$2,IF(C906="RW",RW_2P!B$2,IF(C906="RW2",RW2_4P!B$2,0))))))</f>
        <v/>
      </c>
    </row>
    <row r="907" spans="4:4" ht="15" customHeight="1" x14ac:dyDescent="0.3">
      <c r="D907" s="110" t="str">
        <f>IF(A907="","",IF(C907="2P",OPR_2P!B$2,IF(C907="SEG",SEG_6P!B$2,IF(C907="SOL",SOL_4P!B$2,IF(C907="RW",RW_2P!B$2,IF(C907="RW2",RW2_4P!B$2,0))))))</f>
        <v/>
      </c>
    </row>
    <row r="908" spans="4:4" ht="15" customHeight="1" x14ac:dyDescent="0.3">
      <c r="D908" s="110" t="str">
        <f>IF(A908="","",IF(C908="2P",OPR_2P!B$2,IF(C908="SEG",SEG_6P!B$2,IF(C908="SOL",SOL_4P!B$2,IF(C908="RW",RW_2P!B$2,IF(C908="RW2",RW2_4P!B$2,0))))))</f>
        <v/>
      </c>
    </row>
    <row r="909" spans="4:4" ht="15" customHeight="1" x14ac:dyDescent="0.3">
      <c r="D909" s="110" t="str">
        <f>IF(A909="","",IF(C909="2P",OPR_2P!B$2,IF(C909="SEG",SEG_6P!B$2,IF(C909="SOL",SOL_4P!B$2,IF(C909="RW",RW_2P!B$2,IF(C909="RW2",RW2_4P!B$2,0))))))</f>
        <v/>
      </c>
    </row>
    <row r="910" spans="4:4" ht="15" customHeight="1" x14ac:dyDescent="0.3">
      <c r="D910" s="110" t="str">
        <f>IF(A910="","",IF(C910="2P",OPR_2P!B$2,IF(C910="SEG",SEG_6P!B$2,IF(C910="SOL",SOL_4P!B$2,IF(C910="RW",RW_2P!B$2,IF(C910="RW2",RW2_4P!B$2,0))))))</f>
        <v/>
      </c>
    </row>
    <row r="911" spans="4:4" ht="15" customHeight="1" x14ac:dyDescent="0.3">
      <c r="D911" s="110" t="str">
        <f>IF(A911="","",IF(C911="2P",OPR_2P!B$2,IF(C911="SEG",SEG_6P!B$2,IF(C911="SOL",SOL_4P!B$2,IF(C911="RW",RW_2P!B$2,IF(C911="RW2",RW2_4P!B$2,0))))))</f>
        <v/>
      </c>
    </row>
    <row r="912" spans="4:4" ht="15" customHeight="1" x14ac:dyDescent="0.3">
      <c r="D912" s="110" t="str">
        <f>IF(A912="","",IF(C912="2P",OPR_2P!B$2,IF(C912="SEG",SEG_6P!B$2,IF(C912="SOL",SOL_4P!B$2,IF(C912="RW",RW_2P!B$2,IF(C912="RW2",RW2_4P!B$2,0))))))</f>
        <v/>
      </c>
    </row>
    <row r="913" spans="4:4" ht="15" customHeight="1" x14ac:dyDescent="0.3">
      <c r="D913" s="110" t="str">
        <f>IF(A913="","",IF(C913="2P",OPR_2P!B$2,IF(C913="SEG",SEG_6P!B$2,IF(C913="SOL",SOL_4P!B$2,IF(C913="RW",RW_2P!B$2,IF(C913="RW2",RW2_4P!B$2,0))))))</f>
        <v/>
      </c>
    </row>
    <row r="914" spans="4:4" ht="15" customHeight="1" x14ac:dyDescent="0.3">
      <c r="D914" s="110" t="str">
        <f>IF(A914="","",IF(C914="2P",OPR_2P!B$2,IF(C914="SEG",SEG_6P!B$2,IF(C914="SOL",SOL_4P!B$2,IF(C914="RW",RW_2P!B$2,IF(C914="RW2",RW2_4P!B$2,0))))))</f>
        <v/>
      </c>
    </row>
    <row r="915" spans="4:4" ht="15" customHeight="1" x14ac:dyDescent="0.3">
      <c r="D915" s="110" t="str">
        <f>IF(A915="","",IF(C915="2P",OPR_2P!B$2,IF(C915="SEG",SEG_6P!B$2,IF(C915="SOL",SOL_4P!B$2,IF(C915="RW",RW_2P!B$2,IF(C915="RW2",RW2_4P!B$2,0))))))</f>
        <v/>
      </c>
    </row>
    <row r="916" spans="4:4" ht="15" customHeight="1" x14ac:dyDescent="0.3">
      <c r="D916" s="110" t="str">
        <f>IF(A916="","",IF(C916="2P",OPR_2P!B$2,IF(C916="SEG",SEG_6P!B$2,IF(C916="SOL",SOL_4P!B$2,IF(C916="RW",RW_2P!B$2,IF(C916="RW2",RW2_4P!B$2,0))))))</f>
        <v/>
      </c>
    </row>
    <row r="917" spans="4:4" ht="15" customHeight="1" x14ac:dyDescent="0.3">
      <c r="D917" s="110" t="str">
        <f>IF(A917="","",IF(C917="2P",OPR_2P!B$2,IF(C917="SEG",SEG_6P!B$2,IF(C917="SOL",SOL_4P!B$2,IF(C917="RW",RW_2P!B$2,IF(C917="RW2",RW2_4P!B$2,0))))))</f>
        <v/>
      </c>
    </row>
    <row r="918" spans="4:4" ht="15" customHeight="1" x14ac:dyDescent="0.3">
      <c r="D918" s="110" t="str">
        <f>IF(A918="","",IF(C918="2P",OPR_2P!B$2,IF(C918="SEG",SEG_6P!B$2,IF(C918="SOL",SOL_4P!B$2,IF(C918="RW",RW_2P!B$2,IF(C918="RW2",RW2_4P!B$2,0))))))</f>
        <v/>
      </c>
    </row>
    <row r="919" spans="4:4" ht="15" customHeight="1" x14ac:dyDescent="0.3">
      <c r="D919" s="110" t="str">
        <f>IF(A919="","",IF(C919="2P",OPR_2P!B$2,IF(C919="SEG",SEG_6P!B$2,IF(C919="SOL",SOL_4P!B$2,IF(C919="RW",RW_2P!B$2,IF(C919="RW2",RW2_4P!B$2,0))))))</f>
        <v/>
      </c>
    </row>
    <row r="920" spans="4:4" ht="15" customHeight="1" x14ac:dyDescent="0.3">
      <c r="D920" s="110" t="str">
        <f>IF(A920="","",IF(C920="2P",OPR_2P!B$2,IF(C920="SEG",SEG_6P!B$2,IF(C920="SOL",SOL_4P!B$2,IF(C920="RW",RW_2P!B$2,IF(C920="RW2",RW2_4P!B$2,0))))))</f>
        <v/>
      </c>
    </row>
    <row r="921" spans="4:4" ht="15" customHeight="1" x14ac:dyDescent="0.3">
      <c r="D921" s="110" t="str">
        <f>IF(A921="","",IF(C921="2P",OPR_2P!B$2,IF(C921="SEG",SEG_6P!B$2,IF(C921="SOL",SOL_4P!B$2,IF(C921="RW",RW_2P!B$2,IF(C921="RW2",RW2_4P!B$2,0))))))</f>
        <v/>
      </c>
    </row>
    <row r="922" spans="4:4" ht="15" customHeight="1" x14ac:dyDescent="0.3">
      <c r="D922" s="110" t="str">
        <f>IF(A922="","",IF(C922="2P",OPR_2P!B$2,IF(C922="SEG",SEG_6P!B$2,IF(C922="SOL",SOL_4P!B$2,IF(C922="RW",RW_2P!B$2,IF(C922="RW2",RW2_4P!B$2,0))))))</f>
        <v/>
      </c>
    </row>
    <row r="923" spans="4:4" ht="15" customHeight="1" x14ac:dyDescent="0.3">
      <c r="D923" s="110" t="str">
        <f>IF(A923="","",IF(C923="2P",OPR_2P!B$2,IF(C923="SEG",SEG_6P!B$2,IF(C923="SOL",SOL_4P!B$2,IF(C923="RW",RW_2P!B$2,IF(C923="RW2",RW2_4P!B$2,0))))))</f>
        <v/>
      </c>
    </row>
    <row r="924" spans="4:4" ht="15" customHeight="1" x14ac:dyDescent="0.3">
      <c r="D924" s="110" t="str">
        <f>IF(A924="","",IF(C924="2P",OPR_2P!B$2,IF(C924="SEG",SEG_6P!B$2,IF(C924="SOL",SOL_4P!B$2,IF(C924="RW",RW_2P!B$2,IF(C924="RW2",RW2_4P!B$2,0))))))</f>
        <v/>
      </c>
    </row>
    <row r="925" spans="4:4" ht="15" customHeight="1" x14ac:dyDescent="0.3">
      <c r="D925" s="110" t="str">
        <f>IF(A925="","",IF(C925="2P",OPR_2P!B$2,IF(C925="SEG",SEG_6P!B$2,IF(C925="SOL",SOL_4P!B$2,IF(C925="RW",RW_2P!B$2,IF(C925="RW2",RW2_4P!B$2,0))))))</f>
        <v/>
      </c>
    </row>
    <row r="926" spans="4:4" ht="15" customHeight="1" x14ac:dyDescent="0.3">
      <c r="D926" s="110" t="str">
        <f>IF(A926="","",IF(C926="2P",OPR_2P!B$2,IF(C926="SEG",SEG_6P!B$2,IF(C926="SOL",SOL_4P!B$2,IF(C926="RW",RW_2P!B$2,IF(C926="RW2",RW2_4P!B$2,0))))))</f>
        <v/>
      </c>
    </row>
    <row r="927" spans="4:4" ht="15" customHeight="1" x14ac:dyDescent="0.3">
      <c r="D927" s="110" t="str">
        <f>IF(A927="","",IF(C927="2P",OPR_2P!B$2,IF(C927="SEG",SEG_6P!B$2,IF(C927="SOL",SOL_4P!B$2,IF(C927="RW",RW_2P!B$2,IF(C927="RW2",RW2_4P!B$2,0))))))</f>
        <v/>
      </c>
    </row>
    <row r="928" spans="4:4" ht="15" customHeight="1" x14ac:dyDescent="0.3">
      <c r="D928" s="110" t="str">
        <f>IF(A928="","",IF(C928="2P",OPR_2P!B$2,IF(C928="SEG",SEG_6P!B$2,IF(C928="SOL",SOL_4P!B$2,IF(C928="RW",RW_2P!B$2,IF(C928="RW2",RW2_4P!B$2,0))))))</f>
        <v/>
      </c>
    </row>
    <row r="929" spans="4:4" ht="15" customHeight="1" x14ac:dyDescent="0.3">
      <c r="D929" s="110" t="str">
        <f>IF(A929="","",IF(C929="2P",OPR_2P!B$2,IF(C929="SEG",SEG_6P!B$2,IF(C929="SOL",SOL_4P!B$2,IF(C929="RW",RW_2P!B$2,IF(C929="RW2",RW2_4P!B$2,0))))))</f>
        <v/>
      </c>
    </row>
    <row r="930" spans="4:4" ht="15" customHeight="1" x14ac:dyDescent="0.3">
      <c r="D930" s="110" t="str">
        <f>IF(A930="","",IF(C930="2P",OPR_2P!B$2,IF(C930="SEG",SEG_6P!B$2,IF(C930="SOL",SOL_4P!B$2,IF(C930="RW",RW_2P!B$2,IF(C930="RW2",RW2_4P!B$2,0))))))</f>
        <v/>
      </c>
    </row>
    <row r="931" spans="4:4" ht="15" customHeight="1" x14ac:dyDescent="0.3">
      <c r="D931" s="110" t="str">
        <f>IF(A931="","",IF(C931="2P",OPR_2P!B$2,IF(C931="SEG",SEG_6P!B$2,IF(C931="SOL",SOL_4P!B$2,IF(C931="RW",RW_2P!B$2,IF(C931="RW2",RW2_4P!B$2,0))))))</f>
        <v/>
      </c>
    </row>
    <row r="932" spans="4:4" ht="15" customHeight="1" x14ac:dyDescent="0.3">
      <c r="D932" s="110" t="str">
        <f>IF(A932="","",IF(C932="2P",OPR_2P!B$2,IF(C932="SEG",SEG_6P!B$2,IF(C932="SOL",SOL_4P!B$2,IF(C932="RW",RW_2P!B$2,IF(C932="RW2",RW2_4P!B$2,0))))))</f>
        <v/>
      </c>
    </row>
    <row r="933" spans="4:4" ht="15" customHeight="1" x14ac:dyDescent="0.3">
      <c r="D933" s="110" t="str">
        <f>IF(A933="","",IF(C933="2P",OPR_2P!B$2,IF(C933="SEG",SEG_6P!B$2,IF(C933="SOL",SOL_4P!B$2,IF(C933="RW",RW_2P!B$2,IF(C933="RW2",RW2_4P!B$2,0))))))</f>
        <v/>
      </c>
    </row>
    <row r="934" spans="4:4" ht="15" customHeight="1" x14ac:dyDescent="0.3">
      <c r="D934" s="110" t="str">
        <f>IF(A934="","",IF(C934="2P",OPR_2P!B$2,IF(C934="SEG",SEG_6P!B$2,IF(C934="SOL",SOL_4P!B$2,IF(C934="RW",RW_2P!B$2,IF(C934="RW2",RW2_4P!B$2,0))))))</f>
        <v/>
      </c>
    </row>
    <row r="935" spans="4:4" ht="15" customHeight="1" x14ac:dyDescent="0.3">
      <c r="D935" s="110" t="str">
        <f>IF(A935="","",IF(C935="2P",OPR_2P!B$2,IF(C935="SEG",SEG_6P!B$2,IF(C935="SOL",SOL_4P!B$2,IF(C935="RW",RW_2P!B$2,IF(C935="RW2",RW2_4P!B$2,0))))))</f>
        <v/>
      </c>
    </row>
    <row r="936" spans="4:4" ht="15" customHeight="1" x14ac:dyDescent="0.3">
      <c r="D936" s="110" t="str">
        <f>IF(A936="","",IF(C936="2P",OPR_2P!B$2,IF(C936="SEG",SEG_6P!B$2,IF(C936="SOL",SOL_4P!B$2,IF(C936="RW",RW_2P!B$2,IF(C936="RW2",RW2_4P!B$2,0))))))</f>
        <v/>
      </c>
    </row>
    <row r="937" spans="4:4" ht="15" customHeight="1" x14ac:dyDescent="0.3">
      <c r="D937" s="110" t="str">
        <f>IF(A937="","",IF(C937="2P",OPR_2P!B$2,IF(C937="SEG",SEG_6P!B$2,IF(C937="SOL",SOL_4P!B$2,IF(C937="RW",RW_2P!B$2,IF(C937="RW2",RW2_4P!B$2,0))))))</f>
        <v/>
      </c>
    </row>
    <row r="938" spans="4:4" ht="15" customHeight="1" x14ac:dyDescent="0.3">
      <c r="D938" s="110" t="str">
        <f>IF(A938="","",IF(C938="2P",OPR_2P!B$2,IF(C938="SEG",SEG_6P!B$2,IF(C938="SOL",SOL_4P!B$2,IF(C938="RW",RW_2P!B$2,IF(C938="RW2",RW2_4P!B$2,0))))))</f>
        <v/>
      </c>
    </row>
    <row r="939" spans="4:4" ht="15" customHeight="1" x14ac:dyDescent="0.3">
      <c r="D939" s="110" t="str">
        <f>IF(A939="","",IF(C939="2P",OPR_2P!B$2,IF(C939="SEG",SEG_6P!B$2,IF(C939="SOL",SOL_4P!B$2,IF(C939="RW",RW_2P!B$2,IF(C939="RW2",RW2_4P!B$2,0))))))</f>
        <v/>
      </c>
    </row>
    <row r="940" spans="4:4" ht="15" customHeight="1" x14ac:dyDescent="0.3">
      <c r="D940" s="110" t="str">
        <f>IF(A940="","",IF(C940="2P",OPR_2P!B$2,IF(C940="SEG",SEG_6P!B$2,IF(C940="SOL",SOL_4P!B$2,IF(C940="RW",RW_2P!B$2,IF(C940="RW2",RW2_4P!B$2,0))))))</f>
        <v/>
      </c>
    </row>
    <row r="941" spans="4:4" ht="15" customHeight="1" x14ac:dyDescent="0.3">
      <c r="D941" s="110" t="str">
        <f>IF(A941="","",IF(C941="2P",OPR_2P!B$2,IF(C941="SEG",SEG_6P!B$2,IF(C941="SOL",SOL_4P!B$2,IF(C941="RW",RW_2P!B$2,IF(C941="RW2",RW2_4P!B$2,0))))))</f>
        <v/>
      </c>
    </row>
    <row r="942" spans="4:4" ht="15" customHeight="1" x14ac:dyDescent="0.3">
      <c r="D942" s="110" t="str">
        <f>IF(A942="","",IF(C942="2P",OPR_2P!B$2,IF(C942="SEG",SEG_6P!B$2,IF(C942="SOL",SOL_4P!B$2,IF(C942="RW",RW_2P!B$2,IF(C942="RW2",RW2_4P!B$2,0))))))</f>
        <v/>
      </c>
    </row>
    <row r="943" spans="4:4" ht="15" customHeight="1" x14ac:dyDescent="0.3">
      <c r="D943" s="110" t="str">
        <f>IF(A943="","",IF(C943="2P",OPR_2P!B$2,IF(C943="SEG",SEG_6P!B$2,IF(C943="SOL",SOL_4P!B$2,IF(C943="RW",RW_2P!B$2,IF(C943="RW2",RW2_4P!B$2,0))))))</f>
        <v/>
      </c>
    </row>
    <row r="944" spans="4:4" ht="15" customHeight="1" x14ac:dyDescent="0.3">
      <c r="D944" s="110" t="str">
        <f>IF(A944="","",IF(C944="2P",OPR_2P!B$2,IF(C944="SEG",SEG_6P!B$2,IF(C944="SOL",SOL_4P!B$2,IF(C944="RW",RW_2P!B$2,IF(C944="RW2",RW2_4P!B$2,0))))))</f>
        <v/>
      </c>
    </row>
    <row r="945" spans="4:4" ht="15" customHeight="1" x14ac:dyDescent="0.3">
      <c r="D945" s="110" t="str">
        <f>IF(A945="","",IF(C945="2P",OPR_2P!B$2,IF(C945="SEG",SEG_6P!B$2,IF(C945="SOL",SOL_4P!B$2,IF(C945="RW",RW_2P!B$2,IF(C945="RW2",RW2_4P!B$2,0))))))</f>
        <v/>
      </c>
    </row>
    <row r="946" spans="4:4" ht="15" customHeight="1" x14ac:dyDescent="0.3">
      <c r="D946" s="110" t="str">
        <f>IF(A946="","",IF(C946="2P",OPR_2P!B$2,IF(C946="SEG",SEG_6P!B$2,IF(C946="SOL",SOL_4P!B$2,IF(C946="RW",RW_2P!B$2,IF(C946="RW2",RW2_4P!B$2,0))))))</f>
        <v/>
      </c>
    </row>
    <row r="947" spans="4:4" ht="15" customHeight="1" x14ac:dyDescent="0.3">
      <c r="D947" s="110" t="str">
        <f>IF(A947="","",IF(C947="2P",OPR_2P!B$2,IF(C947="SEG",SEG_6P!B$2,IF(C947="SOL",SOL_4P!B$2,IF(C947="RW",RW_2P!B$2,IF(C947="RW2",RW2_4P!B$2,0))))))</f>
        <v/>
      </c>
    </row>
    <row r="948" spans="4:4" ht="15" customHeight="1" x14ac:dyDescent="0.3">
      <c r="D948" s="110" t="str">
        <f>IF(A948="","",IF(C948="2P",OPR_2P!B$2,IF(C948="SEG",SEG_6P!B$2,IF(C948="SOL",SOL_4P!B$2,IF(C948="RW",RW_2P!B$2,IF(C948="RW2",RW2_4P!B$2,0))))))</f>
        <v/>
      </c>
    </row>
    <row r="949" spans="4:4" ht="15" customHeight="1" x14ac:dyDescent="0.3">
      <c r="D949" s="110" t="str">
        <f>IF(A949="","",IF(C949="2P",OPR_2P!B$2,IF(C949="SEG",SEG_6P!B$2,IF(C949="SOL",SOL_4P!B$2,IF(C949="RW",RW_2P!B$2,IF(C949="RW2",RW2_4P!B$2,0))))))</f>
        <v/>
      </c>
    </row>
    <row r="950" spans="4:4" ht="15" customHeight="1" x14ac:dyDescent="0.3">
      <c r="D950" s="110" t="str">
        <f>IF(A950="","",IF(C950="2P",OPR_2P!B$2,IF(C950="SEG",SEG_6P!B$2,IF(C950="SOL",SOL_4P!B$2,IF(C950="RW",RW_2P!B$2,IF(C950="RW2",RW2_4P!B$2,0))))))</f>
        <v/>
      </c>
    </row>
    <row r="951" spans="4:4" ht="15" customHeight="1" x14ac:dyDescent="0.3">
      <c r="D951" s="110" t="str">
        <f>IF(A951="","",IF(C951="2P",OPR_2P!B$2,IF(C951="SEG",SEG_6P!B$2,IF(C951="SOL",SOL_4P!B$2,IF(C951="RW",RW_2P!B$2,IF(C951="RW2",RW2_4P!B$2,0))))))</f>
        <v/>
      </c>
    </row>
    <row r="952" spans="4:4" ht="15" customHeight="1" x14ac:dyDescent="0.3">
      <c r="D952" s="110" t="str">
        <f>IF(A952="","",IF(C952="2P",OPR_2P!B$2,IF(C952="SEG",SEG_6P!B$2,IF(C952="SOL",SOL_4P!B$2,IF(C952="RW",RW_2P!B$2,IF(C952="RW2",RW2_4P!B$2,0))))))</f>
        <v/>
      </c>
    </row>
    <row r="953" spans="4:4" ht="15" customHeight="1" x14ac:dyDescent="0.3">
      <c r="D953" s="110" t="str">
        <f>IF(A953="","",IF(C953="2P",OPR_2P!B$2,IF(C953="SEG",SEG_6P!B$2,IF(C953="SOL",SOL_4P!B$2,IF(C953="RW",RW_2P!B$2,IF(C953="RW2",RW2_4P!B$2,0))))))</f>
        <v/>
      </c>
    </row>
    <row r="954" spans="4:4" ht="15" customHeight="1" x14ac:dyDescent="0.3">
      <c r="D954" s="110" t="str">
        <f>IF(A954="","",IF(C954="2P",OPR_2P!B$2,IF(C954="SEG",SEG_6P!B$2,IF(C954="SOL",SOL_4P!B$2,IF(C954="RW",RW_2P!B$2,IF(C954="RW2",RW2_4P!B$2,0))))))</f>
        <v/>
      </c>
    </row>
    <row r="955" spans="4:4" ht="15" customHeight="1" x14ac:dyDescent="0.3">
      <c r="D955" s="110" t="str">
        <f>IF(A955="","",IF(C955="2P",OPR_2P!B$2,IF(C955="SEG",SEG_6P!B$2,IF(C955="SOL",SOL_4P!B$2,IF(C955="RW",RW_2P!B$2,IF(C955="RW2",RW2_4P!B$2,0))))))</f>
        <v/>
      </c>
    </row>
    <row r="956" spans="4:4" ht="15" customHeight="1" x14ac:dyDescent="0.3">
      <c r="D956" s="110" t="str">
        <f>IF(A956="","",IF(C956="2P",OPR_2P!B$2,IF(C956="SEG",SEG_6P!B$2,IF(C956="SOL",SOL_4P!B$2,IF(C956="RW",RW_2P!B$2,IF(C956="RW2",RW2_4P!B$2,0))))))</f>
        <v/>
      </c>
    </row>
    <row r="957" spans="4:4" ht="15" customHeight="1" x14ac:dyDescent="0.3">
      <c r="D957" s="110" t="str">
        <f>IF(A957="","",IF(C957="2P",OPR_2P!B$2,IF(C957="SEG",SEG_6P!B$2,IF(C957="SOL",SOL_4P!B$2,IF(C957="RW",RW_2P!B$2,IF(C957="RW2",RW2_4P!B$2,0))))))</f>
        <v/>
      </c>
    </row>
    <row r="958" spans="4:4" ht="15" customHeight="1" x14ac:dyDescent="0.3">
      <c r="D958" s="110" t="str">
        <f>IF(A958="","",IF(C958="2P",OPR_2P!B$2,IF(C958="SEG",SEG_6P!B$2,IF(C958="SOL",SOL_4P!B$2,IF(C958="RW",RW_2P!B$2,IF(C958="RW2",RW2_4P!B$2,0))))))</f>
        <v/>
      </c>
    </row>
    <row r="959" spans="4:4" ht="15" customHeight="1" x14ac:dyDescent="0.3">
      <c r="D959" s="110" t="str">
        <f>IF(A959="","",IF(C959="2P",OPR_2P!B$2,IF(C959="SEG",SEG_6P!B$2,IF(C959="SOL",SOL_4P!B$2,IF(C959="RW",RW_2P!B$2,IF(C959="RW2",RW2_4P!B$2,0))))))</f>
        <v/>
      </c>
    </row>
    <row r="960" spans="4:4" ht="15" customHeight="1" x14ac:dyDescent="0.3">
      <c r="D960" s="110" t="str">
        <f>IF(A960="","",IF(C960="2P",OPR_2P!B$2,IF(C960="SEG",SEG_6P!B$2,IF(C960="SOL",SOL_4P!B$2,IF(C960="RW",RW_2P!B$2,IF(C960="RW2",RW2_4P!B$2,0))))))</f>
        <v/>
      </c>
    </row>
    <row r="961" spans="4:4" ht="15" customHeight="1" x14ac:dyDescent="0.3">
      <c r="D961" s="110" t="str">
        <f>IF(A961="","",IF(C961="2P",OPR_2P!B$2,IF(C961="SEG",SEG_6P!B$2,IF(C961="SOL",SOL_4P!B$2,IF(C961="RW",RW_2P!B$2,IF(C961="RW2",RW2_4P!B$2,0))))))</f>
        <v/>
      </c>
    </row>
    <row r="962" spans="4:4" ht="15" customHeight="1" x14ac:dyDescent="0.3">
      <c r="D962" s="110" t="str">
        <f>IF(A962="","",IF(C962="2P",OPR_2P!B$2,IF(C962="SEG",SEG_6P!B$2,IF(C962="SOL",SOL_4P!B$2,IF(C962="RW",RW_2P!B$2,IF(C962="RW2",RW2_4P!B$2,0))))))</f>
        <v/>
      </c>
    </row>
    <row r="963" spans="4:4" ht="15" customHeight="1" x14ac:dyDescent="0.3">
      <c r="D963" s="110" t="str">
        <f>IF(A963="","",IF(C963="2P",OPR_2P!B$2,IF(C963="SEG",SEG_6P!B$2,IF(C963="SOL",SOL_4P!B$2,IF(C963="RW",RW_2P!B$2,IF(C963="RW2",RW2_4P!B$2,0))))))</f>
        <v/>
      </c>
    </row>
    <row r="964" spans="4:4" ht="15" customHeight="1" x14ac:dyDescent="0.3">
      <c r="D964" s="110" t="str">
        <f>IF(A964="","",IF(C964="2P",OPR_2P!B$2,IF(C964="SEG",SEG_6P!B$2,IF(C964="SOL",SOL_4P!B$2,IF(C964="RW",RW_2P!B$2,IF(C964="RW2",RW2_4P!B$2,0))))))</f>
        <v/>
      </c>
    </row>
    <row r="965" spans="4:4" ht="15" customHeight="1" x14ac:dyDescent="0.3">
      <c r="D965" s="110" t="str">
        <f>IF(A965="","",IF(C965="2P",OPR_2P!B$2,IF(C965="SEG",SEG_6P!B$2,IF(C965="SOL",SOL_4P!B$2,IF(C965="RW",RW_2P!B$2,IF(C965="RW2",RW2_4P!B$2,0))))))</f>
        <v/>
      </c>
    </row>
    <row r="966" spans="4:4" ht="15" customHeight="1" x14ac:dyDescent="0.3">
      <c r="D966" s="110" t="str">
        <f>IF(A966="","",IF(C966="2P",OPR_2P!B$2,IF(C966="SEG",SEG_6P!B$2,IF(C966="SOL",SOL_4P!B$2,IF(C966="RW",RW_2P!B$2,IF(C966="RW2",RW2_4P!B$2,0))))))</f>
        <v/>
      </c>
    </row>
    <row r="967" spans="4:4" ht="15" customHeight="1" x14ac:dyDescent="0.3">
      <c r="D967" s="110" t="str">
        <f>IF(A967="","",IF(C967="2P",OPR_2P!B$2,IF(C967="SEG",SEG_6P!B$2,IF(C967="SOL",SOL_4P!B$2,IF(C967="RW",RW_2P!B$2,IF(C967="RW2",RW2_4P!B$2,0))))))</f>
        <v/>
      </c>
    </row>
    <row r="968" spans="4:4" ht="15" customHeight="1" x14ac:dyDescent="0.3">
      <c r="D968" s="110" t="str">
        <f>IF(A968="","",IF(C968="2P",OPR_2P!B$2,IF(C968="SEG",SEG_6P!B$2,IF(C968="SOL",SOL_4P!B$2,IF(C968="RW",RW_2P!B$2,IF(C968="RW2",RW2_4P!B$2,0))))))</f>
        <v/>
      </c>
    </row>
    <row r="969" spans="4:4" ht="15" customHeight="1" x14ac:dyDescent="0.3">
      <c r="D969" s="110" t="str">
        <f>IF(A969="","",IF(C969="2P",OPR_2P!B$2,IF(C969="SEG",SEG_6P!B$2,IF(C969="SOL",SOL_4P!B$2,IF(C969="RW",RW_2P!B$2,IF(C969="RW2",RW2_4P!B$2,0))))))</f>
        <v/>
      </c>
    </row>
    <row r="970" spans="4:4" ht="15" customHeight="1" x14ac:dyDescent="0.3">
      <c r="D970" s="110" t="str">
        <f>IF(A970="","",IF(C970="2P",OPR_2P!B$2,IF(C970="SEG",SEG_6P!B$2,IF(C970="SOL",SOL_4P!B$2,IF(C970="RW",RW_2P!B$2,IF(C970="RW2",RW2_4P!B$2,0))))))</f>
        <v/>
      </c>
    </row>
    <row r="971" spans="4:4" ht="15" customHeight="1" x14ac:dyDescent="0.3">
      <c r="D971" s="110" t="str">
        <f>IF(A971="","",IF(C971="2P",OPR_2P!B$2,IF(C971="SEG",SEG_6P!B$2,IF(C971="SOL",SOL_4P!B$2,IF(C971="RW",RW_2P!B$2,IF(C971="RW2",RW2_4P!B$2,0))))))</f>
        <v/>
      </c>
    </row>
    <row r="972" spans="4:4" ht="15" customHeight="1" x14ac:dyDescent="0.3">
      <c r="D972" s="110" t="str">
        <f>IF(A972="","",IF(C972="2P",OPR_2P!B$2,IF(C972="SEG",SEG_6P!B$2,IF(C972="SOL",SOL_4P!B$2,IF(C972="RW",RW_2P!B$2,IF(C972="RW2",RW2_4P!B$2,0))))))</f>
        <v/>
      </c>
    </row>
    <row r="973" spans="4:4" ht="15" customHeight="1" x14ac:dyDescent="0.3">
      <c r="D973" s="110" t="str">
        <f>IF(A973="","",IF(C973="2P",OPR_2P!B$2,IF(C973="SEG",SEG_6P!B$2,IF(C973="SOL",SOL_4P!B$2,IF(C973="RW",RW_2P!B$2,IF(C973="RW2",RW2_4P!B$2,0))))))</f>
        <v/>
      </c>
    </row>
    <row r="974" spans="4:4" ht="15" customHeight="1" x14ac:dyDescent="0.3">
      <c r="D974" s="110" t="str">
        <f>IF(A974="","",IF(C974="2P",OPR_2P!B$2,IF(C974="SEG",SEG_6P!B$2,IF(C974="SOL",SOL_4P!B$2,IF(C974="RW",RW_2P!B$2,IF(C974="RW2",RW2_4P!B$2,0))))))</f>
        <v/>
      </c>
    </row>
    <row r="975" spans="4:4" ht="15" customHeight="1" x14ac:dyDescent="0.3">
      <c r="D975" s="110" t="str">
        <f>IF(A975="","",IF(C975="2P",OPR_2P!B$2,IF(C975="SEG",SEG_6P!B$2,IF(C975="SOL",SOL_4P!B$2,IF(C975="RW",RW_2P!B$2,IF(C975="RW2",RW2_4P!B$2,0))))))</f>
        <v/>
      </c>
    </row>
    <row r="976" spans="4:4" ht="15" customHeight="1" x14ac:dyDescent="0.3">
      <c r="D976" s="110" t="str">
        <f>IF(A976="","",IF(C976="2P",OPR_2P!B$2,IF(C976="SEG",SEG_6P!B$2,IF(C976="SOL",SOL_4P!B$2,IF(C976="RW",RW_2P!B$2,IF(C976="RW2",RW2_4P!B$2,0))))))</f>
        <v/>
      </c>
    </row>
    <row r="977" spans="4:4" ht="15" customHeight="1" x14ac:dyDescent="0.3">
      <c r="D977" s="110" t="str">
        <f>IF(A977="","",IF(C977="2P",OPR_2P!B$2,IF(C977="SEG",SEG_6P!B$2,IF(C977="SOL",SOL_4P!B$2,IF(C977="RW",RW_2P!B$2,IF(C977="RW2",RW2_4P!B$2,0))))))</f>
        <v/>
      </c>
    </row>
    <row r="978" spans="4:4" ht="15" customHeight="1" x14ac:dyDescent="0.3">
      <c r="D978" s="110" t="str">
        <f>IF(A978="","",IF(C978="2P",OPR_2P!B$2,IF(C978="SEG",SEG_6P!B$2,IF(C978="SOL",SOL_4P!B$2,IF(C978="RW",RW_2P!B$2,IF(C978="RW2",RW2_4P!B$2,0))))))</f>
        <v/>
      </c>
    </row>
    <row r="979" spans="4:4" ht="15" customHeight="1" x14ac:dyDescent="0.3">
      <c r="D979" s="110" t="str">
        <f>IF(A979="","",IF(C979="2P",OPR_2P!B$2,IF(C979="SEG",SEG_6P!B$2,IF(C979="SOL",SOL_4P!B$2,IF(C979="RW",RW_2P!B$2,IF(C979="RW2",RW2_4P!B$2,0))))))</f>
        <v/>
      </c>
    </row>
    <row r="980" spans="4:4" ht="15" customHeight="1" x14ac:dyDescent="0.3">
      <c r="D980" s="110" t="str">
        <f>IF(A980="","",IF(C980="2P",OPR_2P!B$2,IF(C980="SEG",SEG_6P!B$2,IF(C980="SOL",SOL_4P!B$2,IF(C980="RW",RW_2P!B$2,IF(C980="RW2",RW2_4P!B$2,0))))))</f>
        <v/>
      </c>
    </row>
    <row r="981" spans="4:4" ht="15" customHeight="1" x14ac:dyDescent="0.3">
      <c r="D981" s="110" t="str">
        <f>IF(A981="","",IF(C981="2P",OPR_2P!B$2,IF(C981="SEG",SEG_6P!B$2,IF(C981="SOL",SOL_4P!B$2,IF(C981="RW",RW_2P!B$2,IF(C981="RW2",RW2_4P!B$2,0))))))</f>
        <v/>
      </c>
    </row>
    <row r="982" spans="4:4" ht="15" customHeight="1" x14ac:dyDescent="0.3">
      <c r="D982" s="110" t="str">
        <f>IF(A982="","",IF(C982="2P",OPR_2P!B$2,IF(C982="SEG",SEG_6P!B$2,IF(C982="SOL",SOL_4P!B$2,IF(C982="RW",RW_2P!B$2,IF(C982="RW2",RW2_4P!B$2,0))))))</f>
        <v/>
      </c>
    </row>
    <row r="983" spans="4:4" ht="15" customHeight="1" x14ac:dyDescent="0.3">
      <c r="D983" s="110" t="str">
        <f>IF(A983="","",IF(C983="2P",OPR_2P!B$2,IF(C983="SEG",SEG_6P!B$2,IF(C983="SOL",SOL_4P!B$2,IF(C983="RW",RW_2P!B$2,IF(C983="RW2",RW2_4P!B$2,0))))))</f>
        <v/>
      </c>
    </row>
    <row r="984" spans="4:4" ht="15" customHeight="1" x14ac:dyDescent="0.3">
      <c r="D984" s="110" t="str">
        <f>IF(A984="","",IF(C984="2P",OPR_2P!B$2,IF(C984="SEG",SEG_6P!B$2,IF(C984="SOL",SOL_4P!B$2,IF(C984="RW",RW_2P!B$2,IF(C984="RW2",RW2_4P!B$2,0))))))</f>
        <v/>
      </c>
    </row>
    <row r="985" spans="4:4" ht="15" customHeight="1" x14ac:dyDescent="0.3">
      <c r="D985" s="110" t="str">
        <f>IF(A985="","",IF(C985="2P",OPR_2P!B$2,IF(C985="SEG",SEG_6P!B$2,IF(C985="SOL",SOL_4P!B$2,IF(C985="RW",RW_2P!B$2,IF(C985="RW2",RW2_4P!B$2,0))))))</f>
        <v/>
      </c>
    </row>
    <row r="986" spans="4:4" ht="15" customHeight="1" x14ac:dyDescent="0.3">
      <c r="D986" s="110" t="str">
        <f>IF(A986="","",IF(C986="2P",OPR_2P!B$2,IF(C986="SEG",SEG_6P!B$2,IF(C986="SOL",SOL_4P!B$2,IF(C986="RW",RW_2P!B$2,IF(C986="RW2",RW2_4P!B$2,0))))))</f>
        <v/>
      </c>
    </row>
    <row r="987" spans="4:4" ht="15" customHeight="1" x14ac:dyDescent="0.3">
      <c r="D987" s="110" t="str">
        <f>IF(A987="","",IF(C987="2P",OPR_2P!B$2,IF(C987="SEG",SEG_6P!B$2,IF(C987="SOL",SOL_4P!B$2,IF(C987="RW",RW_2P!B$2,IF(C987="RW2",RW2_4P!B$2,0))))))</f>
        <v/>
      </c>
    </row>
    <row r="988" spans="4:4" ht="15" customHeight="1" x14ac:dyDescent="0.3">
      <c r="D988" s="110" t="str">
        <f>IF(A988="","",IF(C988="2P",OPR_2P!B$2,IF(C988="SEG",SEG_6P!B$2,IF(C988="SOL",SOL_4P!B$2,IF(C988="RW",RW_2P!B$2,IF(C988="RW2",RW2_4P!B$2,0))))))</f>
        <v/>
      </c>
    </row>
    <row r="989" spans="4:4" ht="15" customHeight="1" x14ac:dyDescent="0.3">
      <c r="D989" s="110" t="str">
        <f>IF(A989="","",IF(C989="2P",OPR_2P!B$2,IF(C989="SEG",SEG_6P!B$2,IF(C989="SOL",SOL_4P!B$2,IF(C989="RW",RW_2P!B$2,IF(C989="RW2",RW2_4P!B$2,0))))))</f>
        <v/>
      </c>
    </row>
    <row r="990" spans="4:4" ht="15" customHeight="1" x14ac:dyDescent="0.3">
      <c r="D990" s="110" t="str">
        <f>IF(A990="","",IF(C990="2P",OPR_2P!B$2,IF(C990="SEG",SEG_6P!B$2,IF(C990="SOL",SOL_4P!B$2,IF(C990="RW",RW_2P!B$2,IF(C990="RW2",RW2_4P!B$2,0))))))</f>
        <v/>
      </c>
    </row>
    <row r="991" spans="4:4" ht="15" customHeight="1" x14ac:dyDescent="0.3">
      <c r="D991" s="110" t="str">
        <f>IF(A991="","",IF(C991="2P",OPR_2P!B$2,IF(C991="SEG",SEG_6P!B$2,IF(C991="SOL",SOL_4P!B$2,IF(C991="RW",RW_2P!B$2,IF(C991="RW2",RW2_4P!B$2,0))))))</f>
        <v/>
      </c>
    </row>
    <row r="992" spans="4:4" ht="15" customHeight="1" x14ac:dyDescent="0.3">
      <c r="D992" s="110" t="str">
        <f>IF(A992="","",IF(C992="2P",OPR_2P!B$2,IF(C992="SEG",SEG_6P!B$2,IF(C992="SOL",SOL_4P!B$2,IF(C992="RW",RW_2P!B$2,IF(C992="RW2",RW2_4P!B$2,0))))))</f>
        <v/>
      </c>
    </row>
    <row r="993" spans="4:4" ht="15" customHeight="1" x14ac:dyDescent="0.3">
      <c r="D993" s="110" t="str">
        <f>IF(A993="","",IF(C993="2P",OPR_2P!B$2,IF(C993="SEG",SEG_6P!B$2,IF(C993="SOL",SOL_4P!B$2,IF(C993="RW",RW_2P!B$2,IF(C993="RW2",RW2_4P!B$2,0))))))</f>
        <v/>
      </c>
    </row>
    <row r="994" spans="4:4" ht="15" customHeight="1" x14ac:dyDescent="0.3">
      <c r="D994" s="110" t="str">
        <f>IF(A994="","",IF(C994="2P",OPR_2P!B$2,IF(C994="SEG",SEG_6P!B$2,IF(C994="SOL",SOL_4P!B$2,IF(C994="RW",RW_2P!B$2,IF(C994="RW2",RW2_4P!B$2,0))))))</f>
        <v/>
      </c>
    </row>
    <row r="995" spans="4:4" ht="15" customHeight="1" x14ac:dyDescent="0.3">
      <c r="D995" s="110" t="str">
        <f>IF(A995="","",IF(C995="2P",OPR_2P!B$2,IF(C995="SEG",SEG_6P!B$2,IF(C995="SOL",SOL_4P!B$2,IF(C995="RW",RW_2P!B$2,IF(C995="RW2",RW2_4P!B$2,0))))))</f>
        <v/>
      </c>
    </row>
    <row r="996" spans="4:4" ht="15" customHeight="1" x14ac:dyDescent="0.3">
      <c r="D996" s="110" t="str">
        <f>IF(A996="","",IF(C996="2P",OPR_2P!B$2,IF(C996="SEG",SEG_6P!B$2,IF(C996="SOL",SOL_4P!B$2,IF(C996="RW",RW_2P!B$2,IF(C996="RW2",RW2_4P!B$2,0))))))</f>
        <v/>
      </c>
    </row>
    <row r="997" spans="4:4" ht="15" customHeight="1" x14ac:dyDescent="0.3">
      <c r="D997" s="110" t="str">
        <f>IF(A997="","",IF(C997="2P",OPR_2P!B$2,IF(C997="SEG",SEG_6P!B$2,IF(C997="SOL",SOL_4P!B$2,IF(C997="RW",RW_2P!B$2,IF(C997="RW2",RW2_4P!B$2,0))))))</f>
        <v/>
      </c>
    </row>
    <row r="998" spans="4:4" ht="15" customHeight="1" x14ac:dyDescent="0.3">
      <c r="D998" s="110" t="str">
        <f>IF(A998="","",IF(C998="2P",OPR_2P!B$2,IF(C998="SEG",SEG_6P!B$2,IF(C998="SOL",SOL_4P!B$2,IF(C998="RW",RW_2P!B$2,IF(C998="RW2",RW2_4P!B$2,0))))))</f>
        <v/>
      </c>
    </row>
    <row r="999" spans="4:4" ht="15" customHeight="1" x14ac:dyDescent="0.3">
      <c r="D999" s="110" t="str">
        <f>IF(A999="","",IF(C999="2P",OPR_2P!B$2,IF(C999="SEG",SEG_6P!B$2,IF(C999="SOL",SOL_4P!B$2,IF(C999="RW",RW_2P!B$2,IF(C999="RW2",RW2_4P!B$2,0))))))</f>
        <v/>
      </c>
    </row>
    <row r="1000" spans="4:4" ht="15" customHeight="1" x14ac:dyDescent="0.3">
      <c r="D1000" s="110" t="str">
        <f>IF(A1000="","",IF(C1000="2P",OPR_2P!B$2,IF(C1000="SEG",SEG_6P!B$2,IF(C1000="SOL",SOL_4P!B$2,IF(C1000="RW",RW_2P!B$2,IF(C1000="RW2",RW2_4P!B$2,0))))))</f>
        <v/>
      </c>
    </row>
  </sheetData>
  <phoneticPr fontId="35" type="noConversion"/>
  <conditionalFormatting sqref="I4:I1000">
    <cfRule type="containsText" dxfId="49" priority="806" operator="containsText" text="Cancelled">
      <formula>NOT(ISERROR(SEARCH("Cancelled",I4)))</formula>
    </cfRule>
    <cfRule type="containsText" dxfId="48" priority="804" operator="containsText" text="Released">
      <formula>NOT(ISERROR(SEARCH("Released",I4)))</formula>
    </cfRule>
    <cfRule type="containsText" dxfId="47" priority="805" operator="containsText" text="On Hold">
      <formula>NOT(ISERROR(SEARCH("On Hold",I4)))</formula>
    </cfRule>
  </conditionalFormatting>
  <conditionalFormatting sqref="L4:BR103">
    <cfRule type="expression" dxfId="46" priority="11">
      <formula>AND($A4&lt;&gt;"",L$3&gt;=INT($E4),L$3&lt;=INT($F4))</formula>
    </cfRule>
  </conditionalFormatting>
  <conditionalFormatting sqref="BR4:BR500">
    <cfRule type="cellIs" dxfId="45" priority="802" operator="equal">
      <formula>"ON-TIME"</formula>
    </cfRule>
    <cfRule type="cellIs" dxfId="44" priority="803" operator="equal">
      <formula>"DELAYED"</formula>
    </cfRule>
  </conditionalFormatting>
  <dataValidations count="4">
    <dataValidation type="list" allowBlank="1" showInputMessage="1" showErrorMessage="1" sqref="C4:C1000" xr:uid="{00000000-0002-0000-0200-000000000000}">
      <formula1>"2P,SEG,SOL,RW,RW2,FLAP,TUBE"</formula1>
      <formula2>0</formula2>
    </dataValidation>
    <dataValidation type="list" allowBlank="1" showInputMessage="1" showErrorMessage="1" errorTitle="Invalid Size" error="Please select a valid size from the list." promptTitle="Select Size" prompt="Choose part size from the Settings list (col M)." sqref="B4:B1000" xr:uid="{00000000-0002-0000-0200-000001000000}">
      <formula1>SizeList</formula1>
      <formula2>0</formula2>
    </dataValidation>
    <dataValidation type="list" allowBlank="1" showInputMessage="1" showErrorMessage="1" errorTitle="Invalid Priority" error="Please select High, Medium, or Low." promptTitle="Set Priority" prompt="Select job priority: High, Medium, or Low." sqref="G4:G1000" xr:uid="{00000000-0002-0000-0200-000002000000}">
      <formula1>"High,Medium,Low"</formula1>
      <formula2>0</formula2>
    </dataValidation>
    <dataValidation type="list" sqref="I4:I1000" xr:uid="{00000000-0002-0000-0200-000003000000}">
      <formula1>"Released,On Hold,Cancelled"</formula1>
      <formula2>0</formula2>
    </dataValidation>
  </dataValidations>
  <pageMargins left="0.7" right="0.7" top="0.75" bottom="0.75" header="0.511811023622047" footer="0.511811023622047"/>
  <pageSetup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CG500"/>
  <sheetViews>
    <sheetView tabSelected="1" zoomScaleNormal="100" workbookViewId="0">
      <selection activeCell="J5" sqref="J5"/>
    </sheetView>
  </sheetViews>
  <sheetFormatPr defaultColWidth="8.6640625" defaultRowHeight="14.4" x14ac:dyDescent="0.3"/>
  <cols>
    <col min="1" max="1" width="6.44140625" bestFit="1" customWidth="1"/>
    <col min="2" max="2" width="4.21875" bestFit="1" customWidth="1"/>
    <col min="3" max="3" width="5.109375" bestFit="1" customWidth="1"/>
    <col min="4" max="4" width="5" bestFit="1" customWidth="1"/>
    <col min="5" max="5" width="15.33203125" bestFit="1" customWidth="1"/>
    <col min="6" max="6" width="14.33203125" style="107" customWidth="1"/>
    <col min="7" max="7" width="12.109375" bestFit="1" customWidth="1"/>
    <col min="8" max="8" width="6.5546875" bestFit="1" customWidth="1"/>
    <col min="9" max="9" width="7.88671875" bestFit="1" customWidth="1"/>
    <col min="10" max="10" width="15.44140625" bestFit="1" customWidth="1"/>
    <col min="11" max="11" width="6.6640625" bestFit="1" customWidth="1"/>
    <col min="12" max="12" width="9.21875" bestFit="1" customWidth="1"/>
    <col min="13" max="13" width="15.44140625" bestFit="1" customWidth="1"/>
    <col min="14" max="14" width="9.77734375" bestFit="1" customWidth="1"/>
    <col min="15" max="15" width="21.88671875" bestFit="1" customWidth="1"/>
    <col min="16" max="24" width="4.5546875" bestFit="1" customWidth="1"/>
    <col min="25" max="45" width="5.44140625" bestFit="1" customWidth="1"/>
    <col min="46" max="54" width="4.88671875" bestFit="1" customWidth="1"/>
    <col min="55" max="74" width="5.77734375" bestFit="1" customWidth="1"/>
    <col min="75" max="75" width="12" bestFit="1" customWidth="1"/>
    <col min="76" max="76" width="29.6640625" bestFit="1" customWidth="1"/>
    <col min="77" max="77" width="8.77734375" bestFit="1" customWidth="1"/>
    <col min="78" max="78" width="8.109375" bestFit="1" customWidth="1"/>
    <col min="79" max="79" width="7.6640625" bestFit="1" customWidth="1"/>
    <col min="80" max="80" width="8.5546875" bestFit="1" customWidth="1"/>
    <col min="81" max="81" width="8.33203125" bestFit="1" customWidth="1"/>
    <col min="82" max="82" width="8" bestFit="1" customWidth="1"/>
    <col min="83" max="83" width="8.5546875" bestFit="1" customWidth="1"/>
    <col min="84" max="84" width="8.44140625" bestFit="1" customWidth="1"/>
    <col min="85" max="85" width="8" bestFit="1" customWidth="1"/>
    <col min="86" max="86" width="12.88671875" customWidth="1"/>
    <col min="87" max="100" width="13" customWidth="1"/>
  </cols>
  <sheetData>
    <row r="1" spans="1:85" ht="15" customHeight="1" x14ac:dyDescent="0.3">
      <c r="D1" s="31"/>
      <c r="E1" s="32"/>
      <c r="F1" s="103"/>
      <c r="G1" s="31"/>
      <c r="H1" s="31"/>
      <c r="I1" s="31"/>
      <c r="J1" s="31"/>
      <c r="K1" s="31"/>
      <c r="L1" s="31"/>
      <c r="M1" s="31"/>
      <c r="N1" s="31"/>
      <c r="BW1" s="31"/>
      <c r="BX1" s="33" t="s">
        <v>225</v>
      </c>
      <c r="BY1" s="31"/>
      <c r="BZ1" s="31"/>
      <c r="CA1" s="31"/>
      <c r="CB1" s="31"/>
      <c r="CC1" s="31"/>
      <c r="CD1" s="31"/>
      <c r="CE1" s="31"/>
      <c r="CF1" s="31"/>
      <c r="CG1" s="31"/>
    </row>
    <row r="2" spans="1:85" ht="15" customHeight="1" x14ac:dyDescent="0.3">
      <c r="D2" s="31"/>
      <c r="E2" s="34"/>
      <c r="F2" s="104"/>
      <c r="G2" s="34"/>
      <c r="H2" s="34"/>
      <c r="I2" s="34"/>
      <c r="J2" s="34"/>
      <c r="K2" s="34"/>
      <c r="L2" s="34"/>
      <c r="M2" s="34"/>
      <c r="N2" s="34"/>
      <c r="Q2" s="35"/>
      <c r="BW2" s="31"/>
      <c r="BX2" s="36" t="s">
        <v>226</v>
      </c>
      <c r="BY2" s="36" t="s">
        <v>227</v>
      </c>
      <c r="BZ2" s="36" t="s">
        <v>228</v>
      </c>
      <c r="CA2" s="36" t="s">
        <v>229</v>
      </c>
      <c r="CB2" s="36" t="s">
        <v>230</v>
      </c>
      <c r="CC2" s="36" t="s">
        <v>231</v>
      </c>
      <c r="CD2" s="36" t="s">
        <v>232</v>
      </c>
      <c r="CE2" s="36" t="s">
        <v>233</v>
      </c>
      <c r="CF2" s="36" t="s">
        <v>234</v>
      </c>
      <c r="CG2" s="36" t="s">
        <v>235</v>
      </c>
    </row>
    <row r="3" spans="1:85" x14ac:dyDescent="0.3">
      <c r="A3" s="101" t="s">
        <v>2</v>
      </c>
      <c r="B3" s="101" t="s">
        <v>3</v>
      </c>
      <c r="C3" s="101" t="s">
        <v>4</v>
      </c>
      <c r="D3" s="37" t="s">
        <v>236</v>
      </c>
      <c r="E3" s="38" t="s">
        <v>237</v>
      </c>
      <c r="F3" s="39" t="s">
        <v>238</v>
      </c>
      <c r="G3" s="38" t="s">
        <v>239</v>
      </c>
      <c r="H3" s="38" t="s">
        <v>240</v>
      </c>
      <c r="I3" s="40" t="s">
        <v>241</v>
      </c>
      <c r="J3" s="41" t="s">
        <v>242</v>
      </c>
      <c r="K3" s="41" t="s">
        <v>243</v>
      </c>
      <c r="L3" s="41" t="s">
        <v>244</v>
      </c>
      <c r="M3" s="41" t="s">
        <v>245</v>
      </c>
      <c r="N3" s="42" t="s">
        <v>246</v>
      </c>
      <c r="O3" s="102" t="s">
        <v>247</v>
      </c>
      <c r="P3" s="100">
        <v>46113</v>
      </c>
      <c r="Q3" s="100">
        <v>46114</v>
      </c>
      <c r="R3" s="100">
        <v>46115</v>
      </c>
      <c r="S3" s="100">
        <v>46116</v>
      </c>
      <c r="T3" s="100">
        <v>46117</v>
      </c>
      <c r="U3" s="100">
        <v>46118</v>
      </c>
      <c r="V3" s="100">
        <v>46119</v>
      </c>
      <c r="W3" s="100">
        <v>46120</v>
      </c>
      <c r="X3" s="100">
        <v>46121</v>
      </c>
      <c r="Y3" s="100">
        <v>46122</v>
      </c>
      <c r="Z3" s="100">
        <v>46123</v>
      </c>
      <c r="AA3" s="100">
        <v>46124</v>
      </c>
      <c r="AB3" s="100">
        <v>46125</v>
      </c>
      <c r="AC3" s="100">
        <v>46126</v>
      </c>
      <c r="AD3" s="100">
        <v>46127</v>
      </c>
      <c r="AE3" s="100">
        <v>46128</v>
      </c>
      <c r="AF3" s="100">
        <v>46129</v>
      </c>
      <c r="AG3" s="100">
        <v>46130</v>
      </c>
      <c r="AH3" s="100">
        <v>46131</v>
      </c>
      <c r="AI3" s="100">
        <v>46132</v>
      </c>
      <c r="AJ3" s="100">
        <v>46133</v>
      </c>
      <c r="AK3" s="100">
        <v>46134</v>
      </c>
      <c r="AL3" s="100">
        <v>46135</v>
      </c>
      <c r="AM3" s="100">
        <v>46136</v>
      </c>
      <c r="AN3" s="100">
        <v>46137</v>
      </c>
      <c r="AO3" s="100">
        <v>46138</v>
      </c>
      <c r="AP3" s="100">
        <v>46139</v>
      </c>
      <c r="AQ3" s="100">
        <v>46140</v>
      </c>
      <c r="AR3" s="100">
        <v>46141</v>
      </c>
      <c r="AS3" s="100">
        <v>46142</v>
      </c>
      <c r="AT3" s="100">
        <v>46143</v>
      </c>
      <c r="AU3" s="100">
        <v>46144</v>
      </c>
      <c r="AV3" s="100">
        <v>46145</v>
      </c>
      <c r="AW3" s="100">
        <v>46146</v>
      </c>
      <c r="AX3" s="100">
        <v>46147</v>
      </c>
      <c r="AY3" s="100">
        <v>46148</v>
      </c>
      <c r="AZ3" s="100">
        <v>46149</v>
      </c>
      <c r="BA3" s="100">
        <v>46150</v>
      </c>
      <c r="BB3" s="100">
        <v>46151</v>
      </c>
      <c r="BC3" s="100">
        <v>46152</v>
      </c>
      <c r="BD3" s="100">
        <v>46153</v>
      </c>
      <c r="BE3" s="100">
        <v>46154</v>
      </c>
      <c r="BF3" s="100">
        <v>46155</v>
      </c>
      <c r="BG3" s="100">
        <v>46156</v>
      </c>
      <c r="BH3" s="100">
        <v>46157</v>
      </c>
      <c r="BI3" s="100">
        <v>46158</v>
      </c>
      <c r="BJ3" s="100">
        <v>46159</v>
      </c>
      <c r="BK3" s="100">
        <v>46160</v>
      </c>
      <c r="BL3" s="100">
        <v>46161</v>
      </c>
      <c r="BM3" s="100">
        <v>46162</v>
      </c>
      <c r="BN3" s="100">
        <v>46163</v>
      </c>
      <c r="BO3" s="100">
        <v>46164</v>
      </c>
      <c r="BP3" s="100">
        <v>46165</v>
      </c>
      <c r="BQ3" s="100">
        <v>46166</v>
      </c>
      <c r="BR3" s="100">
        <v>46167</v>
      </c>
      <c r="BS3" s="100">
        <v>46168</v>
      </c>
      <c r="BT3" s="100">
        <v>46169</v>
      </c>
      <c r="BU3" s="100">
        <v>46170</v>
      </c>
      <c r="BV3" s="100">
        <v>46171</v>
      </c>
      <c r="BW3" s="45" t="s">
        <v>248</v>
      </c>
      <c r="BX3" s="46">
        <v>3330</v>
      </c>
      <c r="BY3" s="46">
        <v>1678</v>
      </c>
      <c r="BZ3" s="46">
        <v>1614</v>
      </c>
      <c r="CA3" s="46">
        <v>1842</v>
      </c>
      <c r="CB3" s="46">
        <v>780</v>
      </c>
      <c r="CC3" s="46">
        <v>828</v>
      </c>
      <c r="CD3" s="46">
        <v>552</v>
      </c>
      <c r="CE3" s="46">
        <v>0</v>
      </c>
      <c r="CF3" s="46">
        <v>0</v>
      </c>
      <c r="CG3" s="46">
        <v>0</v>
      </c>
    </row>
    <row r="4" spans="1:85" ht="27.6" customHeight="1" x14ac:dyDescent="0.3">
      <c r="A4" s="10" t="str">
        <f>IF(Job_Master!A4="","",Job_Master!A4)</f>
        <v>BJ-104</v>
      </c>
      <c r="B4" s="10">
        <f>IF($A4="","",Job_Master!B4)</f>
        <v>28</v>
      </c>
      <c r="C4" s="10" t="str">
        <f>IF($A4="","",Job_Master!C4)</f>
        <v>2P</v>
      </c>
      <c r="D4" s="47">
        <f>IF($A4="","",Job_Master!D4)</f>
        <v>2</v>
      </c>
      <c r="E4" s="48" t="str">
        <f>IF($A4="","","VTL-MC-01")</f>
        <v>VTL-MC-01</v>
      </c>
      <c r="F4" s="105" t="str">
        <f>IF($E4="","",IFERROR(VLOOKUP($E4,Machine_List!$B:$G,6,0),""))</f>
        <v>General Workman</v>
      </c>
      <c r="G4" s="49">
        <f>IF($E4="","",IFERROR(VLOOKUP($E4,Machine_List!$B:$C,2,0),""))</f>
        <v>46133</v>
      </c>
      <c r="H4" s="48">
        <f>IF($E4="","",IFERROR(VLOOKUP($E4,Machine_List!$B:$D,3,0),""))</f>
        <v>6</v>
      </c>
      <c r="I4" s="46"/>
      <c r="J4" s="50">
        <f ca="1">IF($A4="","",IF($I4&lt;&gt;"",$I4,MAX(GlobalStartDate,IFERROR(LOOKUP(2,1/($E$3:INDIRECT("E"&amp;(ROW()-1))=$E4),$M$3:INDIRECT("M"&amp;(ROW()-1))),GlobalStartDate))))</f>
        <v>46113.291666666657</v>
      </c>
      <c r="K4" s="48">
        <f>IF($A4="","",IFERROR(VLOOKUP(B4,CHOOSE(MATCH(C4,Settings!$L$4:$L$10,0),OPR_2P!$A$4:$I$18,SEG_6P!$A$4:$I$18,SOL_4P!$A$4:$I$18,RW_2P!$A$4:$I$18,RW2_4P!$A$4:$I$18,FLAP_4P!$A$4:$I$18,TUBE_4P!$A$4:$I$18),1,0),0))</f>
        <v>28</v>
      </c>
      <c r="L4" s="48">
        <f t="shared" ref="L4:L67" si="0">IF($A4="","",K4*D4)</f>
        <v>56</v>
      </c>
      <c r="M4" s="50">
        <f ca="1">IF($A4="","",IF(AND(ISNUMBER(G4),G4&gt;=J4,G4&lt;=(J4+(L4/(IF(F4="Contract Workman",Settings!$K$5,Settings!$K$4))))),J4+(L4/(IF(F4="Contract Workman",Settings!$K$5,Settings!$K$4)))+(H4/(IF(F4="Contract Workman",Settings!$K$5,Settings!$K$4))),J4+(L4/(IF(F4="Contract Workman",Settings!$K$5,Settings!$K$4)))))</f>
        <v>46115.884259259248</v>
      </c>
      <c r="N4" s="48" t="str">
        <f t="shared" ref="N4:N35" ca="1" si="1">IF($A4="","",IF(F4="Contract Workman",IF(AND(MOD(M4,1)&gt;=8/24,MOD(M4,1)&lt;20/24),"Shift S1","Shift S2"),IF(AND(MOD(M4,1)&gt;=7/24,MOD(M4,1)&lt;15/24),"Shift A",IF(AND(MOD(M4,1)&gt;=15/24,MOD(M4,1)&lt;23/24),"Shift B","Shift C"))))</f>
        <v>Shift B</v>
      </c>
      <c r="O4" s="51" t="str">
        <f>IF(B4="","", IF(IFERROR(ISNUMBER(SEARCH(B4, VLOOKUP(E4, Machine_List!$B:$J, 9, 0))), FALSE()), "✅ Machine OK", "❌ Sug: " &amp; IFERROR(INDEX(Machine_List!$B$4:$B$50, MATCH("*"&amp;B4&amp;"*", Machine_List!$J$4:$J$50, 0)), "Check Limits")))</f>
        <v>✅ Machine OK</v>
      </c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2"/>
      <c r="BK4" s="52"/>
      <c r="BL4" s="52"/>
      <c r="BM4" s="52"/>
      <c r="BW4" s="45" t="s">
        <v>249</v>
      </c>
      <c r="BX4" s="46">
        <v>2592</v>
      </c>
      <c r="BY4" s="46">
        <v>2678.4</v>
      </c>
      <c r="BZ4" s="46">
        <v>2592</v>
      </c>
      <c r="CA4" s="46">
        <v>2678.4</v>
      </c>
      <c r="CB4" s="46">
        <v>2678.4</v>
      </c>
      <c r="CC4" s="46">
        <v>2592</v>
      </c>
      <c r="CD4" s="46">
        <v>2678.4</v>
      </c>
      <c r="CE4" s="46">
        <v>2592</v>
      </c>
      <c r="CF4" s="46">
        <v>2678.4</v>
      </c>
      <c r="CG4" s="46">
        <v>2678.4</v>
      </c>
    </row>
    <row r="5" spans="1:85" ht="28.8" customHeight="1" x14ac:dyDescent="0.3">
      <c r="A5" s="10" t="str">
        <f>IF(Job_Master!A5="","",Job_Master!A5)</f>
        <v>BJ-101</v>
      </c>
      <c r="B5" s="10">
        <f>IF($A5="","",Job_Master!B5)</f>
        <v>42</v>
      </c>
      <c r="C5" s="10" t="str">
        <f>IF($A5="","",Job_Master!C5)</f>
        <v>SOL</v>
      </c>
      <c r="D5" s="10">
        <f>IF($A5="","",Job_Master!D5)</f>
        <v>4</v>
      </c>
      <c r="E5" s="48" t="str">
        <f>IF($A5="","","VTL-MC-02")</f>
        <v>VTL-MC-02</v>
      </c>
      <c r="F5" s="106" t="str">
        <f>IF($E5="","",IFERROR(VLOOKUP($E5,Machine_List!$B:$G,6,0),""))</f>
        <v>General Workman</v>
      </c>
      <c r="G5" s="53">
        <f>IF($E5="","",IFERROR(VLOOKUP($E5,Machine_List!$B:$C,2,0),""))</f>
        <v>46521</v>
      </c>
      <c r="H5" s="10">
        <f>IF($E5="","",IFERROR(VLOOKUP($E5,Machine_List!$B:$D,3,0),""))</f>
        <v>6</v>
      </c>
      <c r="I5" s="54"/>
      <c r="J5" s="55">
        <f ca="1">IF($A5="","",IF($I5&lt;&gt;"",$I5,MAX(GlobalStartDate,IFERROR(LOOKUP(2,1/($E$3:INDIRECT("E"&amp;(ROW()-1))=$E5),$M$3:INDIRECT("M"&amp;(ROW()-1))),GlobalStartDate))))</f>
        <v>46113.291666666657</v>
      </c>
      <c r="K5" s="10">
        <f>IF($A5="","",IFERROR(VLOOKUP(B5,CHOOSE(MATCH(C5,Settings!$L$4:$L$10,0),OPR_2P!$A$4:$I$18,SEG_6P!$A$4:$I$18,SOL_4P!$A$4:$I$18,RW_2P!$A$4:$I$18,RW2_4P!$A$4:$I$18,FLAP_4P!$A$4:$I$18,TUBE_4P!$A$4:$I$18),1,0),0))</f>
        <v>42</v>
      </c>
      <c r="L5" s="10">
        <f t="shared" si="0"/>
        <v>168</v>
      </c>
      <c r="M5" s="55">
        <f ca="1">IF($A5="","",IF(AND(ISNUMBER(G5),G5&gt;=J5,G5&lt;=(J5+(L5/(IF(F5="Contract Workman",Settings!$K$5,Settings!$K$4))))),J5+(L5/(IF(F5="Contract Workman",Settings!$K$5,Settings!$K$4)))+(H5/(IF(F5="Contract Workman",Settings!$K$5,Settings!$K$4))),J5+(L5/(IF(F5="Contract Workman",Settings!$K$5,Settings!$K$4)))))</f>
        <v>46121.069444444438</v>
      </c>
      <c r="N5" s="10" t="str">
        <f t="shared" ca="1" si="1"/>
        <v>Shift C</v>
      </c>
      <c r="O5" s="51" t="str">
        <f>IF(B5="","", IF(IFERROR(ISNUMBER(SEARCH(B5, VLOOKUP(E5, Machine_List!$B:$J, 9, 0))), FALSE()), "✅ Machine OK", "❌ Sug: " &amp; IFERROR(INDEX(Machine_List!$B$4:$B$50, MATCH("*"&amp;B5&amp;"*", Machine_List!$J$4:$J$50, 0)), "Check Limits")))</f>
        <v>✅ Machine OK</v>
      </c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  <c r="BD5" s="52"/>
      <c r="BE5" s="52"/>
      <c r="BF5" s="52"/>
      <c r="BG5" s="52"/>
      <c r="BH5" s="52"/>
      <c r="BI5" s="52"/>
      <c r="BJ5" s="52"/>
      <c r="BK5" s="52"/>
      <c r="BL5" s="52"/>
      <c r="BM5" s="52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</row>
    <row r="6" spans="1:85" ht="28.8" customHeight="1" x14ac:dyDescent="0.3">
      <c r="A6" s="10" t="str">
        <f>IF(Job_Master!A6="","",Job_Master!A6)</f>
        <v>BJ-105</v>
      </c>
      <c r="B6" s="10">
        <f>IF($A6="","",Job_Master!B6)</f>
        <v>28</v>
      </c>
      <c r="C6" s="10" t="str">
        <f>IF($A6="","",Job_Master!C6)</f>
        <v>RW</v>
      </c>
      <c r="D6" s="10">
        <f>IF($A6="","",Job_Master!D6)</f>
        <v>2</v>
      </c>
      <c r="E6" s="48" t="str">
        <f>IF($A6="","","VTL-MC-03")</f>
        <v>VTL-MC-03</v>
      </c>
      <c r="F6" s="106" t="str">
        <f>IF($E6="","",IFERROR(VLOOKUP($E6,Machine_List!$B:$G,6,0),""))</f>
        <v>General Workman</v>
      </c>
      <c r="G6" s="53">
        <f>IF($E6="","",IFERROR(VLOOKUP($E6,Machine_List!$B:$C,2,0),""))</f>
        <v>46174</v>
      </c>
      <c r="H6" s="10">
        <f>IF($E6="","",IFERROR(VLOOKUP($E6,Machine_List!$B:$D,3,0),""))</f>
        <v>6</v>
      </c>
      <c r="I6" s="54"/>
      <c r="J6" s="55">
        <f ca="1">IF($A6="","",IF($I6&lt;&gt;"",$I6,MAX(GlobalStartDate,IFERROR(LOOKUP(2,1/($E$3:INDIRECT("E"&amp;(ROW()-1))=$E6),$M$3:INDIRECT("M"&amp;(ROW()-1))),GlobalStartDate))))</f>
        <v>46113.291666666657</v>
      </c>
      <c r="K6" s="10">
        <f>IF($A6="","",IFERROR(VLOOKUP(B6,CHOOSE(MATCH(C6,Settings!$L$4:$L$10,0),OPR_2P!$A$4:$I$18,SEG_6P!$A$4:$I$18,SOL_4P!$A$4:$I$18,RW_2P!$A$4:$I$18,RW2_4P!$A$4:$I$18,FLAP_4P!$A$4:$I$18,TUBE_4P!$A$4:$I$18),1,0),0))</f>
        <v>28</v>
      </c>
      <c r="L6" s="10">
        <f t="shared" si="0"/>
        <v>56</v>
      </c>
      <c r="M6" s="55">
        <f ca="1">IF($A6="","",IF(AND(ISNUMBER(G6),G6&gt;=J6,G6&lt;=(J6+(L6/(IF(F6="Contract Workman",Settings!$K$5,Settings!$K$4))))),J6+(L6/(IF(F6="Contract Workman",Settings!$K$5,Settings!$K$4)))+(H6/(IF(F6="Contract Workman",Settings!$K$5,Settings!$K$4))),J6+(L6/(IF(F6="Contract Workman",Settings!$K$5,Settings!$K$4)))))</f>
        <v>46115.884259259248</v>
      </c>
      <c r="N6" s="10" t="str">
        <f t="shared" ca="1" si="1"/>
        <v>Shift B</v>
      </c>
      <c r="O6" s="51" t="str">
        <f>IF(B6="","", IF(IFERROR(ISNUMBER(SEARCH(B6, VLOOKUP(E6, Machine_List!$B:$J, 9, 0))), FALSE()), "✅ Machine OK", "❌ Sug: " &amp; IFERROR(INDEX(Machine_List!$B$4:$B$50, MATCH("*"&amp;B6&amp;"*", Machine_List!$J$4:$J$50, 0)), "Check Limits")))</f>
        <v>✅ Machine OK</v>
      </c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52"/>
      <c r="BJ6" s="52"/>
      <c r="BK6" s="52"/>
      <c r="BL6" s="52"/>
      <c r="BM6" s="52"/>
    </row>
    <row r="7" spans="1:85" ht="28.8" customHeight="1" x14ac:dyDescent="0.3">
      <c r="A7" s="10" t="str">
        <f>IF(Job_Master!A7="","",Job_Master!A7)</f>
        <v>BJ-100</v>
      </c>
      <c r="B7" s="10">
        <f>IF($A7="","",Job_Master!B7)</f>
        <v>25</v>
      </c>
      <c r="C7" s="10" t="str">
        <f>IF($A7="","",Job_Master!C7)</f>
        <v>SEG</v>
      </c>
      <c r="D7" s="10">
        <f>IF($A7="","",Job_Master!D7)</f>
        <v>6</v>
      </c>
      <c r="E7" s="48" t="str">
        <f>IF($A7="","","VTL-MC-03")</f>
        <v>VTL-MC-03</v>
      </c>
      <c r="F7" s="106" t="str">
        <f>IF($E7="","",IFERROR(VLOOKUP($E7,Machine_List!$B:$G,6,0),""))</f>
        <v>General Workman</v>
      </c>
      <c r="G7" s="53">
        <f>IF($E7="","",IFERROR(VLOOKUP($E7,Machine_List!$B:$C,2,0),""))</f>
        <v>46174</v>
      </c>
      <c r="H7" s="10">
        <f>IF($E7="","",IFERROR(VLOOKUP($E7,Machine_List!$B:$D,3,0),""))</f>
        <v>6</v>
      </c>
      <c r="I7" s="54"/>
      <c r="J7" s="55">
        <f ca="1">IF($A7="","",IF($I7&lt;&gt;"",$I7,MAX(GlobalStartDate,IFERROR(LOOKUP(2,1/($E$3:INDIRECT("E"&amp;(ROW()-1))=$E7),$M$3:INDIRECT("M"&amp;(ROW()-1))),GlobalStartDate))))</f>
        <v>46115.884259259248</v>
      </c>
      <c r="K7" s="10">
        <f>IF($A7="","",IFERROR(VLOOKUP(B7,CHOOSE(MATCH(C7,Settings!$L$4:$L$10,0),OPR_2P!$A$4:$I$18,SEG_6P!$A$4:$I$18,SOL_4P!$A$4:$I$18,RW_2P!$A$4:$I$18,RW2_4P!$A$4:$I$18,FLAP_4P!$A$4:$I$18,TUBE_4P!$A$4:$I$18),1,0),0))</f>
        <v>25</v>
      </c>
      <c r="L7" s="10">
        <f t="shared" si="0"/>
        <v>150</v>
      </c>
      <c r="M7" s="55">
        <f ca="1">IF($A7="","",IF(AND(ISNUMBER(G7),G7&gt;=J7,G7&lt;=(J7+(L7/(IF(F7="Contract Workman",Settings!$K$5,Settings!$K$4))))),J7+(L7/(IF(F7="Contract Workman",Settings!$K$5,Settings!$K$4)))+(H7/(IF(F7="Contract Workman",Settings!$K$5,Settings!$K$4))),J7+(L7/(IF(F7="Contract Workman",Settings!$K$5,Settings!$K$4)))))</f>
        <v>46122.828703703693</v>
      </c>
      <c r="N7" s="10" t="str">
        <f t="shared" ca="1" si="1"/>
        <v>Shift B</v>
      </c>
      <c r="O7" s="51" t="str">
        <f>IF(B7="","", IF(IFERROR(ISNUMBER(SEARCH(B7, VLOOKUP(E7, Machine_List!$B:$J, 9, 0))), FALSE()), "✅ Machine OK", "❌ Sug: " &amp; IFERROR(INDEX(Machine_List!$B$4:$B$50, MATCH("*"&amp;B7&amp;"*", Machine_List!$J$4:$J$50, 0)), "Check Limits")))</f>
        <v>✅ Machine OK</v>
      </c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52"/>
      <c r="BJ7" s="52"/>
      <c r="BK7" s="52"/>
      <c r="BL7" s="52"/>
      <c r="BM7" s="52"/>
    </row>
    <row r="8" spans="1:85" ht="28.8" customHeight="1" x14ac:dyDescent="0.3">
      <c r="A8" s="10" t="str">
        <f>IF(Job_Master!A8="","",Job_Master!A8)</f>
        <v>BJ-102</v>
      </c>
      <c r="B8" s="10">
        <f>IF($A8="","",Job_Master!B8)</f>
        <v>34</v>
      </c>
      <c r="C8" s="10" t="str">
        <f>IF($A8="","",Job_Master!C8)</f>
        <v>SEG</v>
      </c>
      <c r="D8" s="10">
        <f>IF($A8="","",Job_Master!D8)</f>
        <v>6</v>
      </c>
      <c r="E8" s="48" t="str">
        <f>IF($A8="","","VTL-MC-04")</f>
        <v>VTL-MC-04</v>
      </c>
      <c r="F8" s="106" t="str">
        <f>IF($E8="","",IFERROR(VLOOKUP($E8,Machine_List!$B:$G,6,0),""))</f>
        <v>General Workman</v>
      </c>
      <c r="G8" s="53">
        <f>IF($E8="","",IFERROR(VLOOKUP($E8,Machine_List!$B:$C,2,0),""))</f>
        <v>46517</v>
      </c>
      <c r="H8" s="10">
        <f>IF($E8="","",IFERROR(VLOOKUP($E8,Machine_List!$B:$D,3,0),""))</f>
        <v>6</v>
      </c>
      <c r="I8" s="54"/>
      <c r="J8" s="55">
        <f ca="1">IF($A8="","",IF($I8&lt;&gt;"",$I8,MAX(GlobalStartDate,IFERROR(LOOKUP(2,1/($E$3:INDIRECT("E"&amp;(ROW()-1))=$E8),$M$3:INDIRECT("M"&amp;(ROW()-1))),GlobalStartDate))))</f>
        <v>46113.291666666657</v>
      </c>
      <c r="K8" s="10">
        <f>IF($A8="","",IFERROR(VLOOKUP(B8,CHOOSE(MATCH(C8,Settings!$L$4:$L$10,0),OPR_2P!$A$4:$I$18,SEG_6P!$A$4:$I$18,SOL_4P!$A$4:$I$18,RW_2P!$A$4:$I$18,RW2_4P!$A$4:$I$18,FLAP_4P!$A$4:$I$18,TUBE_4P!$A$4:$I$18),1,0),0))</f>
        <v>34</v>
      </c>
      <c r="L8" s="10">
        <f t="shared" si="0"/>
        <v>204</v>
      </c>
      <c r="M8" s="55">
        <f ca="1">IF($A8="","",IF(AND(ISNUMBER(G8),G8&gt;=J8,G8&lt;=(J8+(L8/(IF(F8="Contract Workman",Settings!$K$5,Settings!$K$4))))),J8+(L8/(IF(F8="Contract Workman",Settings!$K$5,Settings!$K$4)))+(H8/(IF(F8="Contract Workman",Settings!$K$5,Settings!$K$4))),J8+(L8/(IF(F8="Contract Workman",Settings!$K$5,Settings!$K$4)))))</f>
        <v>46122.736111111102</v>
      </c>
      <c r="N8" s="10" t="str">
        <f t="shared" ca="1" si="1"/>
        <v>Shift B</v>
      </c>
      <c r="O8" s="51" t="str">
        <f>IF(B8="","", IF(IFERROR(ISNUMBER(SEARCH(B8, VLOOKUP(E8, Machine_List!$B:$J, 9, 0))), FALSE()), "✅ Machine OK", "❌ Sug: " &amp; IFERROR(INDEX(Machine_List!$B$4:$B$50, MATCH("*"&amp;B8&amp;"*", Machine_List!$J$4:$J$50, 0)), "Check Limits")))</f>
        <v>✅ Machine OK</v>
      </c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52"/>
      <c r="BL8" s="52"/>
      <c r="BM8" s="52"/>
    </row>
    <row r="9" spans="1:85" ht="28.8" customHeight="1" x14ac:dyDescent="0.3">
      <c r="A9" s="10" t="str">
        <f>IF(Job_Master!A9="","",Job_Master!A9)</f>
        <v>BJ-103</v>
      </c>
      <c r="B9" s="10">
        <f>IF($A9="","",Job_Master!B9)</f>
        <v>20</v>
      </c>
      <c r="C9" s="10" t="str">
        <f>IF($A9="","",Job_Master!C9)</f>
        <v>RW</v>
      </c>
      <c r="D9" s="10">
        <f>IF($A9="","",Job_Master!D9)</f>
        <v>2</v>
      </c>
      <c r="E9" s="48" t="str">
        <f>IF($A9="","","VTL-MC-01")</f>
        <v>VTL-MC-01</v>
      </c>
      <c r="F9" s="106" t="str">
        <f>IF($E9="","",IFERROR(VLOOKUP($E9,Machine_List!$B:$G,6,0),""))</f>
        <v>General Workman</v>
      </c>
      <c r="G9" s="53">
        <f>IF($E9="","",IFERROR(VLOOKUP($E9,Machine_List!$B:$C,2,0),""))</f>
        <v>46133</v>
      </c>
      <c r="H9" s="10">
        <f>IF($E9="","",IFERROR(VLOOKUP($E9,Machine_List!$B:$D,3,0),""))</f>
        <v>6</v>
      </c>
      <c r="I9" s="54"/>
      <c r="J9" s="55">
        <f ca="1">IF($A9="","",IF($I9&lt;&gt;"",$I9,MAX(GlobalStartDate,IFERROR(LOOKUP(2,1/($E$3:INDIRECT("E"&amp;(ROW()-1))=$E9),$M$3:INDIRECT("M"&amp;(ROW()-1))),GlobalStartDate))))</f>
        <v>46115.884259259248</v>
      </c>
      <c r="K9" s="10">
        <f>IF($A9="","",IFERROR(VLOOKUP(B9,CHOOSE(MATCH(C9,Settings!$L$4:$L$10,0),OPR_2P!$A$4:$I$18,SEG_6P!$A$4:$I$18,SOL_4P!$A$4:$I$18,RW_2P!$A$4:$I$18,RW2_4P!$A$4:$I$18,FLAP_4P!$A$4:$I$18,TUBE_4P!$A$4:$I$18),1,0),0))</f>
        <v>20</v>
      </c>
      <c r="L9" s="10">
        <f t="shared" si="0"/>
        <v>40</v>
      </c>
      <c r="M9" s="55">
        <f ca="1">IF($A9="","",IF(AND(ISNUMBER(G9),G9&gt;=J9,G9&lt;=(J9+(L9/(IF(F9="Contract Workman",Settings!$K$5,Settings!$K$4))))),J9+(L9/(IF(F9="Contract Workman",Settings!$K$5,Settings!$K$4)))+(H9/(IF(F9="Contract Workman",Settings!$K$5,Settings!$K$4))),J9+(L9/(IF(F9="Contract Workman",Settings!$K$5,Settings!$K$4)))))</f>
        <v>46117.736111111102</v>
      </c>
      <c r="N9" s="10" t="str">
        <f t="shared" ca="1" si="1"/>
        <v>Shift B</v>
      </c>
      <c r="O9" s="51" t="str">
        <f>IF(B9="","", IF(IFERROR(ISNUMBER(SEARCH(B9, VLOOKUP(E9, Machine_List!$B:$J, 9, 0))), FALSE()), "✅ Machine OK", "❌ Sug: " &amp; IFERROR(INDEX(Machine_List!$B$4:$B$50, MATCH("*"&amp;B9&amp;"*", Machine_List!$J$4:$J$50, 0)), "Check Limits")))</f>
        <v>✅ Machine OK</v>
      </c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2"/>
      <c r="AQ9" s="52"/>
      <c r="AR9" s="52"/>
      <c r="AS9" s="52"/>
      <c r="AT9" s="52"/>
      <c r="AU9" s="52"/>
      <c r="AV9" s="52"/>
      <c r="AW9" s="52"/>
      <c r="AX9" s="52"/>
      <c r="AY9" s="52"/>
      <c r="AZ9" s="52"/>
      <c r="BA9" s="52"/>
      <c r="BB9" s="52"/>
      <c r="BC9" s="52"/>
      <c r="BD9" s="52"/>
      <c r="BE9" s="52"/>
      <c r="BF9" s="52"/>
      <c r="BG9" s="52"/>
      <c r="BH9" s="52"/>
      <c r="BI9" s="52"/>
      <c r="BJ9" s="52"/>
      <c r="BK9" s="52"/>
      <c r="BL9" s="52"/>
      <c r="BM9" s="52"/>
    </row>
    <row r="10" spans="1:85" ht="28.8" customHeight="1" x14ac:dyDescent="0.3">
      <c r="A10" s="10" t="str">
        <f>IF(Job_Master!A10="","",Job_Master!A10)</f>
        <v>BJ-108</v>
      </c>
      <c r="B10" s="10">
        <f>IF($A10="","",Job_Master!B10)</f>
        <v>70</v>
      </c>
      <c r="C10" s="10" t="str">
        <f>IF($A10="","",Job_Master!C10)</f>
        <v>RW</v>
      </c>
      <c r="D10" s="10">
        <f>IF($A10="","",Job_Master!D10)</f>
        <v>2</v>
      </c>
      <c r="E10" s="48" t="str">
        <f>IF($A10="","","VTL-MC-03")</f>
        <v>VTL-MC-03</v>
      </c>
      <c r="F10" s="106" t="str">
        <f>IF($E10="","",IFERROR(VLOOKUP($E10,Machine_List!$B:$G,6,0),""))</f>
        <v>General Workman</v>
      </c>
      <c r="G10" s="53">
        <f>IF($E10="","",IFERROR(VLOOKUP($E10,Machine_List!$B:$C,2,0),""))</f>
        <v>46174</v>
      </c>
      <c r="H10" s="10">
        <f>IF($E10="","",IFERROR(VLOOKUP($E10,Machine_List!$B:$D,3,0),""))</f>
        <v>6</v>
      </c>
      <c r="I10" s="54"/>
      <c r="J10" s="55">
        <f ca="1">IF($A10="","",IF($I10&lt;&gt;"",$I10,MAX(GlobalStartDate,IFERROR(LOOKUP(2,1/($E$3:INDIRECT("E"&amp;(ROW()-1))=$E10),$M$3:INDIRECT("M"&amp;(ROW()-1))),GlobalStartDate))))</f>
        <v>46122.828703703693</v>
      </c>
      <c r="K10" s="10">
        <f>IF($A10="","",IFERROR(VLOOKUP(B10,CHOOSE(MATCH(C10,Settings!$L$4:$L$10,0),OPR_2P!$A$4:$I$18,SEG_6P!$A$4:$I$18,SOL_4P!$A$4:$I$18,RW_2P!$A$4:$I$18,RW2_4P!$A$4:$I$18,FLAP_4P!$A$4:$I$18,TUBE_4P!$A$4:$I$18),1,0),0))</f>
        <v>70</v>
      </c>
      <c r="L10" s="10">
        <f t="shared" si="0"/>
        <v>140</v>
      </c>
      <c r="M10" s="55">
        <f ca="1">IF($A10="","",IF(AND(ISNUMBER(G10),G10&gt;=J10,G10&lt;=(J10+(L10/(IF(F10="Contract Workman",Settings!$K$5,Settings!$K$4))))),J10+(L10/(IF(F10="Contract Workman",Settings!$K$5,Settings!$K$4)))+(H10/(IF(F10="Contract Workman",Settings!$K$5,Settings!$K$4))),J10+(L10/(IF(F10="Contract Workman",Settings!$K$5,Settings!$K$4)))))</f>
        <v>46129.310185185175</v>
      </c>
      <c r="N10" s="10" t="str">
        <f t="shared" ca="1" si="1"/>
        <v>Shift A</v>
      </c>
      <c r="O10" s="51" t="str">
        <f>IF(B10="","", IF(IFERROR(ISNUMBER(SEARCH(B10, VLOOKUP(E10, Machine_List!$B:$J, 9, 0))), FALSE()), "✅ Machine OK", "❌ Sug: " &amp; IFERROR(INDEX(Machine_List!$B$4:$B$50, MATCH("*"&amp;B10&amp;"*", Machine_List!$J$4:$J$50, 0)), "Check Limits")))</f>
        <v>✅ Machine OK</v>
      </c>
      <c r="P10" s="56"/>
      <c r="Q10" s="57"/>
      <c r="R10" s="57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2"/>
      <c r="BM10" s="52"/>
    </row>
    <row r="11" spans="1:85" ht="28.8" customHeight="1" x14ac:dyDescent="0.3">
      <c r="A11" s="10" t="str">
        <f>IF(Job_Master!A11="","",Job_Master!A11)</f>
        <v>BJ-106</v>
      </c>
      <c r="B11" s="10">
        <f>IF($A11="","",Job_Master!B11)</f>
        <v>15</v>
      </c>
      <c r="C11" s="10" t="str">
        <f>IF($A11="","",Job_Master!C11)</f>
        <v>RW</v>
      </c>
      <c r="D11" s="10">
        <f>IF($A11="","",Job_Master!D11)</f>
        <v>2</v>
      </c>
      <c r="E11" s="48" t="str">
        <f>IF($A11="","","VTL-MC-01")</f>
        <v>VTL-MC-01</v>
      </c>
      <c r="F11" s="106" t="str">
        <f>IF($E11="","",IFERROR(VLOOKUP($E11,Machine_List!$B:$G,6,0),""))</f>
        <v>General Workman</v>
      </c>
      <c r="G11" s="53">
        <f>IF($E11="","",IFERROR(VLOOKUP($E11,Machine_List!$B:$C,2,0),""))</f>
        <v>46133</v>
      </c>
      <c r="H11" s="10">
        <f>IF($E11="","",IFERROR(VLOOKUP($E11,Machine_List!$B:$D,3,0),""))</f>
        <v>6</v>
      </c>
      <c r="I11" s="54"/>
      <c r="J11" s="55">
        <f ca="1">IF($A11="","",IF($I11&lt;&gt;"",$I11,MAX(GlobalStartDate,IFERROR(LOOKUP(2,1/($E$3:INDIRECT("E"&amp;(ROW()-1))=$E11),$M$3:INDIRECT("M"&amp;(ROW()-1))),GlobalStartDate))))</f>
        <v>46117.736111111102</v>
      </c>
      <c r="K11" s="10">
        <f>IF($A11="","",IFERROR(VLOOKUP(B11,CHOOSE(MATCH(C11,Settings!$L$4:$L$10,0),OPR_2P!$A$4:$I$18,SEG_6P!$A$4:$I$18,SOL_4P!$A$4:$I$18,RW_2P!$A$4:$I$18,RW2_4P!$A$4:$I$18,FLAP_4P!$A$4:$I$18,TUBE_4P!$A$4:$I$18),1,0),0))</f>
        <v>15</v>
      </c>
      <c r="L11" s="10">
        <f t="shared" si="0"/>
        <v>30</v>
      </c>
      <c r="M11" s="55">
        <f ca="1">IF($A11="","",IF(AND(ISNUMBER(G11),G11&gt;=J11,G11&lt;=(J11+(L11/(IF(F11="Contract Workman",Settings!$K$5,Settings!$K$4))))),J11+(L11/(IF(F11="Contract Workman",Settings!$K$5,Settings!$K$4)))+(H11/(IF(F11="Contract Workman",Settings!$K$5,Settings!$K$4))),J11+(L11/(IF(F11="Contract Workman",Settings!$K$5,Settings!$K$4)))))</f>
        <v>46119.124999999993</v>
      </c>
      <c r="N11" s="10" t="str">
        <f t="shared" ca="1" si="1"/>
        <v>Shift C</v>
      </c>
      <c r="O11" s="51" t="str">
        <f>IF(B11="","", IF(IFERROR(ISNUMBER(SEARCH(B11, VLOOKUP(E11, Machine_List!$B:$J, 9, 0))), FALSE()), "✅ Machine OK", "❌ Sug: " &amp; IFERROR(INDEX(Machine_List!$B$4:$B$50, MATCH("*"&amp;B11&amp;"*", Machine_List!$J$4:$J$50, 0)), "Check Limits")))</f>
        <v>✅ Machine OK</v>
      </c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  <c r="BM11" s="52"/>
    </row>
    <row r="12" spans="1:85" ht="28.8" customHeight="1" x14ac:dyDescent="0.3">
      <c r="A12" s="10" t="str">
        <f>IF(Job_Master!A12="","",Job_Master!A12)</f>
        <v>BJ-109</v>
      </c>
      <c r="B12" s="10">
        <f>IF($A12="","",Job_Master!B12)</f>
        <v>30</v>
      </c>
      <c r="C12" s="10" t="str">
        <f>IF($A12="","",Job_Master!C12)</f>
        <v>RW</v>
      </c>
      <c r="D12" s="10">
        <f>IF($A12="","",Job_Master!D12)</f>
        <v>2</v>
      </c>
      <c r="E12" s="48" t="str">
        <f>IF($A12="","","VTL-MC-02")</f>
        <v>VTL-MC-02</v>
      </c>
      <c r="F12" s="106" t="str">
        <f>IF($E12="","",IFERROR(VLOOKUP($E12,Machine_List!$B:$G,6,0),""))</f>
        <v>General Workman</v>
      </c>
      <c r="G12" s="53">
        <f>IF($E12="","",IFERROR(VLOOKUP($E12,Machine_List!$B:$C,2,0),""))</f>
        <v>46521</v>
      </c>
      <c r="H12" s="10">
        <f>IF($E12="","",IFERROR(VLOOKUP($E12,Machine_List!$B:$D,3,0),""))</f>
        <v>6</v>
      </c>
      <c r="I12" s="54"/>
      <c r="J12" s="55">
        <f ca="1">IF($A12="","",IF($I12&lt;&gt;"",$I12,MAX(GlobalStartDate,IFERROR(LOOKUP(2,1/($E$3:INDIRECT("E"&amp;(ROW()-1))=$E12),$M$3:INDIRECT("M"&amp;(ROW()-1))),GlobalStartDate))))</f>
        <v>46121.069444444438</v>
      </c>
      <c r="K12" s="10">
        <f>IF($A12="","",IFERROR(VLOOKUP(B12,CHOOSE(MATCH(C12,Settings!$L$4:$L$10,0),OPR_2P!$A$4:$I$18,SEG_6P!$A$4:$I$18,SOL_4P!$A$4:$I$18,RW_2P!$A$4:$I$18,RW2_4P!$A$4:$I$18,FLAP_4P!$A$4:$I$18,TUBE_4P!$A$4:$I$18),1,0),0))</f>
        <v>30</v>
      </c>
      <c r="L12" s="10">
        <f t="shared" si="0"/>
        <v>60</v>
      </c>
      <c r="M12" s="55">
        <f ca="1">IF($A12="","",IF(AND(ISNUMBER(G12),G12&gt;=J12,G12&lt;=(J12+(L12/(IF(F12="Contract Workman",Settings!$K$5,Settings!$K$4))))),J12+(L12/(IF(F12="Contract Workman",Settings!$K$5,Settings!$K$4)))+(H12/(IF(F12="Contract Workman",Settings!$K$5,Settings!$K$4))),J12+(L12/(IF(F12="Contract Workman",Settings!$K$5,Settings!$K$4)))))</f>
        <v>46123.847222222219</v>
      </c>
      <c r="N12" s="10" t="str">
        <f t="shared" ca="1" si="1"/>
        <v>Shift B</v>
      </c>
      <c r="O12" s="51" t="str">
        <f>IF(B12="","", IF(IFERROR(ISNUMBER(SEARCH(B12, VLOOKUP(E12, Machine_List!$B:$J, 9, 0))), FALSE()), "✅ Machine OK", "❌ Sug: " &amp; IFERROR(INDEX(Machine_List!$B$4:$B$50, MATCH("*"&amp;B12&amp;"*", Machine_List!$J$4:$J$50, 0)), "Check Limits")))</f>
        <v>✅ Machine OK</v>
      </c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2"/>
      <c r="BD12" s="52"/>
      <c r="BE12" s="52"/>
      <c r="BF12" s="52"/>
      <c r="BG12" s="52"/>
      <c r="BH12" s="52"/>
      <c r="BI12" s="52"/>
      <c r="BJ12" s="52"/>
      <c r="BK12" s="52"/>
      <c r="BL12" s="52"/>
      <c r="BM12" s="52"/>
    </row>
    <row r="13" spans="1:85" ht="28.8" customHeight="1" x14ac:dyDescent="0.3">
      <c r="A13" s="10" t="str">
        <f>IF(Job_Master!A13="","",Job_Master!A13)</f>
        <v>BJ-110</v>
      </c>
      <c r="B13" s="10">
        <f>IF($A13="","",Job_Master!B13)</f>
        <v>17</v>
      </c>
      <c r="C13" s="10" t="str">
        <f>IF($A13="","",Job_Master!C13)</f>
        <v>2P</v>
      </c>
      <c r="D13" s="10">
        <f>IF($A13="","",Job_Master!D13)</f>
        <v>2</v>
      </c>
      <c r="E13" s="48" t="str">
        <f>IF($A13="","","VTL-MC-01")</f>
        <v>VTL-MC-01</v>
      </c>
      <c r="F13" s="106" t="str">
        <f>IF($E13="","",IFERROR(VLOOKUP($E13,Machine_List!$B:$G,6,0),""))</f>
        <v>General Workman</v>
      </c>
      <c r="G13" s="53">
        <f>IF($E13="","",IFERROR(VLOOKUP($E13,Machine_List!$B:$C,2,0),""))</f>
        <v>46133</v>
      </c>
      <c r="H13" s="10">
        <f>IF($E13="","",IFERROR(VLOOKUP($E13,Machine_List!$B:$D,3,0),""))</f>
        <v>6</v>
      </c>
      <c r="I13" s="54"/>
      <c r="J13" s="55">
        <f ca="1">IF($A13="","",IF($I13&lt;&gt;"",$I13,MAX(GlobalStartDate,IFERROR(LOOKUP(2,1/($E$3:INDIRECT("E"&amp;(ROW()-1))=$E13),$M$3:INDIRECT("M"&amp;(ROW()-1))),GlobalStartDate))))</f>
        <v>46119.124999999993</v>
      </c>
      <c r="K13" s="10">
        <f>IF($A13="","",IFERROR(VLOOKUP(B13,CHOOSE(MATCH(C13,Settings!$L$4:$L$10,0),OPR_2P!$A$4:$I$18,SEG_6P!$A$4:$I$18,SOL_4P!$A$4:$I$18,RW_2P!$A$4:$I$18,RW2_4P!$A$4:$I$18,FLAP_4P!$A$4:$I$18,TUBE_4P!$A$4:$I$18),1,0),0))</f>
        <v>17</v>
      </c>
      <c r="L13" s="10">
        <f t="shared" si="0"/>
        <v>34</v>
      </c>
      <c r="M13" s="55">
        <f ca="1">IF($A13="","",IF(AND(ISNUMBER(G13),G13&gt;=J13,G13&lt;=(J13+(L13/(IF(F13="Contract Workman",Settings!$K$5,Settings!$K$4))))),J13+(L13/(IF(F13="Contract Workman",Settings!$K$5,Settings!$K$4)))+(H13/(IF(F13="Contract Workman",Settings!$K$5,Settings!$K$4))),J13+(L13/(IF(F13="Contract Workman",Settings!$K$5,Settings!$K$4)))))</f>
        <v>46120.699074074066</v>
      </c>
      <c r="N13" s="10" t="str">
        <f t="shared" ca="1" si="1"/>
        <v>Shift B</v>
      </c>
      <c r="O13" s="51" t="str">
        <f>IF(B13="","", IF(IFERROR(ISNUMBER(SEARCH(B13, VLOOKUP(E13, Machine_List!$B:$J, 9, 0))), FALSE()), "✅ Machine OK", "❌ Sug: " &amp; IFERROR(INDEX(Machine_List!$B$4:$B$50, MATCH("*"&amp;B13&amp;"*", Machine_List!$J$4:$J$50, 0)), "Check Limits")))</f>
        <v>✅ Machine OK</v>
      </c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2"/>
      <c r="BD13" s="52"/>
      <c r="BE13" s="52"/>
      <c r="BF13" s="52"/>
      <c r="BG13" s="52"/>
      <c r="BH13" s="52"/>
      <c r="BI13" s="52"/>
      <c r="BJ13" s="52"/>
      <c r="BK13" s="52"/>
      <c r="BL13" s="52"/>
      <c r="BM13" s="52"/>
    </row>
    <row r="14" spans="1:85" ht="28.8" customHeight="1" x14ac:dyDescent="0.3">
      <c r="A14" s="10" t="str">
        <f>IF(Job_Master!A14="","",Job_Master!A14)</f>
        <v>BJ-111</v>
      </c>
      <c r="B14" s="10">
        <f>IF($A14="","",Job_Master!B14)</f>
        <v>25</v>
      </c>
      <c r="C14" s="10" t="str">
        <f>IF($A14="","",Job_Master!C14)</f>
        <v>RW</v>
      </c>
      <c r="D14" s="10">
        <f>IF($A14="","",Job_Master!D14)</f>
        <v>2</v>
      </c>
      <c r="E14" s="48" t="str">
        <f>IF($A14="","","VTL-MC-01")</f>
        <v>VTL-MC-01</v>
      </c>
      <c r="F14" s="106" t="str">
        <f>IF($E14="","",IFERROR(VLOOKUP($E14,Machine_List!$B:$G,6,0),""))</f>
        <v>General Workman</v>
      </c>
      <c r="G14" s="53">
        <f>IF($E14="","",IFERROR(VLOOKUP($E14,Machine_List!$B:$C,2,0),""))</f>
        <v>46133</v>
      </c>
      <c r="H14" s="10">
        <f>IF($E14="","",IFERROR(VLOOKUP($E14,Machine_List!$B:$D,3,0),""))</f>
        <v>6</v>
      </c>
      <c r="I14" s="54"/>
      <c r="J14" s="55">
        <f ca="1">IF($A14="","",IF($I14&lt;&gt;"",$I14,MAX(GlobalStartDate,IFERROR(LOOKUP(2,1/($E$3:INDIRECT("E"&amp;(ROW()-1))=$E14),$M$3:INDIRECT("M"&amp;(ROW()-1))),GlobalStartDate))))</f>
        <v>46120.699074074066</v>
      </c>
      <c r="K14" s="10">
        <f>IF($A14="","",IFERROR(VLOOKUP(B14,CHOOSE(MATCH(C14,Settings!$L$4:$L$10,0),OPR_2P!$A$4:$I$18,SEG_6P!$A$4:$I$18,SOL_4P!$A$4:$I$18,RW_2P!$A$4:$I$18,RW2_4P!$A$4:$I$18,FLAP_4P!$A$4:$I$18,TUBE_4P!$A$4:$I$18),1,0),0))</f>
        <v>25</v>
      </c>
      <c r="L14" s="10">
        <f t="shared" si="0"/>
        <v>50</v>
      </c>
      <c r="M14" s="55">
        <f ca="1">IF($A14="","",IF(AND(ISNUMBER(G14),G14&gt;=J14,G14&lt;=(J14+(L14/(IF(F14="Contract Workman",Settings!$K$5,Settings!$K$4))))),J14+(L14/(IF(F14="Contract Workman",Settings!$K$5,Settings!$K$4)))+(H14/(IF(F14="Contract Workman",Settings!$K$5,Settings!$K$4))),J14+(L14/(IF(F14="Contract Workman",Settings!$K$5,Settings!$K$4)))))</f>
        <v>46123.013888888883</v>
      </c>
      <c r="N14" s="10" t="str">
        <f t="shared" ca="1" si="1"/>
        <v>Shift C</v>
      </c>
      <c r="O14" s="51" t="str">
        <f>IF(B14="","", IF(IFERROR(ISNUMBER(SEARCH(B14, VLOOKUP(E14, Machine_List!$B:$J, 9, 0))), FALSE()), "✅ Machine OK", "❌ Sug: " &amp; IFERROR(INDEX(Machine_List!$B$4:$B$50, MATCH("*"&amp;B14&amp;"*", Machine_List!$J$4:$J$50, 0)), "Check Limits")))</f>
        <v>✅ Machine OK</v>
      </c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2"/>
      <c r="AQ14" s="52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2"/>
      <c r="BD14" s="52"/>
      <c r="BE14" s="52"/>
      <c r="BF14" s="52"/>
      <c r="BG14" s="52"/>
      <c r="BH14" s="52"/>
      <c r="BI14" s="52"/>
      <c r="BJ14" s="52"/>
      <c r="BK14" s="52"/>
      <c r="BL14" s="52"/>
      <c r="BM14" s="52"/>
    </row>
    <row r="15" spans="1:85" ht="28.8" customHeight="1" x14ac:dyDescent="0.3">
      <c r="A15" s="10" t="str">
        <f>IF(Job_Master!A15="","",Job_Master!A15)</f>
        <v>BJ-107</v>
      </c>
      <c r="B15" s="10">
        <f>IF($A15="","",Job_Master!B15)</f>
        <v>20</v>
      </c>
      <c r="C15" s="10" t="str">
        <f>IF($A15="","",Job_Master!C15)</f>
        <v>SEG</v>
      </c>
      <c r="D15" s="10">
        <f>IF($A15="","",Job_Master!D15)</f>
        <v>6</v>
      </c>
      <c r="E15" s="48" t="str">
        <f>IF($A15="","","VTL-MC-01")</f>
        <v>VTL-MC-01</v>
      </c>
      <c r="F15" s="106" t="str">
        <f>IF($E15="","",IFERROR(VLOOKUP($E15,Machine_List!$B:$G,6,0),""))</f>
        <v>General Workman</v>
      </c>
      <c r="G15" s="53">
        <f>IF($E15="","",IFERROR(VLOOKUP($E15,Machine_List!$B:$C,2,0),""))</f>
        <v>46133</v>
      </c>
      <c r="H15" s="10">
        <f>IF($E15="","",IFERROR(VLOOKUP($E15,Machine_List!$B:$D,3,0),""))</f>
        <v>6</v>
      </c>
      <c r="I15" s="54"/>
      <c r="J15" s="55">
        <f ca="1">IF($A15="","",IF($I15&lt;&gt;"",$I15,MAX(GlobalStartDate,IFERROR(LOOKUP(2,1/($E$3:INDIRECT("E"&amp;(ROW()-1))=$E15),$M$3:INDIRECT("M"&amp;(ROW()-1))),GlobalStartDate))))</f>
        <v>46123.013888888883</v>
      </c>
      <c r="K15" s="10">
        <f>IF($A15="","",IFERROR(VLOOKUP(B15,CHOOSE(MATCH(C15,Settings!$L$4:$L$10,0),OPR_2P!$A$4:$I$18,SEG_6P!$A$4:$I$18,SOL_4P!$A$4:$I$18,RW_2P!$A$4:$I$18,RW2_4P!$A$4:$I$18,FLAP_4P!$A$4:$I$18,TUBE_4P!$A$4:$I$18),1,0),0))</f>
        <v>20</v>
      </c>
      <c r="L15" s="10">
        <f t="shared" si="0"/>
        <v>120</v>
      </c>
      <c r="M15" s="55">
        <f ca="1">IF($A15="","",IF(AND(ISNUMBER(G15),G15&gt;=J15,G15&lt;=(J15+(L15/(IF(F15="Contract Workman",Settings!$K$5,Settings!$K$4))))),J15+(L15/(IF(F15="Contract Workman",Settings!$K$5,Settings!$K$4)))+(H15/(IF(F15="Contract Workman",Settings!$K$5,Settings!$K$4))),J15+(L15/(IF(F15="Contract Workman",Settings!$K$5,Settings!$K$4)))))</f>
        <v>46128.569444444438</v>
      </c>
      <c r="N15" s="10" t="str">
        <f t="shared" ca="1" si="1"/>
        <v>Shift A</v>
      </c>
      <c r="O15" s="51" t="str">
        <f>IF(B15="","", IF(IFERROR(ISNUMBER(SEARCH(B15, VLOOKUP(E15, Machine_List!$B:$J, 9, 0))), FALSE()), "✅ Machine OK", "❌ Sug: " &amp; IFERROR(INDEX(Machine_List!$B$4:$B$50, MATCH("*"&amp;B15&amp;"*", Machine_List!$J$4:$J$50, 0)), "Check Limits")))</f>
        <v>✅ Machine OK</v>
      </c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2"/>
      <c r="BC15" s="52"/>
      <c r="BD15" s="52"/>
      <c r="BE15" s="52"/>
      <c r="BF15" s="52"/>
      <c r="BG15" s="52"/>
      <c r="BH15" s="52"/>
      <c r="BI15" s="52"/>
      <c r="BJ15" s="52"/>
      <c r="BK15" s="52"/>
      <c r="BL15" s="52"/>
      <c r="BM15" s="52"/>
    </row>
    <row r="16" spans="1:85" ht="28.8" customHeight="1" x14ac:dyDescent="0.3">
      <c r="A16" s="10" t="str">
        <f>IF(Job_Master!A16="","",Job_Master!A16)</f>
        <v>BJ-112</v>
      </c>
      <c r="B16" s="10">
        <f>IF($A16="","",Job_Master!B16)</f>
        <v>17</v>
      </c>
      <c r="C16" s="10" t="str">
        <f>IF($A16="","",Job_Master!C16)</f>
        <v>2P</v>
      </c>
      <c r="D16" s="10">
        <f>IF($A16="","",Job_Master!D16)</f>
        <v>2</v>
      </c>
      <c r="E16" s="48" t="str">
        <f>IF($A16="","","VTL-MC-01")</f>
        <v>VTL-MC-01</v>
      </c>
      <c r="F16" s="106" t="str">
        <f>IF($E16="","",IFERROR(VLOOKUP($E16,Machine_List!$B:$G,6,0),""))</f>
        <v>General Workman</v>
      </c>
      <c r="G16" s="53">
        <f>IF($E16="","",IFERROR(VLOOKUP($E16,Machine_List!$B:$C,2,0),""))</f>
        <v>46133</v>
      </c>
      <c r="H16" s="10">
        <f>IF($E16="","",IFERROR(VLOOKUP($E16,Machine_List!$B:$D,3,0),""))</f>
        <v>6</v>
      </c>
      <c r="I16" s="54"/>
      <c r="J16" s="55">
        <f ca="1">IF($A16="","",IF($I16&lt;&gt;"",$I16,MAX(GlobalStartDate,IFERROR(LOOKUP(2,1/($E$3:INDIRECT("E"&amp;(ROW()-1))=$E16),$M$3:INDIRECT("M"&amp;(ROW()-1))),GlobalStartDate))))</f>
        <v>46128.569444444438</v>
      </c>
      <c r="K16" s="10">
        <f>IF($A16="","",IFERROR(VLOOKUP(B16,CHOOSE(MATCH(C16,Settings!$L$4:$L$10,0),OPR_2P!$A$4:$I$18,SEG_6P!$A$4:$I$18,SOL_4P!$A$4:$I$18,RW_2P!$A$4:$I$18,RW2_4P!$A$4:$I$18,FLAP_4P!$A$4:$I$18,TUBE_4P!$A$4:$I$18),1,0),0))</f>
        <v>17</v>
      </c>
      <c r="L16" s="10">
        <f t="shared" si="0"/>
        <v>34</v>
      </c>
      <c r="M16" s="55">
        <f ca="1">IF($A16="","",IF(AND(ISNUMBER(G16),G16&gt;=J16,G16&lt;=(J16+(L16/(IF(F16="Contract Workman",Settings!$K$5,Settings!$K$4))))),J16+(L16/(IF(F16="Contract Workman",Settings!$K$5,Settings!$K$4)))+(H16/(IF(F16="Contract Workman",Settings!$K$5,Settings!$K$4))),J16+(L16/(IF(F16="Contract Workman",Settings!$K$5,Settings!$K$4)))))</f>
        <v>46130.143518518511</v>
      </c>
      <c r="N16" s="10" t="str">
        <f t="shared" ca="1" si="1"/>
        <v>Shift C</v>
      </c>
      <c r="O16" s="51" t="str">
        <f>IF(B16="","", IF(IFERROR(ISNUMBER(SEARCH(B16, VLOOKUP(E16, Machine_List!$B:$J, 9, 0))), FALSE()), "✅ Machine OK", "❌ Sug: " &amp; IFERROR(INDEX(Machine_List!$B$4:$B$50, MATCH("*"&amp;B16&amp;"*", Machine_List!$J$4:$J$50, 0)), "Check Limits")))</f>
        <v>✅ Machine OK</v>
      </c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  <c r="BD16" s="52"/>
      <c r="BE16" s="52"/>
      <c r="BF16" s="52"/>
      <c r="BG16" s="52"/>
      <c r="BH16" s="52"/>
      <c r="BI16" s="52"/>
      <c r="BJ16" s="52"/>
      <c r="BK16" s="52"/>
      <c r="BL16" s="52"/>
      <c r="BM16" s="52"/>
    </row>
    <row r="17" spans="1:65" ht="28.8" customHeight="1" x14ac:dyDescent="0.3">
      <c r="A17" s="10" t="str">
        <f>IF(Job_Master!A17="","",Job_Master!A17)</f>
        <v>BJ-114</v>
      </c>
      <c r="B17" s="10">
        <f>IF($A17="","",Job_Master!B17)</f>
        <v>50</v>
      </c>
      <c r="C17" s="10" t="str">
        <f>IF($A17="","",Job_Master!C17)</f>
        <v>SEG</v>
      </c>
      <c r="D17" s="10">
        <f>IF($A17="","",Job_Master!D17)</f>
        <v>6</v>
      </c>
      <c r="E17" s="48" t="str">
        <f>IF($A17="","","VTL-MC-04")</f>
        <v>VTL-MC-04</v>
      </c>
      <c r="F17" s="106" t="str">
        <f>IF($E17="","",IFERROR(VLOOKUP($E17,Machine_List!$B:$G,6,0),""))</f>
        <v>General Workman</v>
      </c>
      <c r="G17" s="53">
        <f>IF($E17="","",IFERROR(VLOOKUP($E17,Machine_List!$B:$C,2,0),""))</f>
        <v>46517</v>
      </c>
      <c r="H17" s="10">
        <f>IF($E17="","",IFERROR(VLOOKUP($E17,Machine_List!$B:$D,3,0),""))</f>
        <v>6</v>
      </c>
      <c r="I17" s="54"/>
      <c r="J17" s="55">
        <f ca="1">IF($A17="","",IF($I17&lt;&gt;"",$I17,MAX(GlobalStartDate,IFERROR(LOOKUP(2,1/($E$3:INDIRECT("E"&amp;(ROW()-1))=$E17),$M$3:INDIRECT("M"&amp;(ROW()-1))),GlobalStartDate))))</f>
        <v>46122.736111111102</v>
      </c>
      <c r="K17" s="10">
        <f>IF($A17="","",IFERROR(VLOOKUP(B17,CHOOSE(MATCH(C17,Settings!$L$4:$L$10,0),OPR_2P!$A$4:$I$18,SEG_6P!$A$4:$I$18,SOL_4P!$A$4:$I$18,RW_2P!$A$4:$I$18,RW2_4P!$A$4:$I$18,FLAP_4P!$A$4:$I$18,TUBE_4P!$A$4:$I$18),1,0),0))</f>
        <v>50</v>
      </c>
      <c r="L17" s="10">
        <f t="shared" si="0"/>
        <v>300</v>
      </c>
      <c r="M17" s="55">
        <f ca="1">IF($A17="","",IF(AND(ISNUMBER(G17),G17&gt;=J17,G17&lt;=(J17+(L17/(IF(F17="Contract Workman",Settings!$K$5,Settings!$K$4))))),J17+(L17/(IF(F17="Contract Workman",Settings!$K$5,Settings!$K$4)))+(H17/(IF(F17="Contract Workman",Settings!$K$5,Settings!$K$4))),J17+(L17/(IF(F17="Contract Workman",Settings!$K$5,Settings!$K$4)))))</f>
        <v>46136.624999999993</v>
      </c>
      <c r="N17" s="10" t="str">
        <f t="shared" ca="1" si="1"/>
        <v>Shift A</v>
      </c>
      <c r="O17" s="51" t="str">
        <f>IF(B17="","", IF(IFERROR(ISNUMBER(SEARCH(B17, VLOOKUP(E17, Machine_List!$B:$J, 9, 0))), FALSE()), "✅ Machine OK", "❌ Sug: " &amp; IFERROR(INDEX(Machine_List!$B$4:$B$50, MATCH("*"&amp;B17&amp;"*", Machine_List!$J$4:$J$50, 0)), "Check Limits")))</f>
        <v>✅ Machine OK</v>
      </c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2"/>
      <c r="BF17" s="52"/>
      <c r="BG17" s="52"/>
      <c r="BH17" s="52"/>
      <c r="BI17" s="52"/>
      <c r="BJ17" s="52"/>
      <c r="BK17" s="52"/>
      <c r="BL17" s="52"/>
      <c r="BM17" s="52"/>
    </row>
    <row r="18" spans="1:65" ht="28.8" customHeight="1" x14ac:dyDescent="0.3">
      <c r="A18" s="10" t="str">
        <f>IF(Job_Master!A18="","",Job_Master!A18)</f>
        <v>BJ-115</v>
      </c>
      <c r="B18" s="10">
        <f>IF($A18="","",Job_Master!B18)</f>
        <v>46</v>
      </c>
      <c r="C18" s="10" t="str">
        <f>IF($A18="","",Job_Master!C18)</f>
        <v>2P</v>
      </c>
      <c r="D18" s="10">
        <f>IF($A18="","",Job_Master!D18)</f>
        <v>2</v>
      </c>
      <c r="E18" s="48" t="str">
        <f>IF($A18="","","VTL-MC-02")</f>
        <v>VTL-MC-02</v>
      </c>
      <c r="F18" s="106" t="str">
        <f>IF($E18="","",IFERROR(VLOOKUP($E18,Machine_List!$B:$G,6,0),""))</f>
        <v>General Workman</v>
      </c>
      <c r="G18" s="53">
        <f>IF($E18="","",IFERROR(VLOOKUP($E18,Machine_List!$B:$C,2,0),""))</f>
        <v>46521</v>
      </c>
      <c r="H18" s="10">
        <f>IF($E18="","",IFERROR(VLOOKUP($E18,Machine_List!$B:$D,3,0),""))</f>
        <v>6</v>
      </c>
      <c r="I18" s="54"/>
      <c r="J18" s="55">
        <f ca="1">IF($A18="","",IF($I18&lt;&gt;"",$I18,MAX(GlobalStartDate,IFERROR(LOOKUP(2,1/($E$3:INDIRECT("E"&amp;(ROW()-1))=$E18),$M$3:INDIRECT("M"&amp;(ROW()-1))),GlobalStartDate))))</f>
        <v>46123.847222222219</v>
      </c>
      <c r="K18" s="10">
        <f>IF($A18="","",IFERROR(VLOOKUP(B18,CHOOSE(MATCH(C18,Settings!$L$4:$L$10,0),OPR_2P!$A$4:$I$18,SEG_6P!$A$4:$I$18,SOL_4P!$A$4:$I$18,RW_2P!$A$4:$I$18,RW2_4P!$A$4:$I$18,FLAP_4P!$A$4:$I$18,TUBE_4P!$A$4:$I$18),1,0),0))</f>
        <v>46</v>
      </c>
      <c r="L18" s="10">
        <f t="shared" si="0"/>
        <v>92</v>
      </c>
      <c r="M18" s="55">
        <f ca="1">IF($A18="","",IF(AND(ISNUMBER(G18),G18&gt;=J18,G18&lt;=(J18+(L18/(IF(F18="Contract Workman",Settings!$K$5,Settings!$K$4))))),J18+(L18/(IF(F18="Contract Workman",Settings!$K$5,Settings!$K$4)))+(H18/(IF(F18="Contract Workman",Settings!$K$5,Settings!$K$4))),J18+(L18/(IF(F18="Contract Workman",Settings!$K$5,Settings!$K$4)))))</f>
        <v>46128.106481481482</v>
      </c>
      <c r="N18" s="10" t="str">
        <f t="shared" ca="1" si="1"/>
        <v>Shift C</v>
      </c>
      <c r="O18" s="51" t="str">
        <f>IF(B18="","", IF(IFERROR(ISNUMBER(SEARCH(B18, VLOOKUP(E18, Machine_List!$B:$J, 9, 0))), FALSE()), "✅ Machine OK", "❌ Sug: " &amp; IFERROR(INDEX(Machine_List!$B$4:$B$50, MATCH("*"&amp;B18&amp;"*", Machine_List!$J$4:$J$50, 0)), "Check Limits")))</f>
        <v>✅ Machine OK</v>
      </c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52"/>
      <c r="BE18" s="52"/>
      <c r="BF18" s="52"/>
      <c r="BG18" s="52"/>
      <c r="BH18" s="52"/>
      <c r="BI18" s="52"/>
      <c r="BJ18" s="52"/>
      <c r="BK18" s="52"/>
      <c r="BL18" s="52"/>
      <c r="BM18" s="52"/>
    </row>
    <row r="19" spans="1:65" ht="28.8" customHeight="1" x14ac:dyDescent="0.3">
      <c r="A19" s="10" t="str">
        <f>IF(Job_Master!A19="","",Job_Master!A19)</f>
        <v>BJ-116</v>
      </c>
      <c r="B19" s="10">
        <f>IF($A19="","",Job_Master!B19)</f>
        <v>54</v>
      </c>
      <c r="C19" s="10" t="str">
        <f>IF($A19="","",Job_Master!C19)</f>
        <v>2P</v>
      </c>
      <c r="D19" s="10">
        <f>IF($A19="","",Job_Master!D19)</f>
        <v>2</v>
      </c>
      <c r="E19" s="48" t="str">
        <f>IF($A19="","","VTL-MC-03")</f>
        <v>VTL-MC-03</v>
      </c>
      <c r="F19" s="106" t="str">
        <f>IF($E19="","",IFERROR(VLOOKUP($E19,Machine_List!$B:$G,6,0),""))</f>
        <v>General Workman</v>
      </c>
      <c r="G19" s="53">
        <f>IF($E19="","",IFERROR(VLOOKUP($E19,Machine_List!$B:$C,2,0),""))</f>
        <v>46174</v>
      </c>
      <c r="H19" s="10">
        <f>IF($E19="","",IFERROR(VLOOKUP($E19,Machine_List!$B:$D,3,0),""))</f>
        <v>6</v>
      </c>
      <c r="I19" s="54"/>
      <c r="J19" s="55">
        <f ca="1">IF($A19="","",IF($I19&lt;&gt;"",$I19,MAX(GlobalStartDate,IFERROR(LOOKUP(2,1/($E$3:INDIRECT("E"&amp;(ROW()-1))=$E19),$M$3:INDIRECT("M"&amp;(ROW()-1))),GlobalStartDate))))</f>
        <v>46129.310185185175</v>
      </c>
      <c r="K19" s="10">
        <f>IF($A19="","",IFERROR(VLOOKUP(B19,CHOOSE(MATCH(C19,Settings!$L$4:$L$10,0),OPR_2P!$A$4:$I$18,SEG_6P!$A$4:$I$18,SOL_4P!$A$4:$I$18,RW_2P!$A$4:$I$18,RW2_4P!$A$4:$I$18,FLAP_4P!$A$4:$I$18,TUBE_4P!$A$4:$I$18),1,0),0))</f>
        <v>54</v>
      </c>
      <c r="L19" s="10">
        <f t="shared" si="0"/>
        <v>108</v>
      </c>
      <c r="M19" s="55">
        <f ca="1">IF($A19="","",IF(AND(ISNUMBER(G19),G19&gt;=J19,G19&lt;=(J19+(L19/(IF(F19="Contract Workman",Settings!$K$5,Settings!$K$4))))),J19+(L19/(IF(F19="Contract Workman",Settings!$K$5,Settings!$K$4)))+(H19/(IF(F19="Contract Workman",Settings!$K$5,Settings!$K$4))),J19+(L19/(IF(F19="Contract Workman",Settings!$K$5,Settings!$K$4)))))</f>
        <v>46134.310185185175</v>
      </c>
      <c r="N19" s="10" t="str">
        <f t="shared" ca="1" si="1"/>
        <v>Shift A</v>
      </c>
      <c r="O19" s="51" t="str">
        <f>IF(B19="","", IF(IFERROR(ISNUMBER(SEARCH(B19, VLOOKUP(E19, Machine_List!$B:$J, 9, 0))), FALSE()), "✅ Machine OK", "❌ Sug: " &amp; IFERROR(INDEX(Machine_List!$B$4:$B$50, MATCH("*"&amp;B19&amp;"*", Machine_List!$J$4:$J$50, 0)), "Check Limits")))</f>
        <v>✅ Machine OK</v>
      </c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2"/>
      <c r="AQ19" s="52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2"/>
      <c r="BD19" s="52"/>
      <c r="BE19" s="52"/>
      <c r="BF19" s="52"/>
      <c r="BG19" s="52"/>
      <c r="BH19" s="52"/>
      <c r="BI19" s="52"/>
      <c r="BJ19" s="52"/>
      <c r="BK19" s="52"/>
      <c r="BL19" s="52"/>
      <c r="BM19" s="52"/>
    </row>
    <row r="20" spans="1:65" ht="28.8" customHeight="1" x14ac:dyDescent="0.3">
      <c r="A20" s="10" t="str">
        <f>IF(Job_Master!A20="","",Job_Master!A20)</f>
        <v>BJ-118</v>
      </c>
      <c r="B20" s="10">
        <f>IF($A20="","",Job_Master!B20)</f>
        <v>28</v>
      </c>
      <c r="C20" s="10" t="str">
        <f>IF($A20="","",Job_Master!C20)</f>
        <v>SOL</v>
      </c>
      <c r="D20" s="10">
        <f>IF($A20="","",Job_Master!D20)</f>
        <v>4</v>
      </c>
      <c r="E20" s="48" t="str">
        <f>IF($A20="","","VTL-MC-02")</f>
        <v>VTL-MC-02</v>
      </c>
      <c r="F20" s="106" t="str">
        <f>IF($E20="","",IFERROR(VLOOKUP($E20,Machine_List!$B:$G,6,0),""))</f>
        <v>General Workman</v>
      </c>
      <c r="G20" s="53">
        <f>IF($E20="","",IFERROR(VLOOKUP($E20,Machine_List!$B:$C,2,0),""))</f>
        <v>46521</v>
      </c>
      <c r="H20" s="10">
        <f>IF($E20="","",IFERROR(VLOOKUP($E20,Machine_List!$B:$D,3,0),""))</f>
        <v>6</v>
      </c>
      <c r="I20" s="54"/>
      <c r="J20" s="55">
        <f ca="1">IF($A20="","",IF($I20&lt;&gt;"",$I20,MAX(GlobalStartDate,IFERROR(LOOKUP(2,1/($E$3:INDIRECT("E"&amp;(ROW()-1))=$E20),$M$3:INDIRECT("M"&amp;(ROW()-1))),GlobalStartDate))))</f>
        <v>46128.106481481482</v>
      </c>
      <c r="K20" s="10">
        <f>IF($A20="","",IFERROR(VLOOKUP(B20,CHOOSE(MATCH(C20,Settings!$L$4:$L$10,0),OPR_2P!$A$4:$I$18,SEG_6P!$A$4:$I$18,SOL_4P!$A$4:$I$18,RW_2P!$A$4:$I$18,RW2_4P!$A$4:$I$18,FLAP_4P!$A$4:$I$18,TUBE_4P!$A$4:$I$18),1,0),0))</f>
        <v>28</v>
      </c>
      <c r="L20" s="10">
        <f t="shared" si="0"/>
        <v>112</v>
      </c>
      <c r="M20" s="55">
        <f ca="1">IF($A20="","",IF(AND(ISNUMBER(G20),G20&gt;=J20,G20&lt;=(J20+(L20/(IF(F20="Contract Workman",Settings!$K$5,Settings!$K$4))))),J20+(L20/(IF(F20="Contract Workman",Settings!$K$5,Settings!$K$4)))+(H20/(IF(F20="Contract Workman",Settings!$K$5,Settings!$K$4))),J20+(L20/(IF(F20="Contract Workman",Settings!$K$5,Settings!$K$4)))))</f>
        <v>46133.291666666664</v>
      </c>
      <c r="N20" s="10" t="str">
        <f t="shared" ca="1" si="1"/>
        <v>Shift C</v>
      </c>
      <c r="O20" s="51" t="str">
        <f>IF(B20="","", IF(IFERROR(ISNUMBER(SEARCH(B20, VLOOKUP(E20, Machine_List!$B:$J, 9, 0))), FALSE()), "✅ Machine OK", "❌ Sug: " &amp; IFERROR(INDEX(Machine_List!$B$4:$B$50, MATCH("*"&amp;B20&amp;"*", Machine_List!$J$4:$J$50, 0)), "Check Limits")))</f>
        <v>✅ Machine OK</v>
      </c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2"/>
      <c r="AQ20" s="52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2"/>
      <c r="BC20" s="52"/>
      <c r="BD20" s="52"/>
      <c r="BE20" s="52"/>
      <c r="BF20" s="52"/>
      <c r="BG20" s="52"/>
      <c r="BH20" s="52"/>
      <c r="BI20" s="52"/>
      <c r="BJ20" s="52"/>
      <c r="BK20" s="52"/>
      <c r="BL20" s="52"/>
      <c r="BM20" s="52"/>
    </row>
    <row r="21" spans="1:65" ht="28.8" customHeight="1" x14ac:dyDescent="0.3">
      <c r="A21" s="10" t="str">
        <f>IF(Job_Master!A21="","",Job_Master!A21)</f>
        <v>BJ-119</v>
      </c>
      <c r="B21" s="10">
        <f>IF($A21="","",Job_Master!B21)</f>
        <v>63</v>
      </c>
      <c r="C21" s="10" t="str">
        <f>IF($A21="","",Job_Master!C21)</f>
        <v>SOL</v>
      </c>
      <c r="D21" s="10">
        <f>IF($A21="","",Job_Master!D21)</f>
        <v>4</v>
      </c>
      <c r="E21" s="48" t="str">
        <f>IF($A21="","","VTL-MC-03")</f>
        <v>VTL-MC-03</v>
      </c>
      <c r="F21" s="106" t="str">
        <f>IF($E21="","",IFERROR(VLOOKUP($E21,Machine_List!$B:$G,6,0),""))</f>
        <v>General Workman</v>
      </c>
      <c r="G21" s="53">
        <f>IF($E21="","",IFERROR(VLOOKUP($E21,Machine_List!$B:$C,2,0),""))</f>
        <v>46174</v>
      </c>
      <c r="H21" s="10">
        <f>IF($E21="","",IFERROR(VLOOKUP($E21,Machine_List!$B:$D,3,0),""))</f>
        <v>6</v>
      </c>
      <c r="I21" s="54"/>
      <c r="J21" s="55">
        <f ca="1">IF($A21="","",IF($I21&lt;&gt;"",$I21,MAX(GlobalStartDate,IFERROR(LOOKUP(2,1/($E$3:INDIRECT("E"&amp;(ROW()-1))=$E21),$M$3:INDIRECT("M"&amp;(ROW()-1))),GlobalStartDate))))</f>
        <v>46134.310185185175</v>
      </c>
      <c r="K21" s="10">
        <f>IF($A21="","",IFERROR(VLOOKUP(B21,CHOOSE(MATCH(C21,Settings!$L$4:$L$10,0),OPR_2P!$A$4:$I$18,SEG_6P!$A$4:$I$18,SOL_4P!$A$4:$I$18,RW_2P!$A$4:$I$18,RW2_4P!$A$4:$I$18,FLAP_4P!$A$4:$I$18,TUBE_4P!$A$4:$I$18),1,0),0))</f>
        <v>63</v>
      </c>
      <c r="L21" s="10">
        <f t="shared" si="0"/>
        <v>252</v>
      </c>
      <c r="M21" s="55">
        <f ca="1">IF($A21="","",IF(AND(ISNUMBER(G21),G21&gt;=J21,G21&lt;=(J21+(L21/(IF(F21="Contract Workman",Settings!$K$5,Settings!$K$4))))),J21+(L21/(IF(F21="Contract Workman",Settings!$K$5,Settings!$K$4)))+(H21/(IF(F21="Contract Workman",Settings!$K$5,Settings!$K$4))),J21+(L21/(IF(F21="Contract Workman",Settings!$K$5,Settings!$K$4)))))</f>
        <v>46145.976851851839</v>
      </c>
      <c r="N21" s="10" t="str">
        <f t="shared" ca="1" si="1"/>
        <v>Shift C</v>
      </c>
      <c r="O21" s="51" t="str">
        <f>IF(B21="","", IF(IFERROR(ISNUMBER(SEARCH(B21, VLOOKUP(E21, Machine_List!$B:$J, 9, 0))), FALSE()), "✅ Machine OK", "❌ Sug: " &amp; IFERROR(INDEX(Machine_List!$B$4:$B$50, MATCH("*"&amp;B21&amp;"*", Machine_List!$J$4:$J$50, 0)), "Check Limits")))</f>
        <v>✅ Machine OK</v>
      </c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2"/>
      <c r="AQ21" s="52"/>
      <c r="AR21" s="52"/>
      <c r="AS21" s="52"/>
      <c r="AT21" s="52"/>
      <c r="AU21" s="52"/>
      <c r="AV21" s="52"/>
      <c r="AW21" s="52"/>
      <c r="AX21" s="52"/>
      <c r="AY21" s="52"/>
      <c r="AZ21" s="52"/>
      <c r="BA21" s="52"/>
      <c r="BB21" s="52"/>
      <c r="BC21" s="52"/>
      <c r="BD21" s="52"/>
      <c r="BE21" s="52"/>
      <c r="BF21" s="52"/>
      <c r="BG21" s="52"/>
      <c r="BH21" s="52"/>
      <c r="BI21" s="52"/>
      <c r="BJ21" s="52"/>
      <c r="BK21" s="52"/>
      <c r="BL21" s="52"/>
      <c r="BM21" s="52"/>
    </row>
    <row r="22" spans="1:65" ht="28.8" customHeight="1" x14ac:dyDescent="0.3">
      <c r="A22" s="10" t="str">
        <f>IF(Job_Master!A22="","",Job_Master!A22)</f>
        <v>BJ-120</v>
      </c>
      <c r="B22" s="10">
        <f>IF($A22="","",Job_Master!B22)</f>
        <v>46</v>
      </c>
      <c r="C22" s="10" t="str">
        <f>IF($A22="","",Job_Master!C22)</f>
        <v>2P</v>
      </c>
      <c r="D22" s="10">
        <f>IF($A22="","",Job_Master!D22)</f>
        <v>2</v>
      </c>
      <c r="E22" s="48" t="str">
        <f>IF($A22="","","VTL-MC-02")</f>
        <v>VTL-MC-02</v>
      </c>
      <c r="F22" s="106" t="str">
        <f>IF($E22="","",IFERROR(VLOOKUP($E22,Machine_List!$B:$G,6,0),""))</f>
        <v>General Workman</v>
      </c>
      <c r="G22" s="53">
        <f>IF($E22="","",IFERROR(VLOOKUP($E22,Machine_List!$B:$C,2,0),""))</f>
        <v>46521</v>
      </c>
      <c r="H22" s="10">
        <f>IF($E22="","",IFERROR(VLOOKUP($E22,Machine_List!$B:$D,3,0),""))</f>
        <v>6</v>
      </c>
      <c r="I22" s="54"/>
      <c r="J22" s="55">
        <f ca="1">IF($A22="","",IF($I22&lt;&gt;"",$I22,MAX(GlobalStartDate,IFERROR(LOOKUP(2,1/($E$3:INDIRECT("E"&amp;(ROW()-1))=$E22),$M$3:INDIRECT("M"&amp;(ROW()-1))),GlobalStartDate))))</f>
        <v>46133.291666666664</v>
      </c>
      <c r="K22" s="10">
        <f>IF($A22="","",IFERROR(VLOOKUP(B22,CHOOSE(MATCH(C22,Settings!$L$4:$L$10,0),OPR_2P!$A$4:$I$18,SEG_6P!$A$4:$I$18,SOL_4P!$A$4:$I$18,RW_2P!$A$4:$I$18,RW2_4P!$A$4:$I$18,FLAP_4P!$A$4:$I$18,TUBE_4P!$A$4:$I$18),1,0),0))</f>
        <v>46</v>
      </c>
      <c r="L22" s="10">
        <f t="shared" si="0"/>
        <v>92</v>
      </c>
      <c r="M22" s="55">
        <f ca="1">IF($A22="","",IF(AND(ISNUMBER(G22),G22&gt;=J22,G22&lt;=(J22+(L22/(IF(F22="Contract Workman",Settings!$K$5,Settings!$K$4))))),J22+(L22/(IF(F22="Contract Workman",Settings!$K$5,Settings!$K$4)))+(H22/(IF(F22="Contract Workman",Settings!$K$5,Settings!$K$4))),J22+(L22/(IF(F22="Contract Workman",Settings!$K$5,Settings!$K$4)))))</f>
        <v>46137.550925925927</v>
      </c>
      <c r="N22" s="10" t="str">
        <f t="shared" ca="1" si="1"/>
        <v>Shift A</v>
      </c>
      <c r="O22" s="51" t="str">
        <f>IF(B22="","", IF(IFERROR(ISNUMBER(SEARCH(B22, VLOOKUP(E22, Machine_List!$B:$J, 9, 0))), FALSE()), "✅ Machine OK", "❌ Sug: " &amp; IFERROR(INDEX(Machine_List!$B$4:$B$50, MATCH("*"&amp;B22&amp;"*", Machine_List!$J$4:$J$50, 0)), "Check Limits")))</f>
        <v>✅ Machine OK</v>
      </c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2"/>
      <c r="AP22" s="52"/>
      <c r="AQ22" s="52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52"/>
      <c r="BC22" s="52"/>
      <c r="BD22" s="52"/>
      <c r="BE22" s="52"/>
      <c r="BF22" s="52"/>
      <c r="BG22" s="52"/>
      <c r="BH22" s="52"/>
      <c r="BI22" s="52"/>
      <c r="BJ22" s="52"/>
      <c r="BK22" s="52"/>
      <c r="BL22" s="52"/>
      <c r="BM22" s="52"/>
    </row>
    <row r="23" spans="1:65" ht="28.8" customHeight="1" x14ac:dyDescent="0.3">
      <c r="A23" s="10" t="str">
        <f>IF(Job_Master!A23="","",Job_Master!A23)</f>
        <v>BJ-113</v>
      </c>
      <c r="B23" s="10">
        <f>IF($A23="","",Job_Master!B23)</f>
        <v>9</v>
      </c>
      <c r="C23" s="10" t="str">
        <f>IF($A23="","",Job_Master!C23)</f>
        <v>SEG</v>
      </c>
      <c r="D23" s="10">
        <f>IF($A23="","",Job_Master!D23)</f>
        <v>6</v>
      </c>
      <c r="E23" s="48" t="str">
        <f>IF($A23="","","VTL-MC-01")</f>
        <v>VTL-MC-01</v>
      </c>
      <c r="F23" s="106" t="str">
        <f>IF($E23="","",IFERROR(VLOOKUP($E23,Machine_List!$B:$G,6,0),""))</f>
        <v>General Workman</v>
      </c>
      <c r="G23" s="53">
        <f>IF($E23="","",IFERROR(VLOOKUP($E23,Machine_List!$B:$C,2,0),""))</f>
        <v>46133</v>
      </c>
      <c r="H23" s="10">
        <f>IF($E23="","",IFERROR(VLOOKUP($E23,Machine_List!$B:$D,3,0),""))</f>
        <v>6</v>
      </c>
      <c r="I23" s="54"/>
      <c r="J23" s="55">
        <f ca="1">IF($A23="","",IF($I23&lt;&gt;"",$I23,MAX(GlobalStartDate,IFERROR(LOOKUP(2,1/($E$3:INDIRECT("E"&amp;(ROW()-1))=$E23),$M$3:INDIRECT("M"&amp;(ROW()-1))),GlobalStartDate))))</f>
        <v>46130.143518518511</v>
      </c>
      <c r="K23" s="10">
        <f>IF($A23="","",IFERROR(VLOOKUP(B23,CHOOSE(MATCH(C23,Settings!$L$4:$L$10,0),OPR_2P!$A$4:$I$18,SEG_6P!$A$4:$I$18,SOL_4P!$A$4:$I$18,RW_2P!$A$4:$I$18,RW2_4P!$A$4:$I$18,FLAP_4P!$A$4:$I$18,TUBE_4P!$A$4:$I$18),1,0),0))</f>
        <v>9</v>
      </c>
      <c r="L23" s="10">
        <f t="shared" si="0"/>
        <v>54</v>
      </c>
      <c r="M23" s="55">
        <f ca="1">IF($A23="","",IF(AND(ISNUMBER(G23),G23&gt;=J23,G23&lt;=(J23+(L23/(IF(F23="Contract Workman",Settings!$K$5,Settings!$K$4))))),J23+(L23/(IF(F23="Contract Workman",Settings!$K$5,Settings!$K$4)))+(H23/(IF(F23="Contract Workman",Settings!$K$5,Settings!$K$4))),J23+(L23/(IF(F23="Contract Workman",Settings!$K$5,Settings!$K$4)))))</f>
        <v>46132.643518518511</v>
      </c>
      <c r="N23" s="10" t="str">
        <f t="shared" ca="1" si="1"/>
        <v>Shift B</v>
      </c>
      <c r="O23" s="51" t="str">
        <f>IF(B23="","", IF(IFERROR(ISNUMBER(SEARCH(B23, VLOOKUP(E23, Machine_List!$B:$J, 9, 0))), FALSE()), "✅ Machine OK", "❌ Sug: " &amp; IFERROR(INDEX(Machine_List!$B$4:$B$50, MATCH("*"&amp;B23&amp;"*", Machine_List!$J$4:$J$50, 0)), "Check Limits")))</f>
        <v>✅ Machine OK</v>
      </c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2"/>
      <c r="AQ23" s="52"/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 s="52"/>
      <c r="BC23" s="52"/>
      <c r="BD23" s="52"/>
      <c r="BE23" s="52"/>
      <c r="BF23" s="52"/>
      <c r="BG23" s="52"/>
      <c r="BH23" s="52"/>
      <c r="BI23" s="52"/>
      <c r="BJ23" s="52"/>
      <c r="BK23" s="52"/>
      <c r="BL23" s="52"/>
      <c r="BM23" s="52"/>
    </row>
    <row r="24" spans="1:65" ht="28.8" customHeight="1" x14ac:dyDescent="0.3">
      <c r="A24" s="10" t="str">
        <f>IF(Job_Master!A24="","",Job_Master!A24)</f>
        <v>BJ-121</v>
      </c>
      <c r="B24" s="10">
        <f>IF($A24="","",Job_Master!B24)</f>
        <v>57</v>
      </c>
      <c r="C24" s="10" t="str">
        <f>IF($A24="","",Job_Master!C24)</f>
        <v>RW</v>
      </c>
      <c r="D24" s="10">
        <f>IF($A24="","",Job_Master!D24)</f>
        <v>2</v>
      </c>
      <c r="E24" s="48" t="str">
        <f>IF($A24="","","VTL-MC-04")</f>
        <v>VTL-MC-04</v>
      </c>
      <c r="F24" s="106" t="str">
        <f>IF($E24="","",IFERROR(VLOOKUP($E24,Machine_List!$B:$G,6,0),""))</f>
        <v>General Workman</v>
      </c>
      <c r="G24" s="53">
        <f>IF($E24="","",IFERROR(VLOOKUP($E24,Machine_List!$B:$C,2,0),""))</f>
        <v>46517</v>
      </c>
      <c r="H24" s="10">
        <f>IF($E24="","",IFERROR(VLOOKUP($E24,Machine_List!$B:$D,3,0),""))</f>
        <v>6</v>
      </c>
      <c r="I24" s="54"/>
      <c r="J24" s="55">
        <f ca="1">IF($A24="","",IF($I24&lt;&gt;"",$I24,MAX(GlobalStartDate,IFERROR(LOOKUP(2,1/($E$3:INDIRECT("E"&amp;(ROW()-1))=$E24),$M$3:INDIRECT("M"&amp;(ROW()-1))),GlobalStartDate))))</f>
        <v>46136.624999999993</v>
      </c>
      <c r="K24" s="10">
        <f>IF($A24="","",IFERROR(VLOOKUP(B24,CHOOSE(MATCH(C24,Settings!$L$4:$L$10,0),OPR_2P!$A$4:$I$18,SEG_6P!$A$4:$I$18,SOL_4P!$A$4:$I$18,RW_2P!$A$4:$I$18,RW2_4P!$A$4:$I$18,FLAP_4P!$A$4:$I$18,TUBE_4P!$A$4:$I$18),1,0),0))</f>
        <v>57</v>
      </c>
      <c r="L24" s="10">
        <f t="shared" si="0"/>
        <v>114</v>
      </c>
      <c r="M24" s="55">
        <f ca="1">IF($A24="","",IF(AND(ISNUMBER(G24),G24&gt;=J24,G24&lt;=(J24+(L24/(IF(F24="Contract Workman",Settings!$K$5,Settings!$K$4))))),J24+(L24/(IF(F24="Contract Workman",Settings!$K$5,Settings!$K$4)))+(H24/(IF(F24="Contract Workman",Settings!$K$5,Settings!$K$4))),J24+(L24/(IF(F24="Contract Workman",Settings!$K$5,Settings!$K$4)))))</f>
        <v>46141.902777777774</v>
      </c>
      <c r="N24" s="10" t="str">
        <f t="shared" ca="1" si="1"/>
        <v>Shift B</v>
      </c>
      <c r="O24" s="51" t="str">
        <f>IF(B24="","", IF(IFERROR(ISNUMBER(SEARCH(B24, VLOOKUP(E24, Machine_List!$B:$J, 9, 0))), FALSE()), "✅ Machine OK", "❌ Sug: " &amp; IFERROR(INDEX(Machine_List!$B$4:$B$50, MATCH("*"&amp;B24&amp;"*", Machine_List!$J$4:$J$50, 0)), "Check Limits")))</f>
        <v>✅ Machine OK</v>
      </c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2"/>
      <c r="AP24" s="52"/>
      <c r="AQ24" s="52"/>
      <c r="AR24" s="52"/>
      <c r="AS24" s="52"/>
      <c r="AT24" s="52"/>
      <c r="AU24" s="52"/>
      <c r="AV24" s="52"/>
      <c r="AW24" s="52"/>
      <c r="AX24" s="52"/>
      <c r="AY24" s="52"/>
      <c r="AZ24" s="52"/>
      <c r="BA24" s="52"/>
      <c r="BB24" s="52"/>
      <c r="BC24" s="52"/>
      <c r="BD24" s="52"/>
      <c r="BE24" s="52"/>
      <c r="BF24" s="52"/>
      <c r="BG24" s="52"/>
      <c r="BH24" s="52"/>
      <c r="BI24" s="52"/>
      <c r="BJ24" s="52"/>
      <c r="BK24" s="52"/>
      <c r="BL24" s="52"/>
      <c r="BM24" s="52"/>
    </row>
    <row r="25" spans="1:65" ht="28.8" customHeight="1" x14ac:dyDescent="0.3">
      <c r="A25" s="10" t="str">
        <f>IF(Job_Master!A25="","",Job_Master!A25)</f>
        <v>BJ-123</v>
      </c>
      <c r="B25" s="10">
        <f>IF($A25="","",Job_Master!B25)</f>
        <v>46</v>
      </c>
      <c r="C25" s="10" t="str">
        <f>IF($A25="","",Job_Master!C25)</f>
        <v>RW</v>
      </c>
      <c r="D25" s="10">
        <f>IF($A25="","",Job_Master!D25)</f>
        <v>2</v>
      </c>
      <c r="E25" s="48" t="str">
        <f>IF($A25="","","VTL-MC-02")</f>
        <v>VTL-MC-02</v>
      </c>
      <c r="F25" s="106" t="str">
        <f>IF($E25="","",IFERROR(VLOOKUP($E25,Machine_List!$B:$G,6,0),""))</f>
        <v>General Workman</v>
      </c>
      <c r="G25" s="53">
        <f>IF($E25="","",IFERROR(VLOOKUP($E25,Machine_List!$B:$C,2,0),""))</f>
        <v>46521</v>
      </c>
      <c r="H25" s="10">
        <f>IF($E25="","",IFERROR(VLOOKUP($E25,Machine_List!$B:$D,3,0),""))</f>
        <v>6</v>
      </c>
      <c r="I25" s="54"/>
      <c r="J25" s="55">
        <f ca="1">IF($A25="","",IF($I25&lt;&gt;"",$I25,MAX(GlobalStartDate,IFERROR(LOOKUP(2,1/($E$3:INDIRECT("E"&amp;(ROW()-1))=$E25),$M$3:INDIRECT("M"&amp;(ROW()-1))),GlobalStartDate))))</f>
        <v>46137.550925925927</v>
      </c>
      <c r="K25" s="10">
        <f>IF($A25="","",IFERROR(VLOOKUP(B25,CHOOSE(MATCH(C25,Settings!$L$4:$L$10,0),OPR_2P!$A$4:$I$18,SEG_6P!$A$4:$I$18,SOL_4P!$A$4:$I$18,RW_2P!$A$4:$I$18,RW2_4P!$A$4:$I$18,FLAP_4P!$A$4:$I$18,TUBE_4P!$A$4:$I$18),1,0),0))</f>
        <v>46</v>
      </c>
      <c r="L25" s="10">
        <f t="shared" si="0"/>
        <v>92</v>
      </c>
      <c r="M25" s="55">
        <f ca="1">IF($A25="","",IF(AND(ISNUMBER(G25),G25&gt;=J25,G25&lt;=(J25+(L25/(IF(F25="Contract Workman",Settings!$K$5,Settings!$K$4))))),J25+(L25/(IF(F25="Contract Workman",Settings!$K$5,Settings!$K$4)))+(H25/(IF(F25="Contract Workman",Settings!$K$5,Settings!$K$4))),J25+(L25/(IF(F25="Contract Workman",Settings!$K$5,Settings!$K$4)))))</f>
        <v>46141.81018518519</v>
      </c>
      <c r="N25" s="10" t="str">
        <f t="shared" ca="1" si="1"/>
        <v>Shift B</v>
      </c>
      <c r="O25" s="51" t="str">
        <f>IF(B25="","", IF(IFERROR(ISNUMBER(SEARCH(B25, VLOOKUP(E25, Machine_List!$B:$J, 9, 0))), FALSE()), "✅ Machine OK", "❌ Sug: " &amp; IFERROR(INDEX(Machine_List!$B$4:$B$50, MATCH("*"&amp;B25&amp;"*", Machine_List!$J$4:$J$50, 0)), "Check Limits")))</f>
        <v>✅ Machine OK</v>
      </c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52"/>
      <c r="BC25" s="52"/>
      <c r="BD25" s="52"/>
      <c r="BE25" s="52"/>
      <c r="BF25" s="52"/>
      <c r="BG25" s="52"/>
      <c r="BH25" s="52"/>
      <c r="BI25" s="52"/>
      <c r="BJ25" s="52"/>
      <c r="BK25" s="52"/>
      <c r="BL25" s="52"/>
      <c r="BM25" s="52"/>
    </row>
    <row r="26" spans="1:65" ht="28.8" customHeight="1" x14ac:dyDescent="0.3">
      <c r="A26" s="10" t="str">
        <f>IF(Job_Master!A26="","",Job_Master!A26)</f>
        <v>BJ-117</v>
      </c>
      <c r="B26" s="10">
        <f>IF($A26="","",Job_Master!B26)</f>
        <v>15</v>
      </c>
      <c r="C26" s="10" t="str">
        <f>IF($A26="","",Job_Master!C26)</f>
        <v>RW</v>
      </c>
      <c r="D26" s="10">
        <f>IF($A26="","",Job_Master!D26)</f>
        <v>2</v>
      </c>
      <c r="E26" s="48" t="str">
        <f>IF($A26="","","VTL-MC-01")</f>
        <v>VTL-MC-01</v>
      </c>
      <c r="F26" s="106" t="str">
        <f>IF($E26="","",IFERROR(VLOOKUP($E26,Machine_List!$B:$G,6,0),""))</f>
        <v>General Workman</v>
      </c>
      <c r="G26" s="53">
        <f>IF($E26="","",IFERROR(VLOOKUP($E26,Machine_List!$B:$C,2,0),""))</f>
        <v>46133</v>
      </c>
      <c r="H26" s="10">
        <f>IF($E26="","",IFERROR(VLOOKUP($E26,Machine_List!$B:$D,3,0),""))</f>
        <v>6</v>
      </c>
      <c r="I26" s="54"/>
      <c r="J26" s="55">
        <f ca="1">IF($A26="","",IF($I26&lt;&gt;"",$I26,MAX(GlobalStartDate,IFERROR(LOOKUP(2,1/($E$3:INDIRECT("E"&amp;(ROW()-1))=$E26),$M$3:INDIRECT("M"&amp;(ROW()-1))),GlobalStartDate))))</f>
        <v>46132.643518518511</v>
      </c>
      <c r="K26" s="10">
        <f>IF($A26="","",IFERROR(VLOOKUP(B26,CHOOSE(MATCH(C26,Settings!$L$4:$L$10,0),OPR_2P!$A$4:$I$18,SEG_6P!$A$4:$I$18,SOL_4P!$A$4:$I$18,RW_2P!$A$4:$I$18,RW2_4P!$A$4:$I$18,FLAP_4P!$A$4:$I$18,TUBE_4P!$A$4:$I$18),1,0),0))</f>
        <v>15</v>
      </c>
      <c r="L26" s="10">
        <f t="shared" si="0"/>
        <v>30</v>
      </c>
      <c r="M26" s="55">
        <f ca="1">IF($A26="","",IF(AND(ISNUMBER(G26),G26&gt;=J26,G26&lt;=(J26+(L26/(IF(F26="Contract Workman",Settings!$K$5,Settings!$K$4))))),J26+(L26/(IF(F26="Contract Workman",Settings!$K$5,Settings!$K$4)))+(H26/(IF(F26="Contract Workman",Settings!$K$5,Settings!$K$4))),J26+(L26/(IF(F26="Contract Workman",Settings!$K$5,Settings!$K$4)))))</f>
        <v>46134.310185185182</v>
      </c>
      <c r="N26" s="10" t="str">
        <f t="shared" ca="1" si="1"/>
        <v>Shift A</v>
      </c>
      <c r="O26" s="51" t="str">
        <f>IF(B26="","", IF(IFERROR(ISNUMBER(SEARCH(B26, VLOOKUP(E26, Machine_List!$B:$J, 9, 0))), FALSE()), "✅ Machine OK", "❌ Sug: " &amp; IFERROR(INDEX(Machine_List!$B$4:$B$50, MATCH("*"&amp;B26&amp;"*", Machine_List!$J$4:$J$50, 0)), "Check Limits")))</f>
        <v>✅ Machine OK</v>
      </c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2"/>
      <c r="BF26" s="52"/>
      <c r="BG26" s="52"/>
      <c r="BH26" s="52"/>
      <c r="BI26" s="52"/>
      <c r="BJ26" s="52"/>
      <c r="BK26" s="52"/>
      <c r="BL26" s="52"/>
      <c r="BM26" s="52"/>
    </row>
    <row r="27" spans="1:65" ht="28.8" customHeight="1" x14ac:dyDescent="0.3">
      <c r="A27" s="10" t="str">
        <f>IF(Job_Master!A27="","",Job_Master!A27)</f>
        <v>BJ-122</v>
      </c>
      <c r="B27" s="10">
        <f>IF($A27="","",Job_Master!B27)</f>
        <v>54</v>
      </c>
      <c r="C27" s="10" t="str">
        <f>IF($A27="","",Job_Master!C27)</f>
        <v>SOL</v>
      </c>
      <c r="D27" s="10">
        <f>IF($A27="","",Job_Master!D27)</f>
        <v>4</v>
      </c>
      <c r="E27" s="48" t="str">
        <f>IF($A27="","","VTL-MC-04")</f>
        <v>VTL-MC-04</v>
      </c>
      <c r="F27" s="106" t="str">
        <f>IF($E27="","",IFERROR(VLOOKUP($E27,Machine_List!$B:$G,6,0),""))</f>
        <v>General Workman</v>
      </c>
      <c r="G27" s="53">
        <f>IF($E27="","",IFERROR(VLOOKUP($E27,Machine_List!$B:$C,2,0),""))</f>
        <v>46517</v>
      </c>
      <c r="H27" s="10">
        <f>IF($E27="","",IFERROR(VLOOKUP($E27,Machine_List!$B:$D,3,0),""))</f>
        <v>6</v>
      </c>
      <c r="I27" s="54"/>
      <c r="J27" s="55">
        <f ca="1">IF($A27="","",IF($I27&lt;&gt;"",$I27,MAX(GlobalStartDate,IFERROR(LOOKUP(2,1/($E$3:INDIRECT("E"&amp;(ROW()-1))=$E27),$M$3:INDIRECT("M"&amp;(ROW()-1))),GlobalStartDate))))</f>
        <v>46141.902777777774</v>
      </c>
      <c r="K27" s="10">
        <f>IF($A27="","",IFERROR(VLOOKUP(B27,CHOOSE(MATCH(C27,Settings!$L$4:$L$10,0),OPR_2P!$A$4:$I$18,SEG_6P!$A$4:$I$18,SOL_4P!$A$4:$I$18,RW_2P!$A$4:$I$18,RW2_4P!$A$4:$I$18,FLAP_4P!$A$4:$I$18,TUBE_4P!$A$4:$I$18),1,0),0))</f>
        <v>54</v>
      </c>
      <c r="L27" s="10">
        <f t="shared" si="0"/>
        <v>216</v>
      </c>
      <c r="M27" s="55">
        <f ca="1">IF($A27="","",IF(AND(ISNUMBER(G27),G27&gt;=J27,G27&lt;=(J27+(L27/(IF(F27="Contract Workman",Settings!$K$5,Settings!$K$4))))),J27+(L27/(IF(F27="Contract Workman",Settings!$K$5,Settings!$K$4)))+(H27/(IF(F27="Contract Workman",Settings!$K$5,Settings!$K$4))),J27+(L27/(IF(F27="Contract Workman",Settings!$K$5,Settings!$K$4)))))</f>
        <v>46151.902777777774</v>
      </c>
      <c r="N27" s="10" t="str">
        <f t="shared" ca="1" si="1"/>
        <v>Shift B</v>
      </c>
      <c r="O27" s="51" t="str">
        <f>IF(B27="","", IF(IFERROR(ISNUMBER(SEARCH(B27, VLOOKUP(E27, Machine_List!$B:$J, 9, 0))), FALSE()), "✅ Machine OK", "❌ Sug: " &amp; IFERROR(INDEX(Machine_List!$B$4:$B$50, MATCH("*"&amp;B27&amp;"*", Machine_List!$J$4:$J$50, 0)), "Check Limits")))</f>
        <v>✅ Machine OK</v>
      </c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2"/>
      <c r="AQ27" s="52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52"/>
      <c r="BC27" s="52"/>
      <c r="BD27" s="52"/>
      <c r="BE27" s="52"/>
      <c r="BF27" s="52"/>
      <c r="BG27" s="52"/>
      <c r="BH27" s="52"/>
      <c r="BI27" s="52"/>
      <c r="BJ27" s="52"/>
      <c r="BK27" s="52"/>
      <c r="BL27" s="52"/>
      <c r="BM27" s="52"/>
    </row>
    <row r="28" spans="1:65" ht="28.8" customHeight="1" x14ac:dyDescent="0.3">
      <c r="A28" s="10" t="str">
        <f>IF(Job_Master!A28="","",Job_Master!A28)</f>
        <v>BJ-124</v>
      </c>
      <c r="B28" s="10">
        <f>IF($A28="","",Job_Master!B28)</f>
        <v>42</v>
      </c>
      <c r="C28" s="10" t="str">
        <f>IF($A28="","",Job_Master!C28)</f>
        <v>2P</v>
      </c>
      <c r="D28" s="10">
        <f>IF($A28="","",Job_Master!D28)</f>
        <v>2</v>
      </c>
      <c r="E28" s="48" t="str">
        <f>IF($A28="","","VTL-MC-02")</f>
        <v>VTL-MC-02</v>
      </c>
      <c r="F28" s="106" t="str">
        <f>IF($E28="","",IFERROR(VLOOKUP($E28,Machine_List!$B:$G,6,0),""))</f>
        <v>General Workman</v>
      </c>
      <c r="G28" s="53">
        <f>IF($E28="","",IFERROR(VLOOKUP($E28,Machine_List!$B:$C,2,0),""))</f>
        <v>46521</v>
      </c>
      <c r="H28" s="10">
        <f>IF($E28="","",IFERROR(VLOOKUP($E28,Machine_List!$B:$D,3,0),""))</f>
        <v>6</v>
      </c>
      <c r="I28" s="54"/>
      <c r="J28" s="55">
        <f ca="1">IF($A28="","",IF($I28&lt;&gt;"",$I28,MAX(GlobalStartDate,IFERROR(LOOKUP(2,1/($E$3:INDIRECT("E"&amp;(ROW()-1))=$E28),$M$3:INDIRECT("M"&amp;(ROW()-1))),GlobalStartDate))))</f>
        <v>46141.81018518519</v>
      </c>
      <c r="K28" s="10">
        <f>IF($A28="","",IFERROR(VLOOKUP(B28,CHOOSE(MATCH(C28,Settings!$L$4:$L$10,0),OPR_2P!$A$4:$I$18,SEG_6P!$A$4:$I$18,SOL_4P!$A$4:$I$18,RW_2P!$A$4:$I$18,RW2_4P!$A$4:$I$18,FLAP_4P!$A$4:$I$18,TUBE_4P!$A$4:$I$18),1,0),0))</f>
        <v>42</v>
      </c>
      <c r="L28" s="10">
        <f t="shared" si="0"/>
        <v>84</v>
      </c>
      <c r="M28" s="55">
        <f ca="1">IF($A28="","",IF(AND(ISNUMBER(G28),G28&gt;=J28,G28&lt;=(J28+(L28/(IF(F28="Contract Workman",Settings!$K$5,Settings!$K$4))))),J28+(L28/(IF(F28="Contract Workman",Settings!$K$5,Settings!$K$4)))+(H28/(IF(F28="Contract Workman",Settings!$K$5,Settings!$K$4))),J28+(L28/(IF(F28="Contract Workman",Settings!$K$5,Settings!$K$4)))))</f>
        <v>46145.69907407408</v>
      </c>
      <c r="N28" s="10" t="str">
        <f t="shared" ca="1" si="1"/>
        <v>Shift B</v>
      </c>
      <c r="O28" s="51" t="str">
        <f>IF(B28="","", IF(IFERROR(ISNUMBER(SEARCH(B28, VLOOKUP(E28, Machine_List!$B:$J, 9, 0))), FALSE()), "✅ Machine OK", "❌ Sug: " &amp; IFERROR(INDEX(Machine_List!$B$4:$B$50, MATCH("*"&amp;B28&amp;"*", Machine_List!$J$4:$J$50, 0)), "Check Limits")))</f>
        <v>✅ Machine OK</v>
      </c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2"/>
      <c r="AO28" s="52"/>
      <c r="AP28" s="52"/>
      <c r="AQ28" s="52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52"/>
      <c r="BC28" s="52"/>
      <c r="BD28" s="52"/>
      <c r="BE28" s="52"/>
      <c r="BF28" s="52"/>
      <c r="BG28" s="52"/>
      <c r="BH28" s="52"/>
      <c r="BI28" s="52"/>
      <c r="BJ28" s="52"/>
      <c r="BK28" s="52"/>
      <c r="BL28" s="52"/>
      <c r="BM28" s="52"/>
    </row>
    <row r="29" spans="1:65" ht="28.8" customHeight="1" x14ac:dyDescent="0.3">
      <c r="A29" s="10" t="str">
        <f>IF(Job_Master!A29="","",Job_Master!A29)</f>
        <v>BJ-126</v>
      </c>
      <c r="B29" s="10">
        <f>IF($A29="","",Job_Master!B29)</f>
        <v>42</v>
      </c>
      <c r="C29" s="10" t="str">
        <f>IF($A29="","",Job_Master!C29)</f>
        <v>2P</v>
      </c>
      <c r="D29" s="10">
        <f>IF($A29="","",Job_Master!D29)</f>
        <v>2</v>
      </c>
      <c r="E29" s="48" t="str">
        <f>IF($A29="","","VTL-MC-02")</f>
        <v>VTL-MC-02</v>
      </c>
      <c r="F29" s="106" t="str">
        <f>IF($E29="","",IFERROR(VLOOKUP($E29,Machine_List!$B:$G,6,0),""))</f>
        <v>General Workman</v>
      </c>
      <c r="G29" s="53">
        <f>IF($E29="","",IFERROR(VLOOKUP($E29,Machine_List!$B:$C,2,0),""))</f>
        <v>46521</v>
      </c>
      <c r="H29" s="10">
        <f>IF($E29="","",IFERROR(VLOOKUP($E29,Machine_List!$B:$D,3,0),""))</f>
        <v>6</v>
      </c>
      <c r="I29" s="54"/>
      <c r="J29" s="55">
        <f ca="1">IF($A29="","",IF($I29&lt;&gt;"",$I29,MAX(GlobalStartDate,IFERROR(LOOKUP(2,1/($E$3:INDIRECT("E"&amp;(ROW()-1))=$E29),$M$3:INDIRECT("M"&amp;(ROW()-1))),GlobalStartDate))))</f>
        <v>46145.69907407408</v>
      </c>
      <c r="K29" s="10">
        <f>IF($A29="","",IFERROR(VLOOKUP(B29,CHOOSE(MATCH(C29,Settings!$L$4:$L$10,0),OPR_2P!$A$4:$I$18,SEG_6P!$A$4:$I$18,SOL_4P!$A$4:$I$18,RW_2P!$A$4:$I$18,RW2_4P!$A$4:$I$18,FLAP_4P!$A$4:$I$18,TUBE_4P!$A$4:$I$18),1,0),0))</f>
        <v>42</v>
      </c>
      <c r="L29" s="10">
        <f t="shared" si="0"/>
        <v>84</v>
      </c>
      <c r="M29" s="55">
        <f ca="1">IF($A29="","",IF(AND(ISNUMBER(G29),G29&gt;=J29,G29&lt;=(J29+(L29/(IF(F29="Contract Workman",Settings!$K$5,Settings!$K$4))))),J29+(L29/(IF(F29="Contract Workman",Settings!$K$5,Settings!$K$4)))+(H29/(IF(F29="Contract Workman",Settings!$K$5,Settings!$K$4))),J29+(L29/(IF(F29="Contract Workman",Settings!$K$5,Settings!$K$4)))))</f>
        <v>46149.587962962971</v>
      </c>
      <c r="N29" s="10" t="str">
        <f t="shared" ca="1" si="1"/>
        <v>Shift A</v>
      </c>
      <c r="O29" s="51" t="str">
        <f>IF(B29="","", IF(IFERROR(ISNUMBER(SEARCH(B29, VLOOKUP(E29, Machine_List!$B:$J, 9, 0))), FALSE()), "✅ Machine OK", "❌ Sug: " &amp; IFERROR(INDEX(Machine_List!$B$4:$B$50, MATCH("*"&amp;B29&amp;"*", Machine_List!$J$4:$J$50, 0)), "Check Limits")))</f>
        <v>✅ Machine OK</v>
      </c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2"/>
      <c r="AQ29" s="52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52"/>
      <c r="BC29" s="52"/>
      <c r="BD29" s="52"/>
      <c r="BE29" s="52"/>
      <c r="BF29" s="52"/>
      <c r="BG29" s="52"/>
      <c r="BH29" s="52"/>
      <c r="BI29" s="52"/>
      <c r="BJ29" s="52"/>
      <c r="BK29" s="52"/>
      <c r="BL29" s="52"/>
      <c r="BM29" s="52"/>
    </row>
    <row r="30" spans="1:65" ht="28.8" customHeight="1" x14ac:dyDescent="0.3">
      <c r="A30" s="10" t="str">
        <f>IF(Job_Master!A30="","",Job_Master!A30)</f>
        <v>BJ-127</v>
      </c>
      <c r="B30" s="10">
        <f>IF($A30="","",Job_Master!B30)</f>
        <v>15</v>
      </c>
      <c r="C30" s="10" t="str">
        <f>IF($A30="","",Job_Master!C30)</f>
        <v>RW</v>
      </c>
      <c r="D30" s="10">
        <f>IF($A30="","",Job_Master!D30)</f>
        <v>2</v>
      </c>
      <c r="E30" s="48" t="str">
        <f>IF($A30="","","VTL-MC-01")</f>
        <v>VTL-MC-01</v>
      </c>
      <c r="F30" s="106" t="str">
        <f>IF($E30="","",IFERROR(VLOOKUP($E30,Machine_List!$B:$G,6,0),""))</f>
        <v>General Workman</v>
      </c>
      <c r="G30" s="53">
        <f>IF($E30="","",IFERROR(VLOOKUP($E30,Machine_List!$B:$C,2,0),""))</f>
        <v>46133</v>
      </c>
      <c r="H30" s="10">
        <f>IF($E30="","",IFERROR(VLOOKUP($E30,Machine_List!$B:$D,3,0),""))</f>
        <v>6</v>
      </c>
      <c r="I30" s="54"/>
      <c r="J30" s="55">
        <f ca="1">IF($A30="","",IF($I30&lt;&gt;"",$I30,MAX(GlobalStartDate,IFERROR(LOOKUP(2,1/($E$3:INDIRECT("E"&amp;(ROW()-1))=$E30),$M$3:INDIRECT("M"&amp;(ROW()-1))),GlobalStartDate))))</f>
        <v>46134.310185185182</v>
      </c>
      <c r="K30" s="10">
        <f>IF($A30="","",IFERROR(VLOOKUP(B30,CHOOSE(MATCH(C30,Settings!$L$4:$L$10,0),OPR_2P!$A$4:$I$18,SEG_6P!$A$4:$I$18,SOL_4P!$A$4:$I$18,RW_2P!$A$4:$I$18,RW2_4P!$A$4:$I$18,FLAP_4P!$A$4:$I$18,TUBE_4P!$A$4:$I$18),1,0),0))</f>
        <v>15</v>
      </c>
      <c r="L30" s="10">
        <f t="shared" si="0"/>
        <v>30</v>
      </c>
      <c r="M30" s="55">
        <f ca="1">IF($A30="","",IF(AND(ISNUMBER(G30),G30&gt;=J30,G30&lt;=(J30+(L30/(IF(F30="Contract Workman",Settings!$K$5,Settings!$K$4))))),J30+(L30/(IF(F30="Contract Workman",Settings!$K$5,Settings!$K$4)))+(H30/(IF(F30="Contract Workman",Settings!$K$5,Settings!$K$4))),J30+(L30/(IF(F30="Contract Workman",Settings!$K$5,Settings!$K$4)))))</f>
        <v>46135.699074074073</v>
      </c>
      <c r="N30" s="10" t="str">
        <f t="shared" ca="1" si="1"/>
        <v>Shift B</v>
      </c>
      <c r="O30" s="51" t="str">
        <f>IF(B30="","", IF(IFERROR(ISNUMBER(SEARCH(B30, VLOOKUP(E30, Machine_List!$B:$J, 9, 0))), FALSE()), "✅ Machine OK", "❌ Sug: " &amp; IFERROR(INDEX(Machine_List!$B$4:$B$50, MATCH("*"&amp;B30&amp;"*", Machine_List!$J$4:$J$50, 0)), "Check Limits")))</f>
        <v>✅ Machine OK</v>
      </c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P30" s="52"/>
      <c r="AQ30" s="52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52"/>
      <c r="BC30" s="52"/>
      <c r="BD30" s="52"/>
      <c r="BE30" s="52"/>
      <c r="BF30" s="52"/>
      <c r="BG30" s="52"/>
      <c r="BH30" s="52"/>
      <c r="BI30" s="52"/>
      <c r="BJ30" s="52"/>
      <c r="BK30" s="52"/>
      <c r="BL30" s="52"/>
      <c r="BM30" s="52"/>
    </row>
    <row r="31" spans="1:65" ht="28.8" customHeight="1" x14ac:dyDescent="0.3">
      <c r="A31" s="10" t="str">
        <f>IF(Job_Master!A31="","",Job_Master!A31)</f>
        <v>BJ-128</v>
      </c>
      <c r="B31" s="10">
        <f>IF($A31="","",Job_Master!B31)</f>
        <v>46</v>
      </c>
      <c r="C31" s="10" t="str">
        <f>IF($A31="","",Job_Master!C31)</f>
        <v>2P</v>
      </c>
      <c r="D31" s="10">
        <f>IF($A31="","",Job_Master!D31)</f>
        <v>2</v>
      </c>
      <c r="E31" s="48" t="str">
        <f>IF($A31="","","VTL-MC-02")</f>
        <v>VTL-MC-02</v>
      </c>
      <c r="F31" s="106" t="str">
        <f>IF($E31="","",IFERROR(VLOOKUP($E31,Machine_List!$B:$G,6,0),""))</f>
        <v>General Workman</v>
      </c>
      <c r="G31" s="53">
        <f>IF($E31="","",IFERROR(VLOOKUP($E31,Machine_List!$B:$C,2,0),""))</f>
        <v>46521</v>
      </c>
      <c r="H31" s="10">
        <f>IF($E31="","",IFERROR(VLOOKUP($E31,Machine_List!$B:$D,3,0),""))</f>
        <v>6</v>
      </c>
      <c r="I31" s="54"/>
      <c r="J31" s="55">
        <f ca="1">IF($A31="","",IF($I31&lt;&gt;"",$I31,MAX(GlobalStartDate,IFERROR(LOOKUP(2,1/($E$3:INDIRECT("E"&amp;(ROW()-1))=$E31),$M$3:INDIRECT("M"&amp;(ROW()-1))),GlobalStartDate))))</f>
        <v>46149.587962962971</v>
      </c>
      <c r="K31" s="10">
        <f>IF($A31="","",IFERROR(VLOOKUP(B31,CHOOSE(MATCH(C31,Settings!$L$4:$L$10,0),OPR_2P!$A$4:$I$18,SEG_6P!$A$4:$I$18,SOL_4P!$A$4:$I$18,RW_2P!$A$4:$I$18,RW2_4P!$A$4:$I$18,FLAP_4P!$A$4:$I$18,TUBE_4P!$A$4:$I$18),1,0),0))</f>
        <v>46</v>
      </c>
      <c r="L31" s="10">
        <f t="shared" si="0"/>
        <v>92</v>
      </c>
      <c r="M31" s="55">
        <f ca="1">IF($A31="","",IF(AND(ISNUMBER(G31),G31&gt;=J31,G31&lt;=(J31+(L31/(IF(F31="Contract Workman",Settings!$K$5,Settings!$K$4))))),J31+(L31/(IF(F31="Contract Workman",Settings!$K$5,Settings!$K$4)))+(H31/(IF(F31="Contract Workman",Settings!$K$5,Settings!$K$4))),J31+(L31/(IF(F31="Contract Workman",Settings!$K$5,Settings!$K$4)))))</f>
        <v>46153.847222222234</v>
      </c>
      <c r="N31" s="10" t="str">
        <f t="shared" ca="1" si="1"/>
        <v>Shift B</v>
      </c>
      <c r="O31" s="51" t="str">
        <f>IF(B31="","", IF(IFERROR(ISNUMBER(SEARCH(B31, VLOOKUP(E31, Machine_List!$B:$J, 9, 0))), FALSE()), "✅ Machine OK", "❌ Sug: " &amp; IFERROR(INDEX(Machine_List!$B$4:$B$50, MATCH("*"&amp;B31&amp;"*", Machine_List!$J$4:$J$50, 0)), "Check Limits")))</f>
        <v>✅ Machine OK</v>
      </c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2"/>
      <c r="BC31" s="52"/>
      <c r="BD31" s="52"/>
      <c r="BE31" s="52"/>
      <c r="BF31" s="52"/>
      <c r="BG31" s="52"/>
      <c r="BH31" s="52"/>
      <c r="BI31" s="52"/>
      <c r="BJ31" s="52"/>
      <c r="BK31" s="52"/>
      <c r="BL31" s="52"/>
      <c r="BM31" s="52"/>
    </row>
    <row r="32" spans="1:65" ht="28.8" customHeight="1" x14ac:dyDescent="0.3">
      <c r="A32" s="10" t="str">
        <f>IF(Job_Master!A32="","",Job_Master!A32)</f>
        <v>BJ-125</v>
      </c>
      <c r="B32" s="10">
        <f>IF($A32="","",Job_Master!B32)</f>
        <v>25</v>
      </c>
      <c r="C32" s="10" t="str">
        <f>IF($A32="","",Job_Master!C32)</f>
        <v>SEG</v>
      </c>
      <c r="D32" s="10">
        <f>IF($A32="","",Job_Master!D32)</f>
        <v>6</v>
      </c>
      <c r="E32" s="48" t="str">
        <f>IF($A32="","","VTL-MC-01")</f>
        <v>VTL-MC-01</v>
      </c>
      <c r="F32" s="106" t="str">
        <f>IF($E32="","",IFERROR(VLOOKUP($E32,Machine_List!$B:$G,6,0),""))</f>
        <v>General Workman</v>
      </c>
      <c r="G32" s="53">
        <f>IF($E32="","",IFERROR(VLOOKUP($E32,Machine_List!$B:$C,2,0),""))</f>
        <v>46133</v>
      </c>
      <c r="H32" s="10">
        <f>IF($E32="","",IFERROR(VLOOKUP($E32,Machine_List!$B:$D,3,0),""))</f>
        <v>6</v>
      </c>
      <c r="I32" s="54"/>
      <c r="J32" s="55">
        <f ca="1">IF($A32="","",IF($I32&lt;&gt;"",$I32,MAX(GlobalStartDate,IFERROR(LOOKUP(2,1/($E$3:INDIRECT("E"&amp;(ROW()-1))=$E32),$M$3:INDIRECT("M"&amp;(ROW()-1))),GlobalStartDate))))</f>
        <v>46135.699074074073</v>
      </c>
      <c r="K32" s="10">
        <f>IF($A32="","",IFERROR(VLOOKUP(B32,CHOOSE(MATCH(C32,Settings!$L$4:$L$10,0),OPR_2P!$A$4:$I$18,SEG_6P!$A$4:$I$18,SOL_4P!$A$4:$I$18,RW_2P!$A$4:$I$18,RW2_4P!$A$4:$I$18,FLAP_4P!$A$4:$I$18,TUBE_4P!$A$4:$I$18),1,0),0))</f>
        <v>25</v>
      </c>
      <c r="L32" s="10">
        <f t="shared" si="0"/>
        <v>150</v>
      </c>
      <c r="M32" s="55">
        <f ca="1">IF($A32="","",IF(AND(ISNUMBER(G32),G32&gt;=J32,G32&lt;=(J32+(L32/(IF(F32="Contract Workman",Settings!$K$5,Settings!$K$4))))),J32+(L32/(IF(F32="Contract Workman",Settings!$K$5,Settings!$K$4)))+(H32/(IF(F32="Contract Workman",Settings!$K$5,Settings!$K$4))),J32+(L32/(IF(F32="Contract Workman",Settings!$K$5,Settings!$K$4)))))</f>
        <v>46142.643518518518</v>
      </c>
      <c r="N32" s="10" t="str">
        <f t="shared" ca="1" si="1"/>
        <v>Shift B</v>
      </c>
      <c r="O32" s="51" t="str">
        <f>IF(B32="","", IF(IFERROR(ISNUMBER(SEARCH(B32, VLOOKUP(E32, Machine_List!$B:$J, 9, 0))), FALSE()), "✅ Machine OK", "❌ Sug: " &amp; IFERROR(INDEX(Machine_List!$B$4:$B$50, MATCH("*"&amp;B32&amp;"*", Machine_List!$J$4:$J$50, 0)), "Check Limits")))</f>
        <v>✅ Machine OK</v>
      </c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2"/>
      <c r="AO32" s="52"/>
      <c r="AP32" s="52"/>
      <c r="AQ32" s="52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52"/>
      <c r="BC32" s="52"/>
      <c r="BD32" s="52"/>
      <c r="BE32" s="52"/>
      <c r="BF32" s="52"/>
      <c r="BG32" s="52"/>
      <c r="BH32" s="52"/>
      <c r="BI32" s="52"/>
      <c r="BJ32" s="52"/>
      <c r="BK32" s="52"/>
      <c r="BL32" s="52"/>
      <c r="BM32" s="52"/>
    </row>
    <row r="33" spans="1:65" ht="28.8" customHeight="1" x14ac:dyDescent="0.3">
      <c r="A33" s="10" t="str">
        <f>IF(Job_Master!A33="","",Job_Master!A33)</f>
        <v>BJ-129</v>
      </c>
      <c r="B33" s="10">
        <f>IF($A33="","",Job_Master!B33)</f>
        <v>9</v>
      </c>
      <c r="C33" s="10" t="str">
        <f>IF($A33="","",Job_Master!C33)</f>
        <v>RW</v>
      </c>
      <c r="D33" s="10">
        <f>IF($A33="","",Job_Master!D33)</f>
        <v>2</v>
      </c>
      <c r="E33" s="48" t="str">
        <f>IF($A33="","","VTL-MC-01")</f>
        <v>VTL-MC-01</v>
      </c>
      <c r="F33" s="106" t="str">
        <f>IF($E33="","",IFERROR(VLOOKUP($E33,Machine_List!$B:$G,6,0),""))</f>
        <v>General Workman</v>
      </c>
      <c r="G33" s="53">
        <f>IF($E33="","",IFERROR(VLOOKUP($E33,Machine_List!$B:$C,2,0),""))</f>
        <v>46133</v>
      </c>
      <c r="H33" s="10">
        <f>IF($E33="","",IFERROR(VLOOKUP($E33,Machine_List!$B:$D,3,0),""))</f>
        <v>6</v>
      </c>
      <c r="I33" s="54"/>
      <c r="J33" s="55">
        <f ca="1">IF($A33="","",IF($I33&lt;&gt;"",$I33,MAX(GlobalStartDate,IFERROR(LOOKUP(2,1/($E$3:INDIRECT("E"&amp;(ROW()-1))=$E33),$M$3:INDIRECT("M"&amp;(ROW()-1))),GlobalStartDate))))</f>
        <v>46142.643518518518</v>
      </c>
      <c r="K33" s="10">
        <f>IF($A33="","",IFERROR(VLOOKUP(B33,CHOOSE(MATCH(C33,Settings!$L$4:$L$10,0),OPR_2P!$A$4:$I$18,SEG_6P!$A$4:$I$18,SOL_4P!$A$4:$I$18,RW_2P!$A$4:$I$18,RW2_4P!$A$4:$I$18,FLAP_4P!$A$4:$I$18,TUBE_4P!$A$4:$I$18),1,0),0))</f>
        <v>9</v>
      </c>
      <c r="L33" s="10">
        <f t="shared" si="0"/>
        <v>18</v>
      </c>
      <c r="M33" s="55">
        <f ca="1">IF($A33="","",IF(AND(ISNUMBER(G33),G33&gt;=J33,G33&lt;=(J33+(L33/(IF(F33="Contract Workman",Settings!$K$5,Settings!$K$4))))),J33+(L33/(IF(F33="Contract Workman",Settings!$K$5,Settings!$K$4)))+(H33/(IF(F33="Contract Workman",Settings!$K$5,Settings!$K$4))),J33+(L33/(IF(F33="Contract Workman",Settings!$K$5,Settings!$K$4)))))</f>
        <v>46143.476851851854</v>
      </c>
      <c r="N33" s="10" t="str">
        <f t="shared" ca="1" si="1"/>
        <v>Shift A</v>
      </c>
      <c r="O33" s="51" t="str">
        <f>IF(B33="","", IF(IFERROR(ISNUMBER(SEARCH(B33, VLOOKUP(E33, Machine_List!$B:$J, 9, 0))), FALSE()), "✅ Machine OK", "❌ Sug: " &amp; IFERROR(INDEX(Machine_List!$B$4:$B$50, MATCH("*"&amp;B33&amp;"*", Machine_List!$J$4:$J$50, 0)), "Check Limits")))</f>
        <v>✅ Machine OK</v>
      </c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2"/>
      <c r="AQ33" s="52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/>
      <c r="BD33" s="52"/>
      <c r="BE33" s="52"/>
      <c r="BF33" s="52"/>
      <c r="BG33" s="52"/>
      <c r="BH33" s="52"/>
      <c r="BI33" s="52"/>
      <c r="BJ33" s="52"/>
      <c r="BK33" s="52"/>
      <c r="BL33" s="52"/>
      <c r="BM33" s="52"/>
    </row>
    <row r="34" spans="1:65" ht="28.8" customHeight="1" x14ac:dyDescent="0.3">
      <c r="A34" s="10" t="str">
        <f>IF(Job_Master!A34="","",Job_Master!A34)</f>
        <v>BJ-130</v>
      </c>
      <c r="B34" s="10">
        <f>IF($A34="","",Job_Master!B34)</f>
        <v>57</v>
      </c>
      <c r="C34" s="10" t="str">
        <f>IF($A34="","",Job_Master!C34)</f>
        <v>RW</v>
      </c>
      <c r="D34" s="10">
        <f>IF($A34="","",Job_Master!D34)</f>
        <v>2</v>
      </c>
      <c r="E34" s="48" t="str">
        <f>IF($A34="","","VTL-MC-03")</f>
        <v>VTL-MC-03</v>
      </c>
      <c r="F34" s="106" t="str">
        <f>IF($E34="","",IFERROR(VLOOKUP($E34,Machine_List!$B:$G,6,0),""))</f>
        <v>General Workman</v>
      </c>
      <c r="G34" s="53">
        <f>IF($E34="","",IFERROR(VLOOKUP($E34,Machine_List!$B:$C,2,0),""))</f>
        <v>46174</v>
      </c>
      <c r="H34" s="10">
        <f>IF($E34="","",IFERROR(VLOOKUP($E34,Machine_List!$B:$D,3,0),""))</f>
        <v>6</v>
      </c>
      <c r="I34" s="54"/>
      <c r="J34" s="55">
        <f ca="1">IF($A34="","",IF($I34&lt;&gt;"",$I34,MAX(GlobalStartDate,IFERROR(LOOKUP(2,1/($E$3:INDIRECT("E"&amp;(ROW()-1))=$E34),$M$3:INDIRECT("M"&amp;(ROW()-1))),GlobalStartDate))))</f>
        <v>46145.976851851839</v>
      </c>
      <c r="K34" s="10">
        <f>IF($A34="","",IFERROR(VLOOKUP(B34,CHOOSE(MATCH(C34,Settings!$L$4:$L$10,0),OPR_2P!$A$4:$I$18,SEG_6P!$A$4:$I$18,SOL_4P!$A$4:$I$18,RW_2P!$A$4:$I$18,RW2_4P!$A$4:$I$18,FLAP_4P!$A$4:$I$18,TUBE_4P!$A$4:$I$18),1,0),0))</f>
        <v>57</v>
      </c>
      <c r="L34" s="10">
        <f t="shared" si="0"/>
        <v>114</v>
      </c>
      <c r="M34" s="55">
        <f ca="1">IF($A34="","",IF(AND(ISNUMBER(G34),G34&gt;=J34,G34&lt;=(J34+(L34/(IF(F34="Contract Workman",Settings!$K$5,Settings!$K$4))))),J34+(L34/(IF(F34="Contract Workman",Settings!$K$5,Settings!$K$4)))+(H34/(IF(F34="Contract Workman",Settings!$K$5,Settings!$K$4))),J34+(L34/(IF(F34="Contract Workman",Settings!$K$5,Settings!$K$4)))))</f>
        <v>46151.25462962962</v>
      </c>
      <c r="N34" s="10" t="str">
        <f t="shared" ca="1" si="1"/>
        <v>Shift C</v>
      </c>
      <c r="O34" s="51" t="str">
        <f>IF(B34="","", IF(IFERROR(ISNUMBER(SEARCH(B34, VLOOKUP(E34, Machine_List!$B:$J, 9, 0))), FALSE()), "✅ Machine OK", "❌ Sug: " &amp; IFERROR(INDEX(Machine_List!$B$4:$B$50, MATCH("*"&amp;B34&amp;"*", Machine_List!$J$4:$J$50, 0)), "Check Limits")))</f>
        <v>✅ Machine OK</v>
      </c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2"/>
      <c r="AO34" s="52"/>
      <c r="AP34" s="52"/>
      <c r="AQ34" s="52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52"/>
      <c r="BC34" s="52"/>
      <c r="BD34" s="52"/>
      <c r="BE34" s="52"/>
      <c r="BF34" s="52"/>
      <c r="BG34" s="52"/>
      <c r="BH34" s="52"/>
      <c r="BI34" s="52"/>
      <c r="BJ34" s="52"/>
      <c r="BK34" s="52"/>
      <c r="BL34" s="52"/>
      <c r="BM34" s="52"/>
    </row>
    <row r="35" spans="1:65" ht="28.8" customHeight="1" x14ac:dyDescent="0.3">
      <c r="A35" s="10" t="str">
        <f>IF(Job_Master!A35="","",Job_Master!A35)</f>
        <v>BJ-133</v>
      </c>
      <c r="B35" s="10">
        <f>IF($A35="","",Job_Master!B35)</f>
        <v>25</v>
      </c>
      <c r="C35" s="10" t="str">
        <f>IF($A35="","",Job_Master!C35)</f>
        <v>RW</v>
      </c>
      <c r="D35" s="10">
        <f>IF($A35="","",Job_Master!D35)</f>
        <v>2</v>
      </c>
      <c r="E35" s="48" t="str">
        <f>IF($A35="","","VTL-MC-01")</f>
        <v>VTL-MC-01</v>
      </c>
      <c r="F35" s="106" t="str">
        <f>IF($E35="","",IFERROR(VLOOKUP($E35,Machine_List!$B:$G,6,0),""))</f>
        <v>General Workman</v>
      </c>
      <c r="G35" s="53">
        <f>IF($E35="","",IFERROR(VLOOKUP($E35,Machine_List!$B:$C,2,0),""))</f>
        <v>46133</v>
      </c>
      <c r="H35" s="10">
        <f>IF($E35="","",IFERROR(VLOOKUP($E35,Machine_List!$B:$D,3,0),""))</f>
        <v>6</v>
      </c>
      <c r="I35" s="54"/>
      <c r="J35" s="55">
        <f ca="1">IF($A35="","",IF($I35&lt;&gt;"",$I35,MAX(GlobalStartDate,IFERROR(LOOKUP(2,1/($E$3:INDIRECT("E"&amp;(ROW()-1))=$E35),$M$3:INDIRECT("M"&amp;(ROW()-1))),GlobalStartDate))))</f>
        <v>46143.476851851854</v>
      </c>
      <c r="K35" s="10">
        <f>IF($A35="","",IFERROR(VLOOKUP(B35,CHOOSE(MATCH(C35,Settings!$L$4:$L$10,0),OPR_2P!$A$4:$I$18,SEG_6P!$A$4:$I$18,SOL_4P!$A$4:$I$18,RW_2P!$A$4:$I$18,RW2_4P!$A$4:$I$18,FLAP_4P!$A$4:$I$18,TUBE_4P!$A$4:$I$18),1,0),0))</f>
        <v>25</v>
      </c>
      <c r="L35" s="10">
        <f t="shared" si="0"/>
        <v>50</v>
      </c>
      <c r="M35" s="55">
        <f ca="1">IF($A35="","",IF(AND(ISNUMBER(G35),G35&gt;=J35,G35&lt;=(J35+(L35/(IF(F35="Contract Workman",Settings!$K$5,Settings!$K$4))))),J35+(L35/(IF(F35="Contract Workman",Settings!$K$5,Settings!$K$4)))+(H35/(IF(F35="Contract Workman",Settings!$K$5,Settings!$K$4))),J35+(L35/(IF(F35="Contract Workman",Settings!$K$5,Settings!$K$4)))))</f>
        <v>46145.791666666672</v>
      </c>
      <c r="N35" s="10" t="str">
        <f t="shared" ca="1" si="1"/>
        <v>Shift B</v>
      </c>
      <c r="O35" s="51" t="str">
        <f>IF(B35="","", IF(IFERROR(ISNUMBER(SEARCH(B35, VLOOKUP(E35, Machine_List!$B:$J, 9, 0))), FALSE()), "✅ Machine OK", "❌ Sug: " &amp; IFERROR(INDEX(Machine_List!$B$4:$B$50, MATCH("*"&amp;B35&amp;"*", Machine_List!$J$4:$J$50, 0)), "Check Limits")))</f>
        <v>✅ Machine OK</v>
      </c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2"/>
      <c r="BF35" s="52"/>
      <c r="BG35" s="52"/>
      <c r="BH35" s="52"/>
      <c r="BI35" s="52"/>
      <c r="BJ35" s="52"/>
      <c r="BK35" s="52"/>
      <c r="BL35" s="52"/>
      <c r="BM35" s="52"/>
    </row>
    <row r="36" spans="1:65" ht="28.8" customHeight="1" x14ac:dyDescent="0.3">
      <c r="A36" s="10" t="str">
        <f>IF(Job_Master!A36="","",Job_Master!A36)</f>
        <v>BJ-131</v>
      </c>
      <c r="B36" s="10">
        <f>IF($A36="","",Job_Master!B36)</f>
        <v>70</v>
      </c>
      <c r="C36" s="10" t="str">
        <f>IF($A36="","",Job_Master!C36)</f>
        <v>2P</v>
      </c>
      <c r="D36" s="10">
        <f>IF($A36="","",Job_Master!D36)</f>
        <v>2</v>
      </c>
      <c r="E36" s="48" t="str">
        <f>IF($A36="","","VTL-MC-03")</f>
        <v>VTL-MC-03</v>
      </c>
      <c r="F36" s="106" t="str">
        <f>IF($E36="","",IFERROR(VLOOKUP($E36,Machine_List!$B:$G,6,0),""))</f>
        <v>General Workman</v>
      </c>
      <c r="G36" s="53">
        <f>IF($E36="","",IFERROR(VLOOKUP($E36,Machine_List!$B:$C,2,0),""))</f>
        <v>46174</v>
      </c>
      <c r="H36" s="10">
        <f>IF($E36="","",IFERROR(VLOOKUP($E36,Machine_List!$B:$D,3,0),""))</f>
        <v>6</v>
      </c>
      <c r="I36" s="54"/>
      <c r="J36" s="55">
        <f ca="1">IF($A36="","",IF($I36&lt;&gt;"",$I36,MAX(GlobalStartDate,IFERROR(LOOKUP(2,1/($E$3:INDIRECT("E"&amp;(ROW()-1))=$E36),$M$3:INDIRECT("M"&amp;(ROW()-1))),GlobalStartDate))))</f>
        <v>46151.25462962962</v>
      </c>
      <c r="K36" s="10">
        <f>IF($A36="","",IFERROR(VLOOKUP(B36,CHOOSE(MATCH(C36,Settings!$L$4:$L$10,0),OPR_2P!$A$4:$I$18,SEG_6P!$A$4:$I$18,SOL_4P!$A$4:$I$18,RW_2P!$A$4:$I$18,RW2_4P!$A$4:$I$18,FLAP_4P!$A$4:$I$18,TUBE_4P!$A$4:$I$18),1,0),0))</f>
        <v>70</v>
      </c>
      <c r="L36" s="10">
        <f t="shared" si="0"/>
        <v>140</v>
      </c>
      <c r="M36" s="55">
        <f ca="1">IF($A36="","",IF(AND(ISNUMBER(G36),G36&gt;=J36,G36&lt;=(J36+(L36/(IF(F36="Contract Workman",Settings!$K$5,Settings!$K$4))))),J36+(L36/(IF(F36="Contract Workman",Settings!$K$5,Settings!$K$4)))+(H36/(IF(F36="Contract Workman",Settings!$K$5,Settings!$K$4))),J36+(L36/(IF(F36="Contract Workman",Settings!$K$5,Settings!$K$4)))))</f>
        <v>46157.736111111102</v>
      </c>
      <c r="N36" s="10" t="str">
        <f t="shared" ref="N36:N67" ca="1" si="2">IF($A36="","",IF(F36="Contract Workman",IF(AND(MOD(M36,1)&gt;=8/24,MOD(M36,1)&lt;20/24),"Shift S1","Shift S2"),IF(AND(MOD(M36,1)&gt;=7/24,MOD(M36,1)&lt;15/24),"Shift A",IF(AND(MOD(M36,1)&gt;=15/24,MOD(M36,1)&lt;23/24),"Shift B","Shift C"))))</f>
        <v>Shift B</v>
      </c>
      <c r="O36" s="51" t="str">
        <f>IF(B36="","", IF(IFERROR(ISNUMBER(SEARCH(B36, VLOOKUP(E36, Machine_List!$B:$J, 9, 0))), FALSE()), "✅ Machine OK", "❌ Sug: " &amp; IFERROR(INDEX(Machine_List!$B$4:$B$50, MATCH("*"&amp;B36&amp;"*", Machine_List!$J$4:$J$50, 0)), "Check Limits")))</f>
        <v>✅ Machine OK</v>
      </c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2"/>
      <c r="AN36" s="52"/>
      <c r="AO36" s="52"/>
      <c r="AP36" s="52"/>
      <c r="AQ36" s="52"/>
      <c r="AR36" s="52"/>
      <c r="AS36" s="52"/>
      <c r="AT36" s="52"/>
      <c r="AU36" s="52"/>
      <c r="AV36" s="52"/>
      <c r="AW36" s="52"/>
      <c r="AX36" s="52"/>
      <c r="AY36" s="52"/>
      <c r="AZ36" s="52"/>
      <c r="BA36" s="52"/>
      <c r="BB36" s="52"/>
      <c r="BC36" s="52"/>
      <c r="BD36" s="52"/>
      <c r="BE36" s="52"/>
      <c r="BF36" s="52"/>
      <c r="BG36" s="52"/>
      <c r="BH36" s="52"/>
      <c r="BI36" s="52"/>
      <c r="BJ36" s="52"/>
      <c r="BK36" s="52"/>
      <c r="BL36" s="52"/>
      <c r="BM36" s="52"/>
    </row>
    <row r="37" spans="1:65" ht="28.8" customHeight="1" x14ac:dyDescent="0.3">
      <c r="A37" s="10" t="str">
        <f>IF(Job_Master!A37="","",Job_Master!A37)</f>
        <v>BJ-134</v>
      </c>
      <c r="B37" s="10">
        <f>IF($A37="","",Job_Master!B37)</f>
        <v>15</v>
      </c>
      <c r="C37" s="10" t="str">
        <f>IF($A37="","",Job_Master!C37)</f>
        <v>RW</v>
      </c>
      <c r="D37" s="10">
        <f>IF($A37="","",Job_Master!D37)</f>
        <v>2</v>
      </c>
      <c r="E37" s="48" t="str">
        <f>IF($A37="","","VTL-MC-01")</f>
        <v>VTL-MC-01</v>
      </c>
      <c r="F37" s="106" t="str">
        <f>IF($E37="","",IFERROR(VLOOKUP($E37,Machine_List!$B:$G,6,0),""))</f>
        <v>General Workman</v>
      </c>
      <c r="G37" s="53">
        <f>IF($E37="","",IFERROR(VLOOKUP($E37,Machine_List!$B:$C,2,0),""))</f>
        <v>46133</v>
      </c>
      <c r="H37" s="10">
        <f>IF($E37="","",IFERROR(VLOOKUP($E37,Machine_List!$B:$D,3,0),""))</f>
        <v>6</v>
      </c>
      <c r="I37" s="54"/>
      <c r="J37" s="55">
        <f ca="1">IF($A37="","",IF($I37&lt;&gt;"",$I37,MAX(GlobalStartDate,IFERROR(LOOKUP(2,1/($E$3:INDIRECT("E"&amp;(ROW()-1))=$E37),$M$3:INDIRECT("M"&amp;(ROW()-1))),GlobalStartDate))))</f>
        <v>46145.791666666672</v>
      </c>
      <c r="K37" s="10">
        <f>IF($A37="","",IFERROR(VLOOKUP(B37,CHOOSE(MATCH(C37,Settings!$L$4:$L$10,0),OPR_2P!$A$4:$I$18,SEG_6P!$A$4:$I$18,SOL_4P!$A$4:$I$18,RW_2P!$A$4:$I$18,RW2_4P!$A$4:$I$18,FLAP_4P!$A$4:$I$18,TUBE_4P!$A$4:$I$18),1,0),0))</f>
        <v>15</v>
      </c>
      <c r="L37" s="10">
        <f t="shared" si="0"/>
        <v>30</v>
      </c>
      <c r="M37" s="55">
        <f ca="1">IF($A37="","",IF(AND(ISNUMBER(G37),G37&gt;=J37,G37&lt;=(J37+(L37/(IF(F37="Contract Workman",Settings!$K$5,Settings!$K$4))))),J37+(L37/(IF(F37="Contract Workman",Settings!$K$5,Settings!$K$4)))+(H37/(IF(F37="Contract Workman",Settings!$K$5,Settings!$K$4))),J37+(L37/(IF(F37="Contract Workman",Settings!$K$5,Settings!$K$4)))))</f>
        <v>46147.180555555562</v>
      </c>
      <c r="N37" s="10" t="str">
        <f t="shared" ca="1" si="2"/>
        <v>Shift C</v>
      </c>
      <c r="O37" s="51" t="str">
        <f>IF(B37="","", IF(IFERROR(ISNUMBER(SEARCH(B37, VLOOKUP(E37, Machine_List!$B:$J, 9, 0))), FALSE()), "✅ Machine OK", "❌ Sug: " &amp; IFERROR(INDEX(Machine_List!$B$4:$B$50, MATCH("*"&amp;B37&amp;"*", Machine_List!$J$4:$J$50, 0)), "Check Limits")))</f>
        <v>✅ Machine OK</v>
      </c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2"/>
      <c r="AN37" s="52"/>
      <c r="AO37" s="52"/>
      <c r="AP37" s="52"/>
      <c r="AQ37" s="52"/>
      <c r="AR37" s="52"/>
      <c r="AS37" s="52"/>
      <c r="AT37" s="52"/>
      <c r="AU37" s="52"/>
      <c r="AV37" s="52"/>
      <c r="AW37" s="52"/>
      <c r="AX37" s="52"/>
      <c r="AY37" s="52"/>
      <c r="AZ37" s="52"/>
      <c r="BA37" s="52"/>
      <c r="BB37" s="52"/>
      <c r="BC37" s="52"/>
      <c r="BD37" s="52"/>
      <c r="BE37" s="52"/>
      <c r="BF37" s="52"/>
      <c r="BG37" s="52"/>
      <c r="BH37" s="52"/>
      <c r="BI37" s="52"/>
      <c r="BJ37" s="52"/>
      <c r="BK37" s="52"/>
      <c r="BL37" s="52"/>
      <c r="BM37" s="52"/>
    </row>
    <row r="38" spans="1:65" ht="28.8" customHeight="1" x14ac:dyDescent="0.3">
      <c r="A38" s="10" t="str">
        <f>IF(Job_Master!A38="","",Job_Master!A38)</f>
        <v>BJ-135</v>
      </c>
      <c r="B38" s="10">
        <f>IF($A38="","",Job_Master!B38)</f>
        <v>28</v>
      </c>
      <c r="C38" s="10" t="str">
        <f>IF($A38="","",Job_Master!C38)</f>
        <v>2P</v>
      </c>
      <c r="D38" s="10">
        <f>IF($A38="","",Job_Master!D38)</f>
        <v>2</v>
      </c>
      <c r="E38" s="48" t="str">
        <f>IF($A38="","","VTL-MC-01")</f>
        <v>VTL-MC-01</v>
      </c>
      <c r="F38" s="106" t="str">
        <f>IF($E38="","",IFERROR(VLOOKUP($E38,Machine_List!$B:$G,6,0),""))</f>
        <v>General Workman</v>
      </c>
      <c r="G38" s="53">
        <f>IF($E38="","",IFERROR(VLOOKUP($E38,Machine_List!$B:$C,2,0),""))</f>
        <v>46133</v>
      </c>
      <c r="H38" s="10">
        <f>IF($E38="","",IFERROR(VLOOKUP($E38,Machine_List!$B:$D,3,0),""))</f>
        <v>6</v>
      </c>
      <c r="I38" s="54"/>
      <c r="J38" s="55">
        <f ca="1">IF($A38="","",IF($I38&lt;&gt;"",$I38,MAX(GlobalStartDate,IFERROR(LOOKUP(2,1/($E$3:INDIRECT("E"&amp;(ROW()-1))=$E38),$M$3:INDIRECT("M"&amp;(ROW()-1))),GlobalStartDate))))</f>
        <v>46147.180555555562</v>
      </c>
      <c r="K38" s="10">
        <f>IF($A38="","",IFERROR(VLOOKUP(B38,CHOOSE(MATCH(C38,Settings!$L$4:$L$10,0),OPR_2P!$A$4:$I$18,SEG_6P!$A$4:$I$18,SOL_4P!$A$4:$I$18,RW_2P!$A$4:$I$18,RW2_4P!$A$4:$I$18,FLAP_4P!$A$4:$I$18,TUBE_4P!$A$4:$I$18),1,0),0))</f>
        <v>28</v>
      </c>
      <c r="L38" s="10">
        <f t="shared" si="0"/>
        <v>56</v>
      </c>
      <c r="M38" s="55">
        <f ca="1">IF($A38="","",IF(AND(ISNUMBER(G38),G38&gt;=J38,G38&lt;=(J38+(L38/(IF(F38="Contract Workman",Settings!$K$5,Settings!$K$4))))),J38+(L38/(IF(F38="Contract Workman",Settings!$K$5,Settings!$K$4)))+(H38/(IF(F38="Contract Workman",Settings!$K$5,Settings!$K$4))),J38+(L38/(IF(F38="Contract Workman",Settings!$K$5,Settings!$K$4)))))</f>
        <v>46149.773148148153</v>
      </c>
      <c r="N38" s="10" t="str">
        <f t="shared" ca="1" si="2"/>
        <v>Shift B</v>
      </c>
      <c r="O38" s="51" t="str">
        <f>IF(B38="","", IF(IFERROR(ISNUMBER(SEARCH(B38, VLOOKUP(E38, Machine_List!$B:$J, 9, 0))), FALSE()), "✅ Machine OK", "❌ Sug: " &amp; IFERROR(INDEX(Machine_List!$B$4:$B$50, MATCH("*"&amp;B38&amp;"*", Machine_List!$J$4:$J$50, 0)), "Check Limits")))</f>
        <v>✅ Machine OK</v>
      </c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2"/>
      <c r="AN38" s="52"/>
      <c r="AO38" s="52"/>
      <c r="AP38" s="52"/>
      <c r="AQ38" s="52"/>
      <c r="AR38" s="52"/>
      <c r="AS38" s="52"/>
      <c r="AT38" s="52"/>
      <c r="AU38" s="52"/>
      <c r="AV38" s="52"/>
      <c r="AW38" s="52"/>
      <c r="AX38" s="52"/>
      <c r="AY38" s="52"/>
      <c r="AZ38" s="52"/>
      <c r="BA38" s="52"/>
      <c r="BB38" s="52"/>
      <c r="BC38" s="52"/>
      <c r="BD38" s="52"/>
      <c r="BE38" s="52"/>
      <c r="BF38" s="52"/>
      <c r="BG38" s="52"/>
      <c r="BH38" s="52"/>
      <c r="BI38" s="52"/>
      <c r="BJ38" s="52"/>
      <c r="BK38" s="52"/>
      <c r="BL38" s="52"/>
      <c r="BM38" s="52"/>
    </row>
    <row r="39" spans="1:65" ht="28.8" customHeight="1" x14ac:dyDescent="0.3">
      <c r="A39" s="10" t="str">
        <f>IF(Job_Master!A39="","",Job_Master!A39)</f>
        <v>BJ-132</v>
      </c>
      <c r="B39" s="10">
        <f>IF($A39="","",Job_Master!B39)</f>
        <v>57</v>
      </c>
      <c r="C39" s="10" t="str">
        <f>IF($A39="","",Job_Master!C39)</f>
        <v>SOL</v>
      </c>
      <c r="D39" s="10">
        <f>IF($A39="","",Job_Master!D39)</f>
        <v>4</v>
      </c>
      <c r="E39" s="48" t="str">
        <f>IF($A39="","","VTL-MC-04")</f>
        <v>VTL-MC-04</v>
      </c>
      <c r="F39" s="106" t="str">
        <f>IF($E39="","",IFERROR(VLOOKUP($E39,Machine_List!$B:$G,6,0),""))</f>
        <v>General Workman</v>
      </c>
      <c r="G39" s="53">
        <f>IF($E39="","",IFERROR(VLOOKUP($E39,Machine_List!$B:$C,2,0),""))</f>
        <v>46517</v>
      </c>
      <c r="H39" s="10">
        <f>IF($E39="","",IFERROR(VLOOKUP($E39,Machine_List!$B:$D,3,0),""))</f>
        <v>6</v>
      </c>
      <c r="I39" s="54"/>
      <c r="J39" s="55">
        <f ca="1">IF($A39="","",IF($I39&lt;&gt;"",$I39,MAX(GlobalStartDate,IFERROR(LOOKUP(2,1/($E$3:INDIRECT("E"&amp;(ROW()-1))=$E39),$M$3:INDIRECT("M"&amp;(ROW()-1))),GlobalStartDate))))</f>
        <v>46151.902777777774</v>
      </c>
      <c r="K39" s="10">
        <f>IF($A39="","",IFERROR(VLOOKUP(B39,CHOOSE(MATCH(C39,Settings!$L$4:$L$10,0),OPR_2P!$A$4:$I$18,SEG_6P!$A$4:$I$18,SOL_4P!$A$4:$I$18,RW_2P!$A$4:$I$18,RW2_4P!$A$4:$I$18,FLAP_4P!$A$4:$I$18,TUBE_4P!$A$4:$I$18),1,0),0))</f>
        <v>57</v>
      </c>
      <c r="L39" s="10">
        <f t="shared" si="0"/>
        <v>228</v>
      </c>
      <c r="M39" s="55">
        <f ca="1">IF($A39="","",IF(AND(ISNUMBER(G39),G39&gt;=J39,G39&lt;=(J39+(L39/(IF(F39="Contract Workman",Settings!$K$5,Settings!$K$4))))),J39+(L39/(IF(F39="Contract Workman",Settings!$K$5,Settings!$K$4)))+(H39/(IF(F39="Contract Workman",Settings!$K$5,Settings!$K$4))),J39+(L39/(IF(F39="Contract Workman",Settings!$K$5,Settings!$K$4)))))</f>
        <v>46162.458333333328</v>
      </c>
      <c r="N39" s="10" t="str">
        <f t="shared" ca="1" si="2"/>
        <v>Shift A</v>
      </c>
      <c r="O39" s="51" t="str">
        <f>IF(B39="","", IF(IFERROR(ISNUMBER(SEARCH(B39, VLOOKUP(E39, Machine_List!$B:$J, 9, 0))), FALSE()), "✅ Machine OK", "❌ Sug: " &amp; IFERROR(INDEX(Machine_List!$B$4:$B$50, MATCH("*"&amp;B39&amp;"*", Machine_List!$J$4:$J$50, 0)), "Check Limits")))</f>
        <v>✅ Machine OK</v>
      </c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2"/>
      <c r="AN39" s="52"/>
      <c r="AO39" s="52"/>
      <c r="AP39" s="52"/>
      <c r="AQ39" s="52"/>
      <c r="AR39" s="52"/>
      <c r="AS39" s="52"/>
      <c r="AT39" s="52"/>
      <c r="AU39" s="52"/>
      <c r="AV39" s="52"/>
      <c r="AW39" s="52"/>
      <c r="AX39" s="52"/>
      <c r="AY39" s="52"/>
      <c r="AZ39" s="52"/>
      <c r="BA39" s="52"/>
      <c r="BB39" s="52"/>
      <c r="BC39" s="52"/>
      <c r="BD39" s="52"/>
      <c r="BE39" s="52"/>
      <c r="BF39" s="52"/>
      <c r="BG39" s="52"/>
      <c r="BH39" s="52"/>
      <c r="BI39" s="52"/>
      <c r="BJ39" s="52"/>
      <c r="BK39" s="52"/>
      <c r="BL39" s="52"/>
      <c r="BM39" s="52"/>
    </row>
    <row r="40" spans="1:65" ht="28.8" customHeight="1" x14ac:dyDescent="0.3">
      <c r="A40" s="10" t="str">
        <f>IF(Job_Master!A40="","",Job_Master!A40)</f>
        <v>BJ-136</v>
      </c>
      <c r="B40" s="10">
        <f>IF($A40="","",Job_Master!B40)</f>
        <v>20</v>
      </c>
      <c r="C40" s="10" t="str">
        <f>IF($A40="","",Job_Master!C40)</f>
        <v>RW</v>
      </c>
      <c r="D40" s="10">
        <f>IF($A40="","",Job_Master!D40)</f>
        <v>2</v>
      </c>
      <c r="E40" s="48" t="str">
        <f>IF($A40="","","VTL-MC-01")</f>
        <v>VTL-MC-01</v>
      </c>
      <c r="F40" s="106" t="str">
        <f>IF($E40="","",IFERROR(VLOOKUP($E40,Machine_List!$B:$G,6,0),""))</f>
        <v>General Workman</v>
      </c>
      <c r="G40" s="53">
        <f>IF($E40="","",IFERROR(VLOOKUP($E40,Machine_List!$B:$C,2,0),""))</f>
        <v>46133</v>
      </c>
      <c r="H40" s="10">
        <f>IF($E40="","",IFERROR(VLOOKUP($E40,Machine_List!$B:$D,3,0),""))</f>
        <v>6</v>
      </c>
      <c r="I40" s="54"/>
      <c r="J40" s="55">
        <f ca="1">IF($A40="","",IF($I40&lt;&gt;"",$I40,MAX(GlobalStartDate,IFERROR(LOOKUP(2,1/($E$3:INDIRECT("E"&amp;(ROW()-1))=$E40),$M$3:INDIRECT("M"&amp;(ROW()-1))),GlobalStartDate))))</f>
        <v>46149.773148148153</v>
      </c>
      <c r="K40" s="10">
        <f>IF($A40="","",IFERROR(VLOOKUP(B40,CHOOSE(MATCH(C40,Settings!$L$4:$L$10,0),OPR_2P!$A$4:$I$18,SEG_6P!$A$4:$I$18,SOL_4P!$A$4:$I$18,RW_2P!$A$4:$I$18,RW2_4P!$A$4:$I$18,FLAP_4P!$A$4:$I$18,TUBE_4P!$A$4:$I$18),1,0),0))</f>
        <v>20</v>
      </c>
      <c r="L40" s="10">
        <f t="shared" si="0"/>
        <v>40</v>
      </c>
      <c r="M40" s="55">
        <f ca="1">IF($A40="","",IF(AND(ISNUMBER(G40),G40&gt;=J40,G40&lt;=(J40+(L40/(IF(F40="Contract Workman",Settings!$K$5,Settings!$K$4))))),J40+(L40/(IF(F40="Contract Workman",Settings!$K$5,Settings!$K$4)))+(H40/(IF(F40="Contract Workman",Settings!$K$5,Settings!$K$4))),J40+(L40/(IF(F40="Contract Workman",Settings!$K$5,Settings!$K$4)))))</f>
        <v>46151.625000000007</v>
      </c>
      <c r="N40" s="10" t="str">
        <f t="shared" ca="1" si="2"/>
        <v>Shift B</v>
      </c>
      <c r="O40" s="51" t="str">
        <f>IF(B40="","", IF(IFERROR(ISNUMBER(SEARCH(B40, VLOOKUP(E40, Machine_List!$B:$J, 9, 0))), FALSE()), "✅ Machine OK", "❌ Sug: " &amp; IFERROR(INDEX(Machine_List!$B$4:$B$50, MATCH("*"&amp;B40&amp;"*", Machine_List!$J$4:$J$50, 0)), "Check Limits")))</f>
        <v>✅ Machine OK</v>
      </c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2"/>
      <c r="AN40" s="52"/>
      <c r="AO40" s="52"/>
      <c r="AP40" s="52"/>
      <c r="AQ40" s="52"/>
      <c r="AR40" s="52"/>
      <c r="AS40" s="52"/>
      <c r="AT40" s="52"/>
      <c r="AU40" s="52"/>
      <c r="AV40" s="52"/>
      <c r="AW40" s="52"/>
      <c r="AX40" s="52"/>
      <c r="AY40" s="52"/>
      <c r="AZ40" s="52"/>
      <c r="BA40" s="52"/>
      <c r="BB40" s="52"/>
      <c r="BC40" s="52"/>
      <c r="BD40" s="52"/>
      <c r="BE40" s="52"/>
      <c r="BF40" s="52"/>
      <c r="BG40" s="52"/>
      <c r="BH40" s="52"/>
      <c r="BI40" s="52"/>
      <c r="BJ40" s="52"/>
      <c r="BK40" s="52"/>
      <c r="BL40" s="52"/>
      <c r="BM40" s="52"/>
    </row>
    <row r="41" spans="1:65" ht="28.8" customHeight="1" x14ac:dyDescent="0.3">
      <c r="A41" s="10" t="str">
        <f>IF(Job_Master!A41="","",Job_Master!A41)</f>
        <v>BJ-137</v>
      </c>
      <c r="B41" s="10">
        <f>IF($A41="","",Job_Master!B41)</f>
        <v>34</v>
      </c>
      <c r="C41" s="10" t="str">
        <f>IF($A41="","",Job_Master!C41)</f>
        <v>RW</v>
      </c>
      <c r="D41" s="10">
        <f>IF($A41="","",Job_Master!D41)</f>
        <v>2</v>
      </c>
      <c r="E41" s="48" t="str">
        <f>IF($A41="","","VTL-MC-02")</f>
        <v>VTL-MC-02</v>
      </c>
      <c r="F41" s="106" t="str">
        <f>IF($E41="","",IFERROR(VLOOKUP($E41,Machine_List!$B:$G,6,0),""))</f>
        <v>General Workman</v>
      </c>
      <c r="G41" s="53">
        <f>IF($E41="","",IFERROR(VLOOKUP($E41,Machine_List!$B:$C,2,0),""))</f>
        <v>46521</v>
      </c>
      <c r="H41" s="10">
        <f>IF($E41="","",IFERROR(VLOOKUP($E41,Machine_List!$B:$D,3,0),""))</f>
        <v>6</v>
      </c>
      <c r="I41" s="54"/>
      <c r="J41" s="55">
        <f ca="1">IF($A41="","",IF($I41&lt;&gt;"",$I41,MAX(GlobalStartDate,IFERROR(LOOKUP(2,1/($E$3:INDIRECT("E"&amp;(ROW()-1))=$E41),$M$3:INDIRECT("M"&amp;(ROW()-1))),GlobalStartDate))))</f>
        <v>46153.847222222234</v>
      </c>
      <c r="K41" s="10">
        <f>IF($A41="","",IFERROR(VLOOKUP(B41,CHOOSE(MATCH(C41,Settings!$L$4:$L$10,0),OPR_2P!$A$4:$I$18,SEG_6P!$A$4:$I$18,SOL_4P!$A$4:$I$18,RW_2P!$A$4:$I$18,RW2_4P!$A$4:$I$18,FLAP_4P!$A$4:$I$18,TUBE_4P!$A$4:$I$18),1,0),0))</f>
        <v>34</v>
      </c>
      <c r="L41" s="10">
        <f t="shared" si="0"/>
        <v>68</v>
      </c>
      <c r="M41" s="55">
        <f ca="1">IF($A41="","",IF(AND(ISNUMBER(G41),G41&gt;=J41,G41&lt;=(J41+(L41/(IF(F41="Contract Workman",Settings!$K$5,Settings!$K$4))))),J41+(L41/(IF(F41="Contract Workman",Settings!$K$5,Settings!$K$4)))+(H41/(IF(F41="Contract Workman",Settings!$K$5,Settings!$K$4))),J41+(L41/(IF(F41="Contract Workman",Settings!$K$5,Settings!$K$4)))))</f>
        <v>46156.99537037038</v>
      </c>
      <c r="N41" s="10" t="str">
        <f t="shared" ca="1" si="2"/>
        <v>Shift C</v>
      </c>
      <c r="O41" s="51" t="str">
        <f>IF(B41="","", IF(IFERROR(ISNUMBER(SEARCH(B41, VLOOKUP(E41, Machine_List!$B:$J, 9, 0))), FALSE()), "✅ Machine OK", "❌ Sug: " &amp; IFERROR(INDEX(Machine_List!$B$4:$B$50, MATCH("*"&amp;B41&amp;"*", Machine_List!$J$4:$J$50, 0)), "Check Limits")))</f>
        <v>✅ Machine OK</v>
      </c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2"/>
      <c r="AN41" s="52"/>
      <c r="AO41" s="52"/>
      <c r="AP41" s="52"/>
      <c r="AQ41" s="52"/>
      <c r="AR41" s="52"/>
      <c r="AS41" s="52"/>
      <c r="AT41" s="52"/>
      <c r="AU41" s="52"/>
      <c r="AV41" s="52"/>
      <c r="AW41" s="52"/>
      <c r="AX41" s="52"/>
      <c r="AY41" s="52"/>
      <c r="AZ41" s="52"/>
      <c r="BA41" s="52"/>
      <c r="BB41" s="52"/>
      <c r="BC41" s="52"/>
      <c r="BD41" s="52"/>
      <c r="BE41" s="52"/>
      <c r="BF41" s="52"/>
      <c r="BG41" s="52"/>
      <c r="BH41" s="52"/>
      <c r="BI41" s="52"/>
      <c r="BJ41" s="52"/>
      <c r="BK41" s="52"/>
      <c r="BL41" s="52"/>
      <c r="BM41" s="52"/>
    </row>
    <row r="42" spans="1:65" ht="28.8" customHeight="1" x14ac:dyDescent="0.3">
      <c r="A42" s="10" t="str">
        <f>IF(Job_Master!A42="","",Job_Master!A42)</f>
        <v>BJ-140</v>
      </c>
      <c r="B42" s="10">
        <f>IF($A42="","",Job_Master!B42)</f>
        <v>54</v>
      </c>
      <c r="C42" s="10" t="str">
        <f>IF($A42="","",Job_Master!C42)</f>
        <v>RW</v>
      </c>
      <c r="D42" s="10">
        <f>IF($A42="","",Job_Master!D42)</f>
        <v>2</v>
      </c>
      <c r="E42" s="48" t="str">
        <f>IF($A42="","","VTL-MC-03")</f>
        <v>VTL-MC-03</v>
      </c>
      <c r="F42" s="106" t="str">
        <f>IF($E42="","",IFERROR(VLOOKUP($E42,Machine_List!$B:$G,6,0),""))</f>
        <v>General Workman</v>
      </c>
      <c r="G42" s="53">
        <f>IF($E42="","",IFERROR(VLOOKUP($E42,Machine_List!$B:$C,2,0),""))</f>
        <v>46174</v>
      </c>
      <c r="H42" s="10">
        <f>IF($E42="","",IFERROR(VLOOKUP($E42,Machine_List!$B:$D,3,0),""))</f>
        <v>6</v>
      </c>
      <c r="I42" s="54"/>
      <c r="J42" s="55">
        <f ca="1">IF($A42="","",IF($I42&lt;&gt;"",$I42,MAX(GlobalStartDate,IFERROR(LOOKUP(2,1/($E$3:INDIRECT("E"&amp;(ROW()-1))=$E42),$M$3:INDIRECT("M"&amp;(ROW()-1))),GlobalStartDate))))</f>
        <v>46157.736111111102</v>
      </c>
      <c r="K42" s="10">
        <f>IF($A42="","",IFERROR(VLOOKUP(B42,CHOOSE(MATCH(C42,Settings!$L$4:$L$10,0),OPR_2P!$A$4:$I$18,SEG_6P!$A$4:$I$18,SOL_4P!$A$4:$I$18,RW_2P!$A$4:$I$18,RW2_4P!$A$4:$I$18,FLAP_4P!$A$4:$I$18,TUBE_4P!$A$4:$I$18),1,0),0))</f>
        <v>54</v>
      </c>
      <c r="L42" s="10">
        <f t="shared" si="0"/>
        <v>108</v>
      </c>
      <c r="M42" s="55">
        <f ca="1">IF($A42="","",IF(AND(ISNUMBER(G42),G42&gt;=J42,G42&lt;=(J42+(L42/(IF(F42="Contract Workman",Settings!$K$5,Settings!$K$4))))),J42+(L42/(IF(F42="Contract Workman",Settings!$K$5,Settings!$K$4)))+(H42/(IF(F42="Contract Workman",Settings!$K$5,Settings!$K$4))),J42+(L42/(IF(F42="Contract Workman",Settings!$K$5,Settings!$K$4)))))</f>
        <v>46162.736111111102</v>
      </c>
      <c r="N42" s="10" t="str">
        <f t="shared" ca="1" si="2"/>
        <v>Shift B</v>
      </c>
      <c r="O42" s="51" t="str">
        <f>IF(B42="","", IF(IFERROR(ISNUMBER(SEARCH(B42, VLOOKUP(E42, Machine_List!$B:$J, 9, 0))), FALSE()), "✅ Machine OK", "❌ Sug: " &amp; IFERROR(INDEX(Machine_List!$B$4:$B$50, MATCH("*"&amp;B42&amp;"*", Machine_List!$J$4:$J$50, 0)), "Check Limits")))</f>
        <v>✅ Machine OK</v>
      </c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2"/>
      <c r="AN42" s="52"/>
      <c r="AO42" s="52"/>
      <c r="AP42" s="52"/>
      <c r="AQ42" s="52"/>
      <c r="AR42" s="52"/>
      <c r="AS42" s="52"/>
      <c r="AT42" s="52"/>
      <c r="AU42" s="52"/>
      <c r="AV42" s="52"/>
      <c r="AW42" s="52"/>
      <c r="AX42" s="52"/>
      <c r="AY42" s="52"/>
      <c r="AZ42" s="52"/>
      <c r="BA42" s="52"/>
      <c r="BB42" s="52"/>
      <c r="BC42" s="52"/>
      <c r="BD42" s="52"/>
      <c r="BE42" s="52"/>
      <c r="BF42" s="52"/>
      <c r="BG42" s="52"/>
      <c r="BH42" s="52"/>
      <c r="BI42" s="52"/>
      <c r="BJ42" s="52"/>
      <c r="BK42" s="52"/>
      <c r="BL42" s="52"/>
      <c r="BM42" s="52"/>
    </row>
    <row r="43" spans="1:65" ht="28.8" customHeight="1" x14ac:dyDescent="0.3">
      <c r="A43" s="10" t="str">
        <f>IF(Job_Master!A43="","",Job_Master!A43)</f>
        <v>BJ-138</v>
      </c>
      <c r="B43" s="10">
        <f>IF($A43="","",Job_Master!B43)</f>
        <v>9</v>
      </c>
      <c r="C43" s="10" t="str">
        <f>IF($A43="","",Job_Master!C43)</f>
        <v>RW</v>
      </c>
      <c r="D43" s="10">
        <f>IF($A43="","",Job_Master!D43)</f>
        <v>2</v>
      </c>
      <c r="E43" s="48" t="str">
        <f>IF($A43="","","VTL-MC-01")</f>
        <v>VTL-MC-01</v>
      </c>
      <c r="F43" s="106" t="str">
        <f>IF($E43="","",IFERROR(VLOOKUP($E43,Machine_List!$B:$G,6,0),""))</f>
        <v>General Workman</v>
      </c>
      <c r="G43" s="53">
        <f>IF($E43="","",IFERROR(VLOOKUP($E43,Machine_List!$B:$C,2,0),""))</f>
        <v>46133</v>
      </c>
      <c r="H43" s="10">
        <f>IF($E43="","",IFERROR(VLOOKUP($E43,Machine_List!$B:$D,3,0),""))</f>
        <v>6</v>
      </c>
      <c r="I43" s="54"/>
      <c r="J43" s="55">
        <f ca="1">IF($A43="","",IF($I43&lt;&gt;"",$I43,MAX(GlobalStartDate,IFERROR(LOOKUP(2,1/($E$3:INDIRECT("E"&amp;(ROW()-1))=$E43),$M$3:INDIRECT("M"&amp;(ROW()-1))),GlobalStartDate))))</f>
        <v>46151.625000000007</v>
      </c>
      <c r="K43" s="10">
        <f>IF($A43="","",IFERROR(VLOOKUP(B43,CHOOSE(MATCH(C43,Settings!$L$4:$L$10,0),OPR_2P!$A$4:$I$18,SEG_6P!$A$4:$I$18,SOL_4P!$A$4:$I$18,RW_2P!$A$4:$I$18,RW2_4P!$A$4:$I$18,FLAP_4P!$A$4:$I$18,TUBE_4P!$A$4:$I$18),1,0),0))</f>
        <v>9</v>
      </c>
      <c r="L43" s="10">
        <f t="shared" si="0"/>
        <v>18</v>
      </c>
      <c r="M43" s="55">
        <f ca="1">IF($A43="","",IF(AND(ISNUMBER(G43),G43&gt;=J43,G43&lt;=(J43+(L43/(IF(F43="Contract Workman",Settings!$K$5,Settings!$K$4))))),J43+(L43/(IF(F43="Contract Workman",Settings!$K$5,Settings!$K$4)))+(H43/(IF(F43="Contract Workman",Settings!$K$5,Settings!$K$4))),J43+(L43/(IF(F43="Contract Workman",Settings!$K$5,Settings!$K$4)))))</f>
        <v>46152.458333333343</v>
      </c>
      <c r="N43" s="10" t="str">
        <f t="shared" ca="1" si="2"/>
        <v>Shift A</v>
      </c>
      <c r="O43" s="51" t="str">
        <f>IF(B43="","", IF(IFERROR(ISNUMBER(SEARCH(B43, VLOOKUP(E43, Machine_List!$B:$J, 9, 0))), FALSE()), "✅ Machine OK", "❌ Sug: " &amp; IFERROR(INDEX(Machine_List!$B$4:$B$50, MATCH("*"&amp;B43&amp;"*", Machine_List!$J$4:$J$50, 0)), "Check Limits")))</f>
        <v>✅ Machine OK</v>
      </c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52"/>
      <c r="AN43" s="52"/>
      <c r="AO43" s="52"/>
      <c r="AP43" s="52"/>
      <c r="AQ43" s="52"/>
      <c r="AR43" s="52"/>
      <c r="AS43" s="52"/>
      <c r="AT43" s="52"/>
      <c r="AU43" s="52"/>
      <c r="AV43" s="52"/>
      <c r="AW43" s="52"/>
      <c r="AX43" s="52"/>
      <c r="AY43" s="52"/>
      <c r="AZ43" s="52"/>
      <c r="BA43" s="52"/>
      <c r="BB43" s="52"/>
      <c r="BC43" s="52"/>
      <c r="BD43" s="52"/>
      <c r="BE43" s="52"/>
      <c r="BF43" s="52"/>
      <c r="BG43" s="52"/>
      <c r="BH43" s="52"/>
      <c r="BI43" s="52"/>
      <c r="BJ43" s="52"/>
      <c r="BK43" s="52"/>
      <c r="BL43" s="52"/>
      <c r="BM43" s="52"/>
    </row>
    <row r="44" spans="1:65" ht="28.8" customHeight="1" x14ac:dyDescent="0.3">
      <c r="A44" s="10" t="str">
        <f>IF(Job_Master!A44="","",Job_Master!A44)</f>
        <v>BJ-144</v>
      </c>
      <c r="B44" s="10">
        <f>IF($A44="","",Job_Master!B44)</f>
        <v>63</v>
      </c>
      <c r="C44" s="10" t="str">
        <f>IF($A44="","",Job_Master!C44)</f>
        <v>RW</v>
      </c>
      <c r="D44" s="10">
        <f>IF($A44="","",Job_Master!D44)</f>
        <v>2</v>
      </c>
      <c r="E44" s="48" t="str">
        <f>IF($A44="","","VTL-MC-03")</f>
        <v>VTL-MC-03</v>
      </c>
      <c r="F44" s="106" t="str">
        <f>IF($E44="","",IFERROR(VLOOKUP($E44,Machine_List!$B:$G,6,0),""))</f>
        <v>General Workman</v>
      </c>
      <c r="G44" s="53">
        <f>IF($E44="","",IFERROR(VLOOKUP($E44,Machine_List!$B:$C,2,0),""))</f>
        <v>46174</v>
      </c>
      <c r="H44" s="10">
        <f>IF($E44="","",IFERROR(VLOOKUP($E44,Machine_List!$B:$D,3,0),""))</f>
        <v>6</v>
      </c>
      <c r="I44" s="54"/>
      <c r="J44" s="55">
        <f ca="1">IF($A44="","",IF($I44&lt;&gt;"",$I44,MAX(GlobalStartDate,IFERROR(LOOKUP(2,1/($E$3:INDIRECT("E"&amp;(ROW()-1))=$E44),$M$3:INDIRECT("M"&amp;(ROW()-1))),GlobalStartDate))))</f>
        <v>46162.736111111102</v>
      </c>
      <c r="K44" s="10">
        <f>IF($A44="","",IFERROR(VLOOKUP(B44,CHOOSE(MATCH(C44,Settings!$L$4:$L$10,0),OPR_2P!$A$4:$I$18,SEG_6P!$A$4:$I$18,SOL_4P!$A$4:$I$18,RW_2P!$A$4:$I$18,RW2_4P!$A$4:$I$18,FLAP_4P!$A$4:$I$18,TUBE_4P!$A$4:$I$18),1,0),0))</f>
        <v>63</v>
      </c>
      <c r="L44" s="10">
        <f t="shared" si="0"/>
        <v>126</v>
      </c>
      <c r="M44" s="55">
        <f ca="1">IF($A44="","",IF(AND(ISNUMBER(G44),G44&gt;=J44,G44&lt;=(J44+(L44/(IF(F44="Contract Workman",Settings!$K$5,Settings!$K$4))))),J44+(L44/(IF(F44="Contract Workman",Settings!$K$5,Settings!$K$4)))+(H44/(IF(F44="Contract Workman",Settings!$K$5,Settings!$K$4))),J44+(L44/(IF(F44="Contract Workman",Settings!$K$5,Settings!$K$4)))))</f>
        <v>46168.569444444438</v>
      </c>
      <c r="N44" s="10" t="str">
        <f t="shared" ca="1" si="2"/>
        <v>Shift A</v>
      </c>
      <c r="O44" s="51" t="str">
        <f>IF(B44="","", IF(IFERROR(ISNUMBER(SEARCH(B44, VLOOKUP(E44, Machine_List!$B:$J, 9, 0))), FALSE()), "✅ Machine OK", "❌ Sug: " &amp; IFERROR(INDEX(Machine_List!$B$4:$B$50, MATCH("*"&amp;B44&amp;"*", Machine_List!$J$4:$J$50, 0)), "Check Limits")))</f>
        <v>✅ Machine OK</v>
      </c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2"/>
      <c r="AN44" s="52"/>
      <c r="AO44" s="52"/>
      <c r="AP44" s="52"/>
      <c r="AQ44" s="52"/>
      <c r="AR44" s="52"/>
      <c r="AS44" s="52"/>
      <c r="AT44" s="52"/>
      <c r="AU44" s="52"/>
      <c r="AV44" s="52"/>
      <c r="AW44" s="52"/>
      <c r="AX44" s="52"/>
      <c r="AY44" s="52"/>
      <c r="AZ44" s="52"/>
      <c r="BA44" s="52"/>
      <c r="BB44" s="52"/>
      <c r="BC44" s="52"/>
      <c r="BD44" s="52"/>
      <c r="BE44" s="52"/>
      <c r="BF44" s="52"/>
      <c r="BG44" s="52"/>
      <c r="BH44" s="52"/>
      <c r="BI44" s="52"/>
      <c r="BJ44" s="52"/>
      <c r="BK44" s="52"/>
      <c r="BL44" s="52"/>
      <c r="BM44" s="52"/>
    </row>
    <row r="45" spans="1:65" ht="28.8" customHeight="1" x14ac:dyDescent="0.3">
      <c r="A45" s="10" t="str">
        <f>IF(Job_Master!A45="","",Job_Master!A45)</f>
        <v>BJ-146</v>
      </c>
      <c r="B45" s="10">
        <f>IF($A45="","",Job_Master!B45)</f>
        <v>20</v>
      </c>
      <c r="C45" s="10" t="str">
        <f>IF($A45="","",Job_Master!C45)</f>
        <v>RW</v>
      </c>
      <c r="D45" s="10">
        <f>IF($A45="","",Job_Master!D45)</f>
        <v>2</v>
      </c>
      <c r="E45" s="48" t="str">
        <f>IF($A45="","","VTL-MC-01")</f>
        <v>VTL-MC-01</v>
      </c>
      <c r="F45" s="106" t="str">
        <f>IF($E45="","",IFERROR(VLOOKUP($E45,Machine_List!$B:$G,6,0),""))</f>
        <v>General Workman</v>
      </c>
      <c r="G45" s="53">
        <f>IF($E45="","",IFERROR(VLOOKUP($E45,Machine_List!$B:$C,2,0),""))</f>
        <v>46133</v>
      </c>
      <c r="H45" s="10">
        <f>IF($E45="","",IFERROR(VLOOKUP($E45,Machine_List!$B:$D,3,0),""))</f>
        <v>6</v>
      </c>
      <c r="I45" s="54"/>
      <c r="J45" s="55">
        <f ca="1">IF($A45="","",IF($I45&lt;&gt;"",$I45,MAX(GlobalStartDate,IFERROR(LOOKUP(2,1/($E$3:INDIRECT("E"&amp;(ROW()-1))=$E45),$M$3:INDIRECT("M"&amp;(ROW()-1))),GlobalStartDate))))</f>
        <v>46152.458333333343</v>
      </c>
      <c r="K45" s="10">
        <f>IF($A45="","",IFERROR(VLOOKUP(B45,CHOOSE(MATCH(C45,Settings!$L$4:$L$10,0),OPR_2P!$A$4:$I$18,SEG_6P!$A$4:$I$18,SOL_4P!$A$4:$I$18,RW_2P!$A$4:$I$18,RW2_4P!$A$4:$I$18,FLAP_4P!$A$4:$I$18,TUBE_4P!$A$4:$I$18),1,0),0))</f>
        <v>20</v>
      </c>
      <c r="L45" s="10">
        <f t="shared" si="0"/>
        <v>40</v>
      </c>
      <c r="M45" s="55">
        <f ca="1">IF($A45="","",IF(AND(ISNUMBER(G45),G45&gt;=J45,G45&lt;=(J45+(L45/(IF(F45="Contract Workman",Settings!$K$5,Settings!$K$4))))),J45+(L45/(IF(F45="Contract Workman",Settings!$K$5,Settings!$K$4)))+(H45/(IF(F45="Contract Workman",Settings!$K$5,Settings!$K$4))),J45+(L45/(IF(F45="Contract Workman",Settings!$K$5,Settings!$K$4)))))</f>
        <v>46154.310185185197</v>
      </c>
      <c r="N45" s="10" t="str">
        <f t="shared" ca="1" si="2"/>
        <v>Shift A</v>
      </c>
      <c r="O45" s="51" t="str">
        <f>IF(B45="","", IF(IFERROR(ISNUMBER(SEARCH(B45, VLOOKUP(E45, Machine_List!$B:$J, 9, 0))), FALSE()), "✅ Machine OK", "❌ Sug: " &amp; IFERROR(INDEX(Machine_List!$B$4:$B$50, MATCH("*"&amp;B45&amp;"*", Machine_List!$J$4:$J$50, 0)), "Check Limits")))</f>
        <v>✅ Machine OK</v>
      </c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2"/>
      <c r="AN45" s="52"/>
      <c r="AO45" s="52"/>
      <c r="AP45" s="52"/>
      <c r="AQ45" s="52"/>
      <c r="AR45" s="52"/>
      <c r="AS45" s="52"/>
      <c r="AT45" s="52"/>
      <c r="AU45" s="52"/>
      <c r="AV45" s="52"/>
      <c r="AW45" s="52"/>
      <c r="AX45" s="52"/>
      <c r="AY45" s="52"/>
      <c r="AZ45" s="52"/>
      <c r="BA45" s="52"/>
      <c r="BB45" s="52"/>
      <c r="BC45" s="52"/>
      <c r="BD45" s="52"/>
      <c r="BE45" s="52"/>
      <c r="BF45" s="52"/>
      <c r="BG45" s="52"/>
      <c r="BH45" s="52"/>
      <c r="BI45" s="52"/>
      <c r="BJ45" s="52"/>
      <c r="BK45" s="52"/>
      <c r="BL45" s="52"/>
      <c r="BM45" s="52"/>
    </row>
    <row r="46" spans="1:65" ht="28.8" customHeight="1" x14ac:dyDescent="0.3">
      <c r="A46" s="10" t="str">
        <f>IF(Job_Master!A46="","",Job_Master!A46)</f>
        <v>BJ-139</v>
      </c>
      <c r="B46" s="10">
        <f>IF($A46="","",Job_Master!B46)</f>
        <v>15</v>
      </c>
      <c r="C46" s="10" t="str">
        <f>IF($A46="","",Job_Master!C46)</f>
        <v>RW</v>
      </c>
      <c r="D46" s="10">
        <f>IF($A46="","",Job_Master!D46)</f>
        <v>2</v>
      </c>
      <c r="E46" s="48" t="str">
        <f>IF($A46="","","VTL-MC-01")</f>
        <v>VTL-MC-01</v>
      </c>
      <c r="F46" s="106" t="str">
        <f>IF($E46="","",IFERROR(VLOOKUP($E46,Machine_List!$B:$G,6,0),""))</f>
        <v>General Workman</v>
      </c>
      <c r="G46" s="53">
        <f>IF($E46="","",IFERROR(VLOOKUP($E46,Machine_List!$B:$C,2,0),""))</f>
        <v>46133</v>
      </c>
      <c r="H46" s="10">
        <f>IF($E46="","",IFERROR(VLOOKUP($E46,Machine_List!$B:$D,3,0),""))</f>
        <v>6</v>
      </c>
      <c r="I46" s="54"/>
      <c r="J46" s="55">
        <f ca="1">IF($A46="","",IF($I46&lt;&gt;"",$I46,MAX(GlobalStartDate,IFERROR(LOOKUP(2,1/($E$3:INDIRECT("E"&amp;(ROW()-1))=$E46),$M$3:INDIRECT("M"&amp;(ROW()-1))),GlobalStartDate))))</f>
        <v>46154.310185185197</v>
      </c>
      <c r="K46" s="10">
        <f>IF($A46="","",IFERROR(VLOOKUP(B46,CHOOSE(MATCH(C46,Settings!$L$4:$L$10,0),OPR_2P!$A$4:$I$18,SEG_6P!$A$4:$I$18,SOL_4P!$A$4:$I$18,RW_2P!$A$4:$I$18,RW2_4P!$A$4:$I$18,FLAP_4P!$A$4:$I$18,TUBE_4P!$A$4:$I$18),1,0),0))</f>
        <v>15</v>
      </c>
      <c r="L46" s="10">
        <f t="shared" si="0"/>
        <v>30</v>
      </c>
      <c r="M46" s="55">
        <f ca="1">IF($A46="","",IF(AND(ISNUMBER(G46),G46&gt;=J46,G46&lt;=(J46+(L46/(IF(F46="Contract Workman",Settings!$K$5,Settings!$K$4))))),J46+(L46/(IF(F46="Contract Workman",Settings!$K$5,Settings!$K$4)))+(H46/(IF(F46="Contract Workman",Settings!$K$5,Settings!$K$4))),J46+(L46/(IF(F46="Contract Workman",Settings!$K$5,Settings!$K$4)))))</f>
        <v>46155.699074074088</v>
      </c>
      <c r="N46" s="10" t="str">
        <f t="shared" ca="1" si="2"/>
        <v>Shift B</v>
      </c>
      <c r="O46" s="51" t="str">
        <f>IF(B46="","", IF(IFERROR(ISNUMBER(SEARCH(B46, VLOOKUP(E46, Machine_List!$B:$J, 9, 0))), FALSE()), "✅ Machine OK", "❌ Sug: " &amp; IFERROR(INDEX(Machine_List!$B$4:$B$50, MATCH("*"&amp;B46&amp;"*", Machine_List!$J$4:$J$50, 0)), "Check Limits")))</f>
        <v>✅ Machine OK</v>
      </c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2"/>
      <c r="AN46" s="52"/>
      <c r="AO46" s="52"/>
      <c r="AP46" s="52"/>
      <c r="AQ46" s="52"/>
      <c r="AR46" s="52"/>
      <c r="AS46" s="52"/>
      <c r="AT46" s="52"/>
      <c r="AU46" s="52"/>
      <c r="AV46" s="52"/>
      <c r="AW46" s="52"/>
      <c r="AX46" s="52"/>
      <c r="AY46" s="52"/>
      <c r="AZ46" s="52"/>
      <c r="BA46" s="52"/>
      <c r="BB46" s="52"/>
      <c r="BC46" s="52"/>
      <c r="BD46" s="52"/>
      <c r="BE46" s="52"/>
      <c r="BF46" s="52"/>
      <c r="BG46" s="52"/>
      <c r="BH46" s="52"/>
      <c r="BI46" s="52"/>
      <c r="BJ46" s="52"/>
      <c r="BK46" s="52"/>
      <c r="BL46" s="52"/>
      <c r="BM46" s="52"/>
    </row>
    <row r="47" spans="1:65" ht="28.8" customHeight="1" x14ac:dyDescent="0.3">
      <c r="A47" s="10" t="str">
        <f>IF(Job_Master!A47="","",Job_Master!A47)</f>
        <v>BJ-141</v>
      </c>
      <c r="B47" s="10">
        <f>IF($A47="","",Job_Master!B47)</f>
        <v>50</v>
      </c>
      <c r="C47" s="10" t="str">
        <f>IF($A47="","",Job_Master!C47)</f>
        <v>SOL</v>
      </c>
      <c r="D47" s="10">
        <f>IF($A47="","",Job_Master!D47)</f>
        <v>4</v>
      </c>
      <c r="E47" s="48" t="str">
        <f>IF($A47="","","VTL-MC-04")</f>
        <v>VTL-MC-04</v>
      </c>
      <c r="F47" s="106" t="str">
        <f>IF($E47="","",IFERROR(VLOOKUP($E47,Machine_List!$B:$G,6,0),""))</f>
        <v>General Workman</v>
      </c>
      <c r="G47" s="53">
        <f>IF($E47="","",IFERROR(VLOOKUP($E47,Machine_List!$B:$C,2,0),""))</f>
        <v>46517</v>
      </c>
      <c r="H47" s="10">
        <f>IF($E47="","",IFERROR(VLOOKUP($E47,Machine_List!$B:$D,3,0),""))</f>
        <v>6</v>
      </c>
      <c r="I47" s="54"/>
      <c r="J47" s="55">
        <f ca="1">IF($A47="","",IF($I47&lt;&gt;"",$I47,MAX(GlobalStartDate,IFERROR(LOOKUP(2,1/($E$3:INDIRECT("E"&amp;(ROW()-1))=$E47),$M$3:INDIRECT("M"&amp;(ROW()-1))),GlobalStartDate))))</f>
        <v>46162.458333333328</v>
      </c>
      <c r="K47" s="10">
        <f>IF($A47="","",IFERROR(VLOOKUP(B47,CHOOSE(MATCH(C47,Settings!$L$4:$L$10,0),OPR_2P!$A$4:$I$18,SEG_6P!$A$4:$I$18,SOL_4P!$A$4:$I$18,RW_2P!$A$4:$I$18,RW2_4P!$A$4:$I$18,FLAP_4P!$A$4:$I$18,TUBE_4P!$A$4:$I$18),1,0),0))</f>
        <v>50</v>
      </c>
      <c r="L47" s="10">
        <f t="shared" si="0"/>
        <v>200</v>
      </c>
      <c r="M47" s="55">
        <f ca="1">IF($A47="","",IF(AND(ISNUMBER(G47),G47&gt;=J47,G47&lt;=(J47+(L47/(IF(F47="Contract Workman",Settings!$K$5,Settings!$K$4))))),J47+(L47/(IF(F47="Contract Workman",Settings!$K$5,Settings!$K$4)))+(H47/(IF(F47="Contract Workman",Settings!$K$5,Settings!$K$4))),J47+(L47/(IF(F47="Contract Workman",Settings!$K$5,Settings!$K$4)))))</f>
        <v>46171.717592592591</v>
      </c>
      <c r="N47" s="10" t="str">
        <f t="shared" ca="1" si="2"/>
        <v>Shift B</v>
      </c>
      <c r="O47" s="51" t="str">
        <f>IF(B47="","", IF(IFERROR(ISNUMBER(SEARCH(B47, VLOOKUP(E47, Machine_List!$B:$J, 9, 0))), FALSE()), "✅ Machine OK", "❌ Sug: " &amp; IFERROR(INDEX(Machine_List!$B$4:$B$50, MATCH("*"&amp;B47&amp;"*", Machine_List!$J$4:$J$50, 0)), "Check Limits")))</f>
        <v>✅ Machine OK</v>
      </c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2"/>
      <c r="AN47" s="52"/>
      <c r="AO47" s="52"/>
      <c r="AP47" s="52"/>
      <c r="AQ47" s="52"/>
      <c r="AR47" s="52"/>
      <c r="AS47" s="52"/>
      <c r="AT47" s="52"/>
      <c r="AU47" s="52"/>
      <c r="AV47" s="52"/>
      <c r="AW47" s="52"/>
      <c r="AX47" s="52"/>
      <c r="AY47" s="52"/>
      <c r="AZ47" s="52"/>
      <c r="BA47" s="52"/>
      <c r="BB47" s="52"/>
      <c r="BC47" s="52"/>
      <c r="BD47" s="52"/>
      <c r="BE47" s="52"/>
      <c r="BF47" s="52"/>
      <c r="BG47" s="52"/>
      <c r="BH47" s="52"/>
      <c r="BI47" s="52"/>
      <c r="BJ47" s="52"/>
      <c r="BK47" s="52"/>
      <c r="BL47" s="52"/>
      <c r="BM47" s="52"/>
    </row>
    <row r="48" spans="1:65" ht="28.8" customHeight="1" x14ac:dyDescent="0.3">
      <c r="A48" s="10" t="str">
        <f>IF(Job_Master!A48="","",Job_Master!A48)</f>
        <v>BJ-142</v>
      </c>
      <c r="B48" s="10">
        <f>IF($A48="","",Job_Master!B48)</f>
        <v>9</v>
      </c>
      <c r="C48" s="10" t="str">
        <f>IF($A48="","",Job_Master!C48)</f>
        <v>RW</v>
      </c>
      <c r="D48" s="10">
        <f>IF($A48="","",Job_Master!D48)</f>
        <v>2</v>
      </c>
      <c r="E48" s="48" t="str">
        <f>IF($A48="","","VTL-MC-01")</f>
        <v>VTL-MC-01</v>
      </c>
      <c r="F48" s="106" t="str">
        <f>IF($E48="","",IFERROR(VLOOKUP($E48,Machine_List!$B:$G,6,0),""))</f>
        <v>General Workman</v>
      </c>
      <c r="G48" s="53">
        <f>IF($E48="","",IFERROR(VLOOKUP($E48,Machine_List!$B:$C,2,0),""))</f>
        <v>46133</v>
      </c>
      <c r="H48" s="10">
        <f>IF($E48="","",IFERROR(VLOOKUP($E48,Machine_List!$B:$D,3,0),""))</f>
        <v>6</v>
      </c>
      <c r="I48" s="54"/>
      <c r="J48" s="55">
        <f ca="1">IF($A48="","",IF($I48&lt;&gt;"",$I48,MAX(GlobalStartDate,IFERROR(LOOKUP(2,1/($E$3:INDIRECT("E"&amp;(ROW()-1))=$E48),$M$3:INDIRECT("M"&amp;(ROW()-1))),GlobalStartDate))))</f>
        <v>46155.699074074088</v>
      </c>
      <c r="K48" s="10">
        <f>IF($A48="","",IFERROR(VLOOKUP(B48,CHOOSE(MATCH(C48,Settings!$L$4:$L$10,0),OPR_2P!$A$4:$I$18,SEG_6P!$A$4:$I$18,SOL_4P!$A$4:$I$18,RW_2P!$A$4:$I$18,RW2_4P!$A$4:$I$18,FLAP_4P!$A$4:$I$18,TUBE_4P!$A$4:$I$18),1,0),0))</f>
        <v>9</v>
      </c>
      <c r="L48" s="10">
        <f t="shared" si="0"/>
        <v>18</v>
      </c>
      <c r="M48" s="55">
        <f ca="1">IF($A48="","",IF(AND(ISNUMBER(G48),G48&gt;=J48,G48&lt;=(J48+(L48/(IF(F48="Contract Workman",Settings!$K$5,Settings!$K$4))))),J48+(L48/(IF(F48="Contract Workman",Settings!$K$5,Settings!$K$4)))+(H48/(IF(F48="Contract Workman",Settings!$K$5,Settings!$K$4))),J48+(L48/(IF(F48="Contract Workman",Settings!$K$5,Settings!$K$4)))))</f>
        <v>46156.532407407423</v>
      </c>
      <c r="N48" s="10" t="str">
        <f t="shared" ca="1" si="2"/>
        <v>Shift A</v>
      </c>
      <c r="O48" s="51" t="str">
        <f>IF(B48="","", IF(IFERROR(ISNUMBER(SEARCH(B48, VLOOKUP(E48, Machine_List!$B:$J, 9, 0))), FALSE()), "✅ Machine OK", "❌ Sug: " &amp; IFERROR(INDEX(Machine_List!$B$4:$B$50, MATCH("*"&amp;B48&amp;"*", Machine_List!$J$4:$J$50, 0)), "Check Limits")))</f>
        <v>✅ Machine OK</v>
      </c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2"/>
      <c r="AN48" s="52"/>
      <c r="AO48" s="52"/>
      <c r="AP48" s="52"/>
      <c r="AQ48" s="52"/>
      <c r="AR48" s="52"/>
      <c r="AS48" s="52"/>
      <c r="AT48" s="52"/>
      <c r="AU48" s="52"/>
      <c r="AV48" s="52"/>
      <c r="AW48" s="52"/>
      <c r="AX48" s="52"/>
      <c r="AY48" s="52"/>
      <c r="AZ48" s="52"/>
      <c r="BA48" s="52"/>
      <c r="BB48" s="52"/>
      <c r="BC48" s="52"/>
      <c r="BD48" s="52"/>
      <c r="BE48" s="52"/>
      <c r="BF48" s="52"/>
      <c r="BG48" s="52"/>
      <c r="BH48" s="52"/>
      <c r="BI48" s="52"/>
      <c r="BJ48" s="52"/>
      <c r="BK48" s="52"/>
      <c r="BL48" s="52"/>
      <c r="BM48" s="52"/>
    </row>
    <row r="49" spans="1:65" ht="28.8" customHeight="1" x14ac:dyDescent="0.3">
      <c r="A49" s="10" t="str">
        <f>IF(Job_Master!A49="","",Job_Master!A49)</f>
        <v>BJ-147</v>
      </c>
      <c r="B49" s="10">
        <f>IF($A49="","",Job_Master!B49)</f>
        <v>34</v>
      </c>
      <c r="C49" s="10" t="str">
        <f>IF($A49="","",Job_Master!C49)</f>
        <v>SOL</v>
      </c>
      <c r="D49" s="10">
        <f>IF($A49="","",Job_Master!D49)</f>
        <v>4</v>
      </c>
      <c r="E49" s="48" t="str">
        <f>IF($A49="","","VTL-MC-02")</f>
        <v>VTL-MC-02</v>
      </c>
      <c r="F49" s="106" t="str">
        <f>IF($E49="","",IFERROR(VLOOKUP($E49,Machine_List!$B:$G,6,0),""))</f>
        <v>General Workman</v>
      </c>
      <c r="G49" s="53">
        <f>IF($E49="","",IFERROR(VLOOKUP($E49,Machine_List!$B:$C,2,0),""))</f>
        <v>46521</v>
      </c>
      <c r="H49" s="10">
        <f>IF($E49="","",IFERROR(VLOOKUP($E49,Machine_List!$B:$D,3,0),""))</f>
        <v>6</v>
      </c>
      <c r="I49" s="54"/>
      <c r="J49" s="55">
        <f ca="1">IF($A49="","",IF($I49&lt;&gt;"",$I49,MAX(GlobalStartDate,IFERROR(LOOKUP(2,1/($E$3:INDIRECT("E"&amp;(ROW()-1))=$E49),$M$3:INDIRECT("M"&amp;(ROW()-1))),GlobalStartDate))))</f>
        <v>46156.99537037038</v>
      </c>
      <c r="K49" s="10">
        <f>IF($A49="","",IFERROR(VLOOKUP(B49,CHOOSE(MATCH(C49,Settings!$L$4:$L$10,0),OPR_2P!$A$4:$I$18,SEG_6P!$A$4:$I$18,SOL_4P!$A$4:$I$18,RW_2P!$A$4:$I$18,RW2_4P!$A$4:$I$18,FLAP_4P!$A$4:$I$18,TUBE_4P!$A$4:$I$18),1,0),0))</f>
        <v>34</v>
      </c>
      <c r="L49" s="10">
        <f t="shared" si="0"/>
        <v>136</v>
      </c>
      <c r="M49" s="55">
        <f ca="1">IF($A49="","",IF(AND(ISNUMBER(G49),G49&gt;=J49,G49&lt;=(J49+(L49/(IF(F49="Contract Workman",Settings!$K$5,Settings!$K$4))))),J49+(L49/(IF(F49="Contract Workman",Settings!$K$5,Settings!$K$4)))+(H49/(IF(F49="Contract Workman",Settings!$K$5,Settings!$K$4))),J49+(L49/(IF(F49="Contract Workman",Settings!$K$5,Settings!$K$4)))))</f>
        <v>46163.291666666679</v>
      </c>
      <c r="N49" s="10" t="str">
        <f t="shared" ca="1" si="2"/>
        <v>Shift A</v>
      </c>
      <c r="O49" s="51" t="str">
        <f>IF(B49="","", IF(IFERROR(ISNUMBER(SEARCH(B49, VLOOKUP(E49, Machine_List!$B:$J, 9, 0))), FALSE()), "✅ Machine OK", "❌ Sug: " &amp; IFERROR(INDEX(Machine_List!$B$4:$B$50, MATCH("*"&amp;B49&amp;"*", Machine_List!$J$4:$J$50, 0)), "Check Limits")))</f>
        <v>✅ Machine OK</v>
      </c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O49" s="52"/>
      <c r="AP49" s="52"/>
      <c r="AQ49" s="52"/>
      <c r="AR49" s="52"/>
      <c r="AS49" s="52"/>
      <c r="AT49" s="52"/>
      <c r="AU49" s="52"/>
      <c r="AV49" s="52"/>
      <c r="AW49" s="52"/>
      <c r="AX49" s="52"/>
      <c r="AY49" s="52"/>
      <c r="AZ49" s="52"/>
      <c r="BA49" s="52"/>
      <c r="BB49" s="52"/>
      <c r="BC49" s="52"/>
      <c r="BD49" s="52"/>
      <c r="BE49" s="52"/>
      <c r="BF49" s="52"/>
      <c r="BG49" s="52"/>
      <c r="BH49" s="52"/>
      <c r="BI49" s="52"/>
      <c r="BJ49" s="52"/>
      <c r="BK49" s="52"/>
      <c r="BL49" s="52"/>
      <c r="BM49" s="52"/>
    </row>
    <row r="50" spans="1:65" ht="28.8" customHeight="1" x14ac:dyDescent="0.3">
      <c r="A50" s="10" t="str">
        <f>IF(Job_Master!A50="","",Job_Master!A50)</f>
        <v>BJ-150</v>
      </c>
      <c r="B50" s="10">
        <f>IF($A50="","",Job_Master!B50)</f>
        <v>34</v>
      </c>
      <c r="C50" s="10" t="str">
        <f>IF($A50="","",Job_Master!C50)</f>
        <v>SOL</v>
      </c>
      <c r="D50" s="10">
        <f>IF($A50="","",Job_Master!D50)</f>
        <v>4</v>
      </c>
      <c r="E50" s="48" t="str">
        <f>IF($A50="","","VTL-MC-02")</f>
        <v>VTL-MC-02</v>
      </c>
      <c r="F50" s="106" t="str">
        <f>IF($E50="","",IFERROR(VLOOKUP($E50,Machine_List!$B:$G,6,0),""))</f>
        <v>General Workman</v>
      </c>
      <c r="G50" s="53">
        <f>IF($E50="","",IFERROR(VLOOKUP($E50,Machine_List!$B:$C,2,0),""))</f>
        <v>46521</v>
      </c>
      <c r="H50" s="10">
        <f>IF($E50="","",IFERROR(VLOOKUP($E50,Machine_List!$B:$D,3,0),""))</f>
        <v>6</v>
      </c>
      <c r="I50" s="54"/>
      <c r="J50" s="55">
        <f ca="1">IF($A50="","",IF($I50&lt;&gt;"",$I50,MAX(GlobalStartDate,IFERROR(LOOKUP(2,1/($E$3:INDIRECT("E"&amp;(ROW()-1))=$E50),$M$3:INDIRECT("M"&amp;(ROW()-1))),GlobalStartDate))))</f>
        <v>46163.291666666679</v>
      </c>
      <c r="K50" s="10">
        <f>IF($A50="","",IFERROR(VLOOKUP(B50,CHOOSE(MATCH(C50,Settings!$L$4:$L$10,0),OPR_2P!$A$4:$I$18,SEG_6P!$A$4:$I$18,SOL_4P!$A$4:$I$18,RW_2P!$A$4:$I$18,RW2_4P!$A$4:$I$18,FLAP_4P!$A$4:$I$18,TUBE_4P!$A$4:$I$18),1,0),0))</f>
        <v>34</v>
      </c>
      <c r="L50" s="10">
        <f t="shared" si="0"/>
        <v>136</v>
      </c>
      <c r="M50" s="55">
        <f ca="1">IF($A50="","",IF(AND(ISNUMBER(G50),G50&gt;=J50,G50&lt;=(J50+(L50/(IF(F50="Contract Workman",Settings!$K$5,Settings!$K$4))))),J50+(L50/(IF(F50="Contract Workman",Settings!$K$5,Settings!$K$4)))+(H50/(IF(F50="Contract Workman",Settings!$K$5,Settings!$K$4))),J50+(L50/(IF(F50="Contract Workman",Settings!$K$5,Settings!$K$4)))))</f>
        <v>46169.587962962978</v>
      </c>
      <c r="N50" s="10" t="str">
        <f t="shared" ca="1" si="2"/>
        <v>Shift A</v>
      </c>
      <c r="O50" s="51" t="str">
        <f>IF(B50="","", IF(IFERROR(ISNUMBER(SEARCH(B50, VLOOKUP(E50, Machine_List!$B:$J, 9, 0))), FALSE()), "✅ Machine OK", "❌ Sug: " &amp; IFERROR(INDEX(Machine_List!$B$4:$B$50, MATCH("*"&amp;B50&amp;"*", Machine_List!$J$4:$J$50, 0)), "Check Limits")))</f>
        <v>✅ Machine OK</v>
      </c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  <c r="AK50" s="52"/>
      <c r="AL50" s="52"/>
      <c r="AM50" s="52"/>
      <c r="AN50" s="52"/>
      <c r="AO50" s="52"/>
      <c r="AP50" s="52"/>
      <c r="AQ50" s="52"/>
      <c r="AR50" s="52"/>
      <c r="AS50" s="52"/>
      <c r="AT50" s="52"/>
      <c r="AU50" s="52"/>
      <c r="AV50" s="52"/>
      <c r="AW50" s="52"/>
      <c r="AX50" s="52"/>
      <c r="AY50" s="52"/>
      <c r="AZ50" s="52"/>
      <c r="BA50" s="52"/>
      <c r="BB50" s="52"/>
      <c r="BC50" s="52"/>
      <c r="BD50" s="52"/>
      <c r="BE50" s="52"/>
      <c r="BF50" s="52"/>
      <c r="BG50" s="52"/>
      <c r="BH50" s="52"/>
      <c r="BI50" s="52"/>
      <c r="BJ50" s="52"/>
      <c r="BK50" s="52"/>
      <c r="BL50" s="52"/>
      <c r="BM50" s="52"/>
    </row>
    <row r="51" spans="1:65" ht="28.8" customHeight="1" x14ac:dyDescent="0.3">
      <c r="A51" s="10" t="str">
        <f>IF(Job_Master!A51="","",Job_Master!A51)</f>
        <v>BJ-151</v>
      </c>
      <c r="B51" s="10">
        <f>IF($A51="","",Job_Master!B51)</f>
        <v>25</v>
      </c>
      <c r="C51" s="10" t="str">
        <f>IF($A51="","",Job_Master!C51)</f>
        <v>SOL</v>
      </c>
      <c r="D51" s="10">
        <f>IF($A51="","",Job_Master!D51)</f>
        <v>4</v>
      </c>
      <c r="E51" s="48" t="str">
        <f>IF($A51="","","VTL-MC-01")</f>
        <v>VTL-MC-01</v>
      </c>
      <c r="F51" s="106" t="str">
        <f>IF($E51="","",IFERROR(VLOOKUP($E51,Machine_List!$B:$G,6,0),""))</f>
        <v>General Workman</v>
      </c>
      <c r="G51" s="53">
        <f>IF($E51="","",IFERROR(VLOOKUP($E51,Machine_List!$B:$C,2,0),""))</f>
        <v>46133</v>
      </c>
      <c r="H51" s="10">
        <f>IF($E51="","",IFERROR(VLOOKUP($E51,Machine_List!$B:$D,3,0),""))</f>
        <v>6</v>
      </c>
      <c r="I51" s="54"/>
      <c r="J51" s="55">
        <f ca="1">IF($A51="","",IF($I51&lt;&gt;"",$I51,MAX(GlobalStartDate,IFERROR(LOOKUP(2,1/($E$3:INDIRECT("E"&amp;(ROW()-1))=$E51),$M$3:INDIRECT("M"&amp;(ROW()-1))),GlobalStartDate))))</f>
        <v>46156.532407407423</v>
      </c>
      <c r="K51" s="10">
        <f>IF($A51="","",IFERROR(VLOOKUP(B51,CHOOSE(MATCH(C51,Settings!$L$4:$L$10,0),OPR_2P!$A$4:$I$18,SEG_6P!$A$4:$I$18,SOL_4P!$A$4:$I$18,RW_2P!$A$4:$I$18,RW2_4P!$A$4:$I$18,FLAP_4P!$A$4:$I$18,TUBE_4P!$A$4:$I$18),1,0),0))</f>
        <v>25</v>
      </c>
      <c r="L51" s="10">
        <f t="shared" si="0"/>
        <v>100</v>
      </c>
      <c r="M51" s="55">
        <f ca="1">IF($A51="","",IF(AND(ISNUMBER(G51),G51&gt;=J51,G51&lt;=(J51+(L51/(IF(F51="Contract Workman",Settings!$K$5,Settings!$K$4))))),J51+(L51/(IF(F51="Contract Workman",Settings!$K$5,Settings!$K$4)))+(H51/(IF(F51="Contract Workman",Settings!$K$5,Settings!$K$4))),J51+(L51/(IF(F51="Contract Workman",Settings!$K$5,Settings!$K$4)))))</f>
        <v>46161.162037037051</v>
      </c>
      <c r="N51" s="10" t="str">
        <f t="shared" ca="1" si="2"/>
        <v>Shift C</v>
      </c>
      <c r="O51" s="51" t="str">
        <f>IF(B51="","", IF(IFERROR(ISNUMBER(SEARCH(B51, VLOOKUP(E51, Machine_List!$B:$J, 9, 0))), FALSE()), "✅ Machine OK", "❌ Sug: " &amp; IFERROR(INDEX(Machine_List!$B$4:$B$50, MATCH("*"&amp;B51&amp;"*", Machine_List!$J$4:$J$50, 0)), "Check Limits")))</f>
        <v>✅ Machine OK</v>
      </c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L51" s="52"/>
      <c r="AM51" s="52"/>
      <c r="AN51" s="52"/>
      <c r="AO51" s="52"/>
      <c r="AP51" s="52"/>
      <c r="AQ51" s="52"/>
      <c r="AR51" s="52"/>
      <c r="AS51" s="52"/>
      <c r="AT51" s="52"/>
      <c r="AU51" s="52"/>
      <c r="AV51" s="52"/>
      <c r="AW51" s="52"/>
      <c r="AX51" s="52"/>
      <c r="AY51" s="52"/>
      <c r="AZ51" s="52"/>
      <c r="BA51" s="52"/>
      <c r="BB51" s="52"/>
      <c r="BC51" s="52"/>
      <c r="BD51" s="52"/>
      <c r="BE51" s="52"/>
      <c r="BF51" s="52"/>
      <c r="BG51" s="52"/>
      <c r="BH51" s="52"/>
      <c r="BI51" s="52"/>
      <c r="BJ51" s="52"/>
      <c r="BK51" s="52"/>
      <c r="BL51" s="52"/>
      <c r="BM51" s="52"/>
    </row>
    <row r="52" spans="1:65" ht="28.8" customHeight="1" x14ac:dyDescent="0.3">
      <c r="A52" s="10" t="str">
        <f>IF(Job_Master!A52="","",Job_Master!A52)</f>
        <v>BJ-152</v>
      </c>
      <c r="B52" s="10">
        <f>IF($A52="","",Job_Master!B52)</f>
        <v>34</v>
      </c>
      <c r="C52" s="10" t="str">
        <f>IF($A52="","",Job_Master!C52)</f>
        <v>2P</v>
      </c>
      <c r="D52" s="10">
        <f>IF($A52="","",Job_Master!D52)</f>
        <v>2</v>
      </c>
      <c r="E52" s="48" t="str">
        <f>IF($A52="","","VTL-MC-02")</f>
        <v>VTL-MC-02</v>
      </c>
      <c r="F52" s="106" t="str">
        <f>IF($E52="","",IFERROR(VLOOKUP($E52,Machine_List!$B:$G,6,0),""))</f>
        <v>General Workman</v>
      </c>
      <c r="G52" s="53">
        <f>IF($E52="","",IFERROR(VLOOKUP($E52,Machine_List!$B:$C,2,0),""))</f>
        <v>46521</v>
      </c>
      <c r="H52" s="10">
        <f>IF($E52="","",IFERROR(VLOOKUP($E52,Machine_List!$B:$D,3,0),""))</f>
        <v>6</v>
      </c>
      <c r="I52" s="54"/>
      <c r="J52" s="55">
        <f ca="1">IF($A52="","",IF($I52&lt;&gt;"",$I52,MAX(GlobalStartDate,IFERROR(LOOKUP(2,1/($E$3:INDIRECT("E"&amp;(ROW()-1))=$E52),$M$3:INDIRECT("M"&amp;(ROW()-1))),GlobalStartDate))))</f>
        <v>46169.587962962978</v>
      </c>
      <c r="K52" s="10">
        <f>IF($A52="","",IFERROR(VLOOKUP(B52,CHOOSE(MATCH(C52,Settings!$L$4:$L$10,0),OPR_2P!$A$4:$I$18,SEG_6P!$A$4:$I$18,SOL_4P!$A$4:$I$18,RW_2P!$A$4:$I$18,RW2_4P!$A$4:$I$18,FLAP_4P!$A$4:$I$18,TUBE_4P!$A$4:$I$18),1,0),0))</f>
        <v>34</v>
      </c>
      <c r="L52" s="10">
        <f t="shared" si="0"/>
        <v>68</v>
      </c>
      <c r="M52" s="55">
        <f ca="1">IF($A52="","",IF(AND(ISNUMBER(G52),G52&gt;=J52,G52&lt;=(J52+(L52/(IF(F52="Contract Workman",Settings!$K$5,Settings!$K$4))))),J52+(L52/(IF(F52="Contract Workman",Settings!$K$5,Settings!$K$4)))+(H52/(IF(F52="Contract Workman",Settings!$K$5,Settings!$K$4))),J52+(L52/(IF(F52="Contract Workman",Settings!$K$5,Settings!$K$4)))))</f>
        <v>46172.736111111124</v>
      </c>
      <c r="N52" s="10" t="str">
        <f t="shared" ca="1" si="2"/>
        <v>Shift B</v>
      </c>
      <c r="O52" s="51" t="str">
        <f>IF(B52="","", IF(IFERROR(ISNUMBER(SEARCH(B52, VLOOKUP(E52, Machine_List!$B:$J, 9, 0))), FALSE()), "✅ Machine OK", "❌ Sug: " &amp; IFERROR(INDEX(Machine_List!$B$4:$B$50, MATCH("*"&amp;B52&amp;"*", Machine_List!$J$4:$J$50, 0)), "Check Limits")))</f>
        <v>✅ Machine OK</v>
      </c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  <c r="AK52" s="52"/>
      <c r="AL52" s="52"/>
      <c r="AM52" s="52"/>
      <c r="AN52" s="52"/>
      <c r="AO52" s="52"/>
      <c r="AP52" s="52"/>
      <c r="AQ52" s="52"/>
      <c r="AR52" s="52"/>
      <c r="AS52" s="52"/>
      <c r="AT52" s="52"/>
      <c r="AU52" s="52"/>
      <c r="AV52" s="52"/>
      <c r="AW52" s="52"/>
      <c r="AX52" s="52"/>
      <c r="AY52" s="52"/>
      <c r="AZ52" s="52"/>
      <c r="BA52" s="52"/>
      <c r="BB52" s="52"/>
      <c r="BC52" s="52"/>
      <c r="BD52" s="52"/>
      <c r="BE52" s="52"/>
      <c r="BF52" s="52"/>
      <c r="BG52" s="52"/>
      <c r="BH52" s="52"/>
      <c r="BI52" s="52"/>
      <c r="BJ52" s="52"/>
      <c r="BK52" s="52"/>
      <c r="BL52" s="52"/>
      <c r="BM52" s="52"/>
    </row>
    <row r="53" spans="1:65" ht="28.8" customHeight="1" x14ac:dyDescent="0.3">
      <c r="A53" s="10" t="str">
        <f>IF(Job_Master!A53="","",Job_Master!A53)</f>
        <v>BJ-143</v>
      </c>
      <c r="B53" s="10">
        <f>IF($A53="","",Job_Master!B53)</f>
        <v>17</v>
      </c>
      <c r="C53" s="10" t="str">
        <f>IF($A53="","",Job_Master!C53)</f>
        <v>SOL</v>
      </c>
      <c r="D53" s="10">
        <f>IF($A53="","",Job_Master!D53)</f>
        <v>4</v>
      </c>
      <c r="E53" s="48" t="str">
        <f>IF($A53="","","VTL-MC-01")</f>
        <v>VTL-MC-01</v>
      </c>
      <c r="F53" s="106" t="str">
        <f>IF($E53="","",IFERROR(VLOOKUP($E53,Machine_List!$B:$G,6,0),""))</f>
        <v>General Workman</v>
      </c>
      <c r="G53" s="53">
        <f>IF($E53="","",IFERROR(VLOOKUP($E53,Machine_List!$B:$C,2,0),""))</f>
        <v>46133</v>
      </c>
      <c r="H53" s="10">
        <f>IF($E53="","",IFERROR(VLOOKUP($E53,Machine_List!$B:$D,3,0),""))</f>
        <v>6</v>
      </c>
      <c r="I53" s="54"/>
      <c r="J53" s="55">
        <f ca="1">IF($A53="","",IF($I53&lt;&gt;"",$I53,MAX(GlobalStartDate,IFERROR(LOOKUP(2,1/($E$3:INDIRECT("E"&amp;(ROW()-1))=$E53),$M$3:INDIRECT("M"&amp;(ROW()-1))),GlobalStartDate))))</f>
        <v>46161.162037037051</v>
      </c>
      <c r="K53" s="10">
        <f>IF($A53="","",IFERROR(VLOOKUP(B53,CHOOSE(MATCH(C53,Settings!$L$4:$L$10,0),OPR_2P!$A$4:$I$18,SEG_6P!$A$4:$I$18,SOL_4P!$A$4:$I$18,RW_2P!$A$4:$I$18,RW2_4P!$A$4:$I$18,FLAP_4P!$A$4:$I$18,TUBE_4P!$A$4:$I$18),1,0),0))</f>
        <v>17</v>
      </c>
      <c r="L53" s="10">
        <f t="shared" si="0"/>
        <v>68</v>
      </c>
      <c r="M53" s="55">
        <f ca="1">IF($A53="","",IF(AND(ISNUMBER(G53),G53&gt;=J53,G53&lt;=(J53+(L53/(IF(F53="Contract Workman",Settings!$K$5,Settings!$K$4))))),J53+(L53/(IF(F53="Contract Workman",Settings!$K$5,Settings!$K$4)))+(H53/(IF(F53="Contract Workman",Settings!$K$5,Settings!$K$4))),J53+(L53/(IF(F53="Contract Workman",Settings!$K$5,Settings!$K$4)))))</f>
        <v>46164.310185185197</v>
      </c>
      <c r="N53" s="10" t="str">
        <f t="shared" ca="1" si="2"/>
        <v>Shift A</v>
      </c>
      <c r="O53" s="51" t="str">
        <f>IF(B53="","", IF(IFERROR(ISNUMBER(SEARCH(B53, VLOOKUP(E53, Machine_List!$B:$J, 9, 0))), FALSE()), "✅ Machine OK", "❌ Sug: " &amp; IFERROR(INDEX(Machine_List!$B$4:$B$50, MATCH("*"&amp;B53&amp;"*", Machine_List!$J$4:$J$50, 0)), "Check Limits")))</f>
        <v>✅ Machine OK</v>
      </c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52"/>
      <c r="AN53" s="52"/>
      <c r="AO53" s="52"/>
      <c r="AP53" s="52"/>
      <c r="AQ53" s="52"/>
      <c r="AR53" s="52"/>
      <c r="AS53" s="52"/>
      <c r="AT53" s="52"/>
      <c r="AU53" s="52"/>
      <c r="AV53" s="52"/>
      <c r="AW53" s="52"/>
      <c r="AX53" s="52"/>
      <c r="AY53" s="52"/>
      <c r="AZ53" s="52"/>
      <c r="BA53" s="52"/>
      <c r="BB53" s="52"/>
      <c r="BC53" s="52"/>
      <c r="BD53" s="52"/>
      <c r="BE53" s="52"/>
      <c r="BF53" s="52"/>
      <c r="BG53" s="52"/>
      <c r="BH53" s="52"/>
      <c r="BI53" s="52"/>
      <c r="BJ53" s="52"/>
      <c r="BK53" s="52"/>
      <c r="BL53" s="52"/>
      <c r="BM53" s="52"/>
    </row>
    <row r="54" spans="1:65" ht="28.8" customHeight="1" x14ac:dyDescent="0.3">
      <c r="A54" s="10" t="str">
        <f>IF(Job_Master!A54="","",Job_Master!A54)</f>
        <v>BJ-154</v>
      </c>
      <c r="B54" s="10">
        <f>IF($A54="","",Job_Master!B54)</f>
        <v>25</v>
      </c>
      <c r="C54" s="10" t="str">
        <f>IF($A54="","",Job_Master!C54)</f>
        <v>RW</v>
      </c>
      <c r="D54" s="10">
        <f>IF($A54="","",Job_Master!D54)</f>
        <v>2</v>
      </c>
      <c r="E54" s="48" t="str">
        <f>IF($A54="","","VTL-MC-01")</f>
        <v>VTL-MC-01</v>
      </c>
      <c r="F54" s="106" t="str">
        <f>IF($E54="","",IFERROR(VLOOKUP($E54,Machine_List!$B:$G,6,0),""))</f>
        <v>General Workman</v>
      </c>
      <c r="G54" s="53">
        <f>IF($E54="","",IFERROR(VLOOKUP($E54,Machine_List!$B:$C,2,0),""))</f>
        <v>46133</v>
      </c>
      <c r="H54" s="10">
        <f>IF($E54="","",IFERROR(VLOOKUP($E54,Machine_List!$B:$D,3,0),""))</f>
        <v>6</v>
      </c>
      <c r="I54" s="54"/>
      <c r="J54" s="55">
        <f ca="1">IF($A54="","",IF($I54&lt;&gt;"",$I54,MAX(GlobalStartDate,IFERROR(LOOKUP(2,1/($E$3:INDIRECT("E"&amp;(ROW()-1))=$E54),$M$3:INDIRECT("M"&amp;(ROW()-1))),GlobalStartDate))))</f>
        <v>46164.310185185197</v>
      </c>
      <c r="K54" s="10">
        <f>IF($A54="","",IFERROR(VLOOKUP(B54,CHOOSE(MATCH(C54,Settings!$L$4:$L$10,0),OPR_2P!$A$4:$I$18,SEG_6P!$A$4:$I$18,SOL_4P!$A$4:$I$18,RW_2P!$A$4:$I$18,RW2_4P!$A$4:$I$18,FLAP_4P!$A$4:$I$18,TUBE_4P!$A$4:$I$18),1,0),0))</f>
        <v>25</v>
      </c>
      <c r="L54" s="10">
        <f t="shared" si="0"/>
        <v>50</v>
      </c>
      <c r="M54" s="55">
        <f ca="1">IF($A54="","",IF(AND(ISNUMBER(G54),G54&gt;=J54,G54&lt;=(J54+(L54/(IF(F54="Contract Workman",Settings!$K$5,Settings!$K$4))))),J54+(L54/(IF(F54="Contract Workman",Settings!$K$5,Settings!$K$4)))+(H54/(IF(F54="Contract Workman",Settings!$K$5,Settings!$K$4))),J54+(L54/(IF(F54="Contract Workman",Settings!$K$5,Settings!$K$4)))))</f>
        <v>46166.625000000015</v>
      </c>
      <c r="N54" s="10" t="str">
        <f t="shared" ca="1" si="2"/>
        <v>Shift B</v>
      </c>
      <c r="O54" s="51" t="str">
        <f>IF(B54="","", IF(IFERROR(ISNUMBER(SEARCH(B54, VLOOKUP(E54, Machine_List!$B:$J, 9, 0))), FALSE()), "✅ Machine OK", "❌ Sug: " &amp; IFERROR(INDEX(Machine_List!$B$4:$B$50, MATCH("*"&amp;B54&amp;"*", Machine_List!$J$4:$J$50, 0)), "Check Limits")))</f>
        <v>✅ Machine OK</v>
      </c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  <c r="AK54" s="52"/>
      <c r="AL54" s="52"/>
      <c r="AM54" s="52"/>
      <c r="AN54" s="52"/>
      <c r="AO54" s="52"/>
      <c r="AP54" s="52"/>
      <c r="AQ54" s="52"/>
      <c r="AR54" s="52"/>
      <c r="AS54" s="52"/>
      <c r="AT54" s="52"/>
      <c r="AU54" s="52"/>
      <c r="AV54" s="52"/>
      <c r="AW54" s="52"/>
      <c r="AX54" s="52"/>
      <c r="AY54" s="52"/>
      <c r="AZ54" s="52"/>
      <c r="BA54" s="52"/>
      <c r="BB54" s="52"/>
      <c r="BC54" s="52"/>
      <c r="BD54" s="52"/>
      <c r="BE54" s="52"/>
      <c r="BF54" s="52"/>
      <c r="BG54" s="52"/>
      <c r="BH54" s="52"/>
      <c r="BI54" s="52"/>
      <c r="BJ54" s="52"/>
      <c r="BK54" s="52"/>
      <c r="BL54" s="52"/>
      <c r="BM54" s="52"/>
    </row>
    <row r="55" spans="1:65" ht="28.8" customHeight="1" x14ac:dyDescent="0.3">
      <c r="A55" s="10" t="str">
        <f>IF(Job_Master!A55="","",Job_Master!A55)</f>
        <v>BJ-156</v>
      </c>
      <c r="B55" s="10">
        <f>IF($A55="","",Job_Master!B55)</f>
        <v>25</v>
      </c>
      <c r="C55" s="10" t="str">
        <f>IF($A55="","",Job_Master!C55)</f>
        <v>2P</v>
      </c>
      <c r="D55" s="10">
        <f>IF($A55="","",Job_Master!D55)</f>
        <v>2</v>
      </c>
      <c r="E55" s="48" t="str">
        <f>IF($A55="","","VTL-MC-01")</f>
        <v>VTL-MC-01</v>
      </c>
      <c r="F55" s="106" t="str">
        <f>IF($E55="","",IFERROR(VLOOKUP($E55,Machine_List!$B:$G,6,0),""))</f>
        <v>General Workman</v>
      </c>
      <c r="G55" s="53">
        <f>IF($E55="","",IFERROR(VLOOKUP($E55,Machine_List!$B:$C,2,0),""))</f>
        <v>46133</v>
      </c>
      <c r="H55" s="10">
        <f>IF($E55="","",IFERROR(VLOOKUP($E55,Machine_List!$B:$D,3,0),""))</f>
        <v>6</v>
      </c>
      <c r="I55" s="54"/>
      <c r="J55" s="55">
        <f ca="1">IF($A55="","",IF($I55&lt;&gt;"",$I55,MAX(GlobalStartDate,IFERROR(LOOKUP(2,1/($E$3:INDIRECT("E"&amp;(ROW()-1))=$E55),$M$3:INDIRECT("M"&amp;(ROW()-1))),GlobalStartDate))))</f>
        <v>46166.625000000015</v>
      </c>
      <c r="K55" s="10">
        <f>IF($A55="","",IFERROR(VLOOKUP(B55,CHOOSE(MATCH(C55,Settings!$L$4:$L$10,0),OPR_2P!$A$4:$I$18,SEG_6P!$A$4:$I$18,SOL_4P!$A$4:$I$18,RW_2P!$A$4:$I$18,RW2_4P!$A$4:$I$18,FLAP_4P!$A$4:$I$18,TUBE_4P!$A$4:$I$18),1,0),0))</f>
        <v>25</v>
      </c>
      <c r="L55" s="10">
        <f t="shared" si="0"/>
        <v>50</v>
      </c>
      <c r="M55" s="55">
        <f ca="1">IF($A55="","",IF(AND(ISNUMBER(G55),G55&gt;=J55,G55&lt;=(J55+(L55/(IF(F55="Contract Workman",Settings!$K$5,Settings!$K$4))))),J55+(L55/(IF(F55="Contract Workman",Settings!$K$5,Settings!$K$4)))+(H55/(IF(F55="Contract Workman",Settings!$K$5,Settings!$K$4))),J55+(L55/(IF(F55="Contract Workman",Settings!$K$5,Settings!$K$4)))))</f>
        <v>46168.939814814832</v>
      </c>
      <c r="N55" s="10" t="str">
        <f t="shared" ca="1" si="2"/>
        <v>Shift B</v>
      </c>
      <c r="O55" s="51" t="str">
        <f>IF(B55="","", IF(IFERROR(ISNUMBER(SEARCH(B55, VLOOKUP(E55, Machine_List!$B:$J, 9, 0))), FALSE()), "✅ Machine OK", "❌ Sug: " &amp; IFERROR(INDEX(Machine_List!$B$4:$B$50, MATCH("*"&amp;B55&amp;"*", Machine_List!$J$4:$J$50, 0)), "Check Limits")))</f>
        <v>✅ Machine OK</v>
      </c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  <c r="AK55" s="52"/>
      <c r="AL55" s="52"/>
      <c r="AM55" s="52"/>
      <c r="AN55" s="52"/>
      <c r="AO55" s="52"/>
      <c r="AP55" s="52"/>
      <c r="AQ55" s="52"/>
      <c r="AR55" s="52"/>
      <c r="AS55" s="52"/>
      <c r="AT55" s="52"/>
      <c r="AU55" s="52"/>
      <c r="AV55" s="52"/>
      <c r="AW55" s="52"/>
      <c r="AX55" s="52"/>
      <c r="AY55" s="52"/>
      <c r="AZ55" s="52"/>
      <c r="BA55" s="52"/>
      <c r="BB55" s="52"/>
      <c r="BC55" s="52"/>
      <c r="BD55" s="52"/>
      <c r="BE55" s="52"/>
      <c r="BF55" s="52"/>
      <c r="BG55" s="52"/>
      <c r="BH55" s="52"/>
      <c r="BI55" s="52"/>
      <c r="BJ55" s="52"/>
      <c r="BK55" s="52"/>
      <c r="BL55" s="52"/>
      <c r="BM55" s="52"/>
    </row>
    <row r="56" spans="1:65" ht="28.8" customHeight="1" x14ac:dyDescent="0.3">
      <c r="A56" s="10" t="str">
        <f>IF(Job_Master!A56="","",Job_Master!A56)</f>
        <v>BJ-145</v>
      </c>
      <c r="B56" s="10">
        <f>IF($A56="","",Job_Master!B56)</f>
        <v>15</v>
      </c>
      <c r="C56" s="10" t="str">
        <f>IF($A56="","",Job_Master!C56)</f>
        <v>2P</v>
      </c>
      <c r="D56" s="10">
        <f>IF($A56="","",Job_Master!D56)</f>
        <v>2</v>
      </c>
      <c r="E56" s="48" t="str">
        <f>IF($A56="","","VTL-MC-01")</f>
        <v>VTL-MC-01</v>
      </c>
      <c r="F56" s="106" t="str">
        <f>IF($E56="","",IFERROR(VLOOKUP($E56,Machine_List!$B:$G,6,0),""))</f>
        <v>General Workman</v>
      </c>
      <c r="G56" s="53">
        <f>IF($E56="","",IFERROR(VLOOKUP($E56,Machine_List!$B:$C,2,0),""))</f>
        <v>46133</v>
      </c>
      <c r="H56" s="10">
        <f>IF($E56="","",IFERROR(VLOOKUP($E56,Machine_List!$B:$D,3,0),""))</f>
        <v>6</v>
      </c>
      <c r="I56" s="54"/>
      <c r="J56" s="55">
        <f ca="1">IF($A56="","",IF($I56&lt;&gt;"",$I56,MAX(GlobalStartDate,IFERROR(LOOKUP(2,1/($E$3:INDIRECT("E"&amp;(ROW()-1))=$E56),$M$3:INDIRECT("M"&amp;(ROW()-1))),GlobalStartDate))))</f>
        <v>46168.939814814832</v>
      </c>
      <c r="K56" s="10">
        <f>IF($A56="","",IFERROR(VLOOKUP(B56,CHOOSE(MATCH(C56,Settings!$L$4:$L$10,0),OPR_2P!$A$4:$I$18,SEG_6P!$A$4:$I$18,SOL_4P!$A$4:$I$18,RW_2P!$A$4:$I$18,RW2_4P!$A$4:$I$18,FLAP_4P!$A$4:$I$18,TUBE_4P!$A$4:$I$18),1,0),0))</f>
        <v>15</v>
      </c>
      <c r="L56" s="10">
        <f t="shared" si="0"/>
        <v>30</v>
      </c>
      <c r="M56" s="55">
        <f ca="1">IF($A56="","",IF(AND(ISNUMBER(G56),G56&gt;=J56,G56&lt;=(J56+(L56/(IF(F56="Contract Workman",Settings!$K$5,Settings!$K$4))))),J56+(L56/(IF(F56="Contract Workman",Settings!$K$5,Settings!$K$4)))+(H56/(IF(F56="Contract Workman",Settings!$K$5,Settings!$K$4))),J56+(L56/(IF(F56="Contract Workman",Settings!$K$5,Settings!$K$4)))))</f>
        <v>46170.328703703723</v>
      </c>
      <c r="N56" s="10" t="str">
        <f t="shared" ca="1" si="2"/>
        <v>Shift A</v>
      </c>
      <c r="O56" s="51" t="str">
        <f>IF(B56="","", IF(IFERROR(ISNUMBER(SEARCH(B56, VLOOKUP(E56, Machine_List!$B:$J, 9, 0))), FALSE()), "✅ Machine OK", "❌ Sug: " &amp; IFERROR(INDEX(Machine_List!$B$4:$B$50, MATCH("*"&amp;B56&amp;"*", Machine_List!$J$4:$J$50, 0)), "Check Limits")))</f>
        <v>✅ Machine OK</v>
      </c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  <c r="AK56" s="52"/>
      <c r="AL56" s="52"/>
      <c r="AM56" s="52"/>
      <c r="AN56" s="52"/>
      <c r="AO56" s="52"/>
      <c r="AP56" s="52"/>
      <c r="AQ56" s="52"/>
      <c r="AR56" s="52"/>
      <c r="AS56" s="52"/>
      <c r="AT56" s="52"/>
      <c r="AU56" s="52"/>
      <c r="AV56" s="52"/>
      <c r="AW56" s="52"/>
      <c r="AX56" s="52"/>
      <c r="AY56" s="52"/>
      <c r="AZ56" s="52"/>
      <c r="BA56" s="52"/>
      <c r="BB56" s="52"/>
      <c r="BC56" s="52"/>
      <c r="BD56" s="52"/>
      <c r="BE56" s="52"/>
      <c r="BF56" s="52"/>
      <c r="BG56" s="52"/>
      <c r="BH56" s="52"/>
      <c r="BI56" s="52"/>
      <c r="BJ56" s="52"/>
      <c r="BK56" s="52"/>
      <c r="BL56" s="52"/>
      <c r="BM56" s="52"/>
    </row>
    <row r="57" spans="1:65" ht="28.8" customHeight="1" x14ac:dyDescent="0.3">
      <c r="A57" s="10" t="str">
        <f>IF(Job_Master!A57="","",Job_Master!A57)</f>
        <v>BJ-153</v>
      </c>
      <c r="B57" s="10">
        <f>IF($A57="","",Job_Master!B57)</f>
        <v>34</v>
      </c>
      <c r="C57" s="10" t="str">
        <f>IF($A57="","",Job_Master!C57)</f>
        <v>SEG</v>
      </c>
      <c r="D57" s="10">
        <f>IF($A57="","",Job_Master!D57)</f>
        <v>6</v>
      </c>
      <c r="E57" s="48" t="str">
        <f>IF($A57="","","VTL-MC-02")</f>
        <v>VTL-MC-02</v>
      </c>
      <c r="F57" s="106" t="str">
        <f>IF($E57="","",IFERROR(VLOOKUP($E57,Machine_List!$B:$G,6,0),""))</f>
        <v>General Workman</v>
      </c>
      <c r="G57" s="53">
        <f>IF($E57="","",IFERROR(VLOOKUP($E57,Machine_List!$B:$C,2,0),""))</f>
        <v>46521</v>
      </c>
      <c r="H57" s="10">
        <f>IF($E57="","",IFERROR(VLOOKUP($E57,Machine_List!$B:$D,3,0),""))</f>
        <v>6</v>
      </c>
      <c r="I57" s="54"/>
      <c r="J57" s="55">
        <f ca="1">IF($A57="","",IF($I57&lt;&gt;"",$I57,MAX(GlobalStartDate,IFERROR(LOOKUP(2,1/($E$3:INDIRECT("E"&amp;(ROW()-1))=$E57),$M$3:INDIRECT("M"&amp;(ROW()-1))),GlobalStartDate))))</f>
        <v>46172.736111111124</v>
      </c>
      <c r="K57" s="10">
        <f>IF($A57="","",IFERROR(VLOOKUP(B57,CHOOSE(MATCH(C57,Settings!$L$4:$L$10,0),OPR_2P!$A$4:$I$18,SEG_6P!$A$4:$I$18,SOL_4P!$A$4:$I$18,RW_2P!$A$4:$I$18,RW2_4P!$A$4:$I$18,FLAP_4P!$A$4:$I$18,TUBE_4P!$A$4:$I$18),1,0),0))</f>
        <v>34</v>
      </c>
      <c r="L57" s="10">
        <f t="shared" si="0"/>
        <v>204</v>
      </c>
      <c r="M57" s="55">
        <f ca="1">IF($A57="","",IF(AND(ISNUMBER(G57),G57&gt;=J57,G57&lt;=(J57+(L57/(IF(F57="Contract Workman",Settings!$K$5,Settings!$K$4))))),J57+(L57/(IF(F57="Contract Workman",Settings!$K$5,Settings!$K$4)))+(H57/(IF(F57="Contract Workman",Settings!$K$5,Settings!$K$4))),J57+(L57/(IF(F57="Contract Workman",Settings!$K$5,Settings!$K$4)))))</f>
        <v>46182.180555555569</v>
      </c>
      <c r="N57" s="10" t="str">
        <f t="shared" ca="1" si="2"/>
        <v>Shift C</v>
      </c>
      <c r="O57" s="51" t="str">
        <f>IF(B57="","", IF(IFERROR(ISNUMBER(SEARCH(B57, VLOOKUP(E57, Machine_List!$B:$J, 9, 0))), FALSE()), "✅ Machine OK", "❌ Sug: " &amp; IFERROR(INDEX(Machine_List!$B$4:$B$50, MATCH("*"&amp;B57&amp;"*", Machine_List!$J$4:$J$50, 0)), "Check Limits")))</f>
        <v>✅ Machine OK</v>
      </c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  <c r="AK57" s="52"/>
      <c r="AL57" s="52"/>
      <c r="AM57" s="52"/>
      <c r="AN57" s="52"/>
      <c r="AO57" s="52"/>
      <c r="AP57" s="52"/>
      <c r="AQ57" s="52"/>
      <c r="AR57" s="52"/>
      <c r="AS57" s="52"/>
      <c r="AT57" s="52"/>
      <c r="AU57" s="52"/>
      <c r="AV57" s="52"/>
      <c r="AW57" s="52"/>
      <c r="AX57" s="52"/>
      <c r="AY57" s="52"/>
      <c r="AZ57" s="52"/>
      <c r="BA57" s="52"/>
      <c r="BB57" s="52"/>
      <c r="BC57" s="52"/>
      <c r="BD57" s="52"/>
      <c r="BE57" s="52"/>
      <c r="BF57" s="52"/>
      <c r="BG57" s="52"/>
      <c r="BH57" s="52"/>
      <c r="BI57" s="52"/>
      <c r="BJ57" s="52"/>
      <c r="BK57" s="52"/>
      <c r="BL57" s="52"/>
      <c r="BM57" s="52"/>
    </row>
    <row r="58" spans="1:65" ht="28.8" customHeight="1" x14ac:dyDescent="0.3">
      <c r="A58" s="10" t="str">
        <f>IF(Job_Master!A58="","",Job_Master!A58)</f>
        <v>BJ-160</v>
      </c>
      <c r="B58" s="10">
        <f>IF($A58="","",Job_Master!B58)</f>
        <v>34</v>
      </c>
      <c r="C58" s="10" t="str">
        <f>IF($A58="","",Job_Master!C58)</f>
        <v>2P</v>
      </c>
      <c r="D58" s="10">
        <f>IF($A58="","",Job_Master!D58)</f>
        <v>2</v>
      </c>
      <c r="E58" s="48" t="str">
        <f>IF($A58="","","VTL-MC-03")</f>
        <v>VTL-MC-03</v>
      </c>
      <c r="F58" s="106" t="str">
        <f>IF($E58="","",IFERROR(VLOOKUP($E58,Machine_List!$B:$G,6,0),""))</f>
        <v>General Workman</v>
      </c>
      <c r="G58" s="53">
        <f>IF($E58="","",IFERROR(VLOOKUP($E58,Machine_List!$B:$C,2,0),""))</f>
        <v>46174</v>
      </c>
      <c r="H58" s="10">
        <f>IF($E58="","",IFERROR(VLOOKUP($E58,Machine_List!$B:$D,3,0),""))</f>
        <v>6</v>
      </c>
      <c r="I58" s="54"/>
      <c r="J58" s="55">
        <f ca="1">IF($A58="","",IF($I58&lt;&gt;"",$I58,MAX(GlobalStartDate,IFERROR(LOOKUP(2,1/($E$3:INDIRECT("E"&amp;(ROW()-1))=$E58),$M$3:INDIRECT("M"&amp;(ROW()-1))),GlobalStartDate))))</f>
        <v>46168.569444444438</v>
      </c>
      <c r="K58" s="10">
        <f>IF($A58="","",IFERROR(VLOOKUP(B58,CHOOSE(MATCH(C58,Settings!$L$4:$L$10,0),OPR_2P!$A$4:$I$18,SEG_6P!$A$4:$I$18,SOL_4P!$A$4:$I$18,RW_2P!$A$4:$I$18,RW2_4P!$A$4:$I$18,FLAP_4P!$A$4:$I$18,TUBE_4P!$A$4:$I$18),1,0),0))</f>
        <v>34</v>
      </c>
      <c r="L58" s="10">
        <f t="shared" si="0"/>
        <v>68</v>
      </c>
      <c r="M58" s="55">
        <f ca="1">IF($A58="","",IF(AND(ISNUMBER(G58),G58&gt;=J58,G58&lt;=(J58+(L58/(IF(F58="Contract Workman",Settings!$K$5,Settings!$K$4))))),J58+(L58/(IF(F58="Contract Workman",Settings!$K$5,Settings!$K$4)))+(H58/(IF(F58="Contract Workman",Settings!$K$5,Settings!$K$4))),J58+(L58/(IF(F58="Contract Workman",Settings!$K$5,Settings!$K$4)))))</f>
        <v>46171.717592592584</v>
      </c>
      <c r="N58" s="10" t="str">
        <f t="shared" ca="1" si="2"/>
        <v>Shift B</v>
      </c>
      <c r="O58" s="51" t="str">
        <f>IF(B58="","", IF(IFERROR(ISNUMBER(SEARCH(B58, VLOOKUP(E58, Machine_List!$B:$J, 9, 0))), FALSE()), "✅ Machine OK", "❌ Sug: " &amp; IFERROR(INDEX(Machine_List!$B$4:$B$50, MATCH("*"&amp;B58&amp;"*", Machine_List!$J$4:$J$50, 0)), "Check Limits")))</f>
        <v>✅ Machine OK</v>
      </c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52"/>
      <c r="AK58" s="52"/>
      <c r="AL58" s="52"/>
      <c r="AM58" s="52"/>
      <c r="AN58" s="52"/>
      <c r="AO58" s="52"/>
      <c r="AP58" s="52"/>
      <c r="AQ58" s="52"/>
      <c r="AR58" s="52"/>
      <c r="AS58" s="52"/>
      <c r="AT58" s="52"/>
      <c r="AU58" s="52"/>
      <c r="AV58" s="52"/>
      <c r="AW58" s="52"/>
      <c r="AX58" s="52"/>
      <c r="AY58" s="52"/>
      <c r="AZ58" s="52"/>
      <c r="BA58" s="52"/>
      <c r="BB58" s="52"/>
      <c r="BC58" s="52"/>
      <c r="BD58" s="52"/>
      <c r="BE58" s="52"/>
      <c r="BF58" s="52"/>
      <c r="BG58" s="52"/>
      <c r="BH58" s="52"/>
      <c r="BI58" s="52"/>
      <c r="BJ58" s="52"/>
      <c r="BK58" s="52"/>
      <c r="BL58" s="52"/>
      <c r="BM58" s="52"/>
    </row>
    <row r="59" spans="1:65" ht="28.8" customHeight="1" x14ac:dyDescent="0.3">
      <c r="A59" s="10" t="str">
        <f>IF(Job_Master!A59="","",Job_Master!A59)</f>
        <v>BJ-158</v>
      </c>
      <c r="B59" s="10">
        <f>IF($A59="","",Job_Master!B59)</f>
        <v>54</v>
      </c>
      <c r="C59" s="10" t="str">
        <f>IF($A59="","",Job_Master!C59)</f>
        <v>2P</v>
      </c>
      <c r="D59" s="10">
        <f>IF($A59="","",Job_Master!D59)</f>
        <v>2</v>
      </c>
      <c r="E59" s="48" t="str">
        <f>IF($A59="","","VTL-MC-03")</f>
        <v>VTL-MC-03</v>
      </c>
      <c r="F59" s="106" t="str">
        <f>IF($E59="","",IFERROR(VLOOKUP($E59,Machine_List!$B:$G,6,0),""))</f>
        <v>General Workman</v>
      </c>
      <c r="G59" s="53">
        <f>IF($E59="","",IFERROR(VLOOKUP($E59,Machine_List!$B:$C,2,0),""))</f>
        <v>46174</v>
      </c>
      <c r="H59" s="10">
        <f>IF($E59="","",IFERROR(VLOOKUP($E59,Machine_List!$B:$D,3,0),""))</f>
        <v>6</v>
      </c>
      <c r="I59" s="54"/>
      <c r="J59" s="55">
        <f ca="1">IF($A59="","",IF($I59&lt;&gt;"",$I59,MAX(GlobalStartDate,IFERROR(LOOKUP(2,1/($E$3:INDIRECT("E"&amp;(ROW()-1))=$E59),$M$3:INDIRECT("M"&amp;(ROW()-1))),GlobalStartDate))))</f>
        <v>46171.717592592584</v>
      </c>
      <c r="K59" s="10">
        <f>IF($A59="","",IFERROR(VLOOKUP(B59,CHOOSE(MATCH(C59,Settings!$L$4:$L$10,0),OPR_2P!$A$4:$I$18,SEG_6P!$A$4:$I$18,SOL_4P!$A$4:$I$18,RW_2P!$A$4:$I$18,RW2_4P!$A$4:$I$18,FLAP_4P!$A$4:$I$18,TUBE_4P!$A$4:$I$18),1,0),0))</f>
        <v>54</v>
      </c>
      <c r="L59" s="10">
        <f t="shared" si="0"/>
        <v>108</v>
      </c>
      <c r="M59" s="55">
        <f ca="1">IF($A59="","",IF(AND(ISNUMBER(G59),G59&gt;=J59,G59&lt;=(J59+(L59/(IF(F59="Contract Workman",Settings!$K$5,Settings!$K$4))))),J59+(L59/(IF(F59="Contract Workman",Settings!$K$5,Settings!$K$4)))+(H59/(IF(F59="Contract Workman",Settings!$K$5,Settings!$K$4))),J59+(L59/(IF(F59="Contract Workman",Settings!$K$5,Settings!$K$4)))))</f>
        <v>46176.995370370365</v>
      </c>
      <c r="N59" s="10" t="str">
        <f t="shared" ca="1" si="2"/>
        <v>Shift C</v>
      </c>
      <c r="O59" s="51" t="str">
        <f>IF(B59="","", IF(IFERROR(ISNUMBER(SEARCH(B59, VLOOKUP(E59, Machine_List!$B:$J, 9, 0))), FALSE()), "✅ Machine OK", "❌ Sug: " &amp; IFERROR(INDEX(Machine_List!$B$4:$B$50, MATCH("*"&amp;B59&amp;"*", Machine_List!$J$4:$J$50, 0)), "Check Limits")))</f>
        <v>✅ Machine OK</v>
      </c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  <c r="AK59" s="52"/>
      <c r="AL59" s="52"/>
      <c r="AM59" s="52"/>
      <c r="AN59" s="52"/>
      <c r="AO59" s="52"/>
      <c r="AP59" s="52"/>
      <c r="AQ59" s="52"/>
      <c r="AR59" s="52"/>
      <c r="AS59" s="52"/>
      <c r="AT59" s="52"/>
      <c r="AU59" s="52"/>
      <c r="AV59" s="52"/>
      <c r="AW59" s="52"/>
      <c r="AX59" s="52"/>
      <c r="AY59" s="52"/>
      <c r="AZ59" s="52"/>
      <c r="BA59" s="52"/>
      <c r="BB59" s="52"/>
      <c r="BC59" s="52"/>
      <c r="BD59" s="52"/>
      <c r="BE59" s="52"/>
      <c r="BF59" s="52"/>
      <c r="BG59" s="52"/>
      <c r="BH59" s="52"/>
      <c r="BI59" s="52"/>
      <c r="BJ59" s="52"/>
      <c r="BK59" s="52"/>
      <c r="BL59" s="52"/>
      <c r="BM59" s="52"/>
    </row>
    <row r="60" spans="1:65" ht="28.8" customHeight="1" x14ac:dyDescent="0.3">
      <c r="A60" s="10" t="str">
        <f>IF(Job_Master!A60="","",Job_Master!A60)</f>
        <v>BJ-157</v>
      </c>
      <c r="B60" s="10">
        <f>IF($A60="","",Job_Master!B60)</f>
        <v>50</v>
      </c>
      <c r="C60" s="10" t="str">
        <f>IF($A60="","",Job_Master!C60)</f>
        <v>SEG</v>
      </c>
      <c r="D60" s="10">
        <f>IF($A60="","",Job_Master!D60)</f>
        <v>6</v>
      </c>
      <c r="E60" s="48" t="str">
        <f>IF($A60="","","VTL-MC-04")</f>
        <v>VTL-MC-04</v>
      </c>
      <c r="F60" s="106" t="str">
        <f>IF($E60="","",IFERROR(VLOOKUP($E60,Machine_List!$B:$G,6,0),""))</f>
        <v>General Workman</v>
      </c>
      <c r="G60" s="53">
        <f>IF($E60="","",IFERROR(VLOOKUP($E60,Machine_List!$B:$C,2,0),""))</f>
        <v>46517</v>
      </c>
      <c r="H60" s="10">
        <f>IF($E60="","",IFERROR(VLOOKUP($E60,Machine_List!$B:$D,3,0),""))</f>
        <v>6</v>
      </c>
      <c r="I60" s="54"/>
      <c r="J60" s="55">
        <f ca="1">IF($A60="","",IF($I60&lt;&gt;"",$I60,MAX(GlobalStartDate,IFERROR(LOOKUP(2,1/($E$3:INDIRECT("E"&amp;(ROW()-1))=$E60),$M$3:INDIRECT("M"&amp;(ROW()-1))),GlobalStartDate))))</f>
        <v>46171.717592592591</v>
      </c>
      <c r="K60" s="10">
        <f>IF($A60="","",IFERROR(VLOOKUP(B60,CHOOSE(MATCH(C60,Settings!$L$4:$L$10,0),OPR_2P!$A$4:$I$18,SEG_6P!$A$4:$I$18,SOL_4P!$A$4:$I$18,RW_2P!$A$4:$I$18,RW2_4P!$A$4:$I$18,FLAP_4P!$A$4:$I$18,TUBE_4P!$A$4:$I$18),1,0),0))</f>
        <v>50</v>
      </c>
      <c r="L60" s="10">
        <f t="shared" si="0"/>
        <v>300</v>
      </c>
      <c r="M60" s="55">
        <f ca="1">IF($A60="","",IF(AND(ISNUMBER(G60),G60&gt;=J60,G60&lt;=(J60+(L60/(IF(F60="Contract Workman",Settings!$K$5,Settings!$K$4))))),J60+(L60/(IF(F60="Contract Workman",Settings!$K$5,Settings!$K$4)))+(H60/(IF(F60="Contract Workman",Settings!$K$5,Settings!$K$4))),J60+(L60/(IF(F60="Contract Workman",Settings!$K$5,Settings!$K$4)))))</f>
        <v>46185.606481481482</v>
      </c>
      <c r="N60" s="10" t="str">
        <f t="shared" ca="1" si="2"/>
        <v>Shift A</v>
      </c>
      <c r="O60" s="51" t="str">
        <f>IF(B60="","", IF(IFERROR(ISNUMBER(SEARCH(B60, VLOOKUP(E60, Machine_List!$B:$J, 9, 0))), FALSE()), "✅ Machine OK", "❌ Sug: " &amp; IFERROR(INDEX(Machine_List!$B$4:$B$50, MATCH("*"&amp;B60&amp;"*", Machine_List!$J$4:$J$50, 0)), "Check Limits")))</f>
        <v>✅ Machine OK</v>
      </c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52"/>
      <c r="AN60" s="52"/>
      <c r="AO60" s="52"/>
      <c r="AP60" s="52"/>
      <c r="AQ60" s="52"/>
      <c r="AR60" s="52"/>
      <c r="AS60" s="52"/>
      <c r="AT60" s="52"/>
      <c r="AU60" s="52"/>
      <c r="AV60" s="52"/>
      <c r="AW60" s="52"/>
      <c r="AX60" s="52"/>
      <c r="AY60" s="52"/>
      <c r="AZ60" s="52"/>
      <c r="BA60" s="52"/>
      <c r="BB60" s="52"/>
      <c r="BC60" s="52"/>
      <c r="BD60" s="52"/>
      <c r="BE60" s="52"/>
      <c r="BF60" s="52"/>
      <c r="BG60" s="52"/>
      <c r="BH60" s="52"/>
      <c r="BI60" s="52"/>
      <c r="BJ60" s="52"/>
      <c r="BK60" s="52"/>
      <c r="BL60" s="52"/>
      <c r="BM60" s="52"/>
    </row>
    <row r="61" spans="1:65" ht="28.8" customHeight="1" x14ac:dyDescent="0.3">
      <c r="A61" s="10" t="str">
        <f>IF(Job_Master!A61="","",Job_Master!A61)</f>
        <v>BJ-159</v>
      </c>
      <c r="B61" s="10">
        <f>IF($A61="","",Job_Master!B61)</f>
        <v>54</v>
      </c>
      <c r="C61" s="10" t="str">
        <f>IF($A61="","",Job_Master!C61)</f>
        <v>RW</v>
      </c>
      <c r="D61" s="10">
        <f>IF($A61="","",Job_Master!D61)</f>
        <v>2</v>
      </c>
      <c r="E61" s="48" t="str">
        <f>IF($A61="","","VTL-MC-03")</f>
        <v>VTL-MC-03</v>
      </c>
      <c r="F61" s="106" t="str">
        <f>IF($E61="","",IFERROR(VLOOKUP($E61,Machine_List!$B:$G,6,0),""))</f>
        <v>General Workman</v>
      </c>
      <c r="G61" s="53">
        <f>IF($E61="","",IFERROR(VLOOKUP($E61,Machine_List!$B:$C,2,0),""))</f>
        <v>46174</v>
      </c>
      <c r="H61" s="10">
        <f>IF($E61="","",IFERROR(VLOOKUP($E61,Machine_List!$B:$D,3,0),""))</f>
        <v>6</v>
      </c>
      <c r="I61" s="54"/>
      <c r="J61" s="55">
        <f ca="1">IF($A61="","",IF($I61&lt;&gt;"",$I61,MAX(GlobalStartDate,IFERROR(LOOKUP(2,1/($E$3:INDIRECT("E"&amp;(ROW()-1))=$E61),$M$3:INDIRECT("M"&amp;(ROW()-1))),GlobalStartDate))))</f>
        <v>46176.995370370365</v>
      </c>
      <c r="K61" s="10">
        <f>IF($A61="","",IFERROR(VLOOKUP(B61,CHOOSE(MATCH(C61,Settings!$L$4:$L$10,0),OPR_2P!$A$4:$I$18,SEG_6P!$A$4:$I$18,SOL_4P!$A$4:$I$18,RW_2P!$A$4:$I$18,RW2_4P!$A$4:$I$18,FLAP_4P!$A$4:$I$18,TUBE_4P!$A$4:$I$18),1,0),0))</f>
        <v>54</v>
      </c>
      <c r="L61" s="10">
        <f t="shared" si="0"/>
        <v>108</v>
      </c>
      <c r="M61" s="55">
        <f ca="1">IF($A61="","",IF(AND(ISNUMBER(G61),G61&gt;=J61,G61&lt;=(J61+(L61/(IF(F61="Contract Workman",Settings!$K$5,Settings!$K$4))))),J61+(L61/(IF(F61="Contract Workman",Settings!$K$5,Settings!$K$4)))+(H61/(IF(F61="Contract Workman",Settings!$K$5,Settings!$K$4))),J61+(L61/(IF(F61="Contract Workman",Settings!$K$5,Settings!$K$4)))))</f>
        <v>46181.995370370365</v>
      </c>
      <c r="N61" s="10" t="str">
        <f t="shared" ca="1" si="2"/>
        <v>Shift C</v>
      </c>
      <c r="O61" s="51" t="str">
        <f>IF(B61="","", IF(IFERROR(ISNUMBER(SEARCH(B61, VLOOKUP(E61, Machine_List!$B:$J, 9, 0))), FALSE()), "✅ Machine OK", "❌ Sug: " &amp; IFERROR(INDEX(Machine_List!$B$4:$B$50, MATCH("*"&amp;B61&amp;"*", Machine_List!$J$4:$J$50, 0)), "Check Limits")))</f>
        <v>✅ Machine OK</v>
      </c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52"/>
      <c r="AG61" s="52"/>
      <c r="AH61" s="52"/>
      <c r="AI61" s="52"/>
      <c r="AJ61" s="52"/>
      <c r="AK61" s="52"/>
      <c r="AL61" s="52"/>
      <c r="AM61" s="52"/>
      <c r="AN61" s="52"/>
      <c r="AO61" s="52"/>
      <c r="AP61" s="52"/>
      <c r="AQ61" s="52"/>
      <c r="AR61" s="52"/>
      <c r="AS61" s="52"/>
      <c r="AT61" s="52"/>
      <c r="AU61" s="52"/>
      <c r="AV61" s="52"/>
      <c r="AW61" s="52"/>
      <c r="AX61" s="52"/>
      <c r="AY61" s="52"/>
      <c r="AZ61" s="52"/>
      <c r="BA61" s="52"/>
      <c r="BB61" s="52"/>
      <c r="BC61" s="52"/>
      <c r="BD61" s="52"/>
      <c r="BE61" s="52"/>
      <c r="BF61" s="52"/>
      <c r="BG61" s="52"/>
      <c r="BH61" s="52"/>
      <c r="BI61" s="52"/>
      <c r="BJ61" s="52"/>
      <c r="BK61" s="52"/>
      <c r="BL61" s="52"/>
      <c r="BM61" s="52"/>
    </row>
    <row r="62" spans="1:65" ht="28.8" customHeight="1" x14ac:dyDescent="0.3">
      <c r="A62" s="10" t="str">
        <f>IF(Job_Master!A62="","",Job_Master!A62)</f>
        <v>BJ-148</v>
      </c>
      <c r="B62" s="10">
        <f>IF($A62="","",Job_Master!B62)</f>
        <v>9</v>
      </c>
      <c r="C62" s="10" t="str">
        <f>IF($A62="","",Job_Master!C62)</f>
        <v>SEG</v>
      </c>
      <c r="D62" s="10">
        <f>IF($A62="","",Job_Master!D62)</f>
        <v>6</v>
      </c>
      <c r="E62" s="48" t="str">
        <f>IF($A62="","","VTL-MC-01")</f>
        <v>VTL-MC-01</v>
      </c>
      <c r="F62" s="106" t="str">
        <f>IF($E62="","",IFERROR(VLOOKUP($E62,Machine_List!$B:$G,6,0),""))</f>
        <v>General Workman</v>
      </c>
      <c r="G62" s="53">
        <f>IF($E62="","",IFERROR(VLOOKUP($E62,Machine_List!$B:$C,2,0),""))</f>
        <v>46133</v>
      </c>
      <c r="H62" s="10">
        <f>IF($E62="","",IFERROR(VLOOKUP($E62,Machine_List!$B:$D,3,0),""))</f>
        <v>6</v>
      </c>
      <c r="I62" s="54"/>
      <c r="J62" s="55">
        <f ca="1">IF($A62="","",IF($I62&lt;&gt;"",$I62,MAX(GlobalStartDate,IFERROR(LOOKUP(2,1/($E$3:INDIRECT("E"&amp;(ROW()-1))=$E62),$M$3:INDIRECT("M"&amp;(ROW()-1))),GlobalStartDate))))</f>
        <v>46170.328703703723</v>
      </c>
      <c r="K62" s="10">
        <f>IF($A62="","",IFERROR(VLOOKUP(B62,CHOOSE(MATCH(C62,Settings!$L$4:$L$10,0),OPR_2P!$A$4:$I$18,SEG_6P!$A$4:$I$18,SOL_4P!$A$4:$I$18,RW_2P!$A$4:$I$18,RW2_4P!$A$4:$I$18,FLAP_4P!$A$4:$I$18,TUBE_4P!$A$4:$I$18),1,0),0))</f>
        <v>9</v>
      </c>
      <c r="L62" s="10">
        <f t="shared" si="0"/>
        <v>54</v>
      </c>
      <c r="M62" s="55">
        <f ca="1">IF($A62="","",IF(AND(ISNUMBER(G62),G62&gt;=J62,G62&lt;=(J62+(L62/(IF(F62="Contract Workman",Settings!$K$5,Settings!$K$4))))),J62+(L62/(IF(F62="Contract Workman",Settings!$K$5,Settings!$K$4)))+(H62/(IF(F62="Contract Workman",Settings!$K$5,Settings!$K$4))),J62+(L62/(IF(F62="Contract Workman",Settings!$K$5,Settings!$K$4)))))</f>
        <v>46172.828703703723</v>
      </c>
      <c r="N62" s="10" t="str">
        <f t="shared" ca="1" si="2"/>
        <v>Shift B</v>
      </c>
      <c r="O62" s="51" t="str">
        <f>IF(B62="","", IF(IFERROR(ISNUMBER(SEARCH(B62, VLOOKUP(E62, Machine_List!$B:$J, 9, 0))), FALSE()), "✅ Machine OK", "❌ Sug: " &amp; IFERROR(INDEX(Machine_List!$B$4:$B$50, MATCH("*"&amp;B62&amp;"*", Machine_List!$J$4:$J$50, 0)), "Check Limits")))</f>
        <v>✅ Machine OK</v>
      </c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52"/>
      <c r="AK62" s="52"/>
      <c r="AL62" s="52"/>
      <c r="AM62" s="52"/>
      <c r="AN62" s="52"/>
      <c r="AO62" s="52"/>
      <c r="AP62" s="52"/>
      <c r="AQ62" s="52"/>
      <c r="AR62" s="52"/>
      <c r="AS62" s="52"/>
      <c r="AT62" s="52"/>
      <c r="AU62" s="52"/>
      <c r="AV62" s="52"/>
      <c r="AW62" s="52"/>
      <c r="AX62" s="52"/>
      <c r="AY62" s="52"/>
      <c r="AZ62" s="52"/>
      <c r="BA62" s="52"/>
      <c r="BB62" s="52"/>
      <c r="BC62" s="52"/>
      <c r="BD62" s="52"/>
      <c r="BE62" s="52"/>
      <c r="BF62" s="52"/>
      <c r="BG62" s="52"/>
      <c r="BH62" s="52"/>
      <c r="BI62" s="52"/>
      <c r="BJ62" s="52"/>
      <c r="BK62" s="52"/>
      <c r="BL62" s="52"/>
      <c r="BM62" s="52"/>
    </row>
    <row r="63" spans="1:65" ht="28.8" customHeight="1" x14ac:dyDescent="0.3">
      <c r="A63" s="10" t="str">
        <f>IF(Job_Master!A63="","",Job_Master!A63)</f>
        <v>BJ-161</v>
      </c>
      <c r="B63" s="10">
        <f>IF($A63="","",Job_Master!B63)</f>
        <v>30</v>
      </c>
      <c r="C63" s="10" t="str">
        <f>IF($A63="","",Job_Master!C63)</f>
        <v>SEG</v>
      </c>
      <c r="D63" s="10">
        <f>IF($A63="","",Job_Master!D63)</f>
        <v>6</v>
      </c>
      <c r="E63" s="48" t="str">
        <f>IF($A63="","","VTL-MC-02")</f>
        <v>VTL-MC-02</v>
      </c>
      <c r="F63" s="106" t="str">
        <f>IF($E63="","",IFERROR(VLOOKUP($E63,Machine_List!$B:$G,6,0),""))</f>
        <v>General Workman</v>
      </c>
      <c r="G63" s="53">
        <f>IF($E63="","",IFERROR(VLOOKUP($E63,Machine_List!$B:$C,2,0),""))</f>
        <v>46521</v>
      </c>
      <c r="H63" s="10">
        <f>IF($E63="","",IFERROR(VLOOKUP($E63,Machine_List!$B:$D,3,0),""))</f>
        <v>6</v>
      </c>
      <c r="I63" s="54"/>
      <c r="J63" s="55">
        <f ca="1">IF($A63="","",IF($I63&lt;&gt;"",$I63,MAX(GlobalStartDate,IFERROR(LOOKUP(2,1/($E$3:INDIRECT("E"&amp;(ROW()-1))=$E63),$M$3:INDIRECT("M"&amp;(ROW()-1))),GlobalStartDate))))</f>
        <v>46182.180555555569</v>
      </c>
      <c r="K63" s="10">
        <f>IF($A63="","",IFERROR(VLOOKUP(B63,CHOOSE(MATCH(C63,Settings!$L$4:$L$10,0),OPR_2P!$A$4:$I$18,SEG_6P!$A$4:$I$18,SOL_4P!$A$4:$I$18,RW_2P!$A$4:$I$18,RW2_4P!$A$4:$I$18,FLAP_4P!$A$4:$I$18,TUBE_4P!$A$4:$I$18),1,0),0))</f>
        <v>30</v>
      </c>
      <c r="L63" s="10">
        <f t="shared" si="0"/>
        <v>180</v>
      </c>
      <c r="M63" s="55">
        <f ca="1">IF($A63="","",IF(AND(ISNUMBER(G63),G63&gt;=J63,G63&lt;=(J63+(L63/(IF(F63="Contract Workman",Settings!$K$5,Settings!$K$4))))),J63+(L63/(IF(F63="Contract Workman",Settings!$K$5,Settings!$K$4)))+(H63/(IF(F63="Contract Workman",Settings!$K$5,Settings!$K$4))),J63+(L63/(IF(F63="Contract Workman",Settings!$K$5,Settings!$K$4)))))</f>
        <v>46190.513888888905</v>
      </c>
      <c r="N63" s="10" t="str">
        <f t="shared" ca="1" si="2"/>
        <v>Shift A</v>
      </c>
      <c r="O63" s="51" t="str">
        <f>IF(B63="","", IF(IFERROR(ISNUMBER(SEARCH(B63, VLOOKUP(E63, Machine_List!$B:$J, 9, 0))), FALSE()), "✅ Machine OK", "❌ Sug: " &amp; IFERROR(INDEX(Machine_List!$B$4:$B$50, MATCH("*"&amp;B63&amp;"*", Machine_List!$J$4:$J$50, 0)), "Check Limits")))</f>
        <v>✅ Machine OK</v>
      </c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52"/>
      <c r="AK63" s="52"/>
      <c r="AL63" s="52"/>
      <c r="AM63" s="52"/>
      <c r="AN63" s="52"/>
      <c r="AO63" s="52"/>
      <c r="AP63" s="52"/>
      <c r="AQ63" s="52"/>
      <c r="AR63" s="52"/>
      <c r="AS63" s="52"/>
      <c r="AT63" s="52"/>
      <c r="AU63" s="52"/>
      <c r="AV63" s="52"/>
      <c r="AW63" s="52"/>
      <c r="AX63" s="52"/>
      <c r="AY63" s="52"/>
      <c r="AZ63" s="52"/>
      <c r="BA63" s="52"/>
      <c r="BB63" s="52"/>
      <c r="BC63" s="52"/>
      <c r="BD63" s="52"/>
      <c r="BE63" s="52"/>
      <c r="BF63" s="52"/>
      <c r="BG63" s="52"/>
      <c r="BH63" s="52"/>
      <c r="BI63" s="52"/>
      <c r="BJ63" s="52"/>
      <c r="BK63" s="52"/>
      <c r="BL63" s="52"/>
      <c r="BM63" s="52"/>
    </row>
    <row r="64" spans="1:65" ht="28.8" customHeight="1" x14ac:dyDescent="0.3">
      <c r="A64" s="10" t="str">
        <f>IF(Job_Master!A64="","",Job_Master!A64)</f>
        <v>BJ-149</v>
      </c>
      <c r="B64" s="10">
        <f>IF($A64="","",Job_Master!B64)</f>
        <v>9</v>
      </c>
      <c r="C64" s="10" t="str">
        <f>IF($A64="","",Job_Master!C64)</f>
        <v>2P</v>
      </c>
      <c r="D64" s="10">
        <f>IF($A64="","",Job_Master!D64)</f>
        <v>2</v>
      </c>
      <c r="E64" s="48" t="str">
        <f>IF($A64="","","VTL-MC-01")</f>
        <v>VTL-MC-01</v>
      </c>
      <c r="F64" s="106" t="str">
        <f>IF($E64="","",IFERROR(VLOOKUP($E64,Machine_List!$B:$G,6,0),""))</f>
        <v>General Workman</v>
      </c>
      <c r="G64" s="53">
        <f>IF($E64="","",IFERROR(VLOOKUP($E64,Machine_List!$B:$C,2,0),""))</f>
        <v>46133</v>
      </c>
      <c r="H64" s="10">
        <f>IF($E64="","",IFERROR(VLOOKUP($E64,Machine_List!$B:$D,3,0),""))</f>
        <v>6</v>
      </c>
      <c r="I64" s="54"/>
      <c r="J64" s="55">
        <f ca="1">IF($A64="","",IF($I64&lt;&gt;"",$I64,MAX(GlobalStartDate,IFERROR(LOOKUP(2,1/($E$3:INDIRECT("E"&amp;(ROW()-1))=$E64),$M$3:INDIRECT("M"&amp;(ROW()-1))),GlobalStartDate))))</f>
        <v>46172.828703703723</v>
      </c>
      <c r="K64" s="10">
        <f>IF($A64="","",IFERROR(VLOOKUP(B64,CHOOSE(MATCH(C64,Settings!$L$4:$L$10,0),OPR_2P!$A$4:$I$18,SEG_6P!$A$4:$I$18,SOL_4P!$A$4:$I$18,RW_2P!$A$4:$I$18,RW2_4P!$A$4:$I$18,FLAP_4P!$A$4:$I$18,TUBE_4P!$A$4:$I$18),1,0),0))</f>
        <v>9</v>
      </c>
      <c r="L64" s="10">
        <f t="shared" si="0"/>
        <v>18</v>
      </c>
      <c r="M64" s="55">
        <f ca="1">IF($A64="","",IF(AND(ISNUMBER(G64),G64&gt;=J64,G64&lt;=(J64+(L64/(IF(F64="Contract Workman",Settings!$K$5,Settings!$K$4))))),J64+(L64/(IF(F64="Contract Workman",Settings!$K$5,Settings!$K$4)))+(H64/(IF(F64="Contract Workman",Settings!$K$5,Settings!$K$4))),J64+(L64/(IF(F64="Contract Workman",Settings!$K$5,Settings!$K$4)))))</f>
        <v>46173.662037037058</v>
      </c>
      <c r="N64" s="10" t="str">
        <f t="shared" ca="1" si="2"/>
        <v>Shift B</v>
      </c>
      <c r="O64" s="51" t="str">
        <f>IF(B64="","", IF(IFERROR(ISNUMBER(SEARCH(B64, VLOOKUP(E64, Machine_List!$B:$J, 9, 0))), FALSE()), "✅ Machine OK", "❌ Sug: " &amp; IFERROR(INDEX(Machine_List!$B$4:$B$50, MATCH("*"&amp;B64&amp;"*", Machine_List!$J$4:$J$50, 0)), "Check Limits")))</f>
        <v>✅ Machine OK</v>
      </c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2"/>
      <c r="AJ64" s="52"/>
      <c r="AK64" s="52"/>
      <c r="AL64" s="52"/>
      <c r="AM64" s="52"/>
      <c r="AN64" s="52"/>
      <c r="AO64" s="52"/>
      <c r="AP64" s="52"/>
      <c r="AQ64" s="52"/>
      <c r="AR64" s="52"/>
      <c r="AS64" s="52"/>
      <c r="AT64" s="52"/>
      <c r="AU64" s="52"/>
      <c r="AV64" s="52"/>
      <c r="AW64" s="52"/>
      <c r="AX64" s="52"/>
      <c r="AY64" s="52"/>
      <c r="AZ64" s="52"/>
      <c r="BA64" s="52"/>
      <c r="BB64" s="52"/>
      <c r="BC64" s="52"/>
      <c r="BD64" s="52"/>
      <c r="BE64" s="52"/>
      <c r="BF64" s="52"/>
      <c r="BG64" s="52"/>
      <c r="BH64" s="52"/>
      <c r="BI64" s="52"/>
      <c r="BJ64" s="52"/>
      <c r="BK64" s="52"/>
      <c r="BL64" s="52"/>
      <c r="BM64" s="52"/>
    </row>
    <row r="65" spans="1:65" ht="28.8" customHeight="1" x14ac:dyDescent="0.3">
      <c r="A65" s="10" t="str">
        <f>IF(Job_Master!A65="","",Job_Master!A65)</f>
        <v>BJ-163</v>
      </c>
      <c r="B65" s="10">
        <f>IF($A65="","",Job_Master!B65)</f>
        <v>70</v>
      </c>
      <c r="C65" s="10" t="str">
        <f>IF($A65="","",Job_Master!C65)</f>
        <v>SOL</v>
      </c>
      <c r="D65" s="10">
        <f>IF($A65="","",Job_Master!D65)</f>
        <v>4</v>
      </c>
      <c r="E65" s="48" t="str">
        <f>IF($A65="","","VTL-MC-03")</f>
        <v>VTL-MC-03</v>
      </c>
      <c r="F65" s="106" t="str">
        <f>IF($E65="","",IFERROR(VLOOKUP($E65,Machine_List!$B:$G,6,0),""))</f>
        <v>General Workman</v>
      </c>
      <c r="G65" s="53">
        <f>IF($E65="","",IFERROR(VLOOKUP($E65,Machine_List!$B:$C,2,0),""))</f>
        <v>46174</v>
      </c>
      <c r="H65" s="10">
        <f>IF($E65="","",IFERROR(VLOOKUP($E65,Machine_List!$B:$D,3,0),""))</f>
        <v>6</v>
      </c>
      <c r="I65" s="54"/>
      <c r="J65" s="55">
        <f ca="1">IF($A65="","",IF($I65&lt;&gt;"",$I65,MAX(GlobalStartDate,IFERROR(LOOKUP(2,1/($E$3:INDIRECT("E"&amp;(ROW()-1))=$E65),$M$3:INDIRECT("M"&amp;(ROW()-1))),GlobalStartDate))))</f>
        <v>46181.995370370365</v>
      </c>
      <c r="K65" s="10">
        <f>IF($A65="","",IFERROR(VLOOKUP(B65,CHOOSE(MATCH(C65,Settings!$L$4:$L$10,0),OPR_2P!$A$4:$I$18,SEG_6P!$A$4:$I$18,SOL_4P!$A$4:$I$18,RW_2P!$A$4:$I$18,RW2_4P!$A$4:$I$18,FLAP_4P!$A$4:$I$18,TUBE_4P!$A$4:$I$18),1,0),0))</f>
        <v>70</v>
      </c>
      <c r="L65" s="10">
        <f t="shared" si="0"/>
        <v>280</v>
      </c>
      <c r="M65" s="55">
        <f ca="1">IF($A65="","",IF(AND(ISNUMBER(G65),G65&gt;=J65,G65&lt;=(J65+(L65/(IF(F65="Contract Workman",Settings!$K$5,Settings!$K$4))))),J65+(L65/(IF(F65="Contract Workman",Settings!$K$5,Settings!$K$4)))+(H65/(IF(F65="Contract Workman",Settings!$K$5,Settings!$K$4))),J65+(L65/(IF(F65="Contract Workman",Settings!$K$5,Settings!$K$4)))))</f>
        <v>46194.958333333328</v>
      </c>
      <c r="N65" s="10" t="str">
        <f t="shared" ca="1" si="2"/>
        <v>Shift B</v>
      </c>
      <c r="O65" s="51" t="str">
        <f>IF(B65="","", IF(IFERROR(ISNUMBER(SEARCH(B65, VLOOKUP(E65, Machine_List!$B:$J, 9, 0))), FALSE()), "✅ Machine OK", "❌ Sug: " &amp; IFERROR(INDEX(Machine_List!$B$4:$B$50, MATCH("*"&amp;B65&amp;"*", Machine_List!$J$4:$J$50, 0)), "Check Limits")))</f>
        <v>✅ Machine OK</v>
      </c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52"/>
      <c r="AG65" s="52"/>
      <c r="AH65" s="52"/>
      <c r="AI65" s="52"/>
      <c r="AJ65" s="52"/>
      <c r="AK65" s="52"/>
      <c r="AL65" s="52"/>
      <c r="AM65" s="52"/>
      <c r="AN65" s="52"/>
      <c r="AO65" s="52"/>
      <c r="AP65" s="52"/>
      <c r="AQ65" s="52"/>
      <c r="AR65" s="52"/>
      <c r="AS65" s="52"/>
      <c r="AT65" s="52"/>
      <c r="AU65" s="52"/>
      <c r="AV65" s="52"/>
      <c r="AW65" s="52"/>
      <c r="AX65" s="52"/>
      <c r="AY65" s="52"/>
      <c r="AZ65" s="52"/>
      <c r="BA65" s="52"/>
      <c r="BB65" s="52"/>
      <c r="BC65" s="52"/>
      <c r="BD65" s="52"/>
      <c r="BE65" s="52"/>
      <c r="BF65" s="52"/>
      <c r="BG65" s="52"/>
      <c r="BH65" s="52"/>
      <c r="BI65" s="52"/>
      <c r="BJ65" s="52"/>
      <c r="BK65" s="52"/>
      <c r="BL65" s="52"/>
      <c r="BM65" s="52"/>
    </row>
    <row r="66" spans="1:65" ht="28.8" customHeight="1" x14ac:dyDescent="0.3">
      <c r="A66" s="10" t="str">
        <f>IF(Job_Master!A66="","",Job_Master!A66)</f>
        <v>BJ-164</v>
      </c>
      <c r="B66" s="10">
        <f>IF($A66="","",Job_Master!B66)</f>
        <v>42</v>
      </c>
      <c r="C66" s="10" t="str">
        <f>IF($A66="","",Job_Master!C66)</f>
        <v>SOL</v>
      </c>
      <c r="D66" s="10">
        <f>IF($A66="","",Job_Master!D66)</f>
        <v>4</v>
      </c>
      <c r="E66" s="48" t="str">
        <f>IF($A66="","","VTL-MC-02")</f>
        <v>VTL-MC-02</v>
      </c>
      <c r="F66" s="106" t="str">
        <f>IF($E66="","",IFERROR(VLOOKUP($E66,Machine_List!$B:$G,6,0),""))</f>
        <v>General Workman</v>
      </c>
      <c r="G66" s="53">
        <f>IF($E66="","",IFERROR(VLOOKUP($E66,Machine_List!$B:$C,2,0),""))</f>
        <v>46521</v>
      </c>
      <c r="H66" s="10">
        <f>IF($E66="","",IFERROR(VLOOKUP($E66,Machine_List!$B:$D,3,0),""))</f>
        <v>6</v>
      </c>
      <c r="I66" s="54"/>
      <c r="J66" s="55">
        <f ca="1">IF($A66="","",IF($I66&lt;&gt;"",$I66,MAX(GlobalStartDate,IFERROR(LOOKUP(2,1/($E$3:INDIRECT("E"&amp;(ROW()-1))=$E66),$M$3:INDIRECT("M"&amp;(ROW()-1))),GlobalStartDate))))</f>
        <v>46190.513888888905</v>
      </c>
      <c r="K66" s="10">
        <f>IF($A66="","",IFERROR(VLOOKUP(B66,CHOOSE(MATCH(C66,Settings!$L$4:$L$10,0),OPR_2P!$A$4:$I$18,SEG_6P!$A$4:$I$18,SOL_4P!$A$4:$I$18,RW_2P!$A$4:$I$18,RW2_4P!$A$4:$I$18,FLAP_4P!$A$4:$I$18,TUBE_4P!$A$4:$I$18),1,0),0))</f>
        <v>42</v>
      </c>
      <c r="L66" s="10">
        <f t="shared" si="0"/>
        <v>168</v>
      </c>
      <c r="M66" s="55">
        <f ca="1">IF($A66="","",IF(AND(ISNUMBER(G66),G66&gt;=J66,G66&lt;=(J66+(L66/(IF(F66="Contract Workman",Settings!$K$5,Settings!$K$4))))),J66+(L66/(IF(F66="Contract Workman",Settings!$K$5,Settings!$K$4)))+(H66/(IF(F66="Contract Workman",Settings!$K$5,Settings!$K$4))),J66+(L66/(IF(F66="Contract Workman",Settings!$K$5,Settings!$K$4)))))</f>
        <v>46198.291666666686</v>
      </c>
      <c r="N66" s="10" t="str">
        <f t="shared" ca="1" si="2"/>
        <v>Shift A</v>
      </c>
      <c r="O66" s="51" t="str">
        <f>IF(B66="","", IF(IFERROR(ISNUMBER(SEARCH(B66, VLOOKUP(E66, Machine_List!$B:$J, 9, 0))), FALSE()), "✅ Machine OK", "❌ Sug: " &amp; IFERROR(INDEX(Machine_List!$B$4:$B$50, MATCH("*"&amp;B66&amp;"*", Machine_List!$J$4:$J$50, 0)), "Check Limits")))</f>
        <v>✅ Machine OK</v>
      </c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2"/>
      <c r="AJ66" s="52"/>
      <c r="AK66" s="52"/>
      <c r="AL66" s="52"/>
      <c r="AM66" s="52"/>
      <c r="AN66" s="52"/>
      <c r="AO66" s="52"/>
      <c r="AP66" s="52"/>
      <c r="AQ66" s="52"/>
      <c r="AR66" s="52"/>
      <c r="AS66" s="52"/>
      <c r="AT66" s="52"/>
      <c r="AU66" s="52"/>
      <c r="AV66" s="52"/>
      <c r="AW66" s="52"/>
      <c r="AX66" s="52"/>
      <c r="AY66" s="52"/>
      <c r="AZ66" s="52"/>
      <c r="BA66" s="52"/>
      <c r="BB66" s="52"/>
      <c r="BC66" s="52"/>
      <c r="BD66" s="52"/>
      <c r="BE66" s="52"/>
      <c r="BF66" s="52"/>
      <c r="BG66" s="52"/>
      <c r="BH66" s="52"/>
      <c r="BI66" s="52"/>
      <c r="BJ66" s="52"/>
      <c r="BK66" s="52"/>
      <c r="BL66" s="52"/>
      <c r="BM66" s="52"/>
    </row>
    <row r="67" spans="1:65" ht="28.8" customHeight="1" x14ac:dyDescent="0.3">
      <c r="A67" s="10" t="str">
        <f>IF(Job_Master!A67="","",Job_Master!A67)</f>
        <v>BJ-168</v>
      </c>
      <c r="B67" s="10">
        <f>IF($A67="","",Job_Master!B67)</f>
        <v>20</v>
      </c>
      <c r="C67" s="10" t="str">
        <f>IF($A67="","",Job_Master!C67)</f>
        <v>2P</v>
      </c>
      <c r="D67" s="10">
        <f>IF($A67="","",Job_Master!D67)</f>
        <v>2</v>
      </c>
      <c r="E67" s="48" t="str">
        <f>IF($A67="","","VTL-MC-01")</f>
        <v>VTL-MC-01</v>
      </c>
      <c r="F67" s="106" t="str">
        <f>IF($E67="","",IFERROR(VLOOKUP($E67,Machine_List!$B:$G,6,0),""))</f>
        <v>General Workman</v>
      </c>
      <c r="G67" s="53">
        <f>IF($E67="","",IFERROR(VLOOKUP($E67,Machine_List!$B:$C,2,0),""))</f>
        <v>46133</v>
      </c>
      <c r="H67" s="10">
        <f>IF($E67="","",IFERROR(VLOOKUP($E67,Machine_List!$B:$D,3,0),""))</f>
        <v>6</v>
      </c>
      <c r="I67" s="54"/>
      <c r="J67" s="55">
        <f ca="1">IF($A67="","",IF($I67&lt;&gt;"",$I67,MAX(GlobalStartDate,IFERROR(LOOKUP(2,1/($E$3:INDIRECT("E"&amp;(ROW()-1))=$E67),$M$3:INDIRECT("M"&amp;(ROW()-1))),GlobalStartDate))))</f>
        <v>46173.662037037058</v>
      </c>
      <c r="K67" s="10">
        <f>IF($A67="","",IFERROR(VLOOKUP(B67,CHOOSE(MATCH(C67,Settings!$L$4:$L$10,0),OPR_2P!$A$4:$I$18,SEG_6P!$A$4:$I$18,SOL_4P!$A$4:$I$18,RW_2P!$A$4:$I$18,RW2_4P!$A$4:$I$18,FLAP_4P!$A$4:$I$18,TUBE_4P!$A$4:$I$18),1,0),0))</f>
        <v>20</v>
      </c>
      <c r="L67" s="10">
        <f t="shared" si="0"/>
        <v>40</v>
      </c>
      <c r="M67" s="55">
        <f ca="1">IF($A67="","",IF(AND(ISNUMBER(G67),G67&gt;=J67,G67&lt;=(J67+(L67/(IF(F67="Contract Workman",Settings!$K$5,Settings!$K$4))))),J67+(L67/(IF(F67="Contract Workman",Settings!$K$5,Settings!$K$4)))+(H67/(IF(F67="Contract Workman",Settings!$K$5,Settings!$K$4))),J67+(L67/(IF(F67="Contract Workman",Settings!$K$5,Settings!$K$4)))))</f>
        <v>46175.513888888912</v>
      </c>
      <c r="N67" s="10" t="str">
        <f t="shared" ca="1" si="2"/>
        <v>Shift A</v>
      </c>
      <c r="O67" s="51" t="str">
        <f>IF(B67="","", IF(IFERROR(ISNUMBER(SEARCH(B67, VLOOKUP(E67, Machine_List!$B:$J, 9, 0))), FALSE()), "✅ Machine OK", "❌ Sug: " &amp; IFERROR(INDEX(Machine_List!$B$4:$B$50, MATCH("*"&amp;B67&amp;"*", Machine_List!$J$4:$J$50, 0)), "Check Limits")))</f>
        <v>✅ Machine OK</v>
      </c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52"/>
      <c r="AG67" s="52"/>
      <c r="AH67" s="52"/>
      <c r="AI67" s="52"/>
      <c r="AJ67" s="52"/>
      <c r="AK67" s="52"/>
      <c r="AL67" s="52"/>
      <c r="AM67" s="52"/>
      <c r="AN67" s="52"/>
      <c r="AO67" s="52"/>
      <c r="AP67" s="52"/>
      <c r="AQ67" s="52"/>
      <c r="AR67" s="52"/>
      <c r="AS67" s="52"/>
      <c r="AT67" s="52"/>
      <c r="AU67" s="52"/>
      <c r="AV67" s="52"/>
      <c r="AW67" s="52"/>
      <c r="AX67" s="52"/>
      <c r="AY67" s="52"/>
      <c r="AZ67" s="52"/>
      <c r="BA67" s="52"/>
      <c r="BB67" s="52"/>
      <c r="BC67" s="52"/>
      <c r="BD67" s="52"/>
      <c r="BE67" s="52"/>
      <c r="BF67" s="52"/>
      <c r="BG67" s="52"/>
      <c r="BH67" s="52"/>
      <c r="BI67" s="52"/>
      <c r="BJ67" s="52"/>
      <c r="BK67" s="52"/>
      <c r="BL67" s="52"/>
      <c r="BM67" s="52"/>
    </row>
    <row r="68" spans="1:65" ht="28.8" customHeight="1" x14ac:dyDescent="0.3">
      <c r="A68" s="10" t="str">
        <f>IF(Job_Master!A68="","",Job_Master!A68)</f>
        <v>BJ-155</v>
      </c>
      <c r="B68" s="10">
        <f>IF($A68="","",Job_Master!B68)</f>
        <v>17</v>
      </c>
      <c r="C68" s="10" t="str">
        <f>IF($A68="","",Job_Master!C68)</f>
        <v>RW</v>
      </c>
      <c r="D68" s="10">
        <f>IF($A68="","",Job_Master!D68)</f>
        <v>2</v>
      </c>
      <c r="E68" s="48" t="str">
        <f>IF($A68="","","VTL-MC-01")</f>
        <v>VTL-MC-01</v>
      </c>
      <c r="F68" s="106" t="str">
        <f>IF($E68="","",IFERROR(VLOOKUP($E68,Machine_List!$B:$G,6,0),""))</f>
        <v>General Workman</v>
      </c>
      <c r="G68" s="53">
        <f>IF($E68="","",IFERROR(VLOOKUP($E68,Machine_List!$B:$C,2,0),""))</f>
        <v>46133</v>
      </c>
      <c r="H68" s="10">
        <f>IF($E68="","",IFERROR(VLOOKUP($E68,Machine_List!$B:$D,3,0),""))</f>
        <v>6</v>
      </c>
      <c r="I68" s="54"/>
      <c r="J68" s="55">
        <f ca="1">IF($A68="","",IF($I68&lt;&gt;"",$I68,MAX(GlobalStartDate,IFERROR(LOOKUP(2,1/($E$3:INDIRECT("E"&amp;(ROW()-1))=$E68),$M$3:INDIRECT("M"&amp;(ROW()-1))),GlobalStartDate))))</f>
        <v>46175.513888888912</v>
      </c>
      <c r="K68" s="10">
        <f>IF($A68="","",IFERROR(VLOOKUP(B68,CHOOSE(MATCH(C68,Settings!$L$4:$L$10,0),OPR_2P!$A$4:$I$18,SEG_6P!$A$4:$I$18,SOL_4P!$A$4:$I$18,RW_2P!$A$4:$I$18,RW2_4P!$A$4:$I$18,FLAP_4P!$A$4:$I$18,TUBE_4P!$A$4:$I$18),1,0),0))</f>
        <v>17</v>
      </c>
      <c r="L68" s="10">
        <f t="shared" ref="L68:L131" si="3">IF($A68="","",K68*D68)</f>
        <v>34</v>
      </c>
      <c r="M68" s="55">
        <f ca="1">IF($A68="","",IF(AND(ISNUMBER(G68),G68&gt;=J68,G68&lt;=(J68+(L68/(IF(F68="Contract Workman",Settings!$K$5,Settings!$K$4))))),J68+(L68/(IF(F68="Contract Workman",Settings!$K$5,Settings!$K$4)))+(H68/(IF(F68="Contract Workman",Settings!$K$5,Settings!$K$4))),J68+(L68/(IF(F68="Contract Workman",Settings!$K$5,Settings!$K$4)))))</f>
        <v>46177.087962962985</v>
      </c>
      <c r="N68" s="10" t="str">
        <f t="shared" ref="N68:N99" ca="1" si="4">IF($A68="","",IF(F68="Contract Workman",IF(AND(MOD(M68,1)&gt;=8/24,MOD(M68,1)&lt;20/24),"Shift S1","Shift S2"),IF(AND(MOD(M68,1)&gt;=7/24,MOD(M68,1)&lt;15/24),"Shift A",IF(AND(MOD(M68,1)&gt;=15/24,MOD(M68,1)&lt;23/24),"Shift B","Shift C"))))</f>
        <v>Shift C</v>
      </c>
      <c r="O68" s="51" t="str">
        <f>IF(B68="","", IF(IFERROR(ISNUMBER(SEARCH(B68, VLOOKUP(E68, Machine_List!$B:$J, 9, 0))), FALSE()), "✅ Machine OK", "❌ Sug: " &amp; IFERROR(INDEX(Machine_List!$B$4:$B$50, MATCH("*"&amp;B68&amp;"*", Machine_List!$J$4:$J$50, 0)), "Check Limits")))</f>
        <v>✅ Machine OK</v>
      </c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2"/>
      <c r="AJ68" s="52"/>
      <c r="AK68" s="52"/>
      <c r="AL68" s="52"/>
      <c r="AM68" s="52"/>
      <c r="AN68" s="52"/>
      <c r="AO68" s="52"/>
      <c r="AP68" s="52"/>
      <c r="AQ68" s="52"/>
      <c r="AR68" s="52"/>
      <c r="AS68" s="52"/>
      <c r="AT68" s="52"/>
      <c r="AU68" s="52"/>
      <c r="AV68" s="52"/>
      <c r="AW68" s="52"/>
      <c r="AX68" s="52"/>
      <c r="AY68" s="52"/>
      <c r="AZ68" s="52"/>
      <c r="BA68" s="52"/>
      <c r="BB68" s="52"/>
      <c r="BC68" s="52"/>
      <c r="BD68" s="52"/>
      <c r="BE68" s="52"/>
      <c r="BF68" s="52"/>
      <c r="BG68" s="52"/>
      <c r="BH68" s="52"/>
      <c r="BI68" s="52"/>
      <c r="BJ68" s="52"/>
      <c r="BK68" s="52"/>
      <c r="BL68" s="52"/>
      <c r="BM68" s="52"/>
    </row>
    <row r="69" spans="1:65" ht="28.8" customHeight="1" x14ac:dyDescent="0.3">
      <c r="A69" s="10" t="str">
        <f>IF(Job_Master!A69="","",Job_Master!A69)</f>
        <v>BJ-167</v>
      </c>
      <c r="B69" s="10">
        <f>IF($A69="","",Job_Master!B69)</f>
        <v>54</v>
      </c>
      <c r="C69" s="10" t="str">
        <f>IF($A69="","",Job_Master!C69)</f>
        <v>2P</v>
      </c>
      <c r="D69" s="10">
        <f>IF($A69="","",Job_Master!D69)</f>
        <v>2</v>
      </c>
      <c r="E69" s="48" t="str">
        <f>IF($A69="","","VTL-MC-04")</f>
        <v>VTL-MC-04</v>
      </c>
      <c r="F69" s="106" t="str">
        <f>IF($E69="","",IFERROR(VLOOKUP($E69,Machine_List!$B:$G,6,0),""))</f>
        <v>General Workman</v>
      </c>
      <c r="G69" s="53">
        <f>IF($E69="","",IFERROR(VLOOKUP($E69,Machine_List!$B:$C,2,0),""))</f>
        <v>46517</v>
      </c>
      <c r="H69" s="10">
        <f>IF($E69="","",IFERROR(VLOOKUP($E69,Machine_List!$B:$D,3,0),""))</f>
        <v>6</v>
      </c>
      <c r="I69" s="54"/>
      <c r="J69" s="55">
        <f ca="1">IF($A69="","",IF($I69&lt;&gt;"",$I69,MAX(GlobalStartDate,IFERROR(LOOKUP(2,1/($E$3:INDIRECT("E"&amp;(ROW()-1))=$E69),$M$3:INDIRECT("M"&amp;(ROW()-1))),GlobalStartDate))))</f>
        <v>46185.606481481482</v>
      </c>
      <c r="K69" s="10">
        <f>IF($A69="","",IFERROR(VLOOKUP(B69,CHOOSE(MATCH(C69,Settings!$L$4:$L$10,0),OPR_2P!$A$4:$I$18,SEG_6P!$A$4:$I$18,SOL_4P!$A$4:$I$18,RW_2P!$A$4:$I$18,RW2_4P!$A$4:$I$18,FLAP_4P!$A$4:$I$18,TUBE_4P!$A$4:$I$18),1,0),0))</f>
        <v>54</v>
      </c>
      <c r="L69" s="10">
        <f t="shared" si="3"/>
        <v>108</v>
      </c>
      <c r="M69" s="55">
        <f ca="1">IF($A69="","",IF(AND(ISNUMBER(G69),G69&gt;=J69,G69&lt;=(J69+(L69/(IF(F69="Contract Workman",Settings!$K$5,Settings!$K$4))))),J69+(L69/(IF(F69="Contract Workman",Settings!$K$5,Settings!$K$4)))+(H69/(IF(F69="Contract Workman",Settings!$K$5,Settings!$K$4))),J69+(L69/(IF(F69="Contract Workman",Settings!$K$5,Settings!$K$4)))))</f>
        <v>46190.606481481482</v>
      </c>
      <c r="N69" s="10" t="str">
        <f t="shared" ca="1" si="4"/>
        <v>Shift A</v>
      </c>
      <c r="O69" s="51" t="str">
        <f>IF(B69="","", IF(IFERROR(ISNUMBER(SEARCH(B69, VLOOKUP(E69, Machine_List!$B:$J, 9, 0))), FALSE()), "✅ Machine OK", "❌ Sug: " &amp; IFERROR(INDEX(Machine_List!$B$4:$B$50, MATCH("*"&amp;B69&amp;"*", Machine_List!$J$4:$J$50, 0)), "Check Limits")))</f>
        <v>✅ Machine OK</v>
      </c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  <c r="AK69" s="52"/>
      <c r="AL69" s="52"/>
      <c r="AM69" s="52"/>
      <c r="AN69" s="52"/>
      <c r="AO69" s="52"/>
      <c r="AP69" s="52"/>
      <c r="AQ69" s="52"/>
      <c r="AR69" s="52"/>
      <c r="AS69" s="52"/>
      <c r="AT69" s="52"/>
      <c r="AU69" s="52"/>
      <c r="AV69" s="52"/>
      <c r="AW69" s="52"/>
      <c r="AX69" s="52"/>
      <c r="AY69" s="52"/>
      <c r="AZ69" s="52"/>
      <c r="BA69" s="52"/>
      <c r="BB69" s="52"/>
      <c r="BC69" s="52"/>
      <c r="BD69" s="52"/>
      <c r="BE69" s="52"/>
      <c r="BF69" s="52"/>
      <c r="BG69" s="52"/>
      <c r="BH69" s="52"/>
      <c r="BI69" s="52"/>
      <c r="BJ69" s="52"/>
      <c r="BK69" s="52"/>
      <c r="BL69" s="52"/>
      <c r="BM69" s="52"/>
    </row>
    <row r="70" spans="1:65" ht="28.8" customHeight="1" x14ac:dyDescent="0.3">
      <c r="A70" s="10" t="str">
        <f>IF(Job_Master!A70="","",Job_Master!A70)</f>
        <v>BJ-166</v>
      </c>
      <c r="B70" s="10">
        <f>IF($A70="","",Job_Master!B70)</f>
        <v>50</v>
      </c>
      <c r="C70" s="10" t="str">
        <f>IF($A70="","",Job_Master!C70)</f>
        <v>SOL</v>
      </c>
      <c r="D70" s="10">
        <f>IF($A70="","",Job_Master!D70)</f>
        <v>4</v>
      </c>
      <c r="E70" s="48" t="str">
        <f>IF($A70="","","VTL-MC-04")</f>
        <v>VTL-MC-04</v>
      </c>
      <c r="F70" s="106" t="str">
        <f>IF($E70="","",IFERROR(VLOOKUP($E70,Machine_List!$B:$G,6,0),""))</f>
        <v>General Workman</v>
      </c>
      <c r="G70" s="53">
        <f>IF($E70="","",IFERROR(VLOOKUP($E70,Machine_List!$B:$C,2,0),""))</f>
        <v>46517</v>
      </c>
      <c r="H70" s="10">
        <f>IF($E70="","",IFERROR(VLOOKUP($E70,Machine_List!$B:$D,3,0),""))</f>
        <v>6</v>
      </c>
      <c r="I70" s="54"/>
      <c r="J70" s="55">
        <f ca="1">IF($A70="","",IF($I70&lt;&gt;"",$I70,MAX(GlobalStartDate,IFERROR(LOOKUP(2,1/($E$3:INDIRECT("E"&amp;(ROW()-1))=$E70),$M$3:INDIRECT("M"&amp;(ROW()-1))),GlobalStartDate))))</f>
        <v>46190.606481481482</v>
      </c>
      <c r="K70" s="10">
        <f>IF($A70="","",IFERROR(VLOOKUP(B70,CHOOSE(MATCH(C70,Settings!$L$4:$L$10,0),OPR_2P!$A$4:$I$18,SEG_6P!$A$4:$I$18,SOL_4P!$A$4:$I$18,RW_2P!$A$4:$I$18,RW2_4P!$A$4:$I$18,FLAP_4P!$A$4:$I$18,TUBE_4P!$A$4:$I$18),1,0),0))</f>
        <v>50</v>
      </c>
      <c r="L70" s="10">
        <f t="shared" si="3"/>
        <v>200</v>
      </c>
      <c r="M70" s="55">
        <f ca="1">IF($A70="","",IF(AND(ISNUMBER(G70),G70&gt;=J70,G70&lt;=(J70+(L70/(IF(F70="Contract Workman",Settings!$K$5,Settings!$K$4))))),J70+(L70/(IF(F70="Contract Workman",Settings!$K$5,Settings!$K$4)))+(H70/(IF(F70="Contract Workman",Settings!$K$5,Settings!$K$4))),J70+(L70/(IF(F70="Contract Workman",Settings!$K$5,Settings!$K$4)))))</f>
        <v>46199.865740740745</v>
      </c>
      <c r="N70" s="10" t="str">
        <f t="shared" ca="1" si="4"/>
        <v>Shift B</v>
      </c>
      <c r="O70" s="51" t="str">
        <f>IF(B70="","", IF(IFERROR(ISNUMBER(SEARCH(B70, VLOOKUP(E70, Machine_List!$B:$J, 9, 0))), FALSE()), "✅ Machine OK", "❌ Sug: " &amp; IFERROR(INDEX(Machine_List!$B$4:$B$50, MATCH("*"&amp;B70&amp;"*", Machine_List!$J$4:$J$50, 0)), "Check Limits")))</f>
        <v>✅ Machine OK</v>
      </c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52"/>
      <c r="AJ70" s="52"/>
      <c r="AK70" s="52"/>
      <c r="AL70" s="52"/>
      <c r="AM70" s="52"/>
      <c r="AN70" s="52"/>
      <c r="AO70" s="52"/>
      <c r="AP70" s="52"/>
      <c r="AQ70" s="52"/>
      <c r="AR70" s="52"/>
      <c r="AS70" s="52"/>
      <c r="AT70" s="52"/>
      <c r="AU70" s="52"/>
      <c r="AV70" s="52"/>
      <c r="AW70" s="52"/>
      <c r="AX70" s="52"/>
      <c r="AY70" s="52"/>
      <c r="AZ70" s="52"/>
      <c r="BA70" s="52"/>
      <c r="BB70" s="52"/>
      <c r="BC70" s="52"/>
      <c r="BD70" s="52"/>
      <c r="BE70" s="52"/>
      <c r="BF70" s="52"/>
      <c r="BG70" s="52"/>
      <c r="BH70" s="52"/>
      <c r="BI70" s="52"/>
      <c r="BJ70" s="52"/>
      <c r="BK70" s="52"/>
      <c r="BL70" s="52"/>
      <c r="BM70" s="52"/>
    </row>
    <row r="71" spans="1:65" ht="28.8" customHeight="1" x14ac:dyDescent="0.3">
      <c r="A71" s="10" t="str">
        <f>IF(Job_Master!A71="","",Job_Master!A71)</f>
        <v>BJ-162</v>
      </c>
      <c r="B71" s="10">
        <f>IF($A71="","",Job_Master!B71)</f>
        <v>17</v>
      </c>
      <c r="C71" s="10" t="str">
        <f>IF($A71="","",Job_Master!C71)</f>
        <v>SOL</v>
      </c>
      <c r="D71" s="10">
        <f>IF($A71="","",Job_Master!D71)</f>
        <v>4</v>
      </c>
      <c r="E71" s="48" t="str">
        <f>IF($A71="","","VTL-MC-01")</f>
        <v>VTL-MC-01</v>
      </c>
      <c r="F71" s="106" t="str">
        <f>IF($E71="","",IFERROR(VLOOKUP($E71,Machine_List!$B:$G,6,0),""))</f>
        <v>General Workman</v>
      </c>
      <c r="G71" s="53">
        <f>IF($E71="","",IFERROR(VLOOKUP($E71,Machine_List!$B:$C,2,0),""))</f>
        <v>46133</v>
      </c>
      <c r="H71" s="10">
        <f>IF($E71="","",IFERROR(VLOOKUP($E71,Machine_List!$B:$D,3,0),""))</f>
        <v>6</v>
      </c>
      <c r="I71" s="54"/>
      <c r="J71" s="55">
        <f ca="1">IF($A71="","",IF($I71&lt;&gt;"",$I71,MAX(GlobalStartDate,IFERROR(LOOKUP(2,1/($E$3:INDIRECT("E"&amp;(ROW()-1))=$E71),$M$3:INDIRECT("M"&amp;(ROW()-1))),GlobalStartDate))))</f>
        <v>46177.087962962985</v>
      </c>
      <c r="K71" s="10">
        <f>IF($A71="","",IFERROR(VLOOKUP(B71,CHOOSE(MATCH(C71,Settings!$L$4:$L$10,0),OPR_2P!$A$4:$I$18,SEG_6P!$A$4:$I$18,SOL_4P!$A$4:$I$18,RW_2P!$A$4:$I$18,RW2_4P!$A$4:$I$18,FLAP_4P!$A$4:$I$18,TUBE_4P!$A$4:$I$18),1,0),0))</f>
        <v>17</v>
      </c>
      <c r="L71" s="10">
        <f t="shared" si="3"/>
        <v>68</v>
      </c>
      <c r="M71" s="55">
        <f ca="1">IF($A71="","",IF(AND(ISNUMBER(G71),G71&gt;=J71,G71&lt;=(J71+(L71/(IF(F71="Contract Workman",Settings!$K$5,Settings!$K$4))))),J71+(L71/(IF(F71="Contract Workman",Settings!$K$5,Settings!$K$4)))+(H71/(IF(F71="Contract Workman",Settings!$K$5,Settings!$K$4))),J71+(L71/(IF(F71="Contract Workman",Settings!$K$5,Settings!$K$4)))))</f>
        <v>46180.236111111131</v>
      </c>
      <c r="N71" s="10" t="str">
        <f t="shared" ca="1" si="4"/>
        <v>Shift C</v>
      </c>
      <c r="O71" s="51" t="str">
        <f>IF(B71="","", IF(IFERROR(ISNUMBER(SEARCH(B71, VLOOKUP(E71, Machine_List!$B:$J, 9, 0))), FALSE()), "✅ Machine OK", "❌ Sug: " &amp; IFERROR(INDEX(Machine_List!$B$4:$B$50, MATCH("*"&amp;B71&amp;"*", Machine_List!$J$4:$J$50, 0)), "Check Limits")))</f>
        <v>✅ Machine OK</v>
      </c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  <c r="AH71" s="52"/>
      <c r="AI71" s="52"/>
      <c r="AJ71" s="52"/>
      <c r="AK71" s="52"/>
      <c r="AL71" s="52"/>
      <c r="AM71" s="52"/>
      <c r="AN71" s="52"/>
      <c r="AO71" s="52"/>
      <c r="AP71" s="52"/>
      <c r="AQ71" s="52"/>
      <c r="AR71" s="52"/>
      <c r="AS71" s="52"/>
      <c r="AT71" s="52"/>
      <c r="AU71" s="52"/>
      <c r="AV71" s="52"/>
      <c r="AW71" s="52"/>
      <c r="AX71" s="52"/>
      <c r="AY71" s="52"/>
      <c r="AZ71" s="52"/>
      <c r="BA71" s="52"/>
      <c r="BB71" s="52"/>
      <c r="BC71" s="52"/>
      <c r="BD71" s="52"/>
      <c r="BE71" s="52"/>
      <c r="BF71" s="52"/>
      <c r="BG71" s="52"/>
      <c r="BH71" s="52"/>
      <c r="BI71" s="52"/>
      <c r="BJ71" s="52"/>
      <c r="BK71" s="52"/>
      <c r="BL71" s="52"/>
      <c r="BM71" s="52"/>
    </row>
    <row r="72" spans="1:65" ht="28.8" customHeight="1" x14ac:dyDescent="0.3">
      <c r="A72" s="10" t="str">
        <f>IF(Job_Master!A72="","",Job_Master!A72)</f>
        <v>BJ-165</v>
      </c>
      <c r="B72" s="10">
        <f>IF($A72="","",Job_Master!B72)</f>
        <v>17</v>
      </c>
      <c r="C72" s="10" t="str">
        <f>IF($A72="","",Job_Master!C72)</f>
        <v>2P</v>
      </c>
      <c r="D72" s="10">
        <f>IF($A72="","",Job_Master!D72)</f>
        <v>2</v>
      </c>
      <c r="E72" s="48" t="str">
        <f>IF($A72="","","VTL-MC-01")</f>
        <v>VTL-MC-01</v>
      </c>
      <c r="F72" s="106" t="str">
        <f>IF($E72="","",IFERROR(VLOOKUP($E72,Machine_List!$B:$G,6,0),""))</f>
        <v>General Workman</v>
      </c>
      <c r="G72" s="53">
        <f>IF($E72="","",IFERROR(VLOOKUP($E72,Machine_List!$B:$C,2,0),""))</f>
        <v>46133</v>
      </c>
      <c r="H72" s="10">
        <f>IF($E72="","",IFERROR(VLOOKUP($E72,Machine_List!$B:$D,3,0),""))</f>
        <v>6</v>
      </c>
      <c r="I72" s="54"/>
      <c r="J72" s="55">
        <f ca="1">IF($A72="","",IF($I72&lt;&gt;"",$I72,MAX(GlobalStartDate,IFERROR(LOOKUP(2,1/($E$3:INDIRECT("E"&amp;(ROW()-1))=$E72),$M$3:INDIRECT("M"&amp;(ROW()-1))),GlobalStartDate))))</f>
        <v>46180.236111111131</v>
      </c>
      <c r="K72" s="10">
        <f>IF($A72="","",IFERROR(VLOOKUP(B72,CHOOSE(MATCH(C72,Settings!$L$4:$L$10,0),OPR_2P!$A$4:$I$18,SEG_6P!$A$4:$I$18,SOL_4P!$A$4:$I$18,RW_2P!$A$4:$I$18,RW2_4P!$A$4:$I$18,FLAP_4P!$A$4:$I$18,TUBE_4P!$A$4:$I$18),1,0),0))</f>
        <v>17</v>
      </c>
      <c r="L72" s="10">
        <f t="shared" si="3"/>
        <v>34</v>
      </c>
      <c r="M72" s="55">
        <f ca="1">IF($A72="","",IF(AND(ISNUMBER(G72),G72&gt;=J72,G72&lt;=(J72+(L72/(IF(F72="Contract Workman",Settings!$K$5,Settings!$K$4))))),J72+(L72/(IF(F72="Contract Workman",Settings!$K$5,Settings!$K$4)))+(H72/(IF(F72="Contract Workman",Settings!$K$5,Settings!$K$4))),J72+(L72/(IF(F72="Contract Workman",Settings!$K$5,Settings!$K$4)))))</f>
        <v>46181.810185185204</v>
      </c>
      <c r="N72" s="10" t="str">
        <f t="shared" ca="1" si="4"/>
        <v>Shift B</v>
      </c>
      <c r="O72" s="51" t="str">
        <f>IF(B72="","", IF(IFERROR(ISNUMBER(SEARCH(B72, VLOOKUP(E72, Machine_List!$B:$J, 9, 0))), FALSE()), "✅ Machine OK", "❌ Sug: " &amp; IFERROR(INDEX(Machine_List!$B$4:$B$50, MATCH("*"&amp;B72&amp;"*", Machine_List!$J$4:$J$50, 0)), "Check Limits")))</f>
        <v>✅ Machine OK</v>
      </c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2"/>
      <c r="AJ72" s="52"/>
      <c r="AK72" s="52"/>
      <c r="AL72" s="52"/>
      <c r="AM72" s="52"/>
      <c r="AN72" s="52"/>
      <c r="AO72" s="52"/>
      <c r="AP72" s="52"/>
      <c r="AQ72" s="52"/>
      <c r="AR72" s="52"/>
      <c r="AS72" s="52"/>
      <c r="AT72" s="52"/>
      <c r="AU72" s="52"/>
      <c r="AV72" s="52"/>
      <c r="AW72" s="52"/>
      <c r="AX72" s="52"/>
      <c r="AY72" s="52"/>
      <c r="AZ72" s="52"/>
      <c r="BA72" s="52"/>
      <c r="BB72" s="52"/>
      <c r="BC72" s="52"/>
      <c r="BD72" s="52"/>
      <c r="BE72" s="52"/>
      <c r="BF72" s="52"/>
      <c r="BG72" s="52"/>
      <c r="BH72" s="52"/>
      <c r="BI72" s="52"/>
      <c r="BJ72" s="52"/>
      <c r="BK72" s="52"/>
      <c r="BL72" s="52"/>
      <c r="BM72" s="52"/>
    </row>
    <row r="73" spans="1:65" ht="28.8" customHeight="1" x14ac:dyDescent="0.3">
      <c r="A73" s="10" t="str">
        <f>IF(Job_Master!A73="","",Job_Master!A73)</f>
        <v>BJ-169</v>
      </c>
      <c r="B73" s="10">
        <f>IF($A73="","",Job_Master!B73)</f>
        <v>17</v>
      </c>
      <c r="C73" s="10" t="str">
        <f>IF($A73="","",Job_Master!C73)</f>
        <v>SEG</v>
      </c>
      <c r="D73" s="10">
        <f>IF($A73="","",Job_Master!D73)</f>
        <v>6</v>
      </c>
      <c r="E73" s="48" t="str">
        <f>IF($A73="","","VTL-MC-01")</f>
        <v>VTL-MC-01</v>
      </c>
      <c r="F73" s="106" t="str">
        <f>IF($E73="","",IFERROR(VLOOKUP($E73,Machine_List!$B:$G,6,0),""))</f>
        <v>General Workman</v>
      </c>
      <c r="G73" s="53">
        <f>IF($E73="","",IFERROR(VLOOKUP($E73,Machine_List!$B:$C,2,0),""))</f>
        <v>46133</v>
      </c>
      <c r="H73" s="10">
        <f>IF($E73="","",IFERROR(VLOOKUP($E73,Machine_List!$B:$D,3,0),""))</f>
        <v>6</v>
      </c>
      <c r="I73" s="54"/>
      <c r="J73" s="55">
        <f ca="1">IF($A73="","",IF($I73&lt;&gt;"",$I73,MAX(GlobalStartDate,IFERROR(LOOKUP(2,1/($E$3:INDIRECT("E"&amp;(ROW()-1))=$E73),$M$3:INDIRECT("M"&amp;(ROW()-1))),GlobalStartDate))))</f>
        <v>46181.810185185204</v>
      </c>
      <c r="K73" s="10">
        <f>IF($A73="","",IFERROR(VLOOKUP(B73,CHOOSE(MATCH(C73,Settings!$L$4:$L$10,0),OPR_2P!$A$4:$I$18,SEG_6P!$A$4:$I$18,SOL_4P!$A$4:$I$18,RW_2P!$A$4:$I$18,RW2_4P!$A$4:$I$18,FLAP_4P!$A$4:$I$18,TUBE_4P!$A$4:$I$18),1,0),0))</f>
        <v>17</v>
      </c>
      <c r="L73" s="10">
        <f t="shared" si="3"/>
        <v>102</v>
      </c>
      <c r="M73" s="55">
        <f ca="1">IF($A73="","",IF(AND(ISNUMBER(G73),G73&gt;=J73,G73&lt;=(J73+(L73/(IF(F73="Contract Workman",Settings!$K$5,Settings!$K$4))))),J73+(L73/(IF(F73="Contract Workman",Settings!$K$5,Settings!$K$4)))+(H73/(IF(F73="Contract Workman",Settings!$K$5,Settings!$K$4))),J73+(L73/(IF(F73="Contract Workman",Settings!$K$5,Settings!$K$4)))))</f>
        <v>46186.532407407423</v>
      </c>
      <c r="N73" s="10" t="str">
        <f t="shared" ca="1" si="4"/>
        <v>Shift A</v>
      </c>
      <c r="O73" s="51" t="str">
        <f>IF(B73="","", IF(IFERROR(ISNUMBER(SEARCH(B73, VLOOKUP(E73, Machine_List!$B:$J, 9, 0))), FALSE()), "✅ Machine OK", "❌ Sug: " &amp; IFERROR(INDEX(Machine_List!$B$4:$B$50, MATCH("*"&amp;B73&amp;"*", Machine_List!$J$4:$J$50, 0)), "Check Limits")))</f>
        <v>✅ Machine OK</v>
      </c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  <c r="AE73" s="52"/>
      <c r="AF73" s="52"/>
      <c r="AG73" s="52"/>
      <c r="AH73" s="52"/>
      <c r="AI73" s="52"/>
      <c r="AJ73" s="52"/>
      <c r="AK73" s="52"/>
      <c r="AL73" s="52"/>
      <c r="AM73" s="52"/>
      <c r="AN73" s="52"/>
      <c r="AO73" s="52"/>
      <c r="AP73" s="52"/>
      <c r="AQ73" s="52"/>
      <c r="AR73" s="52"/>
      <c r="AS73" s="52"/>
      <c r="AT73" s="52"/>
      <c r="AU73" s="52"/>
      <c r="AV73" s="52"/>
      <c r="AW73" s="52"/>
      <c r="AX73" s="52"/>
      <c r="AY73" s="52"/>
      <c r="AZ73" s="52"/>
      <c r="BA73" s="52"/>
      <c r="BB73" s="52"/>
      <c r="BC73" s="52"/>
      <c r="BD73" s="52"/>
      <c r="BE73" s="52"/>
      <c r="BF73" s="52"/>
      <c r="BG73" s="52"/>
      <c r="BH73" s="52"/>
      <c r="BI73" s="52"/>
      <c r="BJ73" s="52"/>
      <c r="BK73" s="52"/>
      <c r="BL73" s="52"/>
      <c r="BM73" s="52"/>
    </row>
    <row r="74" spans="1:65" x14ac:dyDescent="0.3">
      <c r="A74" s="10" t="str">
        <f>IF(Job_Master!A74="","",Job_Master!A74)</f>
        <v>BJ-170</v>
      </c>
      <c r="B74" s="10">
        <f>IF($A74="","",Job_Master!B74)</f>
        <v>20</v>
      </c>
      <c r="C74" s="10" t="str">
        <f>IF($A74="","",Job_Master!C74)</f>
        <v>SOL</v>
      </c>
      <c r="D74" s="10">
        <f>IF($A74="","",Job_Master!D74)</f>
        <v>4</v>
      </c>
      <c r="E74" s="48" t="str">
        <f>IF($A74="","",IFERROR(INDEX(Machine_List!$B$4:$B$7,MATCH("*"&amp;$B74&amp;"*",Machine_List!$J$4:$J$7,0)),"NO COMPATIBLE MACHINE"))</f>
        <v>VTL-MC-01</v>
      </c>
      <c r="F74" s="106" t="str">
        <f>IF($E74="","",IFERROR(VLOOKUP($E74,Machine_List!$B:$G,6,0),""))</f>
        <v>General Workman</v>
      </c>
      <c r="G74" s="53">
        <f>IF($E74="","",IFERROR(VLOOKUP($E74,Machine_List!$B:$C,2,0),""))</f>
        <v>46133</v>
      </c>
      <c r="H74" s="10">
        <f>IF($E74="","",IFERROR(VLOOKUP($E74,Machine_List!$B:$D,3,0),""))</f>
        <v>6</v>
      </c>
      <c r="I74" s="54"/>
      <c r="J74" s="55">
        <f ca="1">IF($A74="","",IF($I74&lt;&gt;"",$I74,MAX(GlobalStartDate,IFERROR(LOOKUP(2,1/($E$3:INDIRECT("E"&amp;(ROW()-1))=$E74),$M$3:INDIRECT("M"&amp;(ROW()-1))),GlobalStartDate))))</f>
        <v>46186.532407407423</v>
      </c>
      <c r="K74" s="10">
        <f>IF($A74="","",IFERROR(VLOOKUP(B74,CHOOSE(MATCH(C74,Settings!$L$4:$L$10,0),OPR_2P!$A$4:$I$18,SEG_6P!$A$4:$I$18,SOL_4P!$A$4:$I$18,RW_2P!$A$4:$I$18,RW2_4P!$A$4:$I$18,FLAP_4P!$A$4:$I$18,TUBE_4P!$A$4:$I$18),1,0),0))</f>
        <v>20</v>
      </c>
      <c r="L74" s="10">
        <f t="shared" si="3"/>
        <v>80</v>
      </c>
      <c r="M74" s="55">
        <f ca="1">IF($A74="","",IF(AND(ISNUMBER(G74),G74&gt;=J74,G74&lt;=(J74+(L74/(IF(F74="Contract Workman",Settings!$K$5,Settings!$K$4))))),J74+(L74/(IF(F74="Contract Workman",Settings!$K$5,Settings!$K$4)))+(H74/(IF(F74="Contract Workman",Settings!$K$5,Settings!$K$4))),J74+(L74/(IF(F74="Contract Workman",Settings!$K$5,Settings!$K$4)))))</f>
        <v>46190.236111111124</v>
      </c>
      <c r="N74" s="10" t="str">
        <f t="shared" ca="1" si="4"/>
        <v>Shift C</v>
      </c>
      <c r="O74" s="51" t="str">
        <f>IF(B74="","", IF(IFERROR(ISNUMBER(SEARCH(B74, VLOOKUP(E74, Machine_List!$B:$J, 9, 0))), FALSE()), "✅ Machine OK", "❌ Sug: " &amp; IFERROR(INDEX(Machine_List!$B$4:$B$50, MATCH("*"&amp;B74&amp;"*", Machine_List!$J$4:$J$50, 0)), "Check Limits")))</f>
        <v>✅ Machine OK</v>
      </c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2"/>
      <c r="AF74" s="52"/>
      <c r="AG74" s="52"/>
      <c r="AH74" s="52"/>
      <c r="AI74" s="52"/>
      <c r="AJ74" s="52"/>
      <c r="AK74" s="52"/>
      <c r="AL74" s="52"/>
      <c r="AM74" s="52"/>
      <c r="AN74" s="52"/>
      <c r="AO74" s="52"/>
      <c r="AP74" s="52"/>
      <c r="AQ74" s="52"/>
      <c r="AR74" s="52"/>
      <c r="AS74" s="52"/>
      <c r="AT74" s="52"/>
      <c r="AU74" s="52"/>
      <c r="AV74" s="52"/>
      <c r="AW74" s="52"/>
      <c r="AX74" s="52"/>
      <c r="AY74" s="52"/>
      <c r="AZ74" s="52"/>
      <c r="BA74" s="52"/>
      <c r="BB74" s="52"/>
      <c r="BC74" s="52"/>
      <c r="BD74" s="52"/>
      <c r="BE74" s="52"/>
      <c r="BF74" s="52"/>
      <c r="BG74" s="52"/>
      <c r="BH74" s="52"/>
      <c r="BI74" s="52"/>
      <c r="BJ74" s="52"/>
      <c r="BK74" s="52"/>
      <c r="BL74" s="52"/>
      <c r="BM74" s="52"/>
    </row>
    <row r="75" spans="1:65" x14ac:dyDescent="0.3">
      <c r="A75" s="10" t="str">
        <f>IF(Job_Master!A75="","",Job_Master!A75)</f>
        <v/>
      </c>
      <c r="B75" s="10" t="str">
        <f>IF($A75="","",Job_Master!B75)</f>
        <v/>
      </c>
      <c r="C75" s="10" t="str">
        <f>IF($A75="","",Job_Master!C75)</f>
        <v/>
      </c>
      <c r="D75" s="10" t="str">
        <f>IF($A75="","",Job_Master!D75)</f>
        <v/>
      </c>
      <c r="E75" s="48" t="str">
        <f>IF($A75="","",IFERROR(INDEX(Machine_List!$B$4:$B$7,MATCH("*"&amp;$B75&amp;"*",Machine_List!$J$4:$J$7,0)),"NO COMPATIBLE MACHINE"))</f>
        <v/>
      </c>
      <c r="F75" s="106" t="str">
        <f>IF($E75="","",IFERROR(VLOOKUP($E75,Machine_List!$B:$G,6,0),""))</f>
        <v/>
      </c>
      <c r="G75" s="53" t="str">
        <f>IF($E75="","",IFERROR(VLOOKUP($E75,Machine_List!$B:$C,2,0),""))</f>
        <v/>
      </c>
      <c r="H75" s="10" t="str">
        <f>IF($E75="","",IFERROR(VLOOKUP($E75,Machine_List!$B:$D,3,0),""))</f>
        <v/>
      </c>
      <c r="I75" s="54"/>
      <c r="J75" s="55" t="str">
        <f ca="1">IF($A75="","",IF($I75&lt;&gt;"",$I75,MAX(GlobalStartDate,IFERROR(LOOKUP(2,1/($E$3:INDIRECT("E"&amp;(ROW()-1))=$E75),$M$3:INDIRECT("M"&amp;(ROW()-1))),GlobalStartDate))))</f>
        <v/>
      </c>
      <c r="K75" s="10" t="str">
        <f>IF($A75="","",IFERROR(VLOOKUP(B75,CHOOSE(MATCH(C75,Settings!$L$4:$L$10,0),OPR_2P!$A$4:$I$18,SEG_6P!$A$4:$I$18,SOL_4P!$A$4:$I$18,RW_2P!$A$4:$I$18,RW2_4P!$A$4:$I$18,FLAP_4P!$A$4:$I$18,TUBE_4P!$A$4:$I$18),1,0),0))</f>
        <v/>
      </c>
      <c r="L75" s="10" t="str">
        <f t="shared" si="3"/>
        <v/>
      </c>
      <c r="M75" s="55" t="str">
        <f>IF($A75="","",IF(AND(ISNUMBER(G75),G75&gt;=J75,G75&lt;=(J75+(L75/(IF(F75="Contract Workman",Settings!$K$5,Settings!$K$4))))),J75+(L75/(IF(F75="Contract Workman",Settings!$K$5,Settings!$K$4)))+(H75/(IF(F75="Contract Workman",Settings!$K$5,Settings!$K$4))),J75+(L75/(IF(F75="Contract Workman",Settings!$K$5,Settings!$K$4)))))</f>
        <v/>
      </c>
      <c r="N75" s="10" t="str">
        <f t="shared" si="4"/>
        <v/>
      </c>
      <c r="O75" s="51" t="str">
        <f>IF(B75="","", IF(IFERROR(ISNUMBER(SEARCH(B75, VLOOKUP(E75, Machine_List!$B:$J, 9, 0))), FALSE()), "✅ Machine OK", "❌ Sug: " &amp; IFERROR(INDEX(Machine_List!$B$4:$B$50, MATCH("*"&amp;B75&amp;"*", Machine_List!$J$4:$J$50, 0)), "Check Limits")))</f>
        <v/>
      </c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52"/>
      <c r="AJ75" s="52"/>
      <c r="AK75" s="52"/>
      <c r="AL75" s="52"/>
      <c r="AM75" s="52"/>
      <c r="AN75" s="52"/>
      <c r="AO75" s="52"/>
      <c r="AP75" s="52"/>
      <c r="AQ75" s="52"/>
      <c r="AR75" s="52"/>
      <c r="AS75" s="52"/>
      <c r="AT75" s="52"/>
      <c r="AU75" s="52"/>
      <c r="AV75" s="52"/>
      <c r="AW75" s="52"/>
      <c r="AX75" s="52"/>
      <c r="AY75" s="52"/>
      <c r="AZ75" s="52"/>
      <c r="BA75" s="52"/>
      <c r="BB75" s="52"/>
      <c r="BC75" s="52"/>
      <c r="BD75" s="52"/>
      <c r="BE75" s="52"/>
      <c r="BF75" s="52"/>
      <c r="BG75" s="52"/>
      <c r="BH75" s="52"/>
      <c r="BI75" s="52"/>
      <c r="BJ75" s="52"/>
      <c r="BK75" s="52"/>
      <c r="BL75" s="52"/>
      <c r="BM75" s="52"/>
    </row>
    <row r="76" spans="1:65" x14ac:dyDescent="0.3">
      <c r="A76" s="10" t="str">
        <f>IF(Job_Master!A76="","",Job_Master!A76)</f>
        <v/>
      </c>
      <c r="B76" s="10" t="str">
        <f>IF($A76="","",Job_Master!B76)</f>
        <v/>
      </c>
      <c r="C76" s="10" t="str">
        <f>IF($A76="","",Job_Master!C76)</f>
        <v/>
      </c>
      <c r="D76" s="10" t="str">
        <f>IF($A76="","",Job_Master!D76)</f>
        <v/>
      </c>
      <c r="E76" s="48" t="str">
        <f>IF($A76="","",IFERROR(INDEX(Machine_List!$B$4:$B$7,MATCH("*"&amp;$B76&amp;"*",Machine_List!$J$4:$J$7,0)),"NO COMPATIBLE MACHINE"))</f>
        <v/>
      </c>
      <c r="F76" s="106" t="str">
        <f>IF($E76="","",IFERROR(VLOOKUP($E76,Machine_List!$B:$G,6,0),""))</f>
        <v/>
      </c>
      <c r="G76" s="53" t="str">
        <f>IF($E76="","",IFERROR(VLOOKUP($E76,Machine_List!$B:$C,2,0),""))</f>
        <v/>
      </c>
      <c r="H76" s="10" t="str">
        <f>IF($E76="","",IFERROR(VLOOKUP($E76,Machine_List!$B:$D,3,0),""))</f>
        <v/>
      </c>
      <c r="I76" s="54"/>
      <c r="J76" s="55" t="str">
        <f ca="1">IF($A76="","",IF($I76&lt;&gt;"",$I76,MAX(GlobalStartDate,IFERROR(LOOKUP(2,1/($E$3:INDIRECT("E"&amp;(ROW()-1))=$E76),$M$3:INDIRECT("M"&amp;(ROW()-1))),GlobalStartDate))))</f>
        <v/>
      </c>
      <c r="K76" s="10" t="str">
        <f>IF($A76="","",IFERROR(VLOOKUP(B76,CHOOSE(MATCH(C76,Settings!$L$4:$L$10,0),OPR_2P!$A$4:$I$18,SEG_6P!$A$4:$I$18,SOL_4P!$A$4:$I$18,RW_2P!$A$4:$I$18,RW2_4P!$A$4:$I$18,FLAP_4P!$A$4:$I$18,TUBE_4P!$A$4:$I$18),1,0),0))</f>
        <v/>
      </c>
      <c r="L76" s="10" t="str">
        <f t="shared" si="3"/>
        <v/>
      </c>
      <c r="M76" s="55" t="str">
        <f>IF($A76="","",IF(AND(ISNUMBER(G76),G76&gt;=J76,G76&lt;=(J76+(L76/(IF(F76="Contract Workman",Settings!$K$5,Settings!$K$4))))),J76+(L76/(IF(F76="Contract Workman",Settings!$K$5,Settings!$K$4)))+(H76/(IF(F76="Contract Workman",Settings!$K$5,Settings!$K$4))),J76+(L76/(IF(F76="Contract Workman",Settings!$K$5,Settings!$K$4)))))</f>
        <v/>
      </c>
      <c r="N76" s="10" t="str">
        <f t="shared" si="4"/>
        <v/>
      </c>
      <c r="O76" s="51" t="str">
        <f>IF(B76="","", IF(IFERROR(ISNUMBER(SEARCH(B76, VLOOKUP(E76, Machine_List!$B:$J, 9, 0))), FALSE()), "✅ Machine OK", "❌ Sug: " &amp; IFERROR(INDEX(Machine_List!$B$4:$B$50, MATCH("*"&amp;B76&amp;"*", Machine_List!$J$4:$J$50, 0)), "Check Limits")))</f>
        <v/>
      </c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52"/>
      <c r="AK76" s="52"/>
      <c r="AL76" s="52"/>
      <c r="AM76" s="52"/>
      <c r="AN76" s="52"/>
      <c r="AO76" s="52"/>
      <c r="AP76" s="52"/>
      <c r="AQ76" s="52"/>
      <c r="AR76" s="52"/>
      <c r="AS76" s="52"/>
      <c r="AT76" s="52"/>
      <c r="AU76" s="52"/>
      <c r="AV76" s="52"/>
      <c r="AW76" s="52"/>
      <c r="AX76" s="52"/>
      <c r="AY76" s="52"/>
      <c r="AZ76" s="52"/>
      <c r="BA76" s="52"/>
      <c r="BB76" s="52"/>
      <c r="BC76" s="52"/>
      <c r="BD76" s="52"/>
      <c r="BE76" s="52"/>
      <c r="BF76" s="52"/>
      <c r="BG76" s="52"/>
      <c r="BH76" s="52"/>
      <c r="BI76" s="52"/>
      <c r="BJ76" s="52"/>
      <c r="BK76" s="52"/>
      <c r="BL76" s="52"/>
      <c r="BM76" s="52"/>
    </row>
    <row r="77" spans="1:65" x14ac:dyDescent="0.3">
      <c r="A77" s="10" t="str">
        <f>IF(Job_Master!A77="","",Job_Master!A77)</f>
        <v/>
      </c>
      <c r="B77" s="10" t="str">
        <f>IF($A77="","",Job_Master!B77)</f>
        <v/>
      </c>
      <c r="C77" s="10" t="str">
        <f>IF($A77="","",Job_Master!C77)</f>
        <v/>
      </c>
      <c r="D77" s="10" t="str">
        <f>IF($A77="","",Job_Master!D77)</f>
        <v/>
      </c>
      <c r="E77" s="48" t="str">
        <f>IF($A77="","",IFERROR(INDEX(Machine_List!$B$4:$B$7,MATCH("*"&amp;$B77&amp;"*",Machine_List!$J$4:$J$7,0)),"NO COMPATIBLE MACHINE"))</f>
        <v/>
      </c>
      <c r="F77" s="106" t="str">
        <f>IF($E77="","",IFERROR(VLOOKUP($E77,Machine_List!$B:$G,6,0),""))</f>
        <v/>
      </c>
      <c r="G77" s="53" t="str">
        <f>IF($E77="","",IFERROR(VLOOKUP($E77,Machine_List!$B:$C,2,0),""))</f>
        <v/>
      </c>
      <c r="H77" s="10" t="str">
        <f>IF($E77="","",IFERROR(VLOOKUP($E77,Machine_List!$B:$D,3,0),""))</f>
        <v/>
      </c>
      <c r="I77" s="54"/>
      <c r="J77" s="55" t="str">
        <f ca="1">IF($A77="","",IF($I77&lt;&gt;"",$I77,MAX(GlobalStartDate,IFERROR(LOOKUP(2,1/($E$3:INDIRECT("E"&amp;(ROW()-1))=$E77),$M$3:INDIRECT("M"&amp;(ROW()-1))),GlobalStartDate))))</f>
        <v/>
      </c>
      <c r="K77" s="10" t="str">
        <f>IF($A77="","",IFERROR(VLOOKUP(B77,CHOOSE(MATCH(C77,Settings!$L$4:$L$10,0),OPR_2P!$A$4:$I$18,SEG_6P!$A$4:$I$18,SOL_4P!$A$4:$I$18,RW_2P!$A$4:$I$18,RW2_4P!$A$4:$I$18,FLAP_4P!$A$4:$I$18,TUBE_4P!$A$4:$I$18),1,0),0))</f>
        <v/>
      </c>
      <c r="L77" s="10" t="str">
        <f t="shared" si="3"/>
        <v/>
      </c>
      <c r="M77" s="55" t="str">
        <f>IF($A77="","",IF(AND(ISNUMBER(G77),G77&gt;=J77,G77&lt;=(J77+(L77/(IF(F77="Contract Workman",Settings!$K$5,Settings!$K$4))))),J77+(L77/(IF(F77="Contract Workman",Settings!$K$5,Settings!$K$4)))+(H77/(IF(F77="Contract Workman",Settings!$K$5,Settings!$K$4))),J77+(L77/(IF(F77="Contract Workman",Settings!$K$5,Settings!$K$4)))))</f>
        <v/>
      </c>
      <c r="N77" s="10" t="str">
        <f t="shared" si="4"/>
        <v/>
      </c>
      <c r="O77" s="51" t="str">
        <f>IF(B77="","", IF(IFERROR(ISNUMBER(SEARCH(B77, VLOOKUP(E77, Machine_List!$B:$J, 9, 0))), FALSE()), "✅ Machine OK", "❌ Sug: " &amp; IFERROR(INDEX(Machine_List!$B$4:$B$50, MATCH("*"&amp;B77&amp;"*", Machine_List!$J$4:$J$50, 0)), "Check Limits")))</f>
        <v/>
      </c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  <c r="AE77" s="52"/>
      <c r="AF77" s="52"/>
      <c r="AG77" s="52"/>
      <c r="AH77" s="52"/>
      <c r="AI77" s="52"/>
      <c r="AJ77" s="52"/>
      <c r="AK77" s="52"/>
      <c r="AL77" s="52"/>
      <c r="AM77" s="52"/>
      <c r="AN77" s="52"/>
      <c r="AO77" s="52"/>
      <c r="AP77" s="52"/>
      <c r="AQ77" s="52"/>
      <c r="AR77" s="52"/>
      <c r="AS77" s="52"/>
      <c r="AT77" s="52"/>
      <c r="AU77" s="52"/>
      <c r="AV77" s="52"/>
      <c r="AW77" s="52"/>
      <c r="AX77" s="52"/>
      <c r="AY77" s="52"/>
      <c r="AZ77" s="52"/>
      <c r="BA77" s="52"/>
      <c r="BB77" s="52"/>
      <c r="BC77" s="52"/>
      <c r="BD77" s="52"/>
      <c r="BE77" s="52"/>
      <c r="BF77" s="52"/>
      <c r="BG77" s="52"/>
      <c r="BH77" s="52"/>
      <c r="BI77" s="52"/>
      <c r="BJ77" s="52"/>
      <c r="BK77" s="52"/>
      <c r="BL77" s="52"/>
      <c r="BM77" s="52"/>
    </row>
    <row r="78" spans="1:65" x14ac:dyDescent="0.3">
      <c r="A78" s="10" t="str">
        <f>IF(Job_Master!A78="","",Job_Master!A78)</f>
        <v/>
      </c>
      <c r="B78" s="10" t="str">
        <f>IF($A78="","",Job_Master!B78)</f>
        <v/>
      </c>
      <c r="C78" s="10" t="str">
        <f>IF($A78="","",Job_Master!C78)</f>
        <v/>
      </c>
      <c r="D78" s="10" t="str">
        <f>IF($A78="","",Job_Master!D78)</f>
        <v/>
      </c>
      <c r="E78" s="48" t="str">
        <f>IF($A78="","",IFERROR(INDEX(Machine_List!$B$4:$B$7,MATCH("*"&amp;$B78&amp;"*",Machine_List!$J$4:$J$7,0)),"NO COMPATIBLE MACHINE"))</f>
        <v/>
      </c>
      <c r="F78" s="106" t="str">
        <f>IF($E78="","",IFERROR(VLOOKUP($E78,Machine_List!$B:$G,6,0),""))</f>
        <v/>
      </c>
      <c r="G78" s="53" t="str">
        <f>IF($E78="","",IFERROR(VLOOKUP($E78,Machine_List!$B:$C,2,0),""))</f>
        <v/>
      </c>
      <c r="H78" s="10" t="str">
        <f>IF($E78="","",IFERROR(VLOOKUP($E78,Machine_List!$B:$D,3,0),""))</f>
        <v/>
      </c>
      <c r="I78" s="54"/>
      <c r="J78" s="55" t="str">
        <f ca="1">IF($A78="","",IF($I78&lt;&gt;"",$I78,MAX(GlobalStartDate,IFERROR(LOOKUP(2,1/($E$3:INDIRECT("E"&amp;(ROW()-1))=$E78),$M$3:INDIRECT("M"&amp;(ROW()-1))),GlobalStartDate))))</f>
        <v/>
      </c>
      <c r="K78" s="10" t="str">
        <f>IF($A78="","",IFERROR(VLOOKUP(B78,CHOOSE(MATCH(C78,Settings!$L$4:$L$10,0),OPR_2P!$A$4:$I$18,SEG_6P!$A$4:$I$18,SOL_4P!$A$4:$I$18,RW_2P!$A$4:$I$18,RW2_4P!$A$4:$I$18,FLAP_4P!$A$4:$I$18,TUBE_4P!$A$4:$I$18),1,0),0))</f>
        <v/>
      </c>
      <c r="L78" s="10" t="str">
        <f t="shared" si="3"/>
        <v/>
      </c>
      <c r="M78" s="55" t="str">
        <f>IF($A78="","",IF(AND(ISNUMBER(G78),G78&gt;=J78,G78&lt;=(J78+(L78/(IF(F78="Contract Workman",Settings!$K$5,Settings!$K$4))))),J78+(L78/(IF(F78="Contract Workman",Settings!$K$5,Settings!$K$4)))+(H78/(IF(F78="Contract Workman",Settings!$K$5,Settings!$K$4))),J78+(L78/(IF(F78="Contract Workman",Settings!$K$5,Settings!$K$4)))))</f>
        <v/>
      </c>
      <c r="N78" s="10" t="str">
        <f t="shared" si="4"/>
        <v/>
      </c>
      <c r="O78" s="51" t="str">
        <f>IF(B78="","", IF(IFERROR(ISNUMBER(SEARCH(B78, VLOOKUP(E78, Machine_List!$B:$J, 9, 0))), FALSE()), "✅ Machine OK", "❌ Sug: " &amp; IFERROR(INDEX(Machine_List!$B$4:$B$50, MATCH("*"&amp;B78&amp;"*", Machine_List!$J$4:$J$50, 0)), "Check Limits")))</f>
        <v/>
      </c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52"/>
      <c r="AG78" s="52"/>
      <c r="AH78" s="52"/>
      <c r="AI78" s="52"/>
      <c r="AJ78" s="52"/>
      <c r="AK78" s="52"/>
      <c r="AL78" s="52"/>
      <c r="AM78" s="52"/>
      <c r="AN78" s="52"/>
      <c r="AO78" s="52"/>
      <c r="AP78" s="52"/>
      <c r="AQ78" s="52"/>
      <c r="AR78" s="52"/>
      <c r="AS78" s="52"/>
      <c r="AT78" s="52"/>
      <c r="AU78" s="52"/>
      <c r="AV78" s="52"/>
      <c r="AW78" s="52"/>
      <c r="AX78" s="52"/>
      <c r="AY78" s="52"/>
      <c r="AZ78" s="52"/>
      <c r="BA78" s="52"/>
      <c r="BB78" s="52"/>
      <c r="BC78" s="52"/>
      <c r="BD78" s="52"/>
      <c r="BE78" s="52"/>
      <c r="BF78" s="52"/>
      <c r="BG78" s="52"/>
      <c r="BH78" s="52"/>
      <c r="BI78" s="52"/>
      <c r="BJ78" s="52"/>
      <c r="BK78" s="52"/>
      <c r="BL78" s="52"/>
      <c r="BM78" s="52"/>
    </row>
    <row r="79" spans="1:65" x14ac:dyDescent="0.3">
      <c r="A79" s="10" t="str">
        <f>IF(Job_Master!A79="","",Job_Master!A79)</f>
        <v/>
      </c>
      <c r="B79" s="10" t="str">
        <f>IF($A79="","",Job_Master!B79)</f>
        <v/>
      </c>
      <c r="C79" s="10" t="str">
        <f>IF($A79="","",Job_Master!C79)</f>
        <v/>
      </c>
      <c r="D79" s="10" t="str">
        <f>IF($A79="","",Job_Master!D79)</f>
        <v/>
      </c>
      <c r="E79" s="48" t="str">
        <f>IF($A79="","",IFERROR(INDEX(Machine_List!$B$4:$B$7,MATCH("*"&amp;$B79&amp;"*",Machine_List!$J$4:$J$7,0)),"NO COMPATIBLE MACHINE"))</f>
        <v/>
      </c>
      <c r="F79" s="106" t="str">
        <f>IF($E79="","",IFERROR(VLOOKUP($E79,Machine_List!$B:$G,6,0),""))</f>
        <v/>
      </c>
      <c r="G79" s="53" t="str">
        <f>IF($E79="","",IFERROR(VLOOKUP($E79,Machine_List!$B:$C,2,0),""))</f>
        <v/>
      </c>
      <c r="H79" s="10" t="str">
        <f>IF($E79="","",IFERROR(VLOOKUP($E79,Machine_List!$B:$D,3,0),""))</f>
        <v/>
      </c>
      <c r="I79" s="54"/>
      <c r="J79" s="55" t="str">
        <f ca="1">IF($A79="","",IF($I79&lt;&gt;"",$I79,MAX(GlobalStartDate,IFERROR(LOOKUP(2,1/($E$3:INDIRECT("E"&amp;(ROW()-1))=$E79),$M$3:INDIRECT("M"&amp;(ROW()-1))),GlobalStartDate))))</f>
        <v/>
      </c>
      <c r="K79" s="10" t="str">
        <f>IF($A79="","",IFERROR(VLOOKUP(B79,CHOOSE(MATCH(C79,Settings!$L$4:$L$10,0),OPR_2P!$A$4:$I$18,SEG_6P!$A$4:$I$18,SOL_4P!$A$4:$I$18,RW_2P!$A$4:$I$18,RW2_4P!$A$4:$I$18,FLAP_4P!$A$4:$I$18,TUBE_4P!$A$4:$I$18),1,0),0))</f>
        <v/>
      </c>
      <c r="L79" s="10" t="str">
        <f t="shared" si="3"/>
        <v/>
      </c>
      <c r="M79" s="55" t="str">
        <f>IF($A79="","",IF(AND(ISNUMBER(G79),G79&gt;=J79,G79&lt;=(J79+(L79/(IF(F79="Contract Workman",Settings!$K$5,Settings!$K$4))))),J79+(L79/(IF(F79="Contract Workman",Settings!$K$5,Settings!$K$4)))+(H79/(IF(F79="Contract Workman",Settings!$K$5,Settings!$K$4))),J79+(L79/(IF(F79="Contract Workman",Settings!$K$5,Settings!$K$4)))))</f>
        <v/>
      </c>
      <c r="N79" s="10" t="str">
        <f t="shared" si="4"/>
        <v/>
      </c>
      <c r="O79" s="51" t="str">
        <f>IF(B79="","", IF(IFERROR(ISNUMBER(SEARCH(B79, VLOOKUP(E79, Machine_List!$B:$J, 9, 0))), FALSE()), "✅ Machine OK", "❌ Sug: " &amp; IFERROR(INDEX(Machine_List!$B$4:$B$50, MATCH("*"&amp;B79&amp;"*", Machine_List!$J$4:$J$50, 0)), "Check Limits")))</f>
        <v/>
      </c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  <c r="AF79" s="52"/>
      <c r="AG79" s="52"/>
      <c r="AH79" s="52"/>
      <c r="AI79" s="52"/>
      <c r="AJ79" s="52"/>
      <c r="AK79" s="52"/>
      <c r="AL79" s="52"/>
      <c r="AM79" s="52"/>
      <c r="AN79" s="52"/>
      <c r="AO79" s="52"/>
      <c r="AP79" s="52"/>
      <c r="AQ79" s="52"/>
      <c r="AR79" s="52"/>
      <c r="AS79" s="52"/>
      <c r="AT79" s="52"/>
      <c r="AU79" s="52"/>
      <c r="AV79" s="52"/>
      <c r="AW79" s="52"/>
      <c r="AX79" s="52"/>
      <c r="AY79" s="52"/>
      <c r="AZ79" s="52"/>
      <c r="BA79" s="52"/>
      <c r="BB79" s="52"/>
      <c r="BC79" s="52"/>
      <c r="BD79" s="52"/>
      <c r="BE79" s="52"/>
      <c r="BF79" s="52"/>
      <c r="BG79" s="52"/>
      <c r="BH79" s="52"/>
      <c r="BI79" s="52"/>
      <c r="BJ79" s="52"/>
      <c r="BK79" s="52"/>
      <c r="BL79" s="52"/>
      <c r="BM79" s="52"/>
    </row>
    <row r="80" spans="1:65" x14ac:dyDescent="0.3">
      <c r="A80" s="10" t="str">
        <f>IF(Job_Master!A80="","",Job_Master!A80)</f>
        <v/>
      </c>
      <c r="B80" s="10" t="str">
        <f>IF($A80="","",Job_Master!B80)</f>
        <v/>
      </c>
      <c r="C80" s="10" t="str">
        <f>IF($A80="","",Job_Master!C80)</f>
        <v/>
      </c>
      <c r="D80" s="10" t="str">
        <f>IF($A80="","",Job_Master!D80)</f>
        <v/>
      </c>
      <c r="E80" s="48" t="str">
        <f>IF($A80="","",IFERROR(INDEX(Machine_List!$B$4:$B$7,MATCH("*"&amp;$B80&amp;"*",Machine_List!$J$4:$J$7,0)),"NO COMPATIBLE MACHINE"))</f>
        <v/>
      </c>
      <c r="F80" s="106" t="str">
        <f>IF($E80="","",IFERROR(VLOOKUP($E80,Machine_List!$B:$G,6,0),""))</f>
        <v/>
      </c>
      <c r="G80" s="53" t="str">
        <f>IF($E80="","",IFERROR(VLOOKUP($E80,Machine_List!$B:$C,2,0),""))</f>
        <v/>
      </c>
      <c r="H80" s="10" t="str">
        <f>IF($E80="","",IFERROR(VLOOKUP($E80,Machine_List!$B:$D,3,0),""))</f>
        <v/>
      </c>
      <c r="I80" s="54"/>
      <c r="J80" s="55" t="str">
        <f ca="1">IF($A80="","",IF($I80&lt;&gt;"",$I80,MAX(GlobalStartDate,IFERROR(LOOKUP(2,1/($E$3:INDIRECT("E"&amp;(ROW()-1))=$E80),$M$3:INDIRECT("M"&amp;(ROW()-1))),GlobalStartDate))))</f>
        <v/>
      </c>
      <c r="K80" s="10" t="str">
        <f>IF($A80="","",IFERROR(VLOOKUP(B80,CHOOSE(MATCH(C80,Settings!$L$4:$L$10,0),OPR_2P!$A$4:$I$18,SEG_6P!$A$4:$I$18,SOL_4P!$A$4:$I$18,RW_2P!$A$4:$I$18,RW2_4P!$A$4:$I$18,FLAP_4P!$A$4:$I$18,TUBE_4P!$A$4:$I$18),1,0),0))</f>
        <v/>
      </c>
      <c r="L80" s="10" t="str">
        <f t="shared" si="3"/>
        <v/>
      </c>
      <c r="M80" s="55" t="str">
        <f>IF($A80="","",IF(AND(ISNUMBER(G80),G80&gt;=J80,G80&lt;=(J80+(L80/(IF(F80="Contract Workman",Settings!$K$5,Settings!$K$4))))),J80+(L80/(IF(F80="Contract Workman",Settings!$K$5,Settings!$K$4)))+(H80/(IF(F80="Contract Workman",Settings!$K$5,Settings!$K$4))),J80+(L80/(IF(F80="Contract Workman",Settings!$K$5,Settings!$K$4)))))</f>
        <v/>
      </c>
      <c r="N80" s="10" t="str">
        <f t="shared" si="4"/>
        <v/>
      </c>
      <c r="O80" s="51" t="str">
        <f>IF(B80="","", IF(IFERROR(ISNUMBER(SEARCH(B80, VLOOKUP(E80, Machine_List!$B:$J, 9, 0))), FALSE()), "✅ Machine OK", "❌ Sug: " &amp; IFERROR(INDEX(Machine_List!$B$4:$B$50, MATCH("*"&amp;B80&amp;"*", Machine_List!$J$4:$J$50, 0)), "Check Limits")))</f>
        <v/>
      </c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  <c r="AE80" s="52"/>
      <c r="AF80" s="52"/>
      <c r="AG80" s="52"/>
      <c r="AH80" s="52"/>
      <c r="AI80" s="52"/>
      <c r="AJ80" s="52"/>
      <c r="AK80" s="52"/>
      <c r="AL80" s="52"/>
      <c r="AM80" s="52"/>
      <c r="AN80" s="52"/>
      <c r="AO80" s="52"/>
      <c r="AP80" s="52"/>
      <c r="AQ80" s="52"/>
      <c r="AR80" s="52"/>
      <c r="AS80" s="52"/>
      <c r="AT80" s="52"/>
      <c r="AU80" s="52"/>
      <c r="AV80" s="52"/>
      <c r="AW80" s="52"/>
      <c r="AX80" s="52"/>
      <c r="AY80" s="52"/>
      <c r="AZ80" s="52"/>
      <c r="BA80" s="52"/>
      <c r="BB80" s="52"/>
      <c r="BC80" s="52"/>
      <c r="BD80" s="52"/>
      <c r="BE80" s="52"/>
      <c r="BF80" s="52"/>
      <c r="BG80" s="52"/>
      <c r="BH80" s="52"/>
      <c r="BI80" s="52"/>
      <c r="BJ80" s="52"/>
      <c r="BK80" s="52"/>
      <c r="BL80" s="52"/>
      <c r="BM80" s="52"/>
    </row>
    <row r="81" spans="1:65" ht="15" customHeight="1" x14ac:dyDescent="0.3">
      <c r="A81" s="10" t="str">
        <f>IF(Job_Master!A81="","",Job_Master!A81)</f>
        <v/>
      </c>
      <c r="B81" s="10" t="str">
        <f>IF($A81="","",Job_Master!B81)</f>
        <v/>
      </c>
      <c r="C81" s="10" t="str">
        <f>IF($A81="","",Job_Master!C81)</f>
        <v/>
      </c>
      <c r="D81" s="10" t="str">
        <f>IF($A81="","",Job_Master!D81)</f>
        <v/>
      </c>
      <c r="E81" s="48" t="str">
        <f>IF($A81="","",IFERROR(INDEX(Machine_List!$B$4:$B$7,MATCH("*"&amp;$B81&amp;"*",Machine_List!$J$4:$J$7,0)),"NO COMPATIBLE MACHINE"))</f>
        <v/>
      </c>
      <c r="F81" s="106" t="str">
        <f>IF($E81="","",IFERROR(VLOOKUP($E81,Machine_List!$B:$G,6,0),""))</f>
        <v/>
      </c>
      <c r="G81" s="53" t="str">
        <f>IF($E81="","",IFERROR(VLOOKUP($E81,Machine_List!$B:$C,2,0),""))</f>
        <v/>
      </c>
      <c r="H81" s="10" t="str">
        <f>IF($E81="","",IFERROR(VLOOKUP($E81,Machine_List!$B:$D,3,0),""))</f>
        <v/>
      </c>
      <c r="I81" s="54"/>
      <c r="J81" s="55" t="str">
        <f ca="1">IF($A81="","",IF($I81&lt;&gt;"",$I81,MAX(GlobalStartDate,IFERROR(LOOKUP(2,1/($E$3:INDIRECT("E"&amp;(ROW()-1))=$E81),$M$3:INDIRECT("M"&amp;(ROW()-1))),GlobalStartDate))))</f>
        <v/>
      </c>
      <c r="K81" s="10" t="str">
        <f>IF($A81="","",IFERROR(VLOOKUP(B81,CHOOSE(MATCH(C81,Settings!$L$4:$L$10,0),OPR_2P!$A$4:$I$18,SEG_6P!$A$4:$I$18,SOL_4P!$A$4:$I$18,RW_2P!$A$4:$I$18,RW2_4P!$A$4:$I$18,FLAP_4P!$A$4:$I$18,TUBE_4P!$A$4:$I$18),1,0),0))</f>
        <v/>
      </c>
      <c r="L81" s="10" t="str">
        <f t="shared" si="3"/>
        <v/>
      </c>
      <c r="M81" s="55" t="str">
        <f>IF($A81="","",IF(AND(ISNUMBER(G81),G81&gt;=J81,G81&lt;=(J81+(L81/(IF(F81="Contract Workman",Settings!$K$5,Settings!$K$4))))),J81+(L81/(IF(F81="Contract Workman",Settings!$K$5,Settings!$K$4)))+(H81/(IF(F81="Contract Workman",Settings!$K$5,Settings!$K$4))),J81+(L81/(IF(F81="Contract Workman",Settings!$K$5,Settings!$K$4)))))</f>
        <v/>
      </c>
      <c r="N81" s="10" t="str">
        <f t="shared" si="4"/>
        <v/>
      </c>
      <c r="O81" s="51" t="str">
        <f>IF(B81="","", IF(IFERROR(ISNUMBER(SEARCH(B81, VLOOKUP(E81, Machine_List!$B:$J, 9, 0))), FALSE()), "✅ Machine OK", "❌ Sug: " &amp; IFERROR(INDEX(Machine_List!$B$4:$B$50, MATCH("*"&amp;B81&amp;"*", Machine_List!$J$4:$J$50, 0)), "Check Limits")))</f>
        <v/>
      </c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  <c r="AE81" s="52"/>
      <c r="AF81" s="52"/>
      <c r="AG81" s="52"/>
      <c r="AH81" s="52"/>
      <c r="AI81" s="52"/>
      <c r="AJ81" s="52"/>
      <c r="AK81" s="52"/>
      <c r="AL81" s="52"/>
      <c r="AM81" s="52"/>
      <c r="AN81" s="52"/>
      <c r="AO81" s="52"/>
      <c r="AP81" s="52"/>
      <c r="AQ81" s="52"/>
      <c r="AR81" s="52"/>
      <c r="AS81" s="52"/>
      <c r="AT81" s="52"/>
      <c r="AU81" s="52"/>
      <c r="AV81" s="52"/>
      <c r="AW81" s="52"/>
      <c r="AX81" s="52"/>
      <c r="AY81" s="52"/>
      <c r="AZ81" s="52"/>
      <c r="BA81" s="52"/>
      <c r="BB81" s="52"/>
      <c r="BC81" s="52"/>
      <c r="BD81" s="52"/>
      <c r="BE81" s="52"/>
      <c r="BF81" s="52"/>
      <c r="BG81" s="52"/>
      <c r="BH81" s="52"/>
      <c r="BI81" s="52"/>
      <c r="BJ81" s="52"/>
      <c r="BK81" s="52"/>
      <c r="BL81" s="52"/>
      <c r="BM81" s="52"/>
    </row>
    <row r="82" spans="1:65" ht="15" customHeight="1" x14ac:dyDescent="0.3">
      <c r="A82" s="10" t="str">
        <f>IF(Job_Master!A82="","",Job_Master!A82)</f>
        <v/>
      </c>
      <c r="B82" s="10" t="str">
        <f>IF($A82="","",Job_Master!B82)</f>
        <v/>
      </c>
      <c r="C82" s="10" t="str">
        <f>IF($A82="","",Job_Master!C82)</f>
        <v/>
      </c>
      <c r="D82" s="10" t="str">
        <f>IF($A82="","",Job_Master!D82)</f>
        <v/>
      </c>
      <c r="E82" s="48" t="str">
        <f>IF($A82="","",IFERROR(INDEX(Machine_List!$B$4:$B$7,MATCH("*"&amp;$B82&amp;"*",Machine_List!$J$4:$J$7,0)),"NO COMPATIBLE MACHINE"))</f>
        <v/>
      </c>
      <c r="F82" s="106" t="str">
        <f>IF($E82="","",IFERROR(VLOOKUP($E82,Machine_List!$B:$G,6,0),""))</f>
        <v/>
      </c>
      <c r="G82" s="53" t="str">
        <f>IF($E82="","",IFERROR(VLOOKUP($E82,Machine_List!$B:$C,2,0),""))</f>
        <v/>
      </c>
      <c r="H82" s="10" t="str">
        <f>IF($E82="","",IFERROR(VLOOKUP($E82,Machine_List!$B:$D,3,0),""))</f>
        <v/>
      </c>
      <c r="I82" s="54"/>
      <c r="J82" s="55" t="str">
        <f ca="1">IF($A82="","",IF($I82&lt;&gt;"",$I82,MAX(GlobalStartDate,IFERROR(LOOKUP(2,1/($E$3:INDIRECT("E"&amp;(ROW()-1))=$E82),$M$3:INDIRECT("M"&amp;(ROW()-1))),GlobalStartDate))))</f>
        <v/>
      </c>
      <c r="K82" s="10" t="str">
        <f>IF($A82="","",IFERROR(VLOOKUP(B82,CHOOSE(MATCH(C82,Settings!$L$4:$L$10,0),OPR_2P!$A$4:$I$18,SEG_6P!$A$4:$I$18,SOL_4P!$A$4:$I$18,RW_2P!$A$4:$I$18,RW2_4P!$A$4:$I$18,FLAP_4P!$A$4:$I$18,TUBE_4P!$A$4:$I$18),1,0),0))</f>
        <v/>
      </c>
      <c r="L82" s="10" t="str">
        <f t="shared" si="3"/>
        <v/>
      </c>
      <c r="M82" s="55" t="str">
        <f>IF($A82="","",IF(AND(ISNUMBER(G82),G82&gt;=J82,G82&lt;=(J82+(L82/(IF(F82="Contract Workman",Settings!$K$5,Settings!$K$4))))),J82+(L82/(IF(F82="Contract Workman",Settings!$K$5,Settings!$K$4)))+(H82/(IF(F82="Contract Workman",Settings!$K$5,Settings!$K$4))),J82+(L82/(IF(F82="Contract Workman",Settings!$K$5,Settings!$K$4)))))</f>
        <v/>
      </c>
      <c r="N82" s="10" t="str">
        <f t="shared" si="4"/>
        <v/>
      </c>
      <c r="O82" s="51" t="str">
        <f>IF(B82="","", IF(IFERROR(ISNUMBER(SEARCH(B82, VLOOKUP(E82, Machine_List!$B:$J, 9, 0))), FALSE()), "✅ Machine OK", "❌ Sug: " &amp; IFERROR(INDEX(Machine_List!$B$4:$B$50, MATCH("*"&amp;B82&amp;"*", Machine_List!$J$4:$J$50, 0)), "Check Limits")))</f>
        <v/>
      </c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  <c r="AE82" s="52"/>
      <c r="AF82" s="52"/>
      <c r="AG82" s="52"/>
      <c r="AH82" s="52"/>
      <c r="AI82" s="52"/>
      <c r="AJ82" s="52"/>
      <c r="AK82" s="52"/>
      <c r="AL82" s="52"/>
      <c r="AM82" s="52"/>
      <c r="AN82" s="52"/>
      <c r="AO82" s="52"/>
      <c r="AP82" s="52"/>
      <c r="AQ82" s="52"/>
      <c r="AR82" s="52"/>
      <c r="AS82" s="52"/>
      <c r="AT82" s="52"/>
      <c r="AU82" s="52"/>
      <c r="AV82" s="52"/>
      <c r="AW82" s="52"/>
      <c r="AX82" s="52"/>
      <c r="AY82" s="52"/>
      <c r="AZ82" s="52"/>
      <c r="BA82" s="52"/>
      <c r="BB82" s="52"/>
      <c r="BC82" s="52"/>
      <c r="BD82" s="52"/>
      <c r="BE82" s="52"/>
      <c r="BF82" s="52"/>
      <c r="BG82" s="52"/>
      <c r="BH82" s="52"/>
      <c r="BI82" s="52"/>
      <c r="BJ82" s="52"/>
      <c r="BK82" s="52"/>
      <c r="BL82" s="52"/>
      <c r="BM82" s="52"/>
    </row>
    <row r="83" spans="1:65" ht="15" customHeight="1" x14ac:dyDescent="0.3">
      <c r="A83" s="10" t="str">
        <f>IF(Job_Master!A83="","",Job_Master!A83)</f>
        <v/>
      </c>
      <c r="B83" s="10" t="str">
        <f>IF($A83="","",Job_Master!B83)</f>
        <v/>
      </c>
      <c r="C83" s="10" t="str">
        <f>IF($A83="","",Job_Master!C83)</f>
        <v/>
      </c>
      <c r="D83" s="10" t="str">
        <f>IF($A83="","",Job_Master!D83)</f>
        <v/>
      </c>
      <c r="E83" s="48" t="str">
        <f>IF($A83="","",IFERROR(INDEX(Machine_List!$B$4:$B$7,MATCH("*"&amp;$B83&amp;"*",Machine_List!$J$4:$J$7,0)),"NO COMPATIBLE MACHINE"))</f>
        <v/>
      </c>
      <c r="F83" s="106" t="str">
        <f>IF($E83="","",IFERROR(VLOOKUP($E83,Machine_List!$B:$G,6,0),""))</f>
        <v/>
      </c>
      <c r="G83" s="53" t="str">
        <f>IF($E83="","",IFERROR(VLOOKUP($E83,Machine_List!$B:$C,2,0),""))</f>
        <v/>
      </c>
      <c r="H83" s="10" t="str">
        <f>IF($E83="","",IFERROR(VLOOKUP($E83,Machine_List!$B:$D,3,0),""))</f>
        <v/>
      </c>
      <c r="I83" s="54"/>
      <c r="J83" s="55" t="str">
        <f ca="1">IF($A83="","",IF($I83&lt;&gt;"",$I83,MAX(GlobalStartDate,IFERROR(LOOKUP(2,1/($E$3:INDIRECT("E"&amp;(ROW()-1))=$E83),$M$3:INDIRECT("M"&amp;(ROW()-1))),GlobalStartDate))))</f>
        <v/>
      </c>
      <c r="K83" s="10" t="str">
        <f>IF($A83="","",IFERROR(VLOOKUP(B83,CHOOSE(MATCH(C83,Settings!$L$4:$L$10,0),OPR_2P!$A$4:$I$18,SEG_6P!$A$4:$I$18,SOL_4P!$A$4:$I$18,RW_2P!$A$4:$I$18,RW2_4P!$A$4:$I$18,FLAP_4P!$A$4:$I$18,TUBE_4P!$A$4:$I$18),1,0),0))</f>
        <v/>
      </c>
      <c r="L83" s="10" t="str">
        <f t="shared" si="3"/>
        <v/>
      </c>
      <c r="M83" s="55" t="str">
        <f>IF($A83="","",IF(AND(ISNUMBER(G83),G83&gt;=J83,G83&lt;=(J83+(L83/(IF(F83="Contract Workman",Settings!$K$5,Settings!$K$4))))),J83+(L83/(IF(F83="Contract Workman",Settings!$K$5,Settings!$K$4)))+(H83/(IF(F83="Contract Workman",Settings!$K$5,Settings!$K$4))),J83+(L83/(IF(F83="Contract Workman",Settings!$K$5,Settings!$K$4)))))</f>
        <v/>
      </c>
      <c r="N83" s="10" t="str">
        <f t="shared" si="4"/>
        <v/>
      </c>
      <c r="O83" s="51" t="str">
        <f>IF(B83="","", IF(IFERROR(ISNUMBER(SEARCH(B83, VLOOKUP(E83, Machine_List!$B:$J, 9, 0))), FALSE()), "✅ Machine OK", "❌ Sug: " &amp; IFERROR(INDEX(Machine_List!$B$4:$B$50, MATCH("*"&amp;B83&amp;"*", Machine_List!$J$4:$J$50, 0)), "Check Limits")))</f>
        <v/>
      </c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2"/>
      <c r="AE83" s="52"/>
      <c r="AF83" s="52"/>
      <c r="AG83" s="52"/>
      <c r="AH83" s="52"/>
      <c r="AI83" s="52"/>
      <c r="AJ83" s="52"/>
      <c r="AK83" s="52"/>
      <c r="AL83" s="52"/>
      <c r="AM83" s="52"/>
      <c r="AN83" s="52"/>
      <c r="AO83" s="52"/>
      <c r="AP83" s="52"/>
      <c r="AQ83" s="52"/>
      <c r="AR83" s="52"/>
      <c r="AS83" s="52"/>
      <c r="AT83" s="52"/>
      <c r="AU83" s="52"/>
      <c r="AV83" s="52"/>
      <c r="AW83" s="52"/>
      <c r="AX83" s="52"/>
      <c r="AY83" s="52"/>
      <c r="AZ83" s="52"/>
      <c r="BA83" s="52"/>
      <c r="BB83" s="52"/>
      <c r="BC83" s="52"/>
      <c r="BD83" s="52"/>
      <c r="BE83" s="52"/>
      <c r="BF83" s="52"/>
      <c r="BG83" s="52"/>
      <c r="BH83" s="52"/>
      <c r="BI83" s="52"/>
      <c r="BJ83" s="52"/>
      <c r="BK83" s="52"/>
      <c r="BL83" s="52"/>
      <c r="BM83" s="52"/>
    </row>
    <row r="84" spans="1:65" ht="15" customHeight="1" x14ac:dyDescent="0.3">
      <c r="A84" s="10" t="str">
        <f>IF(Job_Master!A84="","",Job_Master!A84)</f>
        <v/>
      </c>
      <c r="B84" s="10" t="str">
        <f>IF($A84="","",Job_Master!B84)</f>
        <v/>
      </c>
      <c r="C84" s="10" t="str">
        <f>IF($A84="","",Job_Master!C84)</f>
        <v/>
      </c>
      <c r="D84" s="10" t="str">
        <f>IF($A84="","",Job_Master!D84)</f>
        <v/>
      </c>
      <c r="E84" s="48" t="str">
        <f>IF($A84="","",IFERROR(INDEX(Machine_List!$B$4:$B$7,MATCH("*"&amp;$B84&amp;"*",Machine_List!$J$4:$J$7,0)),"NO COMPATIBLE MACHINE"))</f>
        <v/>
      </c>
      <c r="F84" s="106" t="str">
        <f>IF($E84="","",IFERROR(VLOOKUP($E84,Machine_List!$B:$G,6,0),""))</f>
        <v/>
      </c>
      <c r="G84" s="53" t="str">
        <f>IF($E84="","",IFERROR(VLOOKUP($E84,Machine_List!$B:$C,2,0),""))</f>
        <v/>
      </c>
      <c r="H84" s="10" t="str">
        <f>IF($E84="","",IFERROR(VLOOKUP($E84,Machine_List!$B:$D,3,0),""))</f>
        <v/>
      </c>
      <c r="I84" s="54"/>
      <c r="J84" s="55" t="str">
        <f ca="1">IF($A84="","",IF($I84&lt;&gt;"",$I84,MAX(GlobalStartDate,IFERROR(LOOKUP(2,1/($E$3:INDIRECT("E"&amp;(ROW()-1))=$E84),$M$3:INDIRECT("M"&amp;(ROW()-1))),GlobalStartDate))))</f>
        <v/>
      </c>
      <c r="K84" s="10" t="str">
        <f>IF($A84="","",IFERROR(VLOOKUP(B84,CHOOSE(MATCH(C84,Settings!$L$4:$L$10,0),OPR_2P!$A$4:$I$18,SEG_6P!$A$4:$I$18,SOL_4P!$A$4:$I$18,RW_2P!$A$4:$I$18,RW2_4P!$A$4:$I$18,FLAP_4P!$A$4:$I$18,TUBE_4P!$A$4:$I$18),1,0),0))</f>
        <v/>
      </c>
      <c r="L84" s="10" t="str">
        <f t="shared" si="3"/>
        <v/>
      </c>
      <c r="M84" s="55" t="str">
        <f>IF($A84="","",IF(AND(ISNUMBER(G84),G84&gt;=J84,G84&lt;=(J84+(L84/(IF(F84="Contract Workman",Settings!$K$5,Settings!$K$4))))),J84+(L84/(IF(F84="Contract Workman",Settings!$K$5,Settings!$K$4)))+(H84/(IF(F84="Contract Workman",Settings!$K$5,Settings!$K$4))),J84+(L84/(IF(F84="Contract Workman",Settings!$K$5,Settings!$K$4)))))</f>
        <v/>
      </c>
      <c r="N84" s="10" t="str">
        <f t="shared" si="4"/>
        <v/>
      </c>
      <c r="O84" s="51" t="str">
        <f>IF(B84="","", IF(IFERROR(ISNUMBER(SEARCH(B84, VLOOKUP(E84, Machine_List!$B:$J, 9, 0))), FALSE()), "✅ Machine OK", "❌ Sug: " &amp; IFERROR(INDEX(Machine_List!$B$4:$B$50, MATCH("*"&amp;B84&amp;"*", Machine_List!$J$4:$J$50, 0)), "Check Limits")))</f>
        <v/>
      </c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52"/>
      <c r="AJ84" s="52"/>
      <c r="AK84" s="52"/>
      <c r="AL84" s="52"/>
      <c r="AM84" s="52"/>
      <c r="AN84" s="52"/>
      <c r="AO84" s="52"/>
      <c r="AP84" s="52"/>
      <c r="AQ84" s="52"/>
      <c r="AR84" s="52"/>
      <c r="AS84" s="52"/>
      <c r="AT84" s="52"/>
      <c r="AU84" s="52"/>
      <c r="AV84" s="52"/>
      <c r="AW84" s="52"/>
      <c r="AX84" s="52"/>
      <c r="AY84" s="52"/>
      <c r="AZ84" s="52"/>
      <c r="BA84" s="52"/>
      <c r="BB84" s="52"/>
      <c r="BC84" s="52"/>
      <c r="BD84" s="52"/>
      <c r="BE84" s="52"/>
      <c r="BF84" s="52"/>
      <c r="BG84" s="52"/>
      <c r="BH84" s="52"/>
      <c r="BI84" s="52"/>
      <c r="BJ84" s="52"/>
      <c r="BK84" s="52"/>
      <c r="BL84" s="52"/>
      <c r="BM84" s="52"/>
    </row>
    <row r="85" spans="1:65" ht="15" customHeight="1" x14ac:dyDescent="0.3">
      <c r="A85" s="10" t="str">
        <f>IF(Job_Master!A85="","",Job_Master!A85)</f>
        <v/>
      </c>
      <c r="B85" s="10" t="str">
        <f>IF($A85="","",Job_Master!B85)</f>
        <v/>
      </c>
      <c r="C85" s="10" t="str">
        <f>IF($A85="","",Job_Master!C85)</f>
        <v/>
      </c>
      <c r="D85" s="10" t="str">
        <f>IF($A85="","",Job_Master!D85)</f>
        <v/>
      </c>
      <c r="E85" s="48" t="str">
        <f>IF($A85="","",IFERROR(INDEX(Machine_List!$B$4:$B$7,MATCH("*"&amp;$B85&amp;"*",Machine_List!$J$4:$J$7,0)),"NO COMPATIBLE MACHINE"))</f>
        <v/>
      </c>
      <c r="F85" s="106" t="str">
        <f>IF($E85="","",IFERROR(VLOOKUP($E85,Machine_List!$B:$G,6,0),""))</f>
        <v/>
      </c>
      <c r="G85" s="53" t="str">
        <f>IF($E85="","",IFERROR(VLOOKUP($E85,Machine_List!$B:$C,2,0),""))</f>
        <v/>
      </c>
      <c r="H85" s="10" t="str">
        <f>IF($E85="","",IFERROR(VLOOKUP($E85,Machine_List!$B:$D,3,0),""))</f>
        <v/>
      </c>
      <c r="I85" s="54"/>
      <c r="J85" s="55" t="str">
        <f ca="1">IF($A85="","",IF($I85&lt;&gt;"",$I85,MAX(GlobalStartDate,IFERROR(LOOKUP(2,1/($E$3:INDIRECT("E"&amp;(ROW()-1))=$E85),$M$3:INDIRECT("M"&amp;(ROW()-1))),GlobalStartDate))))</f>
        <v/>
      </c>
      <c r="K85" s="10" t="str">
        <f>IF($A85="","",IFERROR(VLOOKUP(B85,CHOOSE(MATCH(C85,Settings!$L$4:$L$10,0),OPR_2P!$A$4:$I$18,SEG_6P!$A$4:$I$18,SOL_4P!$A$4:$I$18,RW_2P!$A$4:$I$18,RW2_4P!$A$4:$I$18,FLAP_4P!$A$4:$I$18,TUBE_4P!$A$4:$I$18),1,0),0))</f>
        <v/>
      </c>
      <c r="L85" s="10" t="str">
        <f t="shared" si="3"/>
        <v/>
      </c>
      <c r="M85" s="55" t="str">
        <f>IF($A85="","",IF(AND(ISNUMBER(G85),G85&gt;=J85,G85&lt;=(J85+(L85/(IF(F85="Contract Workman",Settings!$K$5,Settings!$K$4))))),J85+(L85/(IF(F85="Contract Workman",Settings!$K$5,Settings!$K$4)))+(H85/(IF(F85="Contract Workman",Settings!$K$5,Settings!$K$4))),J85+(L85/(IF(F85="Contract Workman",Settings!$K$5,Settings!$K$4)))))</f>
        <v/>
      </c>
      <c r="N85" s="10" t="str">
        <f t="shared" si="4"/>
        <v/>
      </c>
      <c r="O85" s="51" t="str">
        <f>IF(B85="","", IF(IFERROR(ISNUMBER(SEARCH(B85, VLOOKUP(E85, Machine_List!$B:$J, 9, 0))), FALSE()), "✅ Machine OK", "❌ Sug: " &amp; IFERROR(INDEX(Machine_List!$B$4:$B$50, MATCH("*"&amp;B85&amp;"*", Machine_List!$J$4:$J$50, 0)), "Check Limits")))</f>
        <v/>
      </c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52"/>
      <c r="AG85" s="52"/>
      <c r="AH85" s="52"/>
      <c r="AI85" s="52"/>
      <c r="AJ85" s="52"/>
      <c r="AK85" s="52"/>
      <c r="AL85" s="52"/>
      <c r="AM85" s="52"/>
      <c r="AN85" s="52"/>
      <c r="AO85" s="52"/>
      <c r="AP85" s="52"/>
      <c r="AQ85" s="52"/>
      <c r="AR85" s="52"/>
      <c r="AS85" s="52"/>
      <c r="AT85" s="52"/>
      <c r="AU85" s="52"/>
      <c r="AV85" s="52"/>
      <c r="AW85" s="52"/>
      <c r="AX85" s="52"/>
      <c r="AY85" s="52"/>
      <c r="AZ85" s="52"/>
      <c r="BA85" s="52"/>
      <c r="BB85" s="52"/>
      <c r="BC85" s="52"/>
      <c r="BD85" s="52"/>
      <c r="BE85" s="52"/>
      <c r="BF85" s="52"/>
      <c r="BG85" s="52"/>
      <c r="BH85" s="52"/>
      <c r="BI85" s="52"/>
      <c r="BJ85" s="52"/>
      <c r="BK85" s="52"/>
      <c r="BL85" s="52"/>
      <c r="BM85" s="52"/>
    </row>
    <row r="86" spans="1:65" ht="15" customHeight="1" x14ac:dyDescent="0.3">
      <c r="A86" s="10" t="str">
        <f>IF(Job_Master!A86="","",Job_Master!A86)</f>
        <v/>
      </c>
      <c r="B86" s="10" t="str">
        <f>IF($A86="","",Job_Master!B86)</f>
        <v/>
      </c>
      <c r="C86" s="10" t="str">
        <f>IF($A86="","",Job_Master!C86)</f>
        <v/>
      </c>
      <c r="D86" s="10" t="str">
        <f>IF($A86="","",Job_Master!D86)</f>
        <v/>
      </c>
      <c r="E86" s="48" t="str">
        <f>IF($A86="","",IFERROR(INDEX(Machine_List!$B$4:$B$7,MATCH("*"&amp;$B86&amp;"*",Machine_List!$J$4:$J$7,0)),"NO COMPATIBLE MACHINE"))</f>
        <v/>
      </c>
      <c r="F86" s="106" t="str">
        <f>IF($E86="","",IFERROR(VLOOKUP($E86,Machine_List!$B:$G,6,0),""))</f>
        <v/>
      </c>
      <c r="G86" s="53" t="str">
        <f>IF($E86="","",IFERROR(VLOOKUP($E86,Machine_List!$B:$C,2,0),""))</f>
        <v/>
      </c>
      <c r="H86" s="10" t="str">
        <f>IF($E86="","",IFERROR(VLOOKUP($E86,Machine_List!$B:$D,3,0),""))</f>
        <v/>
      </c>
      <c r="I86" s="54"/>
      <c r="J86" s="55" t="str">
        <f ca="1">IF($A86="","",IF($I86&lt;&gt;"",$I86,MAX(GlobalStartDate,IFERROR(LOOKUP(2,1/($E$3:INDIRECT("E"&amp;(ROW()-1))=$E86),$M$3:INDIRECT("M"&amp;(ROW()-1))),GlobalStartDate))))</f>
        <v/>
      </c>
      <c r="K86" s="10" t="str">
        <f>IF($A86="","",IFERROR(VLOOKUP(B86,CHOOSE(MATCH(C86,Settings!$L$4:$L$10,0),OPR_2P!$A$4:$I$18,SEG_6P!$A$4:$I$18,SOL_4P!$A$4:$I$18,RW_2P!$A$4:$I$18,RW2_4P!$A$4:$I$18,FLAP_4P!$A$4:$I$18,TUBE_4P!$A$4:$I$18),1,0),0))</f>
        <v/>
      </c>
      <c r="L86" s="10" t="str">
        <f t="shared" si="3"/>
        <v/>
      </c>
      <c r="M86" s="55" t="str">
        <f>IF($A86="","",IF(AND(ISNUMBER(G86),G86&gt;=J86,G86&lt;=(J86+(L86/(IF(F86="Contract Workman",Settings!$K$5,Settings!$K$4))))),J86+(L86/(IF(F86="Contract Workman",Settings!$K$5,Settings!$K$4)))+(H86/(IF(F86="Contract Workman",Settings!$K$5,Settings!$K$4))),J86+(L86/(IF(F86="Contract Workman",Settings!$K$5,Settings!$K$4)))))</f>
        <v/>
      </c>
      <c r="N86" s="10" t="str">
        <f t="shared" si="4"/>
        <v/>
      </c>
      <c r="O86" s="51" t="str">
        <f>IF(B86="","", IF(IFERROR(ISNUMBER(SEARCH(B86, VLOOKUP(E86, Machine_List!$B:$J, 9, 0))), FALSE()), "✅ Machine OK", "❌ Sug: " &amp; IFERROR(INDEX(Machine_List!$B$4:$B$50, MATCH("*"&amp;B86&amp;"*", Machine_List!$J$4:$J$50, 0)), "Check Limits")))</f>
        <v/>
      </c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2"/>
      <c r="AD86" s="52"/>
      <c r="AE86" s="52"/>
      <c r="AF86" s="52"/>
      <c r="AG86" s="52"/>
      <c r="AH86" s="52"/>
      <c r="AI86" s="52"/>
      <c r="AJ86" s="52"/>
      <c r="AK86" s="52"/>
      <c r="AL86" s="52"/>
      <c r="AM86" s="52"/>
      <c r="AN86" s="52"/>
      <c r="AO86" s="52"/>
      <c r="AP86" s="52"/>
      <c r="AQ86" s="52"/>
      <c r="AR86" s="52"/>
      <c r="AS86" s="52"/>
      <c r="AT86" s="52"/>
      <c r="AU86" s="52"/>
      <c r="AV86" s="52"/>
      <c r="AW86" s="52"/>
      <c r="AX86" s="52"/>
      <c r="AY86" s="52"/>
      <c r="AZ86" s="52"/>
      <c r="BA86" s="52"/>
      <c r="BB86" s="52"/>
      <c r="BC86" s="52"/>
      <c r="BD86" s="52"/>
      <c r="BE86" s="52"/>
      <c r="BF86" s="52"/>
      <c r="BG86" s="52"/>
      <c r="BH86" s="52"/>
      <c r="BI86" s="52"/>
      <c r="BJ86" s="52"/>
      <c r="BK86" s="52"/>
      <c r="BL86" s="52"/>
      <c r="BM86" s="52"/>
    </row>
    <row r="87" spans="1:65" ht="15" customHeight="1" x14ac:dyDescent="0.3">
      <c r="A87" s="10" t="str">
        <f>IF(Job_Master!A87="","",Job_Master!A87)</f>
        <v/>
      </c>
      <c r="B87" s="10" t="str">
        <f>IF($A87="","",Job_Master!B87)</f>
        <v/>
      </c>
      <c r="C87" s="10" t="str">
        <f>IF($A87="","",Job_Master!C87)</f>
        <v/>
      </c>
      <c r="D87" s="10" t="str">
        <f>IF($A87="","",Job_Master!D87)</f>
        <v/>
      </c>
      <c r="E87" s="48" t="str">
        <f>IF($A87="","",IFERROR(INDEX(Machine_List!$B$4:$B$7,MATCH("*"&amp;$B87&amp;"*",Machine_List!$J$4:$J$7,0)),"NO COMPATIBLE MACHINE"))</f>
        <v/>
      </c>
      <c r="F87" s="106" t="str">
        <f>IF($E87="","",IFERROR(VLOOKUP($E87,Machine_List!$B:$G,6,0),""))</f>
        <v/>
      </c>
      <c r="G87" s="53" t="str">
        <f>IF($E87="","",IFERROR(VLOOKUP($E87,Machine_List!$B:$C,2,0),""))</f>
        <v/>
      </c>
      <c r="H87" s="10" t="str">
        <f>IF($E87="","",IFERROR(VLOOKUP($E87,Machine_List!$B:$D,3,0),""))</f>
        <v/>
      </c>
      <c r="I87" s="54"/>
      <c r="J87" s="55" t="str">
        <f ca="1">IF($A87="","",IF($I87&lt;&gt;"",$I87,MAX(GlobalStartDate,IFERROR(LOOKUP(2,1/($E$3:INDIRECT("E"&amp;(ROW()-1))=$E87),$M$3:INDIRECT("M"&amp;(ROW()-1))),GlobalStartDate))))</f>
        <v/>
      </c>
      <c r="K87" s="10" t="str">
        <f>IF($A87="","",IFERROR(VLOOKUP(B87,CHOOSE(MATCH(C87,Settings!$L$4:$L$10,0),OPR_2P!$A$4:$I$18,SEG_6P!$A$4:$I$18,SOL_4P!$A$4:$I$18,RW_2P!$A$4:$I$18,RW2_4P!$A$4:$I$18,FLAP_4P!$A$4:$I$18,TUBE_4P!$A$4:$I$18),1,0),0))</f>
        <v/>
      </c>
      <c r="L87" s="10" t="str">
        <f t="shared" si="3"/>
        <v/>
      </c>
      <c r="M87" s="55" t="str">
        <f>IF($A87="","",IF(AND(ISNUMBER(G87),G87&gt;=J87,G87&lt;=(J87+(L87/(IF(F87="Contract Workman",Settings!$K$5,Settings!$K$4))))),J87+(L87/(IF(F87="Contract Workman",Settings!$K$5,Settings!$K$4)))+(H87/(IF(F87="Contract Workman",Settings!$K$5,Settings!$K$4))),J87+(L87/(IF(F87="Contract Workman",Settings!$K$5,Settings!$K$4)))))</f>
        <v/>
      </c>
      <c r="N87" s="10" t="str">
        <f t="shared" si="4"/>
        <v/>
      </c>
      <c r="O87" s="51" t="str">
        <f>IF(B87="","", IF(IFERROR(ISNUMBER(SEARCH(B87, VLOOKUP(E87, Machine_List!$B:$J, 9, 0))), FALSE()), "✅ Machine OK", "❌ Sug: " &amp; IFERROR(INDEX(Machine_List!$B$4:$B$50, MATCH("*"&amp;B87&amp;"*", Machine_List!$J$4:$J$50, 0)), "Check Limits")))</f>
        <v/>
      </c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  <c r="AE87" s="52"/>
      <c r="AF87" s="52"/>
      <c r="AG87" s="52"/>
      <c r="AH87" s="52"/>
      <c r="AI87" s="52"/>
      <c r="AJ87" s="52"/>
      <c r="AK87" s="52"/>
      <c r="AL87" s="52"/>
      <c r="AM87" s="52"/>
      <c r="AN87" s="52"/>
      <c r="AO87" s="52"/>
      <c r="AP87" s="52"/>
      <c r="AQ87" s="52"/>
      <c r="AR87" s="52"/>
      <c r="AS87" s="52"/>
      <c r="AT87" s="52"/>
      <c r="AU87" s="52"/>
      <c r="AV87" s="52"/>
      <c r="AW87" s="52"/>
      <c r="AX87" s="52"/>
      <c r="AY87" s="52"/>
      <c r="AZ87" s="52"/>
      <c r="BA87" s="52"/>
      <c r="BB87" s="52"/>
      <c r="BC87" s="52"/>
      <c r="BD87" s="52"/>
      <c r="BE87" s="52"/>
      <c r="BF87" s="52"/>
      <c r="BG87" s="52"/>
      <c r="BH87" s="52"/>
      <c r="BI87" s="52"/>
      <c r="BJ87" s="52"/>
      <c r="BK87" s="52"/>
      <c r="BL87" s="52"/>
      <c r="BM87" s="52"/>
    </row>
    <row r="88" spans="1:65" ht="15" customHeight="1" x14ac:dyDescent="0.3">
      <c r="A88" s="10" t="str">
        <f>IF(Job_Master!A88="","",Job_Master!A88)</f>
        <v/>
      </c>
      <c r="B88" s="10" t="str">
        <f>IF($A88="","",Job_Master!B88)</f>
        <v/>
      </c>
      <c r="C88" s="10" t="str">
        <f>IF($A88="","",Job_Master!C88)</f>
        <v/>
      </c>
      <c r="D88" s="10" t="str">
        <f>IF($A88="","",Job_Master!D88)</f>
        <v/>
      </c>
      <c r="E88" s="48" t="str">
        <f>IF($A88="","",IFERROR(INDEX(Machine_List!$B$4:$B$7,MATCH("*"&amp;$B88&amp;"*",Machine_List!$J$4:$J$7,0)),"NO COMPATIBLE MACHINE"))</f>
        <v/>
      </c>
      <c r="F88" s="106" t="str">
        <f>IF($E88="","",IFERROR(VLOOKUP($E88,Machine_List!$B:$G,6,0),""))</f>
        <v/>
      </c>
      <c r="G88" s="53" t="str">
        <f>IF($E88="","",IFERROR(VLOOKUP($E88,Machine_List!$B:$C,2,0),""))</f>
        <v/>
      </c>
      <c r="H88" s="10" t="str">
        <f>IF($E88="","",IFERROR(VLOOKUP($E88,Machine_List!$B:$D,3,0),""))</f>
        <v/>
      </c>
      <c r="I88" s="54"/>
      <c r="J88" s="55" t="str">
        <f ca="1">IF($A88="","",IF($I88&lt;&gt;"",$I88,MAX(GlobalStartDate,IFERROR(LOOKUP(2,1/($E$3:INDIRECT("E"&amp;(ROW()-1))=$E88),$M$3:INDIRECT("M"&amp;(ROW()-1))),GlobalStartDate))))</f>
        <v/>
      </c>
      <c r="K88" s="10" t="str">
        <f>IF($A88="","",IFERROR(VLOOKUP(B88,CHOOSE(MATCH(C88,Settings!$L$4:$L$10,0),OPR_2P!$A$4:$I$18,SEG_6P!$A$4:$I$18,SOL_4P!$A$4:$I$18,RW_2P!$A$4:$I$18,RW2_4P!$A$4:$I$18,FLAP_4P!$A$4:$I$18,TUBE_4P!$A$4:$I$18),1,0),0))</f>
        <v/>
      </c>
      <c r="L88" s="10" t="str">
        <f t="shared" si="3"/>
        <v/>
      </c>
      <c r="M88" s="55" t="str">
        <f>IF($A88="","",IF(AND(ISNUMBER(G88),G88&gt;=J88,G88&lt;=(J88+(L88/(IF(F88="Contract Workman",Settings!$K$5,Settings!$K$4))))),J88+(L88/(IF(F88="Contract Workman",Settings!$K$5,Settings!$K$4)))+(H88/(IF(F88="Contract Workman",Settings!$K$5,Settings!$K$4))),J88+(L88/(IF(F88="Contract Workman",Settings!$K$5,Settings!$K$4)))))</f>
        <v/>
      </c>
      <c r="N88" s="10" t="str">
        <f t="shared" si="4"/>
        <v/>
      </c>
      <c r="O88" s="51" t="str">
        <f>IF(B88="","", IF(IFERROR(ISNUMBER(SEARCH(B88, VLOOKUP(E88, Machine_List!$B:$J, 9, 0))), FALSE()), "✅ Machine OK", "❌ Sug: " &amp; IFERROR(INDEX(Machine_List!$B$4:$B$50, MATCH("*"&amp;B88&amp;"*", Machine_List!$J$4:$J$50, 0)), "Check Limits")))</f>
        <v/>
      </c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2"/>
      <c r="AD88" s="52"/>
      <c r="AE88" s="52"/>
      <c r="AF88" s="52"/>
      <c r="AG88" s="52"/>
      <c r="AH88" s="52"/>
      <c r="AI88" s="52"/>
      <c r="AJ88" s="52"/>
      <c r="AK88" s="52"/>
      <c r="AL88" s="52"/>
      <c r="AM88" s="52"/>
      <c r="AN88" s="52"/>
      <c r="AO88" s="52"/>
      <c r="AP88" s="52"/>
      <c r="AQ88" s="52"/>
      <c r="AR88" s="52"/>
      <c r="AS88" s="52"/>
      <c r="AT88" s="52"/>
      <c r="AU88" s="52"/>
      <c r="AV88" s="52"/>
      <c r="AW88" s="52"/>
      <c r="AX88" s="52"/>
      <c r="AY88" s="52"/>
      <c r="AZ88" s="52"/>
      <c r="BA88" s="52"/>
      <c r="BB88" s="52"/>
      <c r="BC88" s="52"/>
      <c r="BD88" s="52"/>
      <c r="BE88" s="52"/>
      <c r="BF88" s="52"/>
      <c r="BG88" s="52"/>
      <c r="BH88" s="52"/>
      <c r="BI88" s="52"/>
      <c r="BJ88" s="52"/>
      <c r="BK88" s="52"/>
      <c r="BL88" s="52"/>
      <c r="BM88" s="52"/>
    </row>
    <row r="89" spans="1:65" ht="15" customHeight="1" x14ac:dyDescent="0.3">
      <c r="A89" s="10" t="str">
        <f>IF(Job_Master!A89="","",Job_Master!A89)</f>
        <v/>
      </c>
      <c r="B89" s="10" t="str">
        <f>IF($A89="","",Job_Master!B89)</f>
        <v/>
      </c>
      <c r="C89" s="10" t="str">
        <f>IF($A89="","",Job_Master!C89)</f>
        <v/>
      </c>
      <c r="D89" s="10" t="str">
        <f>IF($A89="","",Job_Master!D89)</f>
        <v/>
      </c>
      <c r="E89" s="48" t="str">
        <f>IF($A89="","",IFERROR(INDEX(Machine_List!$B$4:$B$7,MATCH("*"&amp;$B89&amp;"*",Machine_List!$J$4:$J$7,0)),"NO COMPATIBLE MACHINE"))</f>
        <v/>
      </c>
      <c r="F89" s="106" t="str">
        <f>IF($E89="","",IFERROR(VLOOKUP($E89,Machine_List!$B:$G,6,0),""))</f>
        <v/>
      </c>
      <c r="G89" s="53" t="str">
        <f>IF($E89="","",IFERROR(VLOOKUP($E89,Machine_List!$B:$C,2,0),""))</f>
        <v/>
      </c>
      <c r="H89" s="10" t="str">
        <f>IF($E89="","",IFERROR(VLOOKUP($E89,Machine_List!$B:$D,3,0),""))</f>
        <v/>
      </c>
      <c r="I89" s="54"/>
      <c r="J89" s="55" t="str">
        <f ca="1">IF($A89="","",IF($I89&lt;&gt;"",$I89,MAX(GlobalStartDate,IFERROR(LOOKUP(2,1/($E$3:INDIRECT("E"&amp;(ROW()-1))=$E89),$M$3:INDIRECT("M"&amp;(ROW()-1))),GlobalStartDate))))</f>
        <v/>
      </c>
      <c r="K89" s="10" t="str">
        <f>IF($A89="","",IFERROR(VLOOKUP(B89,CHOOSE(MATCH(C89,Settings!$L$4:$L$10,0),OPR_2P!$A$4:$I$18,SEG_6P!$A$4:$I$18,SOL_4P!$A$4:$I$18,RW_2P!$A$4:$I$18,RW2_4P!$A$4:$I$18,FLAP_4P!$A$4:$I$18,TUBE_4P!$A$4:$I$18),1,0),0))</f>
        <v/>
      </c>
      <c r="L89" s="10" t="str">
        <f t="shared" si="3"/>
        <v/>
      </c>
      <c r="M89" s="55" t="str">
        <f>IF($A89="","",IF(AND(ISNUMBER(G89),G89&gt;=J89,G89&lt;=(J89+(L89/(IF(F89="Contract Workman",Settings!$K$5,Settings!$K$4))))),J89+(L89/(IF(F89="Contract Workman",Settings!$K$5,Settings!$K$4)))+(H89/(IF(F89="Contract Workman",Settings!$K$5,Settings!$K$4))),J89+(L89/(IF(F89="Contract Workman",Settings!$K$5,Settings!$K$4)))))</f>
        <v/>
      </c>
      <c r="N89" s="10" t="str">
        <f t="shared" si="4"/>
        <v/>
      </c>
      <c r="O89" s="51" t="str">
        <f>IF(B89="","", IF(IFERROR(ISNUMBER(SEARCH(B89, VLOOKUP(E89, Machine_List!$B:$J, 9, 0))), FALSE()), "✅ Machine OK", "❌ Sug: " &amp; IFERROR(INDEX(Machine_List!$B$4:$B$50, MATCH("*"&amp;B89&amp;"*", Machine_List!$J$4:$J$50, 0)), "Check Limits")))</f>
        <v/>
      </c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  <c r="AE89" s="52"/>
      <c r="AF89" s="52"/>
      <c r="AG89" s="52"/>
      <c r="AH89" s="52"/>
      <c r="AI89" s="52"/>
      <c r="AJ89" s="52"/>
      <c r="AK89" s="52"/>
      <c r="AL89" s="52"/>
      <c r="AM89" s="52"/>
      <c r="AN89" s="52"/>
      <c r="AO89" s="52"/>
      <c r="AP89" s="52"/>
      <c r="AQ89" s="52"/>
      <c r="AR89" s="52"/>
      <c r="AS89" s="52"/>
      <c r="AT89" s="52"/>
      <c r="AU89" s="52"/>
      <c r="AV89" s="52"/>
      <c r="AW89" s="52"/>
      <c r="AX89" s="52"/>
      <c r="AY89" s="52"/>
      <c r="AZ89" s="52"/>
      <c r="BA89" s="52"/>
      <c r="BB89" s="52"/>
      <c r="BC89" s="52"/>
      <c r="BD89" s="52"/>
      <c r="BE89" s="52"/>
      <c r="BF89" s="52"/>
      <c r="BG89" s="52"/>
      <c r="BH89" s="52"/>
      <c r="BI89" s="52"/>
      <c r="BJ89" s="52"/>
      <c r="BK89" s="52"/>
      <c r="BL89" s="52"/>
      <c r="BM89" s="52"/>
    </row>
    <row r="90" spans="1:65" ht="15" customHeight="1" x14ac:dyDescent="0.3">
      <c r="A90" s="10" t="str">
        <f>IF(Job_Master!A90="","",Job_Master!A90)</f>
        <v/>
      </c>
      <c r="B90" s="10" t="str">
        <f>IF($A90="","",Job_Master!B90)</f>
        <v/>
      </c>
      <c r="C90" s="10" t="str">
        <f>IF($A90="","",Job_Master!C90)</f>
        <v/>
      </c>
      <c r="D90" s="10" t="str">
        <f>IF($A90="","",Job_Master!D90)</f>
        <v/>
      </c>
      <c r="E90" s="48" t="str">
        <f>IF($A90="","",IFERROR(INDEX(Machine_List!$B$4:$B$7,MATCH("*"&amp;$B90&amp;"*",Machine_List!$J$4:$J$7,0)),"NO COMPATIBLE MACHINE"))</f>
        <v/>
      </c>
      <c r="F90" s="106" t="str">
        <f>IF($E90="","",IFERROR(VLOOKUP($E90,Machine_List!$B:$G,6,0),""))</f>
        <v/>
      </c>
      <c r="G90" s="53" t="str">
        <f>IF($E90="","",IFERROR(VLOOKUP($E90,Machine_List!$B:$C,2,0),""))</f>
        <v/>
      </c>
      <c r="H90" s="10" t="str">
        <f>IF($E90="","",IFERROR(VLOOKUP($E90,Machine_List!$B:$D,3,0),""))</f>
        <v/>
      </c>
      <c r="I90" s="54"/>
      <c r="J90" s="55" t="str">
        <f ca="1">IF($A90="","",IF($I90&lt;&gt;"",$I90,MAX(GlobalStartDate,IFERROR(LOOKUP(2,1/($E$3:INDIRECT("E"&amp;(ROW()-1))=$E90),$M$3:INDIRECT("M"&amp;(ROW()-1))),GlobalStartDate))))</f>
        <v/>
      </c>
      <c r="K90" s="10" t="str">
        <f>IF($A90="","",IFERROR(VLOOKUP(B90,CHOOSE(MATCH(C90,Settings!$L$4:$L$10,0),OPR_2P!$A$4:$I$18,SEG_6P!$A$4:$I$18,SOL_4P!$A$4:$I$18,RW_2P!$A$4:$I$18,RW2_4P!$A$4:$I$18,FLAP_4P!$A$4:$I$18,TUBE_4P!$A$4:$I$18),1,0),0))</f>
        <v/>
      </c>
      <c r="L90" s="10" t="str">
        <f t="shared" si="3"/>
        <v/>
      </c>
      <c r="M90" s="55" t="str">
        <f>IF($A90="","",IF(AND(ISNUMBER(G90),G90&gt;=J90,G90&lt;=(J90+(L90/(IF(F90="Contract Workman",Settings!$K$5,Settings!$K$4))))),J90+(L90/(IF(F90="Contract Workman",Settings!$K$5,Settings!$K$4)))+(H90/(IF(F90="Contract Workman",Settings!$K$5,Settings!$K$4))),J90+(L90/(IF(F90="Contract Workman",Settings!$K$5,Settings!$K$4)))))</f>
        <v/>
      </c>
      <c r="N90" s="10" t="str">
        <f t="shared" si="4"/>
        <v/>
      </c>
      <c r="O90" s="51" t="str">
        <f>IF(B90="","", IF(IFERROR(ISNUMBER(SEARCH(B90, VLOOKUP(E90, Machine_List!$B:$J, 9, 0))), FALSE()), "✅ Machine OK", "❌ Sug: " &amp; IFERROR(INDEX(Machine_List!$B$4:$B$50, MATCH("*"&amp;B90&amp;"*", Machine_List!$J$4:$J$50, 0)), "Check Limits")))</f>
        <v/>
      </c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  <c r="AE90" s="52"/>
      <c r="AF90" s="52"/>
      <c r="AG90" s="52"/>
      <c r="AH90" s="52"/>
      <c r="AI90" s="52"/>
      <c r="AJ90" s="52"/>
      <c r="AK90" s="52"/>
      <c r="AL90" s="52"/>
      <c r="AM90" s="52"/>
      <c r="AN90" s="52"/>
      <c r="AO90" s="52"/>
      <c r="AP90" s="52"/>
      <c r="AQ90" s="52"/>
      <c r="AR90" s="52"/>
      <c r="AS90" s="52"/>
      <c r="AT90" s="52"/>
      <c r="AU90" s="52"/>
      <c r="AV90" s="52"/>
      <c r="AW90" s="52"/>
      <c r="AX90" s="52"/>
      <c r="AY90" s="52"/>
      <c r="AZ90" s="52"/>
      <c r="BA90" s="52"/>
      <c r="BB90" s="52"/>
      <c r="BC90" s="52"/>
      <c r="BD90" s="52"/>
      <c r="BE90" s="52"/>
      <c r="BF90" s="52"/>
      <c r="BG90" s="52"/>
      <c r="BH90" s="52"/>
      <c r="BI90" s="52"/>
      <c r="BJ90" s="52"/>
      <c r="BK90" s="52"/>
      <c r="BL90" s="52"/>
      <c r="BM90" s="52"/>
    </row>
    <row r="91" spans="1:65" ht="15" customHeight="1" x14ac:dyDescent="0.3">
      <c r="A91" s="10" t="str">
        <f>IF(Job_Master!A91="","",Job_Master!A91)</f>
        <v/>
      </c>
      <c r="B91" s="10" t="str">
        <f>IF($A91="","",Job_Master!B91)</f>
        <v/>
      </c>
      <c r="C91" s="10" t="str">
        <f>IF($A91="","",Job_Master!C91)</f>
        <v/>
      </c>
      <c r="D91" s="10" t="str">
        <f>IF($A91="","",Job_Master!D91)</f>
        <v/>
      </c>
      <c r="E91" s="48" t="str">
        <f>IF($A91="","",IFERROR(INDEX(Machine_List!$B$4:$B$7,MATCH("*"&amp;$B91&amp;"*",Machine_List!$J$4:$J$7,0)),"NO COMPATIBLE MACHINE"))</f>
        <v/>
      </c>
      <c r="F91" s="106" t="str">
        <f>IF($E91="","",IFERROR(VLOOKUP($E91,Machine_List!$B:$G,6,0),""))</f>
        <v/>
      </c>
      <c r="G91" s="53" t="str">
        <f>IF($E91="","",IFERROR(VLOOKUP($E91,Machine_List!$B:$C,2,0),""))</f>
        <v/>
      </c>
      <c r="H91" s="10" t="str">
        <f>IF($E91="","",IFERROR(VLOOKUP($E91,Machine_List!$B:$D,3,0),""))</f>
        <v/>
      </c>
      <c r="I91" s="54"/>
      <c r="J91" s="55" t="str">
        <f ca="1">IF($A91="","",IF($I91&lt;&gt;"",$I91,MAX(GlobalStartDate,IFERROR(LOOKUP(2,1/($E$3:INDIRECT("E"&amp;(ROW()-1))=$E91),$M$3:INDIRECT("M"&amp;(ROW()-1))),GlobalStartDate))))</f>
        <v/>
      </c>
      <c r="K91" s="10" t="str">
        <f>IF($A91="","",IFERROR(VLOOKUP(B91,CHOOSE(MATCH(C91,Settings!$L$4:$L$10,0),OPR_2P!$A$4:$I$18,SEG_6P!$A$4:$I$18,SOL_4P!$A$4:$I$18,RW_2P!$A$4:$I$18,RW2_4P!$A$4:$I$18,FLAP_4P!$A$4:$I$18,TUBE_4P!$A$4:$I$18),1,0),0))</f>
        <v/>
      </c>
      <c r="L91" s="10" t="str">
        <f t="shared" si="3"/>
        <v/>
      </c>
      <c r="M91" s="55" t="str">
        <f>IF($A91="","",IF(AND(ISNUMBER(G91),G91&gt;=J91,G91&lt;=(J91+(L91/(IF(F91="Contract Workman",Settings!$K$5,Settings!$K$4))))),J91+(L91/(IF(F91="Contract Workman",Settings!$K$5,Settings!$K$4)))+(H91/(IF(F91="Contract Workman",Settings!$K$5,Settings!$K$4))),J91+(L91/(IF(F91="Contract Workman",Settings!$K$5,Settings!$K$4)))))</f>
        <v/>
      </c>
      <c r="N91" s="10" t="str">
        <f t="shared" si="4"/>
        <v/>
      </c>
      <c r="O91" s="51" t="str">
        <f>IF(B91="","", IF(IFERROR(ISNUMBER(SEARCH(B91, VLOOKUP(E91, Machine_List!$B:$J, 9, 0))), FALSE()), "✅ Machine OK", "❌ Sug: " &amp; IFERROR(INDEX(Machine_List!$B$4:$B$50, MATCH("*"&amp;B91&amp;"*", Machine_List!$J$4:$J$50, 0)), "Check Limits")))</f>
        <v/>
      </c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  <c r="AX91" s="52"/>
      <c r="AY91" s="52"/>
      <c r="AZ91" s="52"/>
      <c r="BA91" s="52"/>
      <c r="BB91" s="52"/>
      <c r="BC91" s="52"/>
      <c r="BD91" s="52"/>
      <c r="BE91" s="52"/>
      <c r="BF91" s="52"/>
      <c r="BG91" s="52"/>
      <c r="BH91" s="52"/>
      <c r="BI91" s="52"/>
      <c r="BJ91" s="52"/>
      <c r="BK91" s="52"/>
      <c r="BL91" s="52"/>
      <c r="BM91" s="52"/>
    </row>
    <row r="92" spans="1:65" ht="15" customHeight="1" x14ac:dyDescent="0.3">
      <c r="A92" s="10" t="str">
        <f>IF(Job_Master!A92="","",Job_Master!A92)</f>
        <v/>
      </c>
      <c r="B92" s="10" t="str">
        <f>IF($A92="","",Job_Master!B92)</f>
        <v/>
      </c>
      <c r="C92" s="10" t="str">
        <f>IF($A92="","",Job_Master!C92)</f>
        <v/>
      </c>
      <c r="D92" s="10" t="str">
        <f>IF($A92="","",Job_Master!D92)</f>
        <v/>
      </c>
      <c r="E92" s="48" t="str">
        <f>IF($A92="","",IFERROR(INDEX(Machine_List!$B$4:$B$7,MATCH("*"&amp;$B92&amp;"*",Machine_List!$J$4:$J$7,0)),"NO COMPATIBLE MACHINE"))</f>
        <v/>
      </c>
      <c r="F92" s="106" t="str">
        <f>IF($E92="","",IFERROR(VLOOKUP($E92,Machine_List!$B:$G,6,0),""))</f>
        <v/>
      </c>
      <c r="G92" s="53" t="str">
        <f>IF($E92="","",IFERROR(VLOOKUP($E92,Machine_List!$B:$C,2,0),""))</f>
        <v/>
      </c>
      <c r="H92" s="10" t="str">
        <f>IF($E92="","",IFERROR(VLOOKUP($E92,Machine_List!$B:$D,3,0),""))</f>
        <v/>
      </c>
      <c r="I92" s="54"/>
      <c r="J92" s="55" t="str">
        <f ca="1">IF($A92="","",IF($I92&lt;&gt;"",$I92,MAX(GlobalStartDate,IFERROR(LOOKUP(2,1/($E$3:INDIRECT("E"&amp;(ROW()-1))=$E92),$M$3:INDIRECT("M"&amp;(ROW()-1))),GlobalStartDate))))</f>
        <v/>
      </c>
      <c r="K92" s="10" t="str">
        <f>IF($A92="","",IFERROR(VLOOKUP(B92,CHOOSE(MATCH(C92,Settings!$L$4:$L$10,0),OPR_2P!$A$4:$I$18,SEG_6P!$A$4:$I$18,SOL_4P!$A$4:$I$18,RW_2P!$A$4:$I$18,RW2_4P!$A$4:$I$18,FLAP_4P!$A$4:$I$18,TUBE_4P!$A$4:$I$18),1,0),0))</f>
        <v/>
      </c>
      <c r="L92" s="10" t="str">
        <f t="shared" si="3"/>
        <v/>
      </c>
      <c r="M92" s="55" t="str">
        <f>IF($A92="","",IF(AND(ISNUMBER(G92),G92&gt;=J92,G92&lt;=(J92+(L92/(IF(F92="Contract Workman",Settings!$K$5,Settings!$K$4))))),J92+(L92/(IF(F92="Contract Workman",Settings!$K$5,Settings!$K$4)))+(H92/(IF(F92="Contract Workman",Settings!$K$5,Settings!$K$4))),J92+(L92/(IF(F92="Contract Workman",Settings!$K$5,Settings!$K$4)))))</f>
        <v/>
      </c>
      <c r="N92" s="10" t="str">
        <f t="shared" si="4"/>
        <v/>
      </c>
      <c r="O92" s="51" t="str">
        <f>IF(B92="","", IF(IFERROR(ISNUMBER(SEARCH(B92, VLOOKUP(E92, Machine_List!$B:$J, 9, 0))), FALSE()), "✅ Machine OK", "❌ Sug: " &amp; IFERROR(INDEX(Machine_List!$B$4:$B$50, MATCH("*"&amp;B92&amp;"*", Machine_List!$J$4:$J$50, 0)), "Check Limits")))</f>
        <v/>
      </c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  <c r="AX92" s="52"/>
      <c r="AY92" s="52"/>
      <c r="AZ92" s="52"/>
      <c r="BA92" s="52"/>
      <c r="BB92" s="52"/>
      <c r="BC92" s="52"/>
      <c r="BD92" s="52"/>
      <c r="BE92" s="52"/>
      <c r="BF92" s="52"/>
      <c r="BG92" s="52"/>
      <c r="BH92" s="52"/>
      <c r="BI92" s="52"/>
      <c r="BJ92" s="52"/>
      <c r="BK92" s="52"/>
      <c r="BL92" s="52"/>
      <c r="BM92" s="52"/>
    </row>
    <row r="93" spans="1:65" ht="15" customHeight="1" x14ac:dyDescent="0.3">
      <c r="A93" s="10" t="str">
        <f>IF(Job_Master!A93="","",Job_Master!A93)</f>
        <v/>
      </c>
      <c r="B93" s="10" t="str">
        <f>IF($A93="","",Job_Master!B93)</f>
        <v/>
      </c>
      <c r="C93" s="10" t="str">
        <f>IF($A93="","",Job_Master!C93)</f>
        <v/>
      </c>
      <c r="D93" s="10" t="str">
        <f>IF($A93="","",Job_Master!D93)</f>
        <v/>
      </c>
      <c r="E93" s="48" t="str">
        <f>IF($A93="","",IFERROR(INDEX(Machine_List!$B$4:$B$7,MATCH("*"&amp;$B93&amp;"*",Machine_List!$J$4:$J$7,0)),"NO COMPATIBLE MACHINE"))</f>
        <v/>
      </c>
      <c r="F93" s="106" t="str">
        <f>IF($E93="","",IFERROR(VLOOKUP($E93,Machine_List!$B:$G,6,0),""))</f>
        <v/>
      </c>
      <c r="G93" s="53" t="str">
        <f>IF($E93="","",IFERROR(VLOOKUP($E93,Machine_List!$B:$C,2,0),""))</f>
        <v/>
      </c>
      <c r="H93" s="10" t="str">
        <f>IF($E93="","",IFERROR(VLOOKUP($E93,Machine_List!$B:$D,3,0),""))</f>
        <v/>
      </c>
      <c r="I93" s="54"/>
      <c r="J93" s="55" t="str">
        <f ca="1">IF($A93="","",IF($I93&lt;&gt;"",$I93,MAX(GlobalStartDate,IFERROR(LOOKUP(2,1/($E$3:INDIRECT("E"&amp;(ROW()-1))=$E93),$M$3:INDIRECT("M"&amp;(ROW()-1))),GlobalStartDate))))</f>
        <v/>
      </c>
      <c r="K93" s="10" t="str">
        <f>IF($A93="","",IFERROR(VLOOKUP(B93,CHOOSE(MATCH(C93,Settings!$L$4:$L$10,0),OPR_2P!$A$4:$I$18,SEG_6P!$A$4:$I$18,SOL_4P!$A$4:$I$18,RW_2P!$A$4:$I$18,RW2_4P!$A$4:$I$18,FLAP_4P!$A$4:$I$18,TUBE_4P!$A$4:$I$18),1,0),0))</f>
        <v/>
      </c>
      <c r="L93" s="10" t="str">
        <f t="shared" si="3"/>
        <v/>
      </c>
      <c r="M93" s="55" t="str">
        <f>IF($A93="","",IF(AND(ISNUMBER(G93),G93&gt;=J93,G93&lt;=(J93+(L93/(IF(F93="Contract Workman",Settings!$K$5,Settings!$K$4))))),J93+(L93/(IF(F93="Contract Workman",Settings!$K$5,Settings!$K$4)))+(H93/(IF(F93="Contract Workman",Settings!$K$5,Settings!$K$4))),J93+(L93/(IF(F93="Contract Workman",Settings!$K$5,Settings!$K$4)))))</f>
        <v/>
      </c>
      <c r="N93" s="10" t="str">
        <f t="shared" si="4"/>
        <v/>
      </c>
      <c r="O93" s="51" t="str">
        <f>IF(B93="","", IF(IFERROR(ISNUMBER(SEARCH(B93, VLOOKUP(E93, Machine_List!$B:$J, 9, 0))), FALSE()), "✅ Machine OK", "❌ Sug: " &amp; IFERROR(INDEX(Machine_List!$B$4:$B$50, MATCH("*"&amp;B93&amp;"*", Machine_List!$J$4:$J$50, 0)), "Check Limits")))</f>
        <v/>
      </c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  <c r="AC93" s="52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  <c r="AX93" s="52"/>
      <c r="AY93" s="52"/>
      <c r="AZ93" s="52"/>
      <c r="BA93" s="52"/>
      <c r="BB93" s="52"/>
      <c r="BC93" s="52"/>
      <c r="BD93" s="52"/>
      <c r="BE93" s="52"/>
      <c r="BF93" s="52"/>
      <c r="BG93" s="52"/>
      <c r="BH93" s="52"/>
      <c r="BI93" s="52"/>
      <c r="BJ93" s="52"/>
      <c r="BK93" s="52"/>
      <c r="BL93" s="52"/>
      <c r="BM93" s="52"/>
    </row>
    <row r="94" spans="1:65" ht="15" customHeight="1" x14ac:dyDescent="0.3">
      <c r="A94" s="10" t="str">
        <f>IF(Job_Master!A94="","",Job_Master!A94)</f>
        <v/>
      </c>
      <c r="B94" s="10" t="str">
        <f>IF($A94="","",Job_Master!B94)</f>
        <v/>
      </c>
      <c r="C94" s="10" t="str">
        <f>IF($A94="","",Job_Master!C94)</f>
        <v/>
      </c>
      <c r="D94" s="10" t="str">
        <f>IF($A94="","",Job_Master!D94)</f>
        <v/>
      </c>
      <c r="E94" s="48" t="str">
        <f>IF($A94="","",IFERROR(INDEX(Machine_List!$B$4:$B$7,MATCH("*"&amp;$B94&amp;"*",Machine_List!$J$4:$J$7,0)),"NO COMPATIBLE MACHINE"))</f>
        <v/>
      </c>
      <c r="F94" s="106" t="str">
        <f>IF($E94="","",IFERROR(VLOOKUP($E94,Machine_List!$B:$G,6,0),""))</f>
        <v/>
      </c>
      <c r="G94" s="53" t="str">
        <f>IF($E94="","",IFERROR(VLOOKUP($E94,Machine_List!$B:$C,2,0),""))</f>
        <v/>
      </c>
      <c r="H94" s="10" t="str">
        <f>IF($E94="","",IFERROR(VLOOKUP($E94,Machine_List!$B:$D,3,0),""))</f>
        <v/>
      </c>
      <c r="I94" s="54"/>
      <c r="J94" s="55" t="str">
        <f ca="1">IF($A94="","",IF($I94&lt;&gt;"",$I94,MAX(GlobalStartDate,IFERROR(LOOKUP(2,1/($E$3:INDIRECT("E"&amp;(ROW()-1))=$E94),$M$3:INDIRECT("M"&amp;(ROW()-1))),GlobalStartDate))))</f>
        <v/>
      </c>
      <c r="K94" s="10" t="str">
        <f>IF($A94="","",IFERROR(VLOOKUP(B94,CHOOSE(MATCH(C94,Settings!$L$4:$L$10,0),OPR_2P!$A$4:$I$18,SEG_6P!$A$4:$I$18,SOL_4P!$A$4:$I$18,RW_2P!$A$4:$I$18,RW2_4P!$A$4:$I$18,FLAP_4P!$A$4:$I$18,TUBE_4P!$A$4:$I$18),1,0),0))</f>
        <v/>
      </c>
      <c r="L94" s="10" t="str">
        <f t="shared" si="3"/>
        <v/>
      </c>
      <c r="M94" s="55" t="str">
        <f>IF($A94="","",IF(AND(ISNUMBER(G94),G94&gt;=J94,G94&lt;=(J94+(L94/(IF(F94="Contract Workman",Settings!$K$5,Settings!$K$4))))),J94+(L94/(IF(F94="Contract Workman",Settings!$K$5,Settings!$K$4)))+(H94/(IF(F94="Contract Workman",Settings!$K$5,Settings!$K$4))),J94+(L94/(IF(F94="Contract Workman",Settings!$K$5,Settings!$K$4)))))</f>
        <v/>
      </c>
      <c r="N94" s="10" t="str">
        <f t="shared" si="4"/>
        <v/>
      </c>
      <c r="O94" s="51" t="str">
        <f>IF(B94="","", IF(IFERROR(ISNUMBER(SEARCH(B94, VLOOKUP(E94, Machine_List!$B:$J, 9, 0))), FALSE()), "✅ Machine OK", "❌ Sug: " &amp; IFERROR(INDEX(Machine_List!$B$4:$B$50, MATCH("*"&amp;B94&amp;"*", Machine_List!$J$4:$J$50, 0)), "Check Limits")))</f>
        <v/>
      </c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2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  <c r="AX94" s="52"/>
      <c r="AY94" s="52"/>
      <c r="AZ94" s="52"/>
      <c r="BA94" s="52"/>
      <c r="BB94" s="52"/>
      <c r="BC94" s="52"/>
      <c r="BD94" s="52"/>
      <c r="BE94" s="52"/>
      <c r="BF94" s="52"/>
      <c r="BG94" s="52"/>
      <c r="BH94" s="52"/>
      <c r="BI94" s="52"/>
      <c r="BJ94" s="52"/>
      <c r="BK94" s="52"/>
      <c r="BL94" s="52"/>
      <c r="BM94" s="52"/>
    </row>
    <row r="95" spans="1:65" ht="15" customHeight="1" x14ac:dyDescent="0.3">
      <c r="A95" s="10" t="str">
        <f>IF(Job_Master!A95="","",Job_Master!A95)</f>
        <v/>
      </c>
      <c r="B95" s="10" t="str">
        <f>IF($A95="","",Job_Master!B95)</f>
        <v/>
      </c>
      <c r="C95" s="10" t="str">
        <f>IF($A95="","",Job_Master!C95)</f>
        <v/>
      </c>
      <c r="D95" s="10" t="str">
        <f>IF($A95="","",Job_Master!D95)</f>
        <v/>
      </c>
      <c r="E95" s="48" t="str">
        <f>IF($A95="","",IFERROR(INDEX(Machine_List!$B$4:$B$7,MATCH("*"&amp;$B95&amp;"*",Machine_List!$J$4:$J$7,0)),"NO COMPATIBLE MACHINE"))</f>
        <v/>
      </c>
      <c r="F95" s="106" t="str">
        <f>IF($E95="","",IFERROR(VLOOKUP($E95,Machine_List!$B:$G,6,0),""))</f>
        <v/>
      </c>
      <c r="G95" s="53" t="str">
        <f>IF($E95="","",IFERROR(VLOOKUP($E95,Machine_List!$B:$C,2,0),""))</f>
        <v/>
      </c>
      <c r="H95" s="10" t="str">
        <f>IF($E95="","",IFERROR(VLOOKUP($E95,Machine_List!$B:$D,3,0),""))</f>
        <v/>
      </c>
      <c r="I95" s="54"/>
      <c r="J95" s="55" t="str">
        <f ca="1">IF($A95="","",IF($I95&lt;&gt;"",$I95,MAX(GlobalStartDate,IFERROR(LOOKUP(2,1/($E$3:INDIRECT("E"&amp;(ROW()-1))=$E95),$M$3:INDIRECT("M"&amp;(ROW()-1))),GlobalStartDate))))</f>
        <v/>
      </c>
      <c r="K95" s="10" t="str">
        <f>IF($A95="","",IFERROR(VLOOKUP(B95,CHOOSE(MATCH(C95,Settings!$L$4:$L$10,0),OPR_2P!$A$4:$I$18,SEG_6P!$A$4:$I$18,SOL_4P!$A$4:$I$18,RW_2P!$A$4:$I$18,RW2_4P!$A$4:$I$18,FLAP_4P!$A$4:$I$18,TUBE_4P!$A$4:$I$18),1,0),0))</f>
        <v/>
      </c>
      <c r="L95" s="10" t="str">
        <f t="shared" si="3"/>
        <v/>
      </c>
      <c r="M95" s="55" t="str">
        <f>IF($A95="","",IF(AND(ISNUMBER(G95),G95&gt;=J95,G95&lt;=(J95+(L95/(IF(F95="Contract Workman",Settings!$K$5,Settings!$K$4))))),J95+(L95/(IF(F95="Contract Workman",Settings!$K$5,Settings!$K$4)))+(H95/(IF(F95="Contract Workman",Settings!$K$5,Settings!$K$4))),J95+(L95/(IF(F95="Contract Workman",Settings!$K$5,Settings!$K$4)))))</f>
        <v/>
      </c>
      <c r="N95" s="10" t="str">
        <f t="shared" si="4"/>
        <v/>
      </c>
      <c r="O95" s="51" t="str">
        <f>IF(B95="","", IF(IFERROR(ISNUMBER(SEARCH(B95, VLOOKUP(E95, Machine_List!$B:$J, 9, 0))), FALSE()), "✅ Machine OK", "❌ Sug: " &amp; IFERROR(INDEX(Machine_List!$B$4:$B$50, MATCH("*"&amp;B95&amp;"*", Machine_List!$J$4:$J$50, 0)), "Check Limits")))</f>
        <v/>
      </c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  <c r="AC95" s="52"/>
      <c r="AD95" s="52"/>
      <c r="AE95" s="52"/>
      <c r="AF95" s="52"/>
      <c r="AG95" s="52"/>
      <c r="AH95" s="52"/>
      <c r="AI95" s="52"/>
      <c r="AJ95" s="52"/>
      <c r="AK95" s="52"/>
      <c r="AL95" s="52"/>
      <c r="AM95" s="52"/>
      <c r="AN95" s="52"/>
      <c r="AO95" s="52"/>
      <c r="AP95" s="52"/>
      <c r="AQ95" s="52"/>
      <c r="AR95" s="52"/>
      <c r="AS95" s="52"/>
      <c r="AT95" s="52"/>
      <c r="AU95" s="52"/>
      <c r="AV95" s="52"/>
      <c r="AW95" s="52"/>
      <c r="AX95" s="52"/>
      <c r="AY95" s="52"/>
      <c r="AZ95" s="52"/>
      <c r="BA95" s="52"/>
      <c r="BB95" s="52"/>
      <c r="BC95" s="52"/>
      <c r="BD95" s="52"/>
      <c r="BE95" s="52"/>
      <c r="BF95" s="52"/>
      <c r="BG95" s="52"/>
      <c r="BH95" s="52"/>
      <c r="BI95" s="52"/>
      <c r="BJ95" s="52"/>
      <c r="BK95" s="52"/>
      <c r="BL95" s="52"/>
      <c r="BM95" s="52"/>
    </row>
    <row r="96" spans="1:65" ht="15" customHeight="1" x14ac:dyDescent="0.3">
      <c r="A96" s="10" t="str">
        <f>IF(Job_Master!A96="","",Job_Master!A96)</f>
        <v/>
      </c>
      <c r="B96" s="10" t="str">
        <f>IF($A96="","",Job_Master!B96)</f>
        <v/>
      </c>
      <c r="C96" s="10" t="str">
        <f>IF($A96="","",Job_Master!C96)</f>
        <v/>
      </c>
      <c r="D96" s="10" t="str">
        <f>IF($A96="","",Job_Master!D96)</f>
        <v/>
      </c>
      <c r="E96" s="48" t="str">
        <f>IF($A96="","",IFERROR(INDEX(Machine_List!$B$4:$B$7,MATCH("*"&amp;$B96&amp;"*",Machine_List!$J$4:$J$7,0)),"NO COMPATIBLE MACHINE"))</f>
        <v/>
      </c>
      <c r="F96" s="106" t="str">
        <f>IF($E96="","",IFERROR(VLOOKUP($E96,Machine_List!$B:$G,6,0),""))</f>
        <v/>
      </c>
      <c r="G96" s="53" t="str">
        <f>IF($E96="","",IFERROR(VLOOKUP($E96,Machine_List!$B:$C,2,0),""))</f>
        <v/>
      </c>
      <c r="H96" s="10" t="str">
        <f>IF($E96="","",IFERROR(VLOOKUP($E96,Machine_List!$B:$D,3,0),""))</f>
        <v/>
      </c>
      <c r="I96" s="54"/>
      <c r="J96" s="55" t="str">
        <f ca="1">IF($A96="","",IF($I96&lt;&gt;"",$I96,MAX(GlobalStartDate,IFERROR(LOOKUP(2,1/($E$3:INDIRECT("E"&amp;(ROW()-1))=$E96),$M$3:INDIRECT("M"&amp;(ROW()-1))),GlobalStartDate))))</f>
        <v/>
      </c>
      <c r="K96" s="10" t="str">
        <f>IF($A96="","",IFERROR(VLOOKUP(B96,CHOOSE(MATCH(C96,Settings!$L$4:$L$10,0),OPR_2P!$A$4:$I$18,SEG_6P!$A$4:$I$18,SOL_4P!$A$4:$I$18,RW_2P!$A$4:$I$18,RW2_4P!$A$4:$I$18,FLAP_4P!$A$4:$I$18,TUBE_4P!$A$4:$I$18),1,0),0))</f>
        <v/>
      </c>
      <c r="L96" s="10" t="str">
        <f t="shared" si="3"/>
        <v/>
      </c>
      <c r="M96" s="55" t="str">
        <f>IF($A96="","",IF(AND(ISNUMBER(G96),G96&gt;=J96,G96&lt;=(J96+(L96/(IF(F96="Contract Workman",Settings!$K$5,Settings!$K$4))))),J96+(L96/(IF(F96="Contract Workman",Settings!$K$5,Settings!$K$4)))+(H96/(IF(F96="Contract Workman",Settings!$K$5,Settings!$K$4))),J96+(L96/(IF(F96="Contract Workman",Settings!$K$5,Settings!$K$4)))))</f>
        <v/>
      </c>
      <c r="N96" s="10" t="str">
        <f t="shared" si="4"/>
        <v/>
      </c>
      <c r="O96" s="51" t="str">
        <f>IF(B96="","", IF(IFERROR(ISNUMBER(SEARCH(B96, VLOOKUP(E96, Machine_List!$B:$J, 9, 0))), FALSE()), "✅ Machine OK", "❌ Sug: " &amp; IFERROR(INDEX(Machine_List!$B$4:$B$50, MATCH("*"&amp;B96&amp;"*", Machine_List!$J$4:$J$50, 0)), "Check Limits")))</f>
        <v/>
      </c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  <c r="AC96" s="52"/>
      <c r="AD96" s="52"/>
      <c r="AE96" s="52"/>
      <c r="AF96" s="52"/>
      <c r="AG96" s="52"/>
      <c r="AH96" s="52"/>
      <c r="AI96" s="52"/>
      <c r="AJ96" s="52"/>
      <c r="AK96" s="52"/>
      <c r="AL96" s="52"/>
      <c r="AM96" s="52"/>
      <c r="AN96" s="52"/>
      <c r="AO96" s="52"/>
      <c r="AP96" s="52"/>
      <c r="AQ96" s="52"/>
      <c r="AR96" s="52"/>
      <c r="AS96" s="52"/>
      <c r="AT96" s="52"/>
      <c r="AU96" s="52"/>
      <c r="AV96" s="52"/>
      <c r="AW96" s="52"/>
      <c r="AX96" s="52"/>
      <c r="AY96" s="52"/>
      <c r="AZ96" s="52"/>
      <c r="BA96" s="52"/>
      <c r="BB96" s="52"/>
      <c r="BC96" s="52"/>
      <c r="BD96" s="52"/>
      <c r="BE96" s="52"/>
      <c r="BF96" s="52"/>
      <c r="BG96" s="52"/>
      <c r="BH96" s="52"/>
      <c r="BI96" s="52"/>
      <c r="BJ96" s="52"/>
      <c r="BK96" s="52"/>
      <c r="BL96" s="52"/>
      <c r="BM96" s="52"/>
    </row>
    <row r="97" spans="1:65" ht="15" customHeight="1" x14ac:dyDescent="0.3">
      <c r="A97" s="10" t="str">
        <f>IF(Job_Master!A97="","",Job_Master!A97)</f>
        <v/>
      </c>
      <c r="B97" s="10" t="str">
        <f>IF($A97="","",Job_Master!B97)</f>
        <v/>
      </c>
      <c r="C97" s="10" t="str">
        <f>IF($A97="","",Job_Master!C97)</f>
        <v/>
      </c>
      <c r="D97" s="10" t="str">
        <f>IF($A97="","",Job_Master!D97)</f>
        <v/>
      </c>
      <c r="E97" s="48" t="str">
        <f>IF($A97="","",IFERROR(INDEX(Machine_List!$B$4:$B$7,MATCH("*"&amp;$B97&amp;"*",Machine_List!$J$4:$J$7,0)),"NO COMPATIBLE MACHINE"))</f>
        <v/>
      </c>
      <c r="F97" s="106" t="str">
        <f>IF($E97="","",IFERROR(VLOOKUP($E97,Machine_List!$B:$G,6,0),""))</f>
        <v/>
      </c>
      <c r="G97" s="53" t="str">
        <f>IF($E97="","",IFERROR(VLOOKUP($E97,Machine_List!$B:$C,2,0),""))</f>
        <v/>
      </c>
      <c r="H97" s="10" t="str">
        <f>IF($E97="","",IFERROR(VLOOKUP($E97,Machine_List!$B:$D,3,0),""))</f>
        <v/>
      </c>
      <c r="I97" s="54"/>
      <c r="J97" s="55" t="str">
        <f ca="1">IF($A97="","",IF($I97&lt;&gt;"",$I97,MAX(GlobalStartDate,IFERROR(LOOKUP(2,1/($E$3:INDIRECT("E"&amp;(ROW()-1))=$E97),$M$3:INDIRECT("M"&amp;(ROW()-1))),GlobalStartDate))))</f>
        <v/>
      </c>
      <c r="K97" s="10" t="str">
        <f>IF($A97="","",IFERROR(VLOOKUP(B97,CHOOSE(MATCH(C97,Settings!$L$4:$L$10,0),OPR_2P!$A$4:$I$18,SEG_6P!$A$4:$I$18,SOL_4P!$A$4:$I$18,RW_2P!$A$4:$I$18,RW2_4P!$A$4:$I$18,FLAP_4P!$A$4:$I$18,TUBE_4P!$A$4:$I$18),1,0),0))</f>
        <v/>
      </c>
      <c r="L97" s="10" t="str">
        <f t="shared" si="3"/>
        <v/>
      </c>
      <c r="M97" s="55" t="str">
        <f>IF($A97="","",IF(AND(ISNUMBER(G97),G97&gt;=J97,G97&lt;=(J97+(L97/(IF(F97="Contract Workman",Settings!$K$5,Settings!$K$4))))),J97+(L97/(IF(F97="Contract Workman",Settings!$K$5,Settings!$K$4)))+(H97/(IF(F97="Contract Workman",Settings!$K$5,Settings!$K$4))),J97+(L97/(IF(F97="Contract Workman",Settings!$K$5,Settings!$K$4)))))</f>
        <v/>
      </c>
      <c r="N97" s="10" t="str">
        <f t="shared" si="4"/>
        <v/>
      </c>
      <c r="O97" s="51" t="str">
        <f>IF(B97="","", IF(IFERROR(ISNUMBER(SEARCH(B97, VLOOKUP(E97, Machine_List!$B:$J, 9, 0))), FALSE()), "✅ Machine OK", "❌ Sug: " &amp; IFERROR(INDEX(Machine_List!$B$4:$B$50, MATCH("*"&amp;B97&amp;"*", Machine_List!$J$4:$J$50, 0)), "Check Limits")))</f>
        <v/>
      </c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  <c r="AE97" s="52"/>
      <c r="AF97" s="52"/>
      <c r="AG97" s="52"/>
      <c r="AH97" s="52"/>
      <c r="AI97" s="52"/>
      <c r="AJ97" s="52"/>
      <c r="AK97" s="52"/>
      <c r="AL97" s="52"/>
      <c r="AM97" s="52"/>
      <c r="AN97" s="52"/>
      <c r="AO97" s="52"/>
      <c r="AP97" s="52"/>
      <c r="AQ97" s="52"/>
      <c r="AR97" s="52"/>
      <c r="AS97" s="52"/>
      <c r="AT97" s="52"/>
      <c r="AU97" s="52"/>
      <c r="AV97" s="52"/>
      <c r="AW97" s="52"/>
      <c r="AX97" s="52"/>
      <c r="AY97" s="52"/>
      <c r="AZ97" s="52"/>
      <c r="BA97" s="52"/>
      <c r="BB97" s="52"/>
      <c r="BC97" s="52"/>
      <c r="BD97" s="52"/>
      <c r="BE97" s="52"/>
      <c r="BF97" s="52"/>
      <c r="BG97" s="52"/>
      <c r="BH97" s="52"/>
      <c r="BI97" s="52"/>
      <c r="BJ97" s="52"/>
      <c r="BK97" s="52"/>
      <c r="BL97" s="52"/>
      <c r="BM97" s="52"/>
    </row>
    <row r="98" spans="1:65" ht="15" customHeight="1" x14ac:dyDescent="0.3">
      <c r="A98" s="10" t="str">
        <f>IF(Job_Master!A98="","",Job_Master!A98)</f>
        <v/>
      </c>
      <c r="B98" s="10" t="str">
        <f>IF($A98="","",Job_Master!B98)</f>
        <v/>
      </c>
      <c r="C98" s="10" t="str">
        <f>IF($A98="","",Job_Master!C98)</f>
        <v/>
      </c>
      <c r="D98" s="10" t="str">
        <f>IF($A98="","",Job_Master!D98)</f>
        <v/>
      </c>
      <c r="E98" s="48" t="str">
        <f>IF($A98="","",IFERROR(INDEX(Machine_List!$B$4:$B$7,MATCH("*"&amp;$B98&amp;"*",Machine_List!$J$4:$J$7,0)),"NO COMPATIBLE MACHINE"))</f>
        <v/>
      </c>
      <c r="F98" s="106" t="str">
        <f>IF($E98="","",IFERROR(VLOOKUP($E98,Machine_List!$B:$G,6,0),""))</f>
        <v/>
      </c>
      <c r="G98" s="53" t="str">
        <f>IF($E98="","",IFERROR(VLOOKUP($E98,Machine_List!$B:$C,2,0),""))</f>
        <v/>
      </c>
      <c r="H98" s="10" t="str">
        <f>IF($E98="","",IFERROR(VLOOKUP($E98,Machine_List!$B:$D,3,0),""))</f>
        <v/>
      </c>
      <c r="I98" s="54"/>
      <c r="J98" s="55" t="str">
        <f ca="1">IF($A98="","",IF($I98&lt;&gt;"",$I98,MAX(GlobalStartDate,IFERROR(LOOKUP(2,1/($E$3:INDIRECT("E"&amp;(ROW()-1))=$E98),$M$3:INDIRECT("M"&amp;(ROW()-1))),GlobalStartDate))))</f>
        <v/>
      </c>
      <c r="K98" s="10" t="str">
        <f>IF($A98="","",IFERROR(VLOOKUP(B98,CHOOSE(MATCH(C98,Settings!$L$4:$L$10,0),OPR_2P!$A$4:$I$18,SEG_6P!$A$4:$I$18,SOL_4P!$A$4:$I$18,RW_2P!$A$4:$I$18,RW2_4P!$A$4:$I$18,FLAP_4P!$A$4:$I$18,TUBE_4P!$A$4:$I$18),1,0),0))</f>
        <v/>
      </c>
      <c r="L98" s="10" t="str">
        <f t="shared" si="3"/>
        <v/>
      </c>
      <c r="M98" s="55" t="str">
        <f>IF($A98="","",IF(AND(ISNUMBER(G98),G98&gt;=J98,G98&lt;=(J98+(L98/(IF(F98="Contract Workman",Settings!$K$5,Settings!$K$4))))),J98+(L98/(IF(F98="Contract Workman",Settings!$K$5,Settings!$K$4)))+(H98/(IF(F98="Contract Workman",Settings!$K$5,Settings!$K$4))),J98+(L98/(IF(F98="Contract Workman",Settings!$K$5,Settings!$K$4)))))</f>
        <v/>
      </c>
      <c r="N98" s="10" t="str">
        <f t="shared" si="4"/>
        <v/>
      </c>
      <c r="O98" s="51" t="str">
        <f>IF(B98="","", IF(IFERROR(ISNUMBER(SEARCH(B98, VLOOKUP(E98, Machine_List!$B:$J, 9, 0))), FALSE()), "✅ Machine OK", "❌ Sug: " &amp; IFERROR(INDEX(Machine_List!$B$4:$B$50, MATCH("*"&amp;B98&amp;"*", Machine_List!$J$4:$J$50, 0)), "Check Limits")))</f>
        <v/>
      </c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52"/>
      <c r="AN98" s="52"/>
      <c r="AO98" s="52"/>
      <c r="AP98" s="52"/>
      <c r="AQ98" s="52"/>
      <c r="AR98" s="52"/>
      <c r="AS98" s="52"/>
      <c r="AT98" s="52"/>
      <c r="AU98" s="52"/>
      <c r="AV98" s="52"/>
      <c r="AW98" s="52"/>
      <c r="AX98" s="52"/>
      <c r="AY98" s="52"/>
      <c r="AZ98" s="52"/>
      <c r="BA98" s="52"/>
      <c r="BB98" s="52"/>
      <c r="BC98" s="52"/>
      <c r="BD98" s="52"/>
      <c r="BE98" s="52"/>
      <c r="BF98" s="52"/>
      <c r="BG98" s="52"/>
      <c r="BH98" s="52"/>
      <c r="BI98" s="52"/>
      <c r="BJ98" s="52"/>
      <c r="BK98" s="52"/>
      <c r="BL98" s="52"/>
      <c r="BM98" s="52"/>
    </row>
    <row r="99" spans="1:65" ht="15" customHeight="1" x14ac:dyDescent="0.3">
      <c r="A99" s="10" t="str">
        <f>IF(Job_Master!A99="","",Job_Master!A99)</f>
        <v/>
      </c>
      <c r="B99" s="10" t="str">
        <f>IF($A99="","",Job_Master!B99)</f>
        <v/>
      </c>
      <c r="C99" s="10" t="str">
        <f>IF($A99="","",Job_Master!C99)</f>
        <v/>
      </c>
      <c r="D99" s="10" t="str">
        <f>IF($A99="","",Job_Master!D99)</f>
        <v/>
      </c>
      <c r="E99" s="48" t="str">
        <f>IF($A99="","",IFERROR(INDEX(Machine_List!$B$4:$B$7,MATCH("*"&amp;$B99&amp;"*",Machine_List!$J$4:$J$7,0)),"NO COMPATIBLE MACHINE"))</f>
        <v/>
      </c>
      <c r="F99" s="106" t="str">
        <f>IF($E99="","",IFERROR(VLOOKUP($E99,Machine_List!$B:$G,6,0),""))</f>
        <v/>
      </c>
      <c r="G99" s="53" t="str">
        <f>IF($E99="","",IFERROR(VLOOKUP($E99,Machine_List!$B:$C,2,0),""))</f>
        <v/>
      </c>
      <c r="H99" s="10" t="str">
        <f>IF($E99="","",IFERROR(VLOOKUP($E99,Machine_List!$B:$D,3,0),""))</f>
        <v/>
      </c>
      <c r="I99" s="54"/>
      <c r="J99" s="55" t="str">
        <f ca="1">IF($A99="","",IF($I99&lt;&gt;"",$I99,MAX(GlobalStartDate,IFERROR(LOOKUP(2,1/($E$3:INDIRECT("E"&amp;(ROW()-1))=$E99),$M$3:INDIRECT("M"&amp;(ROW()-1))),GlobalStartDate))))</f>
        <v/>
      </c>
      <c r="K99" s="10" t="str">
        <f>IF($A99="","",IFERROR(VLOOKUP(B99,CHOOSE(MATCH(C99,Settings!$L$4:$L$10,0),OPR_2P!$A$4:$I$18,SEG_6P!$A$4:$I$18,SOL_4P!$A$4:$I$18,RW_2P!$A$4:$I$18,RW2_4P!$A$4:$I$18,FLAP_4P!$A$4:$I$18,TUBE_4P!$A$4:$I$18),1,0),0))</f>
        <v/>
      </c>
      <c r="L99" s="10" t="str">
        <f t="shared" si="3"/>
        <v/>
      </c>
      <c r="M99" s="55" t="str">
        <f>IF($A99="","",IF(AND(ISNUMBER(G99),G99&gt;=J99,G99&lt;=(J99+(L99/(IF(F99="Contract Workman",Settings!$K$5,Settings!$K$4))))),J99+(L99/(IF(F99="Contract Workman",Settings!$K$5,Settings!$K$4)))+(H99/(IF(F99="Contract Workman",Settings!$K$5,Settings!$K$4))),J99+(L99/(IF(F99="Contract Workman",Settings!$K$5,Settings!$K$4)))))</f>
        <v/>
      </c>
      <c r="N99" s="10" t="str">
        <f t="shared" si="4"/>
        <v/>
      </c>
      <c r="O99" s="51" t="str">
        <f>IF(B99="","", IF(IFERROR(ISNUMBER(SEARCH(B99, VLOOKUP(E99, Machine_List!$B:$J, 9, 0))), FALSE()), "✅ Machine OK", "❌ Sug: " &amp; IFERROR(INDEX(Machine_List!$B$4:$B$50, MATCH("*"&amp;B99&amp;"*", Machine_List!$J$4:$J$50, 0)), "Check Limits")))</f>
        <v/>
      </c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  <c r="AE99" s="52"/>
      <c r="AF99" s="52"/>
      <c r="AG99" s="52"/>
      <c r="AH99" s="52"/>
      <c r="AI99" s="52"/>
      <c r="AJ99" s="52"/>
      <c r="AK99" s="52"/>
      <c r="AL99" s="52"/>
      <c r="AM99" s="52"/>
      <c r="AN99" s="52"/>
      <c r="AO99" s="52"/>
      <c r="AP99" s="52"/>
      <c r="AQ99" s="52"/>
      <c r="AR99" s="52"/>
      <c r="AS99" s="52"/>
      <c r="AT99" s="52"/>
      <c r="AU99" s="52"/>
      <c r="AV99" s="52"/>
      <c r="AW99" s="52"/>
      <c r="AX99" s="52"/>
      <c r="AY99" s="52"/>
      <c r="AZ99" s="52"/>
      <c r="BA99" s="52"/>
      <c r="BB99" s="52"/>
      <c r="BC99" s="52"/>
      <c r="BD99" s="52"/>
      <c r="BE99" s="52"/>
      <c r="BF99" s="52"/>
      <c r="BG99" s="52"/>
      <c r="BH99" s="52"/>
      <c r="BI99" s="52"/>
      <c r="BJ99" s="52"/>
      <c r="BK99" s="52"/>
      <c r="BL99" s="52"/>
      <c r="BM99" s="52"/>
    </row>
    <row r="100" spans="1:65" ht="15" customHeight="1" x14ac:dyDescent="0.3">
      <c r="A100" s="10" t="str">
        <f>IF(Job_Master!A100="","",Job_Master!A100)</f>
        <v/>
      </c>
      <c r="B100" s="10" t="str">
        <f>IF($A100="","",Job_Master!B100)</f>
        <v/>
      </c>
      <c r="C100" s="10" t="str">
        <f>IF($A100="","",Job_Master!C100)</f>
        <v/>
      </c>
      <c r="D100" s="10" t="str">
        <f>IF($A100="","",Job_Master!D100)</f>
        <v/>
      </c>
      <c r="E100" s="48" t="str">
        <f>IF($A100="","",IFERROR(INDEX(Machine_List!$B$4:$B$7,MATCH("*"&amp;$B100&amp;"*",Machine_List!$J$4:$J$7,0)),"NO COMPATIBLE MACHINE"))</f>
        <v/>
      </c>
      <c r="F100" s="106" t="str">
        <f>IF($E100="","",IFERROR(VLOOKUP($E100,Machine_List!$B:$G,6,0),""))</f>
        <v/>
      </c>
      <c r="G100" s="53" t="str">
        <f>IF($E100="","",IFERROR(VLOOKUP($E100,Machine_List!$B:$C,2,0),""))</f>
        <v/>
      </c>
      <c r="H100" s="10" t="str">
        <f>IF($E100="","",IFERROR(VLOOKUP($E100,Machine_List!$B:$D,3,0),""))</f>
        <v/>
      </c>
      <c r="I100" s="58"/>
      <c r="J100" s="55" t="str">
        <f ca="1">IF($A100="","",IF($I100&lt;&gt;"",$I100,MAX(GlobalStartDate,IFERROR(LOOKUP(2,1/($E$3:INDIRECT("E"&amp;(ROW()-1))=$E100),$M$3:INDIRECT("M"&amp;(ROW()-1))),GlobalStartDate))))</f>
        <v/>
      </c>
      <c r="K100" s="10" t="str">
        <f>IF($A100="","",IFERROR(VLOOKUP(B100,CHOOSE(MATCH(C100,Settings!$L$4:$L$10,0),OPR_2P!$A$4:$I$18,SEG_6P!$A$4:$I$18,SOL_4P!$A$4:$I$18,RW_2P!$A$4:$I$18,RW2_4P!$A$4:$I$18,FLAP_4P!$A$4:$I$18,TUBE_4P!$A$4:$I$18),1,0),0))</f>
        <v/>
      </c>
      <c r="L100" s="10" t="str">
        <f t="shared" si="3"/>
        <v/>
      </c>
      <c r="M100" s="55" t="str">
        <f>IF($A100="","",IF(AND(ISNUMBER(G100),G100&gt;=J100,G100&lt;=(J100+(L100/(IF(F100="Contract Workman",Settings!$K$5,Settings!$K$4))))),J100+(L100/(IF(F100="Contract Workman",Settings!$K$5,Settings!$K$4)))+(H100/(IF(F100="Contract Workman",Settings!$K$5,Settings!$K$4))),J100+(L100/(IF(F100="Contract Workman",Settings!$K$5,Settings!$K$4)))))</f>
        <v/>
      </c>
      <c r="N100" s="10" t="str">
        <f t="shared" ref="N100:N131" si="5">IF($A100="","",IF(F100="Contract Workman",IF(AND(MOD(M100,1)&gt;=8/24,MOD(M100,1)&lt;20/24),"Shift S1","Shift S2"),IF(AND(MOD(M100,1)&gt;=7/24,MOD(M100,1)&lt;15/24),"Shift A",IF(AND(MOD(M100,1)&gt;=15/24,MOD(M100,1)&lt;23/24),"Shift B","Shift C"))))</f>
        <v/>
      </c>
      <c r="O100" s="51" t="str">
        <f>IF(B100="","", IF(IFERROR(ISNUMBER(SEARCH(B100, VLOOKUP(E100, Machine_List!$B:$J, 9, 0))), FALSE()), "✅ Machine OK", "❌ Sug: " &amp; IFERROR(INDEX(Machine_List!$B$4:$B$50, MATCH("*"&amp;B100&amp;"*", Machine_List!$J$4:$J$50, 0)), "Check Limits")))</f>
        <v/>
      </c>
    </row>
    <row r="101" spans="1:65" ht="15" customHeight="1" x14ac:dyDescent="0.3">
      <c r="A101" s="10" t="str">
        <f>IF(Job_Master!A101="","",Job_Master!A101)</f>
        <v/>
      </c>
      <c r="B101" s="10" t="str">
        <f>IF($A101="","",Job_Master!B101)</f>
        <v/>
      </c>
      <c r="C101" s="10" t="str">
        <f>IF($A101="","",Job_Master!C101)</f>
        <v/>
      </c>
      <c r="D101" s="10" t="str">
        <f>IF($A101="","",Job_Master!D101)</f>
        <v/>
      </c>
      <c r="E101" s="48" t="str">
        <f>IF($A101="","",IFERROR(INDEX(Machine_List!$B$4:$B$7,MATCH("*"&amp;$B101&amp;"*",Machine_List!$J$4:$J$7,0)),"NO COMPATIBLE MACHINE"))</f>
        <v/>
      </c>
      <c r="F101" s="106" t="str">
        <f>IF($E101="","",IFERROR(VLOOKUP($E101,Machine_List!$B:$G,6,0),""))</f>
        <v/>
      </c>
      <c r="G101" s="53" t="str">
        <f>IF($E101="","",IFERROR(VLOOKUP($E101,Machine_List!$B:$C,2,0),""))</f>
        <v/>
      </c>
      <c r="H101" s="10" t="str">
        <f>IF($E101="","",IFERROR(VLOOKUP($E101,Machine_List!$B:$D,3,0),""))</f>
        <v/>
      </c>
      <c r="J101" s="55" t="str">
        <f ca="1">IF($A101="","",IF($I101&lt;&gt;"",$I101,MAX(GlobalStartDate,IFERROR(LOOKUP(2,1/($E$3:INDIRECT("E"&amp;(ROW()-1))=$E101),$M$3:INDIRECT("M"&amp;(ROW()-1))),GlobalStartDate))))</f>
        <v/>
      </c>
      <c r="K101" s="10" t="str">
        <f>IF($A101="","",IFERROR(VLOOKUP(B101,CHOOSE(MATCH(C101,Settings!$L$4:$L$10,0),OPR_2P!$A$4:$I$18,SEG_6P!$A$4:$I$18,SOL_4P!$A$4:$I$18,RW_2P!$A$4:$I$18,RW2_4P!$A$4:$I$18,FLAP_4P!$A$4:$I$18,TUBE_4P!$A$4:$I$18),1,0),0))</f>
        <v/>
      </c>
      <c r="L101" s="10" t="str">
        <f t="shared" si="3"/>
        <v/>
      </c>
      <c r="M101" s="55" t="str">
        <f>IF($A101="","",IF(AND(ISNUMBER(G101),G101&gt;=J101,G101&lt;=(J101+(L101/(IF(F101="Contract Workman",Settings!$K$5,Settings!$K$4))))),J101+(L101/(IF(F101="Contract Workman",Settings!$K$5,Settings!$K$4)))+(H101/(IF(F101="Contract Workman",Settings!$K$5,Settings!$K$4))),J101+(L101/(IF(F101="Contract Workman",Settings!$K$5,Settings!$K$4)))))</f>
        <v/>
      </c>
      <c r="N101" s="10" t="str">
        <f t="shared" si="5"/>
        <v/>
      </c>
      <c r="O101" s="51"/>
    </row>
    <row r="102" spans="1:65" ht="15" customHeight="1" x14ac:dyDescent="0.3">
      <c r="A102" s="10" t="str">
        <f>IF(Job_Master!A102="","",Job_Master!A102)</f>
        <v/>
      </c>
      <c r="B102" s="10" t="str">
        <f>IF($A102="","",Job_Master!B102)</f>
        <v/>
      </c>
      <c r="C102" s="10" t="str">
        <f>IF($A102="","",Job_Master!C102)</f>
        <v/>
      </c>
      <c r="D102" s="10" t="str">
        <f>IF($A102="","",Job_Master!D102)</f>
        <v/>
      </c>
      <c r="E102" s="48" t="str">
        <f>IF($A102="","",IFERROR(INDEX(Machine_List!$B$4:$B$7,MATCH("*"&amp;$B102&amp;"*",Machine_List!$J$4:$J$7,0)),"NO COMPATIBLE MACHINE"))</f>
        <v/>
      </c>
      <c r="F102" s="106" t="str">
        <f>IF($E102="","",IFERROR(VLOOKUP($E102,Machine_List!$B:$G,6,0),""))</f>
        <v/>
      </c>
      <c r="G102" s="53" t="str">
        <f>IF($E102="","",IFERROR(VLOOKUP($E102,Machine_List!$B:$C,2,0),""))</f>
        <v/>
      </c>
      <c r="H102" s="10" t="str">
        <f>IF($E102="","",IFERROR(VLOOKUP($E102,Machine_List!$B:$D,3,0),""))</f>
        <v/>
      </c>
      <c r="J102" s="55" t="str">
        <f ca="1">IF($A102="","",IF($I102&lt;&gt;"",$I102,MAX(GlobalStartDate,IFERROR(LOOKUP(2,1/($E$3:INDIRECT("E"&amp;(ROW()-1))=$E102),$M$3:INDIRECT("M"&amp;(ROW()-1))),GlobalStartDate))))</f>
        <v/>
      </c>
      <c r="K102" s="10" t="str">
        <f>IF($A102="","",IFERROR(VLOOKUP(B102,CHOOSE(MATCH(C102,Settings!$L$4:$L$10,0),OPR_2P!$A$4:$I$18,SEG_6P!$A$4:$I$18,SOL_4P!$A$4:$I$18,RW_2P!$A$4:$I$18,RW2_4P!$A$4:$I$18,FLAP_4P!$A$4:$I$18,TUBE_4P!$A$4:$I$18),1,0),0))</f>
        <v/>
      </c>
      <c r="L102" s="10" t="str">
        <f t="shared" si="3"/>
        <v/>
      </c>
      <c r="M102" s="55" t="str">
        <f>IF($A102="","",IF(AND(ISNUMBER(G102),G102&gt;=J102,G102&lt;=(J102+(L102/(IF(F102="Contract Workman",Settings!$K$5,Settings!$K$4))))),J102+(L102/(IF(F102="Contract Workman",Settings!$K$5,Settings!$K$4)))+(H102/(IF(F102="Contract Workman",Settings!$K$5,Settings!$K$4))),J102+(L102/(IF(F102="Contract Workman",Settings!$K$5,Settings!$K$4)))))</f>
        <v/>
      </c>
      <c r="N102" s="10" t="str">
        <f t="shared" si="5"/>
        <v/>
      </c>
      <c r="O102" s="51"/>
    </row>
    <row r="103" spans="1:65" ht="15" customHeight="1" x14ac:dyDescent="0.3">
      <c r="A103" s="10" t="str">
        <f>IF(Job_Master!A103="","",Job_Master!A103)</f>
        <v/>
      </c>
      <c r="B103" s="10" t="str">
        <f>IF($A103="","",Job_Master!B103)</f>
        <v/>
      </c>
      <c r="C103" s="10" t="str">
        <f>IF($A103="","",Job_Master!C103)</f>
        <v/>
      </c>
      <c r="D103" s="10" t="str">
        <f>IF($A103="","",Job_Master!D103)</f>
        <v/>
      </c>
      <c r="E103" s="48" t="str">
        <f>IF($A103="","",IFERROR(INDEX(Machine_List!$B$4:$B$7,MATCH("*"&amp;$B103&amp;"*",Machine_List!$J$4:$J$7,0)),"NO COMPATIBLE MACHINE"))</f>
        <v/>
      </c>
      <c r="F103" s="106" t="str">
        <f>IF($E103="","",IFERROR(VLOOKUP($E103,Machine_List!$B:$G,6,0),""))</f>
        <v/>
      </c>
      <c r="G103" s="53" t="str">
        <f>IF($E103="","",IFERROR(VLOOKUP($E103,Machine_List!$B:$C,2,0),""))</f>
        <v/>
      </c>
      <c r="H103" s="10" t="str">
        <f>IF($E103="","",IFERROR(VLOOKUP($E103,Machine_List!$B:$D,3,0),""))</f>
        <v/>
      </c>
      <c r="J103" s="55" t="str">
        <f ca="1">IF($A103="","",IF($I103&lt;&gt;"",$I103,MAX(GlobalStartDate,IFERROR(LOOKUP(2,1/($E$3:INDIRECT("E"&amp;(ROW()-1))=$E103),$M$3:INDIRECT("M"&amp;(ROW()-1))),GlobalStartDate))))</f>
        <v/>
      </c>
      <c r="K103" s="10" t="str">
        <f>IF($A103="","",IFERROR(VLOOKUP(B103,CHOOSE(MATCH(C103,Settings!$L$4:$L$10,0),OPR_2P!$A$4:$I$18,SEG_6P!$A$4:$I$18,SOL_4P!$A$4:$I$18,RW_2P!$A$4:$I$18,RW2_4P!$A$4:$I$18,FLAP_4P!$A$4:$I$18,TUBE_4P!$A$4:$I$18),1,0),0))</f>
        <v/>
      </c>
      <c r="L103" s="10" t="str">
        <f t="shared" si="3"/>
        <v/>
      </c>
      <c r="M103" s="55" t="str">
        <f>IF($A103="","",IF(AND(ISNUMBER(G103),G103&gt;=J103,G103&lt;=(J103+(L103/(IF(F103="Contract Workman",Settings!$K$5,Settings!$K$4))))),J103+(L103/(IF(F103="Contract Workman",Settings!$K$5,Settings!$K$4)))+(H103/(IF(F103="Contract Workman",Settings!$K$5,Settings!$K$4))),J103+(L103/(IF(F103="Contract Workman",Settings!$K$5,Settings!$K$4)))))</f>
        <v/>
      </c>
      <c r="N103" s="10" t="str">
        <f t="shared" si="5"/>
        <v/>
      </c>
      <c r="O103" s="51"/>
    </row>
    <row r="104" spans="1:65" ht="15" customHeight="1" x14ac:dyDescent="0.3">
      <c r="L104" t="str">
        <f t="shared" si="3"/>
        <v/>
      </c>
      <c r="O104" s="51"/>
    </row>
    <row r="105" spans="1:65" ht="15" customHeight="1" x14ac:dyDescent="0.3">
      <c r="L105" t="str">
        <f t="shared" si="3"/>
        <v/>
      </c>
      <c r="O105" s="51"/>
    </row>
    <row r="106" spans="1:65" ht="15" customHeight="1" x14ac:dyDescent="0.3">
      <c r="L106" t="str">
        <f t="shared" si="3"/>
        <v/>
      </c>
      <c r="O106" s="51"/>
    </row>
    <row r="107" spans="1:65" ht="15" customHeight="1" x14ac:dyDescent="0.3">
      <c r="L107" t="str">
        <f t="shared" si="3"/>
        <v/>
      </c>
      <c r="O107" s="51"/>
    </row>
    <row r="108" spans="1:65" ht="15" customHeight="1" x14ac:dyDescent="0.3">
      <c r="L108" t="str">
        <f t="shared" si="3"/>
        <v/>
      </c>
      <c r="O108" s="51"/>
    </row>
    <row r="109" spans="1:65" ht="15" customHeight="1" x14ac:dyDescent="0.3">
      <c r="L109" t="str">
        <f t="shared" si="3"/>
        <v/>
      </c>
      <c r="O109" s="51"/>
    </row>
    <row r="110" spans="1:65" ht="15" customHeight="1" x14ac:dyDescent="0.3">
      <c r="L110" t="str">
        <f t="shared" si="3"/>
        <v/>
      </c>
      <c r="O110" s="51"/>
    </row>
    <row r="111" spans="1:65" ht="15" customHeight="1" x14ac:dyDescent="0.3">
      <c r="L111" t="str">
        <f t="shared" si="3"/>
        <v/>
      </c>
      <c r="O111" s="51"/>
    </row>
    <row r="112" spans="1:65" ht="15" customHeight="1" x14ac:dyDescent="0.3">
      <c r="L112" t="str">
        <f t="shared" si="3"/>
        <v/>
      </c>
      <c r="O112" s="51"/>
    </row>
    <row r="113" spans="12:15" ht="15" customHeight="1" x14ac:dyDescent="0.3">
      <c r="L113" t="str">
        <f t="shared" si="3"/>
        <v/>
      </c>
      <c r="O113" s="51"/>
    </row>
    <row r="114" spans="12:15" ht="15" customHeight="1" x14ac:dyDescent="0.3">
      <c r="L114" t="str">
        <f t="shared" si="3"/>
        <v/>
      </c>
      <c r="O114" s="51"/>
    </row>
    <row r="115" spans="12:15" ht="15" customHeight="1" x14ac:dyDescent="0.3">
      <c r="L115" t="str">
        <f t="shared" si="3"/>
        <v/>
      </c>
      <c r="O115" s="51"/>
    </row>
    <row r="116" spans="12:15" ht="15" customHeight="1" x14ac:dyDescent="0.3">
      <c r="L116" t="str">
        <f t="shared" si="3"/>
        <v/>
      </c>
      <c r="O116" s="51"/>
    </row>
    <row r="117" spans="12:15" ht="15" customHeight="1" x14ac:dyDescent="0.3">
      <c r="L117" t="str">
        <f t="shared" si="3"/>
        <v/>
      </c>
      <c r="O117" s="51"/>
    </row>
    <row r="118" spans="12:15" ht="15" customHeight="1" x14ac:dyDescent="0.3">
      <c r="L118" t="str">
        <f t="shared" si="3"/>
        <v/>
      </c>
      <c r="O118" s="51"/>
    </row>
    <row r="119" spans="12:15" ht="15" customHeight="1" x14ac:dyDescent="0.3">
      <c r="L119" t="str">
        <f t="shared" si="3"/>
        <v/>
      </c>
      <c r="O119" s="51"/>
    </row>
    <row r="120" spans="12:15" ht="15" customHeight="1" x14ac:dyDescent="0.3">
      <c r="L120" t="str">
        <f t="shared" si="3"/>
        <v/>
      </c>
      <c r="O120" s="51"/>
    </row>
    <row r="121" spans="12:15" ht="15" customHeight="1" x14ac:dyDescent="0.3">
      <c r="L121" t="str">
        <f t="shared" si="3"/>
        <v/>
      </c>
      <c r="O121" s="51"/>
    </row>
    <row r="122" spans="12:15" ht="15" customHeight="1" x14ac:dyDescent="0.3">
      <c r="L122" t="str">
        <f t="shared" si="3"/>
        <v/>
      </c>
      <c r="O122" s="51"/>
    </row>
    <row r="123" spans="12:15" ht="15" customHeight="1" x14ac:dyDescent="0.3">
      <c r="L123" t="str">
        <f t="shared" si="3"/>
        <v/>
      </c>
      <c r="O123" s="51"/>
    </row>
    <row r="124" spans="12:15" ht="15" customHeight="1" x14ac:dyDescent="0.3">
      <c r="L124" t="str">
        <f t="shared" si="3"/>
        <v/>
      </c>
      <c r="O124" s="51"/>
    </row>
    <row r="125" spans="12:15" ht="15" customHeight="1" x14ac:dyDescent="0.3">
      <c r="L125" t="str">
        <f t="shared" si="3"/>
        <v/>
      </c>
      <c r="O125" s="51"/>
    </row>
    <row r="126" spans="12:15" ht="15" customHeight="1" x14ac:dyDescent="0.3">
      <c r="L126" t="str">
        <f t="shared" si="3"/>
        <v/>
      </c>
      <c r="O126" s="51"/>
    </row>
    <row r="127" spans="12:15" ht="15" customHeight="1" x14ac:dyDescent="0.3">
      <c r="L127" t="str">
        <f t="shared" si="3"/>
        <v/>
      </c>
      <c r="O127" s="51"/>
    </row>
    <row r="128" spans="12:15" ht="15" customHeight="1" x14ac:dyDescent="0.3">
      <c r="L128" t="str">
        <f t="shared" si="3"/>
        <v/>
      </c>
      <c r="O128" s="51"/>
    </row>
    <row r="129" spans="12:15" ht="15" customHeight="1" x14ac:dyDescent="0.3">
      <c r="L129" t="str">
        <f t="shared" si="3"/>
        <v/>
      </c>
      <c r="O129" s="51"/>
    </row>
    <row r="130" spans="12:15" ht="15" customHeight="1" x14ac:dyDescent="0.3">
      <c r="L130" t="str">
        <f t="shared" si="3"/>
        <v/>
      </c>
      <c r="O130" s="51"/>
    </row>
    <row r="131" spans="12:15" ht="15" customHeight="1" x14ac:dyDescent="0.3">
      <c r="L131" t="str">
        <f t="shared" si="3"/>
        <v/>
      </c>
      <c r="O131" s="51"/>
    </row>
    <row r="132" spans="12:15" ht="15" customHeight="1" x14ac:dyDescent="0.3">
      <c r="L132" t="str">
        <f t="shared" ref="L132:L195" si="6">IF($A132="","",K132*D132)</f>
        <v/>
      </c>
      <c r="O132" s="51"/>
    </row>
    <row r="133" spans="12:15" ht="15" customHeight="1" x14ac:dyDescent="0.3">
      <c r="L133" t="str">
        <f t="shared" si="6"/>
        <v/>
      </c>
      <c r="O133" s="51"/>
    </row>
    <row r="134" spans="12:15" ht="15" customHeight="1" x14ac:dyDescent="0.3">
      <c r="L134" t="str">
        <f t="shared" si="6"/>
        <v/>
      </c>
      <c r="O134" s="51"/>
    </row>
    <row r="135" spans="12:15" ht="15" customHeight="1" x14ac:dyDescent="0.3">
      <c r="L135" t="str">
        <f t="shared" si="6"/>
        <v/>
      </c>
      <c r="O135" s="51"/>
    </row>
    <row r="136" spans="12:15" ht="15" customHeight="1" x14ac:dyDescent="0.3">
      <c r="L136" t="str">
        <f t="shared" si="6"/>
        <v/>
      </c>
      <c r="O136" s="51"/>
    </row>
    <row r="137" spans="12:15" ht="15" customHeight="1" x14ac:dyDescent="0.3">
      <c r="L137" t="str">
        <f t="shared" si="6"/>
        <v/>
      </c>
      <c r="O137" s="51"/>
    </row>
    <row r="138" spans="12:15" ht="15" customHeight="1" x14ac:dyDescent="0.3">
      <c r="L138" t="str">
        <f t="shared" si="6"/>
        <v/>
      </c>
      <c r="O138" s="51"/>
    </row>
    <row r="139" spans="12:15" ht="15" customHeight="1" x14ac:dyDescent="0.3">
      <c r="L139" t="str">
        <f t="shared" si="6"/>
        <v/>
      </c>
      <c r="O139" s="51"/>
    </row>
    <row r="140" spans="12:15" ht="15" customHeight="1" x14ac:dyDescent="0.3">
      <c r="L140" t="str">
        <f t="shared" si="6"/>
        <v/>
      </c>
      <c r="O140" s="51"/>
    </row>
    <row r="141" spans="12:15" ht="15" customHeight="1" x14ac:dyDescent="0.3">
      <c r="L141" t="str">
        <f t="shared" si="6"/>
        <v/>
      </c>
      <c r="O141" s="51"/>
    </row>
    <row r="142" spans="12:15" ht="15" customHeight="1" x14ac:dyDescent="0.3">
      <c r="L142" t="str">
        <f t="shared" si="6"/>
        <v/>
      </c>
      <c r="O142" s="51"/>
    </row>
    <row r="143" spans="12:15" ht="15" customHeight="1" x14ac:dyDescent="0.3">
      <c r="L143" t="str">
        <f t="shared" si="6"/>
        <v/>
      </c>
      <c r="O143" s="51"/>
    </row>
    <row r="144" spans="12:15" ht="15" customHeight="1" x14ac:dyDescent="0.3">
      <c r="L144" t="str">
        <f t="shared" si="6"/>
        <v/>
      </c>
      <c r="O144" s="51"/>
    </row>
    <row r="145" spans="12:15" ht="15" customHeight="1" x14ac:dyDescent="0.3">
      <c r="L145" t="str">
        <f t="shared" si="6"/>
        <v/>
      </c>
      <c r="O145" s="51"/>
    </row>
    <row r="146" spans="12:15" ht="15" customHeight="1" x14ac:dyDescent="0.3">
      <c r="L146" t="str">
        <f t="shared" si="6"/>
        <v/>
      </c>
      <c r="O146" s="51"/>
    </row>
    <row r="147" spans="12:15" ht="15" customHeight="1" x14ac:dyDescent="0.3">
      <c r="L147" t="str">
        <f t="shared" si="6"/>
        <v/>
      </c>
      <c r="O147" s="51"/>
    </row>
    <row r="148" spans="12:15" ht="15" customHeight="1" x14ac:dyDescent="0.3">
      <c r="L148" t="str">
        <f t="shared" si="6"/>
        <v/>
      </c>
      <c r="O148" s="51"/>
    </row>
    <row r="149" spans="12:15" ht="15" customHeight="1" x14ac:dyDescent="0.3">
      <c r="L149" t="str">
        <f t="shared" si="6"/>
        <v/>
      </c>
      <c r="O149" s="51"/>
    </row>
    <row r="150" spans="12:15" ht="15" customHeight="1" x14ac:dyDescent="0.3">
      <c r="L150" t="str">
        <f t="shared" si="6"/>
        <v/>
      </c>
      <c r="O150" s="51"/>
    </row>
    <row r="151" spans="12:15" ht="15" customHeight="1" x14ac:dyDescent="0.3">
      <c r="L151" t="str">
        <f t="shared" si="6"/>
        <v/>
      </c>
      <c r="O151" s="51"/>
    </row>
    <row r="152" spans="12:15" ht="15" customHeight="1" x14ac:dyDescent="0.3">
      <c r="L152" t="str">
        <f t="shared" si="6"/>
        <v/>
      </c>
      <c r="O152" s="51"/>
    </row>
    <row r="153" spans="12:15" ht="15" customHeight="1" x14ac:dyDescent="0.3">
      <c r="L153" t="str">
        <f t="shared" si="6"/>
        <v/>
      </c>
      <c r="O153" s="51"/>
    </row>
    <row r="154" spans="12:15" ht="15" customHeight="1" x14ac:dyDescent="0.3">
      <c r="L154" t="str">
        <f t="shared" si="6"/>
        <v/>
      </c>
      <c r="O154" s="51"/>
    </row>
    <row r="155" spans="12:15" ht="15" customHeight="1" x14ac:dyDescent="0.3">
      <c r="L155" t="str">
        <f t="shared" si="6"/>
        <v/>
      </c>
      <c r="O155" s="51"/>
    </row>
    <row r="156" spans="12:15" ht="15" customHeight="1" x14ac:dyDescent="0.3">
      <c r="L156" t="str">
        <f t="shared" si="6"/>
        <v/>
      </c>
      <c r="O156" s="51"/>
    </row>
    <row r="157" spans="12:15" ht="15" customHeight="1" x14ac:dyDescent="0.3">
      <c r="L157" t="str">
        <f t="shared" si="6"/>
        <v/>
      </c>
      <c r="O157" s="51"/>
    </row>
    <row r="158" spans="12:15" ht="15" customHeight="1" x14ac:dyDescent="0.3">
      <c r="L158" t="str">
        <f t="shared" si="6"/>
        <v/>
      </c>
      <c r="O158" s="51"/>
    </row>
    <row r="159" spans="12:15" ht="15" customHeight="1" x14ac:dyDescent="0.3">
      <c r="L159" t="str">
        <f t="shared" si="6"/>
        <v/>
      </c>
      <c r="O159" s="51"/>
    </row>
    <row r="160" spans="12:15" ht="15" customHeight="1" x14ac:dyDescent="0.3">
      <c r="L160" t="str">
        <f t="shared" si="6"/>
        <v/>
      </c>
      <c r="O160" s="51"/>
    </row>
    <row r="161" spans="12:15" ht="15" customHeight="1" x14ac:dyDescent="0.3">
      <c r="L161" t="str">
        <f t="shared" si="6"/>
        <v/>
      </c>
      <c r="O161" s="51"/>
    </row>
    <row r="162" spans="12:15" ht="15" customHeight="1" x14ac:dyDescent="0.3">
      <c r="L162" t="str">
        <f t="shared" si="6"/>
        <v/>
      </c>
      <c r="O162" s="51"/>
    </row>
    <row r="163" spans="12:15" ht="15" customHeight="1" x14ac:dyDescent="0.3">
      <c r="L163" t="str">
        <f t="shared" si="6"/>
        <v/>
      </c>
      <c r="O163" s="51"/>
    </row>
    <row r="164" spans="12:15" ht="15" customHeight="1" x14ac:dyDescent="0.3">
      <c r="L164" t="str">
        <f t="shared" si="6"/>
        <v/>
      </c>
      <c r="O164" s="51"/>
    </row>
    <row r="165" spans="12:15" ht="15" customHeight="1" x14ac:dyDescent="0.3">
      <c r="L165" t="str">
        <f t="shared" si="6"/>
        <v/>
      </c>
      <c r="O165" s="51"/>
    </row>
    <row r="166" spans="12:15" ht="15" customHeight="1" x14ac:dyDescent="0.3">
      <c r="L166" t="str">
        <f t="shared" si="6"/>
        <v/>
      </c>
      <c r="O166" s="51"/>
    </row>
    <row r="167" spans="12:15" ht="15" customHeight="1" x14ac:dyDescent="0.3">
      <c r="L167" t="str">
        <f t="shared" si="6"/>
        <v/>
      </c>
      <c r="O167" s="51"/>
    </row>
    <row r="168" spans="12:15" ht="15" customHeight="1" x14ac:dyDescent="0.3">
      <c r="L168" t="str">
        <f t="shared" si="6"/>
        <v/>
      </c>
      <c r="O168" s="51"/>
    </row>
    <row r="169" spans="12:15" ht="15" customHeight="1" x14ac:dyDescent="0.3">
      <c r="L169" t="str">
        <f t="shared" si="6"/>
        <v/>
      </c>
      <c r="O169" s="51"/>
    </row>
    <row r="170" spans="12:15" ht="15" customHeight="1" x14ac:dyDescent="0.3">
      <c r="L170" t="str">
        <f t="shared" si="6"/>
        <v/>
      </c>
      <c r="O170" s="51"/>
    </row>
    <row r="171" spans="12:15" ht="15" customHeight="1" x14ac:dyDescent="0.3">
      <c r="L171" t="str">
        <f t="shared" si="6"/>
        <v/>
      </c>
      <c r="O171" s="51"/>
    </row>
    <row r="172" spans="12:15" ht="15" customHeight="1" x14ac:dyDescent="0.3">
      <c r="L172" t="str">
        <f t="shared" si="6"/>
        <v/>
      </c>
      <c r="O172" s="51"/>
    </row>
    <row r="173" spans="12:15" ht="15" customHeight="1" x14ac:dyDescent="0.3">
      <c r="L173" t="str">
        <f t="shared" si="6"/>
        <v/>
      </c>
      <c r="O173" s="51"/>
    </row>
    <row r="174" spans="12:15" ht="15" customHeight="1" x14ac:dyDescent="0.3">
      <c r="L174" t="str">
        <f t="shared" si="6"/>
        <v/>
      </c>
      <c r="O174" s="51"/>
    </row>
    <row r="175" spans="12:15" ht="15" customHeight="1" x14ac:dyDescent="0.3">
      <c r="L175" t="str">
        <f t="shared" si="6"/>
        <v/>
      </c>
      <c r="O175" s="51"/>
    </row>
    <row r="176" spans="12:15" ht="15" customHeight="1" x14ac:dyDescent="0.3">
      <c r="L176" t="str">
        <f t="shared" si="6"/>
        <v/>
      </c>
      <c r="O176" s="51"/>
    </row>
    <row r="177" spans="12:15" ht="15" customHeight="1" x14ac:dyDescent="0.3">
      <c r="L177" t="str">
        <f t="shared" si="6"/>
        <v/>
      </c>
      <c r="O177" s="51"/>
    </row>
    <row r="178" spans="12:15" ht="15" customHeight="1" x14ac:dyDescent="0.3">
      <c r="L178" t="str">
        <f t="shared" si="6"/>
        <v/>
      </c>
      <c r="O178" s="51"/>
    </row>
    <row r="179" spans="12:15" ht="15" customHeight="1" x14ac:dyDescent="0.3">
      <c r="L179" t="str">
        <f t="shared" si="6"/>
        <v/>
      </c>
      <c r="O179" s="51"/>
    </row>
    <row r="180" spans="12:15" ht="15" customHeight="1" x14ac:dyDescent="0.3">
      <c r="L180" t="str">
        <f t="shared" si="6"/>
        <v/>
      </c>
      <c r="O180" s="51"/>
    </row>
    <row r="181" spans="12:15" ht="15" customHeight="1" x14ac:dyDescent="0.3">
      <c r="L181" t="str">
        <f t="shared" si="6"/>
        <v/>
      </c>
      <c r="O181" s="51"/>
    </row>
    <row r="182" spans="12:15" ht="15" customHeight="1" x14ac:dyDescent="0.3">
      <c r="L182" t="str">
        <f t="shared" si="6"/>
        <v/>
      </c>
      <c r="O182" s="51"/>
    </row>
    <row r="183" spans="12:15" ht="15" customHeight="1" x14ac:dyDescent="0.3">
      <c r="L183" t="str">
        <f t="shared" si="6"/>
        <v/>
      </c>
      <c r="O183" s="51"/>
    </row>
    <row r="184" spans="12:15" ht="15" customHeight="1" x14ac:dyDescent="0.3">
      <c r="L184" t="str">
        <f t="shared" si="6"/>
        <v/>
      </c>
      <c r="O184" s="51"/>
    </row>
    <row r="185" spans="12:15" ht="15" customHeight="1" x14ac:dyDescent="0.3">
      <c r="L185" t="str">
        <f t="shared" si="6"/>
        <v/>
      </c>
      <c r="O185" s="51"/>
    </row>
    <row r="186" spans="12:15" ht="15" customHeight="1" x14ac:dyDescent="0.3">
      <c r="L186" t="str">
        <f t="shared" si="6"/>
        <v/>
      </c>
      <c r="O186" s="51"/>
    </row>
    <row r="187" spans="12:15" ht="15" customHeight="1" x14ac:dyDescent="0.3">
      <c r="L187" t="str">
        <f t="shared" si="6"/>
        <v/>
      </c>
      <c r="O187" s="51"/>
    </row>
    <row r="188" spans="12:15" ht="15" customHeight="1" x14ac:dyDescent="0.3">
      <c r="L188" t="str">
        <f t="shared" si="6"/>
        <v/>
      </c>
      <c r="O188" s="51"/>
    </row>
    <row r="189" spans="12:15" ht="15" customHeight="1" x14ac:dyDescent="0.3">
      <c r="L189" t="str">
        <f t="shared" si="6"/>
        <v/>
      </c>
      <c r="O189" s="51"/>
    </row>
    <row r="190" spans="12:15" ht="15" customHeight="1" x14ac:dyDescent="0.3">
      <c r="L190" t="str">
        <f t="shared" si="6"/>
        <v/>
      </c>
      <c r="O190" s="51"/>
    </row>
    <row r="191" spans="12:15" ht="15" customHeight="1" x14ac:dyDescent="0.3">
      <c r="L191" t="str">
        <f t="shared" si="6"/>
        <v/>
      </c>
      <c r="O191" s="51"/>
    </row>
    <row r="192" spans="12:15" ht="15" customHeight="1" x14ac:dyDescent="0.3">
      <c r="L192" t="str">
        <f t="shared" si="6"/>
        <v/>
      </c>
      <c r="O192" s="51"/>
    </row>
    <row r="193" spans="12:15" ht="15" customHeight="1" x14ac:dyDescent="0.3">
      <c r="L193" t="str">
        <f t="shared" si="6"/>
        <v/>
      </c>
      <c r="O193" s="51"/>
    </row>
    <row r="194" spans="12:15" ht="15" customHeight="1" x14ac:dyDescent="0.3">
      <c r="L194" t="str">
        <f t="shared" si="6"/>
        <v/>
      </c>
      <c r="O194" s="51"/>
    </row>
    <row r="195" spans="12:15" ht="15" customHeight="1" x14ac:dyDescent="0.3">
      <c r="L195" t="str">
        <f t="shared" si="6"/>
        <v/>
      </c>
      <c r="O195" s="51"/>
    </row>
    <row r="196" spans="12:15" ht="15" customHeight="1" x14ac:dyDescent="0.3">
      <c r="L196" t="str">
        <f t="shared" ref="L196:L259" si="7">IF($A196="","",K196*D196)</f>
        <v/>
      </c>
      <c r="O196" s="51"/>
    </row>
    <row r="197" spans="12:15" ht="15" customHeight="1" x14ac:dyDescent="0.3">
      <c r="L197" t="str">
        <f t="shared" si="7"/>
        <v/>
      </c>
      <c r="O197" s="51"/>
    </row>
    <row r="198" spans="12:15" ht="15" customHeight="1" x14ac:dyDescent="0.3">
      <c r="L198" t="str">
        <f t="shared" si="7"/>
        <v/>
      </c>
      <c r="O198" s="51"/>
    </row>
    <row r="199" spans="12:15" ht="15" customHeight="1" x14ac:dyDescent="0.3">
      <c r="L199" t="str">
        <f t="shared" si="7"/>
        <v/>
      </c>
      <c r="O199" s="51"/>
    </row>
    <row r="200" spans="12:15" ht="15" customHeight="1" x14ac:dyDescent="0.3">
      <c r="L200" t="str">
        <f t="shared" si="7"/>
        <v/>
      </c>
      <c r="O200" s="51"/>
    </row>
    <row r="201" spans="12:15" ht="15" customHeight="1" x14ac:dyDescent="0.3">
      <c r="L201" t="str">
        <f t="shared" si="7"/>
        <v/>
      </c>
      <c r="O201" s="51"/>
    </row>
    <row r="202" spans="12:15" ht="15" customHeight="1" x14ac:dyDescent="0.3">
      <c r="L202" t="str">
        <f t="shared" si="7"/>
        <v/>
      </c>
      <c r="O202" s="51"/>
    </row>
    <row r="203" spans="12:15" ht="15" customHeight="1" x14ac:dyDescent="0.3">
      <c r="L203" t="str">
        <f t="shared" si="7"/>
        <v/>
      </c>
      <c r="O203" s="51"/>
    </row>
    <row r="204" spans="12:15" ht="15" customHeight="1" x14ac:dyDescent="0.3">
      <c r="L204" t="str">
        <f t="shared" si="7"/>
        <v/>
      </c>
      <c r="O204" s="51"/>
    </row>
    <row r="205" spans="12:15" ht="15" customHeight="1" x14ac:dyDescent="0.3">
      <c r="L205" t="str">
        <f t="shared" si="7"/>
        <v/>
      </c>
      <c r="O205" s="51"/>
    </row>
    <row r="206" spans="12:15" ht="15" customHeight="1" x14ac:dyDescent="0.3">
      <c r="L206" t="str">
        <f t="shared" si="7"/>
        <v/>
      </c>
      <c r="O206" s="51"/>
    </row>
    <row r="207" spans="12:15" ht="15" customHeight="1" x14ac:dyDescent="0.3">
      <c r="L207" t="str">
        <f t="shared" si="7"/>
        <v/>
      </c>
      <c r="O207" s="51"/>
    </row>
    <row r="208" spans="12:15" ht="15" customHeight="1" x14ac:dyDescent="0.3">
      <c r="L208" t="str">
        <f t="shared" si="7"/>
        <v/>
      </c>
      <c r="O208" s="51"/>
    </row>
    <row r="209" spans="12:15" ht="15" customHeight="1" x14ac:dyDescent="0.3">
      <c r="L209" t="str">
        <f t="shared" si="7"/>
        <v/>
      </c>
      <c r="O209" s="51"/>
    </row>
    <row r="210" spans="12:15" ht="15" customHeight="1" x14ac:dyDescent="0.3">
      <c r="L210" t="str">
        <f t="shared" si="7"/>
        <v/>
      </c>
      <c r="O210" s="51"/>
    </row>
    <row r="211" spans="12:15" ht="15" customHeight="1" x14ac:dyDescent="0.3">
      <c r="L211" t="str">
        <f t="shared" si="7"/>
        <v/>
      </c>
      <c r="O211" s="51"/>
    </row>
    <row r="212" spans="12:15" ht="15" customHeight="1" x14ac:dyDescent="0.3">
      <c r="L212" t="str">
        <f t="shared" si="7"/>
        <v/>
      </c>
      <c r="O212" s="51"/>
    </row>
    <row r="213" spans="12:15" ht="15" customHeight="1" x14ac:dyDescent="0.3">
      <c r="L213" t="str">
        <f t="shared" si="7"/>
        <v/>
      </c>
      <c r="O213" s="51"/>
    </row>
    <row r="214" spans="12:15" ht="15" customHeight="1" x14ac:dyDescent="0.3">
      <c r="L214" t="str">
        <f t="shared" si="7"/>
        <v/>
      </c>
      <c r="O214" s="51"/>
    </row>
    <row r="215" spans="12:15" ht="15" customHeight="1" x14ac:dyDescent="0.3">
      <c r="L215" t="str">
        <f t="shared" si="7"/>
        <v/>
      </c>
      <c r="O215" s="51"/>
    </row>
    <row r="216" spans="12:15" ht="15" customHeight="1" x14ac:dyDescent="0.3">
      <c r="L216" t="str">
        <f t="shared" si="7"/>
        <v/>
      </c>
      <c r="O216" s="51"/>
    </row>
    <row r="217" spans="12:15" ht="15" customHeight="1" x14ac:dyDescent="0.3">
      <c r="L217" t="str">
        <f t="shared" si="7"/>
        <v/>
      </c>
      <c r="O217" s="51"/>
    </row>
    <row r="218" spans="12:15" ht="15" customHeight="1" x14ac:dyDescent="0.3">
      <c r="L218" t="str">
        <f t="shared" si="7"/>
        <v/>
      </c>
      <c r="O218" s="51"/>
    </row>
    <row r="219" spans="12:15" ht="15" customHeight="1" x14ac:dyDescent="0.3">
      <c r="L219" t="str">
        <f t="shared" si="7"/>
        <v/>
      </c>
      <c r="O219" s="51"/>
    </row>
    <row r="220" spans="12:15" ht="15" customHeight="1" x14ac:dyDescent="0.3">
      <c r="L220" t="str">
        <f t="shared" si="7"/>
        <v/>
      </c>
      <c r="O220" s="51"/>
    </row>
    <row r="221" spans="12:15" ht="15" customHeight="1" x14ac:dyDescent="0.3">
      <c r="L221" t="str">
        <f t="shared" si="7"/>
        <v/>
      </c>
      <c r="O221" s="51"/>
    </row>
    <row r="222" spans="12:15" ht="15" customHeight="1" x14ac:dyDescent="0.3">
      <c r="L222" t="str">
        <f t="shared" si="7"/>
        <v/>
      </c>
      <c r="O222" s="51"/>
    </row>
    <row r="223" spans="12:15" ht="15" customHeight="1" x14ac:dyDescent="0.3">
      <c r="L223" t="str">
        <f t="shared" si="7"/>
        <v/>
      </c>
      <c r="O223" s="51"/>
    </row>
    <row r="224" spans="12:15" ht="15" customHeight="1" x14ac:dyDescent="0.3">
      <c r="L224" t="str">
        <f t="shared" si="7"/>
        <v/>
      </c>
      <c r="O224" s="51"/>
    </row>
    <row r="225" spans="12:15" ht="15" customHeight="1" x14ac:dyDescent="0.3">
      <c r="L225" t="str">
        <f t="shared" si="7"/>
        <v/>
      </c>
      <c r="O225" s="51"/>
    </row>
    <row r="226" spans="12:15" ht="15" customHeight="1" x14ac:dyDescent="0.3">
      <c r="L226" t="str">
        <f t="shared" si="7"/>
        <v/>
      </c>
      <c r="O226" s="51"/>
    </row>
    <row r="227" spans="12:15" ht="15" customHeight="1" x14ac:dyDescent="0.3">
      <c r="L227" t="str">
        <f t="shared" si="7"/>
        <v/>
      </c>
      <c r="O227" s="51"/>
    </row>
    <row r="228" spans="12:15" ht="15" customHeight="1" x14ac:dyDescent="0.3">
      <c r="L228" t="str">
        <f t="shared" si="7"/>
        <v/>
      </c>
      <c r="O228" s="51"/>
    </row>
    <row r="229" spans="12:15" ht="15" customHeight="1" x14ac:dyDescent="0.3">
      <c r="L229" t="str">
        <f t="shared" si="7"/>
        <v/>
      </c>
      <c r="O229" s="51"/>
    </row>
    <row r="230" spans="12:15" ht="15" customHeight="1" x14ac:dyDescent="0.3">
      <c r="L230" t="str">
        <f t="shared" si="7"/>
        <v/>
      </c>
      <c r="O230" s="51"/>
    </row>
    <row r="231" spans="12:15" ht="15" customHeight="1" x14ac:dyDescent="0.3">
      <c r="L231" t="str">
        <f t="shared" si="7"/>
        <v/>
      </c>
      <c r="O231" s="51"/>
    </row>
    <row r="232" spans="12:15" ht="15" customHeight="1" x14ac:dyDescent="0.3">
      <c r="L232" t="str">
        <f t="shared" si="7"/>
        <v/>
      </c>
      <c r="O232" s="51"/>
    </row>
    <row r="233" spans="12:15" ht="15" customHeight="1" x14ac:dyDescent="0.3">
      <c r="L233" t="str">
        <f t="shared" si="7"/>
        <v/>
      </c>
      <c r="O233" s="51"/>
    </row>
    <row r="234" spans="12:15" ht="15" customHeight="1" x14ac:dyDescent="0.3">
      <c r="L234" t="str">
        <f t="shared" si="7"/>
        <v/>
      </c>
      <c r="O234" s="51"/>
    </row>
    <row r="235" spans="12:15" ht="15" customHeight="1" x14ac:dyDescent="0.3">
      <c r="L235" t="str">
        <f t="shared" si="7"/>
        <v/>
      </c>
      <c r="O235" s="51"/>
    </row>
    <row r="236" spans="12:15" ht="15" customHeight="1" x14ac:dyDescent="0.3">
      <c r="L236" t="str">
        <f t="shared" si="7"/>
        <v/>
      </c>
      <c r="O236" s="51"/>
    </row>
    <row r="237" spans="12:15" ht="15" customHeight="1" x14ac:dyDescent="0.3">
      <c r="L237" t="str">
        <f t="shared" si="7"/>
        <v/>
      </c>
      <c r="O237" s="51"/>
    </row>
    <row r="238" spans="12:15" ht="15" customHeight="1" x14ac:dyDescent="0.3">
      <c r="L238" t="str">
        <f t="shared" si="7"/>
        <v/>
      </c>
      <c r="O238" s="51"/>
    </row>
    <row r="239" spans="12:15" ht="15" customHeight="1" x14ac:dyDescent="0.3">
      <c r="L239" t="str">
        <f t="shared" si="7"/>
        <v/>
      </c>
      <c r="O239" s="51"/>
    </row>
    <row r="240" spans="12:15" ht="15" customHeight="1" x14ac:dyDescent="0.3">
      <c r="L240" t="str">
        <f t="shared" si="7"/>
        <v/>
      </c>
      <c r="O240" s="51"/>
    </row>
    <row r="241" spans="12:15" ht="15" customHeight="1" x14ac:dyDescent="0.3">
      <c r="L241" t="str">
        <f t="shared" si="7"/>
        <v/>
      </c>
      <c r="O241" s="51"/>
    </row>
    <row r="242" spans="12:15" ht="15" customHeight="1" x14ac:dyDescent="0.3">
      <c r="L242" t="str">
        <f t="shared" si="7"/>
        <v/>
      </c>
      <c r="O242" s="51"/>
    </row>
    <row r="243" spans="12:15" ht="15" customHeight="1" x14ac:dyDescent="0.3">
      <c r="L243" t="str">
        <f t="shared" si="7"/>
        <v/>
      </c>
      <c r="O243" s="51"/>
    </row>
    <row r="244" spans="12:15" ht="15" customHeight="1" x14ac:dyDescent="0.3">
      <c r="L244" t="str">
        <f t="shared" si="7"/>
        <v/>
      </c>
      <c r="O244" s="51"/>
    </row>
    <row r="245" spans="12:15" ht="15" customHeight="1" x14ac:dyDescent="0.3">
      <c r="L245" t="str">
        <f t="shared" si="7"/>
        <v/>
      </c>
      <c r="O245" s="51"/>
    </row>
    <row r="246" spans="12:15" ht="15" customHeight="1" x14ac:dyDescent="0.3">
      <c r="L246" t="str">
        <f t="shared" si="7"/>
        <v/>
      </c>
      <c r="O246" s="51"/>
    </row>
    <row r="247" spans="12:15" ht="15" customHeight="1" x14ac:dyDescent="0.3">
      <c r="L247" t="str">
        <f t="shared" si="7"/>
        <v/>
      </c>
      <c r="O247" s="51"/>
    </row>
    <row r="248" spans="12:15" ht="15" customHeight="1" x14ac:dyDescent="0.3">
      <c r="L248" t="str">
        <f t="shared" si="7"/>
        <v/>
      </c>
      <c r="O248" s="51"/>
    </row>
    <row r="249" spans="12:15" ht="15" customHeight="1" x14ac:dyDescent="0.3">
      <c r="L249" t="str">
        <f t="shared" si="7"/>
        <v/>
      </c>
      <c r="O249" s="51"/>
    </row>
    <row r="250" spans="12:15" ht="15" customHeight="1" x14ac:dyDescent="0.3">
      <c r="L250" t="str">
        <f t="shared" si="7"/>
        <v/>
      </c>
      <c r="O250" s="51"/>
    </row>
    <row r="251" spans="12:15" ht="15" customHeight="1" x14ac:dyDescent="0.3">
      <c r="L251" t="str">
        <f t="shared" si="7"/>
        <v/>
      </c>
      <c r="O251" s="51"/>
    </row>
    <row r="252" spans="12:15" ht="15" customHeight="1" x14ac:dyDescent="0.3">
      <c r="L252" t="str">
        <f t="shared" si="7"/>
        <v/>
      </c>
      <c r="O252" s="51"/>
    </row>
    <row r="253" spans="12:15" ht="15" customHeight="1" x14ac:dyDescent="0.3">
      <c r="L253" t="str">
        <f t="shared" si="7"/>
        <v/>
      </c>
      <c r="O253" s="51"/>
    </row>
    <row r="254" spans="12:15" ht="15" customHeight="1" x14ac:dyDescent="0.3">
      <c r="L254" t="str">
        <f t="shared" si="7"/>
        <v/>
      </c>
      <c r="O254" s="51"/>
    </row>
    <row r="255" spans="12:15" ht="15" customHeight="1" x14ac:dyDescent="0.3">
      <c r="L255" t="str">
        <f t="shared" si="7"/>
        <v/>
      </c>
      <c r="O255" s="51"/>
    </row>
    <row r="256" spans="12:15" ht="15" customHeight="1" x14ac:dyDescent="0.3">
      <c r="L256" t="str">
        <f t="shared" si="7"/>
        <v/>
      </c>
      <c r="O256" s="51"/>
    </row>
    <row r="257" spans="12:15" ht="15" customHeight="1" x14ac:dyDescent="0.3">
      <c r="L257" t="str">
        <f t="shared" si="7"/>
        <v/>
      </c>
      <c r="O257" s="51"/>
    </row>
    <row r="258" spans="12:15" ht="15" customHeight="1" x14ac:dyDescent="0.3">
      <c r="L258" t="str">
        <f t="shared" si="7"/>
        <v/>
      </c>
      <c r="O258" s="51"/>
    </row>
    <row r="259" spans="12:15" ht="15" customHeight="1" x14ac:dyDescent="0.3">
      <c r="L259" t="str">
        <f t="shared" si="7"/>
        <v/>
      </c>
      <c r="O259" s="51"/>
    </row>
    <row r="260" spans="12:15" ht="15" customHeight="1" x14ac:dyDescent="0.3">
      <c r="L260" t="str">
        <f t="shared" ref="L260:L323" si="8">IF($A260="","",K260*D260)</f>
        <v/>
      </c>
      <c r="O260" s="51"/>
    </row>
    <row r="261" spans="12:15" ht="15" customHeight="1" x14ac:dyDescent="0.3">
      <c r="L261" t="str">
        <f t="shared" si="8"/>
        <v/>
      </c>
      <c r="O261" s="51"/>
    </row>
    <row r="262" spans="12:15" ht="15" customHeight="1" x14ac:dyDescent="0.3">
      <c r="L262" t="str">
        <f t="shared" si="8"/>
        <v/>
      </c>
      <c r="O262" s="51"/>
    </row>
    <row r="263" spans="12:15" ht="15" customHeight="1" x14ac:dyDescent="0.3">
      <c r="L263" t="str">
        <f t="shared" si="8"/>
        <v/>
      </c>
      <c r="O263" s="51"/>
    </row>
    <row r="264" spans="12:15" ht="15" customHeight="1" x14ac:dyDescent="0.3">
      <c r="L264" t="str">
        <f t="shared" si="8"/>
        <v/>
      </c>
      <c r="O264" s="51"/>
    </row>
    <row r="265" spans="12:15" ht="15" customHeight="1" x14ac:dyDescent="0.3">
      <c r="L265" t="str">
        <f t="shared" si="8"/>
        <v/>
      </c>
      <c r="O265" s="51"/>
    </row>
    <row r="266" spans="12:15" ht="15" customHeight="1" x14ac:dyDescent="0.3">
      <c r="L266" t="str">
        <f t="shared" si="8"/>
        <v/>
      </c>
      <c r="O266" s="51"/>
    </row>
    <row r="267" spans="12:15" ht="15" customHeight="1" x14ac:dyDescent="0.3">
      <c r="L267" t="str">
        <f t="shared" si="8"/>
        <v/>
      </c>
      <c r="O267" s="51"/>
    </row>
    <row r="268" spans="12:15" ht="15" customHeight="1" x14ac:dyDescent="0.3">
      <c r="L268" t="str">
        <f t="shared" si="8"/>
        <v/>
      </c>
      <c r="O268" s="51"/>
    </row>
    <row r="269" spans="12:15" ht="15" customHeight="1" x14ac:dyDescent="0.3">
      <c r="L269" t="str">
        <f t="shared" si="8"/>
        <v/>
      </c>
      <c r="O269" s="51"/>
    </row>
    <row r="270" spans="12:15" ht="15" customHeight="1" x14ac:dyDescent="0.3">
      <c r="L270" t="str">
        <f t="shared" si="8"/>
        <v/>
      </c>
      <c r="O270" s="51"/>
    </row>
    <row r="271" spans="12:15" ht="15" customHeight="1" x14ac:dyDescent="0.3">
      <c r="L271" t="str">
        <f t="shared" si="8"/>
        <v/>
      </c>
      <c r="O271" s="51"/>
    </row>
    <row r="272" spans="12:15" ht="15" customHeight="1" x14ac:dyDescent="0.3">
      <c r="L272" t="str">
        <f t="shared" si="8"/>
        <v/>
      </c>
      <c r="O272" s="51"/>
    </row>
    <row r="273" spans="12:15" ht="15" customHeight="1" x14ac:dyDescent="0.3">
      <c r="L273" t="str">
        <f t="shared" si="8"/>
        <v/>
      </c>
      <c r="O273" s="51"/>
    </row>
    <row r="274" spans="12:15" ht="15" customHeight="1" x14ac:dyDescent="0.3">
      <c r="L274" t="str">
        <f t="shared" si="8"/>
        <v/>
      </c>
      <c r="O274" s="51"/>
    </row>
    <row r="275" spans="12:15" ht="15" customHeight="1" x14ac:dyDescent="0.3">
      <c r="L275" t="str">
        <f t="shared" si="8"/>
        <v/>
      </c>
      <c r="O275" s="51"/>
    </row>
    <row r="276" spans="12:15" ht="15" customHeight="1" x14ac:dyDescent="0.3">
      <c r="L276" t="str">
        <f t="shared" si="8"/>
        <v/>
      </c>
      <c r="O276" s="51"/>
    </row>
    <row r="277" spans="12:15" ht="15" customHeight="1" x14ac:dyDescent="0.3">
      <c r="L277" t="str">
        <f t="shared" si="8"/>
        <v/>
      </c>
      <c r="O277" s="51"/>
    </row>
    <row r="278" spans="12:15" ht="15" customHeight="1" x14ac:dyDescent="0.3">
      <c r="L278" t="str">
        <f t="shared" si="8"/>
        <v/>
      </c>
      <c r="O278" s="51"/>
    </row>
    <row r="279" spans="12:15" ht="15" customHeight="1" x14ac:dyDescent="0.3">
      <c r="L279" t="str">
        <f t="shared" si="8"/>
        <v/>
      </c>
      <c r="O279" s="51"/>
    </row>
    <row r="280" spans="12:15" ht="15" customHeight="1" x14ac:dyDescent="0.3">
      <c r="L280" t="str">
        <f t="shared" si="8"/>
        <v/>
      </c>
      <c r="O280" s="51"/>
    </row>
    <row r="281" spans="12:15" ht="15" customHeight="1" x14ac:dyDescent="0.3">
      <c r="L281" t="str">
        <f t="shared" si="8"/>
        <v/>
      </c>
      <c r="O281" s="51"/>
    </row>
    <row r="282" spans="12:15" ht="15" customHeight="1" x14ac:dyDescent="0.3">
      <c r="L282" t="str">
        <f t="shared" si="8"/>
        <v/>
      </c>
      <c r="O282" s="51"/>
    </row>
    <row r="283" spans="12:15" ht="15" customHeight="1" x14ac:dyDescent="0.3">
      <c r="L283" t="str">
        <f t="shared" si="8"/>
        <v/>
      </c>
      <c r="O283" s="51"/>
    </row>
    <row r="284" spans="12:15" ht="15" customHeight="1" x14ac:dyDescent="0.3">
      <c r="L284" t="str">
        <f t="shared" si="8"/>
        <v/>
      </c>
      <c r="O284" s="51"/>
    </row>
    <row r="285" spans="12:15" ht="15" customHeight="1" x14ac:dyDescent="0.3">
      <c r="L285" t="str">
        <f t="shared" si="8"/>
        <v/>
      </c>
      <c r="O285" s="51"/>
    </row>
    <row r="286" spans="12:15" ht="15" customHeight="1" x14ac:dyDescent="0.3">
      <c r="L286" t="str">
        <f t="shared" si="8"/>
        <v/>
      </c>
      <c r="O286" s="51"/>
    </row>
    <row r="287" spans="12:15" ht="15" customHeight="1" x14ac:dyDescent="0.3">
      <c r="L287" t="str">
        <f t="shared" si="8"/>
        <v/>
      </c>
      <c r="O287" s="51"/>
    </row>
    <row r="288" spans="12:15" ht="15" customHeight="1" x14ac:dyDescent="0.3">
      <c r="L288" t="str">
        <f t="shared" si="8"/>
        <v/>
      </c>
      <c r="O288" s="51"/>
    </row>
    <row r="289" spans="12:15" ht="15" customHeight="1" x14ac:dyDescent="0.3">
      <c r="L289" t="str">
        <f t="shared" si="8"/>
        <v/>
      </c>
      <c r="O289" s="51"/>
    </row>
    <row r="290" spans="12:15" ht="15" customHeight="1" x14ac:dyDescent="0.3">
      <c r="L290" t="str">
        <f t="shared" si="8"/>
        <v/>
      </c>
      <c r="O290" s="51"/>
    </row>
    <row r="291" spans="12:15" ht="15" customHeight="1" x14ac:dyDescent="0.3">
      <c r="L291" t="str">
        <f t="shared" si="8"/>
        <v/>
      </c>
      <c r="O291" s="51"/>
    </row>
    <row r="292" spans="12:15" ht="15" customHeight="1" x14ac:dyDescent="0.3">
      <c r="L292" t="str">
        <f t="shared" si="8"/>
        <v/>
      </c>
      <c r="O292" s="51"/>
    </row>
    <row r="293" spans="12:15" ht="15" customHeight="1" x14ac:dyDescent="0.3">
      <c r="L293" t="str">
        <f t="shared" si="8"/>
        <v/>
      </c>
      <c r="O293" s="51"/>
    </row>
    <row r="294" spans="12:15" ht="15" customHeight="1" x14ac:dyDescent="0.3">
      <c r="L294" t="str">
        <f t="shared" si="8"/>
        <v/>
      </c>
      <c r="O294" s="51"/>
    </row>
    <row r="295" spans="12:15" ht="15" customHeight="1" x14ac:dyDescent="0.3">
      <c r="L295" t="str">
        <f t="shared" si="8"/>
        <v/>
      </c>
      <c r="O295" s="51"/>
    </row>
    <row r="296" spans="12:15" ht="15" customHeight="1" x14ac:dyDescent="0.3">
      <c r="L296" t="str">
        <f t="shared" si="8"/>
        <v/>
      </c>
      <c r="O296" s="51"/>
    </row>
    <row r="297" spans="12:15" ht="15" customHeight="1" x14ac:dyDescent="0.3">
      <c r="L297" t="str">
        <f t="shared" si="8"/>
        <v/>
      </c>
      <c r="O297" s="51"/>
    </row>
    <row r="298" spans="12:15" ht="15" customHeight="1" x14ac:dyDescent="0.3">
      <c r="L298" t="str">
        <f t="shared" si="8"/>
        <v/>
      </c>
      <c r="O298" s="51"/>
    </row>
    <row r="299" spans="12:15" ht="15" customHeight="1" x14ac:dyDescent="0.3">
      <c r="L299" t="str">
        <f t="shared" si="8"/>
        <v/>
      </c>
      <c r="O299" s="51"/>
    </row>
    <row r="300" spans="12:15" ht="15" customHeight="1" x14ac:dyDescent="0.3">
      <c r="L300" t="str">
        <f t="shared" si="8"/>
        <v/>
      </c>
      <c r="O300" s="51"/>
    </row>
    <row r="301" spans="12:15" ht="15" customHeight="1" x14ac:dyDescent="0.3">
      <c r="L301" t="str">
        <f t="shared" si="8"/>
        <v/>
      </c>
      <c r="O301" s="51"/>
    </row>
    <row r="302" spans="12:15" ht="15" customHeight="1" x14ac:dyDescent="0.3">
      <c r="L302" t="str">
        <f t="shared" si="8"/>
        <v/>
      </c>
      <c r="O302" s="51"/>
    </row>
    <row r="303" spans="12:15" ht="15" customHeight="1" x14ac:dyDescent="0.3">
      <c r="L303" t="str">
        <f t="shared" si="8"/>
        <v/>
      </c>
      <c r="O303" s="51"/>
    </row>
    <row r="304" spans="12:15" ht="15" customHeight="1" x14ac:dyDescent="0.3">
      <c r="L304" t="str">
        <f t="shared" si="8"/>
        <v/>
      </c>
      <c r="O304" s="51"/>
    </row>
    <row r="305" spans="12:15" ht="15" customHeight="1" x14ac:dyDescent="0.3">
      <c r="L305" t="str">
        <f t="shared" si="8"/>
        <v/>
      </c>
      <c r="O305" s="51"/>
    </row>
    <row r="306" spans="12:15" ht="15" customHeight="1" x14ac:dyDescent="0.3">
      <c r="L306" t="str">
        <f t="shared" si="8"/>
        <v/>
      </c>
      <c r="O306" s="51"/>
    </row>
    <row r="307" spans="12:15" ht="15" customHeight="1" x14ac:dyDescent="0.3">
      <c r="L307" t="str">
        <f t="shared" si="8"/>
        <v/>
      </c>
      <c r="O307" s="51"/>
    </row>
    <row r="308" spans="12:15" ht="15" customHeight="1" x14ac:dyDescent="0.3">
      <c r="L308" t="str">
        <f t="shared" si="8"/>
        <v/>
      </c>
      <c r="O308" s="51"/>
    </row>
    <row r="309" spans="12:15" ht="15" customHeight="1" x14ac:dyDescent="0.3">
      <c r="L309" t="str">
        <f t="shared" si="8"/>
        <v/>
      </c>
      <c r="O309" s="51"/>
    </row>
    <row r="310" spans="12:15" ht="15" customHeight="1" x14ac:dyDescent="0.3">
      <c r="L310" t="str">
        <f t="shared" si="8"/>
        <v/>
      </c>
      <c r="O310" s="51"/>
    </row>
    <row r="311" spans="12:15" ht="15" customHeight="1" x14ac:dyDescent="0.3">
      <c r="L311" t="str">
        <f t="shared" si="8"/>
        <v/>
      </c>
      <c r="O311" s="51"/>
    </row>
    <row r="312" spans="12:15" ht="15" customHeight="1" x14ac:dyDescent="0.3">
      <c r="L312" t="str">
        <f t="shared" si="8"/>
        <v/>
      </c>
      <c r="O312" s="51"/>
    </row>
    <row r="313" spans="12:15" ht="15" customHeight="1" x14ac:dyDescent="0.3">
      <c r="L313" t="str">
        <f t="shared" si="8"/>
        <v/>
      </c>
      <c r="O313" s="51"/>
    </row>
    <row r="314" spans="12:15" ht="15" customHeight="1" x14ac:dyDescent="0.3">
      <c r="L314" t="str">
        <f t="shared" si="8"/>
        <v/>
      </c>
      <c r="O314" s="51"/>
    </row>
    <row r="315" spans="12:15" ht="15" customHeight="1" x14ac:dyDescent="0.3">
      <c r="L315" t="str">
        <f t="shared" si="8"/>
        <v/>
      </c>
      <c r="O315" s="51"/>
    </row>
    <row r="316" spans="12:15" ht="15" customHeight="1" x14ac:dyDescent="0.3">
      <c r="L316" t="str">
        <f t="shared" si="8"/>
        <v/>
      </c>
      <c r="O316" s="51"/>
    </row>
    <row r="317" spans="12:15" ht="15" customHeight="1" x14ac:dyDescent="0.3">
      <c r="L317" t="str">
        <f t="shared" si="8"/>
        <v/>
      </c>
      <c r="O317" s="51"/>
    </row>
    <row r="318" spans="12:15" ht="15" customHeight="1" x14ac:dyDescent="0.3">
      <c r="L318" t="str">
        <f t="shared" si="8"/>
        <v/>
      </c>
      <c r="O318" s="51"/>
    </row>
    <row r="319" spans="12:15" ht="15" customHeight="1" x14ac:dyDescent="0.3">
      <c r="L319" t="str">
        <f t="shared" si="8"/>
        <v/>
      </c>
      <c r="O319" s="51"/>
    </row>
    <row r="320" spans="12:15" ht="15" customHeight="1" x14ac:dyDescent="0.3">
      <c r="L320" t="str">
        <f t="shared" si="8"/>
        <v/>
      </c>
      <c r="O320" s="51"/>
    </row>
    <row r="321" spans="12:15" ht="15" customHeight="1" x14ac:dyDescent="0.3">
      <c r="L321" t="str">
        <f t="shared" si="8"/>
        <v/>
      </c>
      <c r="O321" s="51"/>
    </row>
    <row r="322" spans="12:15" ht="15" customHeight="1" x14ac:dyDescent="0.3">
      <c r="L322" t="str">
        <f t="shared" si="8"/>
        <v/>
      </c>
      <c r="O322" s="51"/>
    </row>
    <row r="323" spans="12:15" ht="15" customHeight="1" x14ac:dyDescent="0.3">
      <c r="L323" t="str">
        <f t="shared" si="8"/>
        <v/>
      </c>
      <c r="O323" s="51"/>
    </row>
    <row r="324" spans="12:15" ht="15" customHeight="1" x14ac:dyDescent="0.3">
      <c r="L324" t="str">
        <f t="shared" ref="L324:L387" si="9">IF($A324="","",K324*D324)</f>
        <v/>
      </c>
      <c r="O324" s="51"/>
    </row>
    <row r="325" spans="12:15" ht="15" customHeight="1" x14ac:dyDescent="0.3">
      <c r="L325" t="str">
        <f t="shared" si="9"/>
        <v/>
      </c>
      <c r="O325" s="51"/>
    </row>
    <row r="326" spans="12:15" ht="15" customHeight="1" x14ac:dyDescent="0.3">
      <c r="L326" t="str">
        <f t="shared" si="9"/>
        <v/>
      </c>
      <c r="O326" s="51"/>
    </row>
    <row r="327" spans="12:15" ht="15" customHeight="1" x14ac:dyDescent="0.3">
      <c r="L327" t="str">
        <f t="shared" si="9"/>
        <v/>
      </c>
      <c r="O327" s="51"/>
    </row>
    <row r="328" spans="12:15" ht="15" customHeight="1" x14ac:dyDescent="0.3">
      <c r="L328" t="str">
        <f t="shared" si="9"/>
        <v/>
      </c>
      <c r="O328" s="51"/>
    </row>
    <row r="329" spans="12:15" ht="15" customHeight="1" x14ac:dyDescent="0.3">
      <c r="L329" t="str">
        <f t="shared" si="9"/>
        <v/>
      </c>
      <c r="O329" s="51"/>
    </row>
    <row r="330" spans="12:15" ht="15" customHeight="1" x14ac:dyDescent="0.3">
      <c r="L330" t="str">
        <f t="shared" si="9"/>
        <v/>
      </c>
      <c r="O330" s="51"/>
    </row>
    <row r="331" spans="12:15" ht="15" customHeight="1" x14ac:dyDescent="0.3">
      <c r="L331" t="str">
        <f t="shared" si="9"/>
        <v/>
      </c>
      <c r="O331" s="51"/>
    </row>
    <row r="332" spans="12:15" ht="15" customHeight="1" x14ac:dyDescent="0.3">
      <c r="L332" t="str">
        <f t="shared" si="9"/>
        <v/>
      </c>
      <c r="O332" s="51"/>
    </row>
    <row r="333" spans="12:15" ht="15" customHeight="1" x14ac:dyDescent="0.3">
      <c r="L333" t="str">
        <f t="shared" si="9"/>
        <v/>
      </c>
      <c r="O333" s="51"/>
    </row>
    <row r="334" spans="12:15" ht="15" customHeight="1" x14ac:dyDescent="0.3">
      <c r="L334" t="str">
        <f t="shared" si="9"/>
        <v/>
      </c>
      <c r="O334" s="51"/>
    </row>
    <row r="335" spans="12:15" ht="15" customHeight="1" x14ac:dyDescent="0.3">
      <c r="L335" t="str">
        <f t="shared" si="9"/>
        <v/>
      </c>
      <c r="O335" s="51"/>
    </row>
    <row r="336" spans="12:15" ht="15" customHeight="1" x14ac:dyDescent="0.3">
      <c r="L336" t="str">
        <f t="shared" si="9"/>
        <v/>
      </c>
      <c r="O336" s="51"/>
    </row>
    <row r="337" spans="12:15" ht="15" customHeight="1" x14ac:dyDescent="0.3">
      <c r="L337" t="str">
        <f t="shared" si="9"/>
        <v/>
      </c>
      <c r="O337" s="51"/>
    </row>
    <row r="338" spans="12:15" ht="15" customHeight="1" x14ac:dyDescent="0.3">
      <c r="L338" t="str">
        <f t="shared" si="9"/>
        <v/>
      </c>
      <c r="O338" s="51"/>
    </row>
    <row r="339" spans="12:15" ht="15" customHeight="1" x14ac:dyDescent="0.3">
      <c r="L339" t="str">
        <f t="shared" si="9"/>
        <v/>
      </c>
      <c r="O339" s="51"/>
    </row>
    <row r="340" spans="12:15" ht="15" customHeight="1" x14ac:dyDescent="0.3">
      <c r="L340" t="str">
        <f t="shared" si="9"/>
        <v/>
      </c>
      <c r="O340" s="51"/>
    </row>
    <row r="341" spans="12:15" ht="15" customHeight="1" x14ac:dyDescent="0.3">
      <c r="L341" t="str">
        <f t="shared" si="9"/>
        <v/>
      </c>
      <c r="O341" s="51"/>
    </row>
    <row r="342" spans="12:15" ht="15" customHeight="1" x14ac:dyDescent="0.3">
      <c r="L342" t="str">
        <f t="shared" si="9"/>
        <v/>
      </c>
      <c r="O342" s="51"/>
    </row>
    <row r="343" spans="12:15" ht="15" customHeight="1" x14ac:dyDescent="0.3">
      <c r="L343" t="str">
        <f t="shared" si="9"/>
        <v/>
      </c>
      <c r="O343" s="51"/>
    </row>
    <row r="344" spans="12:15" ht="15" customHeight="1" x14ac:dyDescent="0.3">
      <c r="L344" t="str">
        <f t="shared" si="9"/>
        <v/>
      </c>
      <c r="O344" s="51"/>
    </row>
    <row r="345" spans="12:15" ht="15" customHeight="1" x14ac:dyDescent="0.3">
      <c r="L345" t="str">
        <f t="shared" si="9"/>
        <v/>
      </c>
      <c r="O345" s="51"/>
    </row>
    <row r="346" spans="12:15" ht="15" customHeight="1" x14ac:dyDescent="0.3">
      <c r="L346" t="str">
        <f t="shared" si="9"/>
        <v/>
      </c>
      <c r="O346" s="51"/>
    </row>
    <row r="347" spans="12:15" ht="15" customHeight="1" x14ac:dyDescent="0.3">
      <c r="L347" t="str">
        <f t="shared" si="9"/>
        <v/>
      </c>
      <c r="O347" s="51"/>
    </row>
    <row r="348" spans="12:15" ht="15" customHeight="1" x14ac:dyDescent="0.3">
      <c r="L348" t="str">
        <f t="shared" si="9"/>
        <v/>
      </c>
      <c r="O348" s="51"/>
    </row>
    <row r="349" spans="12:15" ht="15" customHeight="1" x14ac:dyDescent="0.3">
      <c r="L349" t="str">
        <f t="shared" si="9"/>
        <v/>
      </c>
      <c r="O349" s="51"/>
    </row>
    <row r="350" spans="12:15" ht="15" customHeight="1" x14ac:dyDescent="0.3">
      <c r="L350" t="str">
        <f t="shared" si="9"/>
        <v/>
      </c>
      <c r="O350" s="51"/>
    </row>
    <row r="351" spans="12:15" ht="15" customHeight="1" x14ac:dyDescent="0.3">
      <c r="L351" t="str">
        <f t="shared" si="9"/>
        <v/>
      </c>
      <c r="O351" s="51"/>
    </row>
    <row r="352" spans="12:15" ht="15" customHeight="1" x14ac:dyDescent="0.3">
      <c r="L352" t="str">
        <f t="shared" si="9"/>
        <v/>
      </c>
      <c r="O352" s="51"/>
    </row>
    <row r="353" spans="12:15" ht="15" customHeight="1" x14ac:dyDescent="0.3">
      <c r="L353" t="str">
        <f t="shared" si="9"/>
        <v/>
      </c>
      <c r="O353" s="51"/>
    </row>
    <row r="354" spans="12:15" ht="15" customHeight="1" x14ac:dyDescent="0.3">
      <c r="L354" t="str">
        <f t="shared" si="9"/>
        <v/>
      </c>
      <c r="O354" s="51"/>
    </row>
    <row r="355" spans="12:15" ht="15" customHeight="1" x14ac:dyDescent="0.3">
      <c r="L355" t="str">
        <f t="shared" si="9"/>
        <v/>
      </c>
      <c r="O355" s="51"/>
    </row>
    <row r="356" spans="12:15" ht="15" customHeight="1" x14ac:dyDescent="0.3">
      <c r="L356" t="str">
        <f t="shared" si="9"/>
        <v/>
      </c>
      <c r="O356" s="51"/>
    </row>
    <row r="357" spans="12:15" ht="15" customHeight="1" x14ac:dyDescent="0.3">
      <c r="L357" t="str">
        <f t="shared" si="9"/>
        <v/>
      </c>
      <c r="O357" s="51"/>
    </row>
    <row r="358" spans="12:15" ht="15" customHeight="1" x14ac:dyDescent="0.3">
      <c r="L358" t="str">
        <f t="shared" si="9"/>
        <v/>
      </c>
      <c r="O358" s="51"/>
    </row>
    <row r="359" spans="12:15" ht="15" customHeight="1" x14ac:dyDescent="0.3">
      <c r="L359" t="str">
        <f t="shared" si="9"/>
        <v/>
      </c>
      <c r="O359" s="51"/>
    </row>
    <row r="360" spans="12:15" ht="15" customHeight="1" x14ac:dyDescent="0.3">
      <c r="L360" t="str">
        <f t="shared" si="9"/>
        <v/>
      </c>
      <c r="O360" s="51"/>
    </row>
    <row r="361" spans="12:15" ht="15" customHeight="1" x14ac:dyDescent="0.3">
      <c r="L361" t="str">
        <f t="shared" si="9"/>
        <v/>
      </c>
      <c r="O361" s="51"/>
    </row>
    <row r="362" spans="12:15" ht="15" customHeight="1" x14ac:dyDescent="0.3">
      <c r="L362" t="str">
        <f t="shared" si="9"/>
        <v/>
      </c>
      <c r="O362" s="51"/>
    </row>
    <row r="363" spans="12:15" ht="15" customHeight="1" x14ac:dyDescent="0.3">
      <c r="L363" t="str">
        <f t="shared" si="9"/>
        <v/>
      </c>
      <c r="O363" s="51"/>
    </row>
    <row r="364" spans="12:15" ht="15" customHeight="1" x14ac:dyDescent="0.3">
      <c r="L364" t="str">
        <f t="shared" si="9"/>
        <v/>
      </c>
      <c r="O364" s="51"/>
    </row>
    <row r="365" spans="12:15" ht="15" customHeight="1" x14ac:dyDescent="0.3">
      <c r="L365" t="str">
        <f t="shared" si="9"/>
        <v/>
      </c>
      <c r="O365" s="51"/>
    </row>
    <row r="366" spans="12:15" ht="15" customHeight="1" x14ac:dyDescent="0.3">
      <c r="L366" t="str">
        <f t="shared" si="9"/>
        <v/>
      </c>
      <c r="O366" s="51"/>
    </row>
    <row r="367" spans="12:15" ht="15" customHeight="1" x14ac:dyDescent="0.3">
      <c r="L367" t="str">
        <f t="shared" si="9"/>
        <v/>
      </c>
      <c r="O367" s="51"/>
    </row>
    <row r="368" spans="12:15" ht="15" customHeight="1" x14ac:dyDescent="0.3">
      <c r="L368" t="str">
        <f t="shared" si="9"/>
        <v/>
      </c>
      <c r="O368" s="51"/>
    </row>
    <row r="369" spans="12:15" ht="15" customHeight="1" x14ac:dyDescent="0.3">
      <c r="L369" t="str">
        <f t="shared" si="9"/>
        <v/>
      </c>
      <c r="O369" s="51"/>
    </row>
    <row r="370" spans="12:15" ht="15" customHeight="1" x14ac:dyDescent="0.3">
      <c r="L370" t="str">
        <f t="shared" si="9"/>
        <v/>
      </c>
      <c r="O370" s="51"/>
    </row>
    <row r="371" spans="12:15" ht="15" customHeight="1" x14ac:dyDescent="0.3">
      <c r="L371" t="str">
        <f t="shared" si="9"/>
        <v/>
      </c>
      <c r="O371" s="51"/>
    </row>
    <row r="372" spans="12:15" ht="15" customHeight="1" x14ac:dyDescent="0.3">
      <c r="L372" t="str">
        <f t="shared" si="9"/>
        <v/>
      </c>
      <c r="O372" s="51"/>
    </row>
    <row r="373" spans="12:15" ht="15" customHeight="1" x14ac:dyDescent="0.3">
      <c r="L373" t="str">
        <f t="shared" si="9"/>
        <v/>
      </c>
      <c r="O373" s="51"/>
    </row>
    <row r="374" spans="12:15" ht="15" customHeight="1" x14ac:dyDescent="0.3">
      <c r="L374" t="str">
        <f t="shared" si="9"/>
        <v/>
      </c>
      <c r="O374" s="51"/>
    </row>
    <row r="375" spans="12:15" ht="15" customHeight="1" x14ac:dyDescent="0.3">
      <c r="L375" t="str">
        <f t="shared" si="9"/>
        <v/>
      </c>
      <c r="O375" s="51"/>
    </row>
    <row r="376" spans="12:15" ht="15" customHeight="1" x14ac:dyDescent="0.3">
      <c r="L376" t="str">
        <f t="shared" si="9"/>
        <v/>
      </c>
      <c r="O376" s="51"/>
    </row>
    <row r="377" spans="12:15" ht="15" customHeight="1" x14ac:dyDescent="0.3">
      <c r="L377" t="str">
        <f t="shared" si="9"/>
        <v/>
      </c>
      <c r="O377" s="51"/>
    </row>
    <row r="378" spans="12:15" ht="15" customHeight="1" x14ac:dyDescent="0.3">
      <c r="L378" t="str">
        <f t="shared" si="9"/>
        <v/>
      </c>
      <c r="O378" s="51"/>
    </row>
    <row r="379" spans="12:15" ht="15" customHeight="1" x14ac:dyDescent="0.3">
      <c r="L379" t="str">
        <f t="shared" si="9"/>
        <v/>
      </c>
      <c r="O379" s="51"/>
    </row>
    <row r="380" spans="12:15" ht="15" customHeight="1" x14ac:dyDescent="0.3">
      <c r="L380" t="str">
        <f t="shared" si="9"/>
        <v/>
      </c>
      <c r="O380" s="51"/>
    </row>
    <row r="381" spans="12:15" ht="15" customHeight="1" x14ac:dyDescent="0.3">
      <c r="L381" t="str">
        <f t="shared" si="9"/>
        <v/>
      </c>
      <c r="O381" s="51"/>
    </row>
    <row r="382" spans="12:15" ht="15" customHeight="1" x14ac:dyDescent="0.3">
      <c r="L382" t="str">
        <f t="shared" si="9"/>
        <v/>
      </c>
      <c r="O382" s="51"/>
    </row>
    <row r="383" spans="12:15" ht="15" customHeight="1" x14ac:dyDescent="0.3">
      <c r="L383" t="str">
        <f t="shared" si="9"/>
        <v/>
      </c>
      <c r="O383" s="51"/>
    </row>
    <row r="384" spans="12:15" ht="15" customHeight="1" x14ac:dyDescent="0.3">
      <c r="L384" t="str">
        <f t="shared" si="9"/>
        <v/>
      </c>
      <c r="O384" s="51"/>
    </row>
    <row r="385" spans="12:15" ht="15" customHeight="1" x14ac:dyDescent="0.3">
      <c r="L385" t="str">
        <f t="shared" si="9"/>
        <v/>
      </c>
      <c r="O385" s="51"/>
    </row>
    <row r="386" spans="12:15" ht="15" customHeight="1" x14ac:dyDescent="0.3">
      <c r="L386" t="str">
        <f t="shared" si="9"/>
        <v/>
      </c>
      <c r="O386" s="51"/>
    </row>
    <row r="387" spans="12:15" ht="15" customHeight="1" x14ac:dyDescent="0.3">
      <c r="L387" t="str">
        <f t="shared" si="9"/>
        <v/>
      </c>
      <c r="O387" s="51"/>
    </row>
    <row r="388" spans="12:15" ht="15" customHeight="1" x14ac:dyDescent="0.3">
      <c r="L388" t="str">
        <f t="shared" ref="L388:L451" si="10">IF($A388="","",K388*D388)</f>
        <v/>
      </c>
      <c r="O388" s="51"/>
    </row>
    <row r="389" spans="12:15" ht="15" customHeight="1" x14ac:dyDescent="0.3">
      <c r="L389" t="str">
        <f t="shared" si="10"/>
        <v/>
      </c>
      <c r="O389" s="51"/>
    </row>
    <row r="390" spans="12:15" ht="15" customHeight="1" x14ac:dyDescent="0.3">
      <c r="L390" t="str">
        <f t="shared" si="10"/>
        <v/>
      </c>
      <c r="O390" s="51"/>
    </row>
    <row r="391" spans="12:15" ht="15" customHeight="1" x14ac:dyDescent="0.3">
      <c r="L391" t="str">
        <f t="shared" si="10"/>
        <v/>
      </c>
      <c r="O391" s="51"/>
    </row>
    <row r="392" spans="12:15" ht="15" customHeight="1" x14ac:dyDescent="0.3">
      <c r="L392" t="str">
        <f t="shared" si="10"/>
        <v/>
      </c>
      <c r="O392" s="51"/>
    </row>
    <row r="393" spans="12:15" ht="15" customHeight="1" x14ac:dyDescent="0.3">
      <c r="L393" t="str">
        <f t="shared" si="10"/>
        <v/>
      </c>
      <c r="O393" s="51"/>
    </row>
    <row r="394" spans="12:15" ht="15" customHeight="1" x14ac:dyDescent="0.3">
      <c r="L394" t="str">
        <f t="shared" si="10"/>
        <v/>
      </c>
      <c r="O394" s="51"/>
    </row>
    <row r="395" spans="12:15" ht="15" customHeight="1" x14ac:dyDescent="0.3">
      <c r="L395" t="str">
        <f t="shared" si="10"/>
        <v/>
      </c>
      <c r="O395" s="51"/>
    </row>
    <row r="396" spans="12:15" ht="15" customHeight="1" x14ac:dyDescent="0.3">
      <c r="L396" t="str">
        <f t="shared" si="10"/>
        <v/>
      </c>
      <c r="O396" s="51"/>
    </row>
    <row r="397" spans="12:15" ht="15" customHeight="1" x14ac:dyDescent="0.3">
      <c r="L397" t="str">
        <f t="shared" si="10"/>
        <v/>
      </c>
      <c r="O397" s="51"/>
    </row>
    <row r="398" spans="12:15" ht="15" customHeight="1" x14ac:dyDescent="0.3">
      <c r="L398" t="str">
        <f t="shared" si="10"/>
        <v/>
      </c>
      <c r="O398" s="51"/>
    </row>
    <row r="399" spans="12:15" ht="15" customHeight="1" x14ac:dyDescent="0.3">
      <c r="L399" t="str">
        <f t="shared" si="10"/>
        <v/>
      </c>
      <c r="O399" s="51"/>
    </row>
    <row r="400" spans="12:15" ht="15" customHeight="1" x14ac:dyDescent="0.3">
      <c r="L400" t="str">
        <f t="shared" si="10"/>
        <v/>
      </c>
      <c r="O400" s="51"/>
    </row>
    <row r="401" spans="12:15" ht="15" customHeight="1" x14ac:dyDescent="0.3">
      <c r="L401" t="str">
        <f t="shared" si="10"/>
        <v/>
      </c>
      <c r="O401" s="51"/>
    </row>
    <row r="402" spans="12:15" ht="15" customHeight="1" x14ac:dyDescent="0.3">
      <c r="L402" t="str">
        <f t="shared" si="10"/>
        <v/>
      </c>
      <c r="O402" s="51"/>
    </row>
    <row r="403" spans="12:15" ht="15" customHeight="1" x14ac:dyDescent="0.3">
      <c r="L403" t="str">
        <f t="shared" si="10"/>
        <v/>
      </c>
      <c r="O403" s="51"/>
    </row>
    <row r="404" spans="12:15" ht="15" customHeight="1" x14ac:dyDescent="0.3">
      <c r="L404" t="str">
        <f t="shared" si="10"/>
        <v/>
      </c>
      <c r="O404" s="51"/>
    </row>
    <row r="405" spans="12:15" ht="15" customHeight="1" x14ac:dyDescent="0.3">
      <c r="L405" t="str">
        <f t="shared" si="10"/>
        <v/>
      </c>
      <c r="O405" s="51"/>
    </row>
    <row r="406" spans="12:15" ht="15" customHeight="1" x14ac:dyDescent="0.3">
      <c r="L406" t="str">
        <f t="shared" si="10"/>
        <v/>
      </c>
      <c r="O406" s="51"/>
    </row>
    <row r="407" spans="12:15" ht="15" customHeight="1" x14ac:dyDescent="0.3">
      <c r="L407" t="str">
        <f t="shared" si="10"/>
        <v/>
      </c>
      <c r="O407" s="51"/>
    </row>
    <row r="408" spans="12:15" ht="15" customHeight="1" x14ac:dyDescent="0.3">
      <c r="L408" t="str">
        <f t="shared" si="10"/>
        <v/>
      </c>
      <c r="O408" s="51"/>
    </row>
    <row r="409" spans="12:15" ht="15" customHeight="1" x14ac:dyDescent="0.3">
      <c r="L409" t="str">
        <f t="shared" si="10"/>
        <v/>
      </c>
      <c r="O409" s="51"/>
    </row>
    <row r="410" spans="12:15" ht="15" customHeight="1" x14ac:dyDescent="0.3">
      <c r="L410" t="str">
        <f t="shared" si="10"/>
        <v/>
      </c>
      <c r="O410" s="51"/>
    </row>
    <row r="411" spans="12:15" ht="15" customHeight="1" x14ac:dyDescent="0.3">
      <c r="L411" t="str">
        <f t="shared" si="10"/>
        <v/>
      </c>
      <c r="O411" s="51"/>
    </row>
    <row r="412" spans="12:15" ht="15" customHeight="1" x14ac:dyDescent="0.3">
      <c r="L412" t="str">
        <f t="shared" si="10"/>
        <v/>
      </c>
      <c r="O412" s="51"/>
    </row>
    <row r="413" spans="12:15" ht="15" customHeight="1" x14ac:dyDescent="0.3">
      <c r="L413" t="str">
        <f t="shared" si="10"/>
        <v/>
      </c>
      <c r="O413" s="51"/>
    </row>
    <row r="414" spans="12:15" ht="15" customHeight="1" x14ac:dyDescent="0.3">
      <c r="L414" t="str">
        <f t="shared" si="10"/>
        <v/>
      </c>
      <c r="O414" s="51"/>
    </row>
    <row r="415" spans="12:15" ht="15" customHeight="1" x14ac:dyDescent="0.3">
      <c r="L415" t="str">
        <f t="shared" si="10"/>
        <v/>
      </c>
      <c r="O415" s="51"/>
    </row>
    <row r="416" spans="12:15" ht="15" customHeight="1" x14ac:dyDescent="0.3">
      <c r="L416" t="str">
        <f t="shared" si="10"/>
        <v/>
      </c>
      <c r="O416" s="51"/>
    </row>
    <row r="417" spans="12:15" ht="15" customHeight="1" x14ac:dyDescent="0.3">
      <c r="L417" t="str">
        <f t="shared" si="10"/>
        <v/>
      </c>
      <c r="O417" s="51"/>
    </row>
    <row r="418" spans="12:15" ht="15" customHeight="1" x14ac:dyDescent="0.3">
      <c r="L418" t="str">
        <f t="shared" si="10"/>
        <v/>
      </c>
      <c r="O418" s="51"/>
    </row>
    <row r="419" spans="12:15" ht="15" customHeight="1" x14ac:dyDescent="0.3">
      <c r="L419" t="str">
        <f t="shared" si="10"/>
        <v/>
      </c>
      <c r="O419" s="51"/>
    </row>
    <row r="420" spans="12:15" ht="15" customHeight="1" x14ac:dyDescent="0.3">
      <c r="L420" t="str">
        <f t="shared" si="10"/>
        <v/>
      </c>
      <c r="O420" s="51"/>
    </row>
    <row r="421" spans="12:15" ht="15" customHeight="1" x14ac:dyDescent="0.3">
      <c r="L421" t="str">
        <f t="shared" si="10"/>
        <v/>
      </c>
      <c r="O421" s="51"/>
    </row>
    <row r="422" spans="12:15" ht="15" customHeight="1" x14ac:dyDescent="0.3">
      <c r="L422" t="str">
        <f t="shared" si="10"/>
        <v/>
      </c>
      <c r="O422" s="51"/>
    </row>
    <row r="423" spans="12:15" ht="15" customHeight="1" x14ac:dyDescent="0.3">
      <c r="L423" t="str">
        <f t="shared" si="10"/>
        <v/>
      </c>
      <c r="O423" s="51"/>
    </row>
    <row r="424" spans="12:15" ht="15" customHeight="1" x14ac:dyDescent="0.3">
      <c r="L424" t="str">
        <f t="shared" si="10"/>
        <v/>
      </c>
      <c r="O424" s="51"/>
    </row>
    <row r="425" spans="12:15" ht="15" customHeight="1" x14ac:dyDescent="0.3">
      <c r="L425" t="str">
        <f t="shared" si="10"/>
        <v/>
      </c>
      <c r="O425" s="51"/>
    </row>
    <row r="426" spans="12:15" ht="15" customHeight="1" x14ac:dyDescent="0.3">
      <c r="L426" t="str">
        <f t="shared" si="10"/>
        <v/>
      </c>
      <c r="O426" s="51"/>
    </row>
    <row r="427" spans="12:15" ht="15" customHeight="1" x14ac:dyDescent="0.3">
      <c r="L427" t="str">
        <f t="shared" si="10"/>
        <v/>
      </c>
      <c r="O427" s="51"/>
    </row>
    <row r="428" spans="12:15" ht="15" customHeight="1" x14ac:dyDescent="0.3">
      <c r="L428" t="str">
        <f t="shared" si="10"/>
        <v/>
      </c>
      <c r="O428" s="51"/>
    </row>
    <row r="429" spans="12:15" ht="15" customHeight="1" x14ac:dyDescent="0.3">
      <c r="L429" t="str">
        <f t="shared" si="10"/>
        <v/>
      </c>
      <c r="O429" s="51"/>
    </row>
    <row r="430" spans="12:15" ht="15" customHeight="1" x14ac:dyDescent="0.3">
      <c r="L430" t="str">
        <f t="shared" si="10"/>
        <v/>
      </c>
      <c r="O430" s="51"/>
    </row>
    <row r="431" spans="12:15" ht="15" customHeight="1" x14ac:dyDescent="0.3">
      <c r="L431" t="str">
        <f t="shared" si="10"/>
        <v/>
      </c>
      <c r="O431" s="51"/>
    </row>
    <row r="432" spans="12:15" ht="15" customHeight="1" x14ac:dyDescent="0.3">
      <c r="L432" t="str">
        <f t="shared" si="10"/>
        <v/>
      </c>
      <c r="O432" s="51"/>
    </row>
    <row r="433" spans="12:15" ht="15" customHeight="1" x14ac:dyDescent="0.3">
      <c r="L433" t="str">
        <f t="shared" si="10"/>
        <v/>
      </c>
      <c r="O433" s="51"/>
    </row>
    <row r="434" spans="12:15" ht="15" customHeight="1" x14ac:dyDescent="0.3">
      <c r="L434" t="str">
        <f t="shared" si="10"/>
        <v/>
      </c>
      <c r="O434" s="51"/>
    </row>
    <row r="435" spans="12:15" ht="15" customHeight="1" x14ac:dyDescent="0.3">
      <c r="L435" t="str">
        <f t="shared" si="10"/>
        <v/>
      </c>
      <c r="O435" s="51"/>
    </row>
    <row r="436" spans="12:15" ht="15" customHeight="1" x14ac:dyDescent="0.3">
      <c r="L436" t="str">
        <f t="shared" si="10"/>
        <v/>
      </c>
      <c r="O436" s="51"/>
    </row>
    <row r="437" spans="12:15" ht="15" customHeight="1" x14ac:dyDescent="0.3">
      <c r="L437" t="str">
        <f t="shared" si="10"/>
        <v/>
      </c>
      <c r="O437" s="51"/>
    </row>
    <row r="438" spans="12:15" ht="15" customHeight="1" x14ac:dyDescent="0.3">
      <c r="L438" t="str">
        <f t="shared" si="10"/>
        <v/>
      </c>
      <c r="O438" s="51"/>
    </row>
    <row r="439" spans="12:15" ht="15" customHeight="1" x14ac:dyDescent="0.3">
      <c r="L439" t="str">
        <f t="shared" si="10"/>
        <v/>
      </c>
      <c r="O439" s="51"/>
    </row>
    <row r="440" spans="12:15" ht="15" customHeight="1" x14ac:dyDescent="0.3">
      <c r="L440" t="str">
        <f t="shared" si="10"/>
        <v/>
      </c>
      <c r="O440" s="51"/>
    </row>
    <row r="441" spans="12:15" ht="15" customHeight="1" x14ac:dyDescent="0.3">
      <c r="L441" t="str">
        <f t="shared" si="10"/>
        <v/>
      </c>
      <c r="O441" s="51"/>
    </row>
    <row r="442" spans="12:15" ht="15" customHeight="1" x14ac:dyDescent="0.3">
      <c r="L442" t="str">
        <f t="shared" si="10"/>
        <v/>
      </c>
      <c r="O442" s="51"/>
    </row>
    <row r="443" spans="12:15" ht="15" customHeight="1" x14ac:dyDescent="0.3">
      <c r="L443" t="str">
        <f t="shared" si="10"/>
        <v/>
      </c>
      <c r="O443" s="51"/>
    </row>
    <row r="444" spans="12:15" ht="15" customHeight="1" x14ac:dyDescent="0.3">
      <c r="L444" t="str">
        <f t="shared" si="10"/>
        <v/>
      </c>
      <c r="O444" s="51"/>
    </row>
    <row r="445" spans="12:15" ht="15" customHeight="1" x14ac:dyDescent="0.3">
      <c r="L445" t="str">
        <f t="shared" si="10"/>
        <v/>
      </c>
      <c r="O445" s="51"/>
    </row>
    <row r="446" spans="12:15" ht="15" customHeight="1" x14ac:dyDescent="0.3">
      <c r="L446" t="str">
        <f t="shared" si="10"/>
        <v/>
      </c>
      <c r="O446" s="51"/>
    </row>
    <row r="447" spans="12:15" ht="15" customHeight="1" x14ac:dyDescent="0.3">
      <c r="L447" t="str">
        <f t="shared" si="10"/>
        <v/>
      </c>
      <c r="O447" s="51"/>
    </row>
    <row r="448" spans="12:15" ht="15" customHeight="1" x14ac:dyDescent="0.3">
      <c r="L448" t="str">
        <f t="shared" si="10"/>
        <v/>
      </c>
      <c r="O448" s="51"/>
    </row>
    <row r="449" spans="12:15" ht="15" customHeight="1" x14ac:dyDescent="0.3">
      <c r="L449" t="str">
        <f t="shared" si="10"/>
        <v/>
      </c>
      <c r="O449" s="51"/>
    </row>
    <row r="450" spans="12:15" ht="15" customHeight="1" x14ac:dyDescent="0.3">
      <c r="L450" t="str">
        <f t="shared" si="10"/>
        <v/>
      </c>
      <c r="O450" s="51"/>
    </row>
    <row r="451" spans="12:15" ht="15" customHeight="1" x14ac:dyDescent="0.3">
      <c r="L451" t="str">
        <f t="shared" si="10"/>
        <v/>
      </c>
      <c r="O451" s="51"/>
    </row>
    <row r="452" spans="12:15" ht="15" customHeight="1" x14ac:dyDescent="0.3">
      <c r="L452" t="str">
        <f t="shared" ref="L452:L515" si="11">IF($A452="","",K452*D452)</f>
        <v/>
      </c>
      <c r="O452" s="51"/>
    </row>
    <row r="453" spans="12:15" ht="15" customHeight="1" x14ac:dyDescent="0.3">
      <c r="L453" t="str">
        <f t="shared" si="11"/>
        <v/>
      </c>
      <c r="O453" s="51"/>
    </row>
    <row r="454" spans="12:15" ht="15" customHeight="1" x14ac:dyDescent="0.3">
      <c r="L454" t="str">
        <f t="shared" si="11"/>
        <v/>
      </c>
      <c r="O454" s="51"/>
    </row>
    <row r="455" spans="12:15" ht="15" customHeight="1" x14ac:dyDescent="0.3">
      <c r="L455" t="str">
        <f t="shared" si="11"/>
        <v/>
      </c>
      <c r="O455" s="51"/>
    </row>
    <row r="456" spans="12:15" ht="15" customHeight="1" x14ac:dyDescent="0.3">
      <c r="L456" t="str">
        <f t="shared" si="11"/>
        <v/>
      </c>
      <c r="O456" s="51"/>
    </row>
    <row r="457" spans="12:15" ht="15" customHeight="1" x14ac:dyDescent="0.3">
      <c r="L457" t="str">
        <f t="shared" si="11"/>
        <v/>
      </c>
      <c r="O457" s="51"/>
    </row>
    <row r="458" spans="12:15" ht="15" customHeight="1" x14ac:dyDescent="0.3">
      <c r="L458" t="str">
        <f t="shared" si="11"/>
        <v/>
      </c>
      <c r="O458" s="51"/>
    </row>
    <row r="459" spans="12:15" ht="15" customHeight="1" x14ac:dyDescent="0.3">
      <c r="L459" t="str">
        <f t="shared" si="11"/>
        <v/>
      </c>
      <c r="O459" s="51"/>
    </row>
    <row r="460" spans="12:15" ht="15" customHeight="1" x14ac:dyDescent="0.3">
      <c r="L460" t="str">
        <f t="shared" si="11"/>
        <v/>
      </c>
      <c r="O460" s="51"/>
    </row>
    <row r="461" spans="12:15" ht="15" customHeight="1" x14ac:dyDescent="0.3">
      <c r="L461" t="str">
        <f t="shared" si="11"/>
        <v/>
      </c>
      <c r="O461" s="51"/>
    </row>
    <row r="462" spans="12:15" ht="15" customHeight="1" x14ac:dyDescent="0.3">
      <c r="L462" t="str">
        <f t="shared" si="11"/>
        <v/>
      </c>
      <c r="O462" s="51"/>
    </row>
    <row r="463" spans="12:15" ht="15" customHeight="1" x14ac:dyDescent="0.3">
      <c r="L463" t="str">
        <f t="shared" si="11"/>
        <v/>
      </c>
      <c r="O463" s="51"/>
    </row>
    <row r="464" spans="12:15" ht="15" customHeight="1" x14ac:dyDescent="0.3">
      <c r="L464" t="str">
        <f t="shared" si="11"/>
        <v/>
      </c>
      <c r="O464" s="51"/>
    </row>
    <row r="465" spans="12:15" ht="15" customHeight="1" x14ac:dyDescent="0.3">
      <c r="L465" t="str">
        <f t="shared" si="11"/>
        <v/>
      </c>
      <c r="O465" s="51"/>
    </row>
    <row r="466" spans="12:15" ht="15" customHeight="1" x14ac:dyDescent="0.3">
      <c r="L466" t="str">
        <f t="shared" si="11"/>
        <v/>
      </c>
      <c r="O466" s="51"/>
    </row>
    <row r="467" spans="12:15" ht="15" customHeight="1" x14ac:dyDescent="0.3">
      <c r="L467" t="str">
        <f t="shared" si="11"/>
        <v/>
      </c>
      <c r="O467" s="51"/>
    </row>
    <row r="468" spans="12:15" ht="15" customHeight="1" x14ac:dyDescent="0.3">
      <c r="L468" t="str">
        <f t="shared" si="11"/>
        <v/>
      </c>
      <c r="O468" s="51"/>
    </row>
    <row r="469" spans="12:15" ht="15" customHeight="1" x14ac:dyDescent="0.3">
      <c r="L469" t="str">
        <f t="shared" si="11"/>
        <v/>
      </c>
      <c r="O469" s="51"/>
    </row>
    <row r="470" spans="12:15" ht="15" customHeight="1" x14ac:dyDescent="0.3">
      <c r="L470" t="str">
        <f t="shared" si="11"/>
        <v/>
      </c>
      <c r="O470" s="51"/>
    </row>
    <row r="471" spans="12:15" ht="15" customHeight="1" x14ac:dyDescent="0.3">
      <c r="L471" t="str">
        <f t="shared" si="11"/>
        <v/>
      </c>
      <c r="O471" s="51"/>
    </row>
    <row r="472" spans="12:15" ht="15" customHeight="1" x14ac:dyDescent="0.3">
      <c r="L472" t="str">
        <f t="shared" si="11"/>
        <v/>
      </c>
      <c r="O472" s="51"/>
    </row>
    <row r="473" spans="12:15" ht="15" customHeight="1" x14ac:dyDescent="0.3">
      <c r="L473" t="str">
        <f t="shared" si="11"/>
        <v/>
      </c>
      <c r="O473" s="51"/>
    </row>
    <row r="474" spans="12:15" ht="15" customHeight="1" x14ac:dyDescent="0.3">
      <c r="L474" t="str">
        <f t="shared" si="11"/>
        <v/>
      </c>
      <c r="O474" s="51"/>
    </row>
    <row r="475" spans="12:15" ht="15" customHeight="1" x14ac:dyDescent="0.3">
      <c r="L475" t="str">
        <f t="shared" si="11"/>
        <v/>
      </c>
      <c r="O475" s="51"/>
    </row>
    <row r="476" spans="12:15" ht="15" customHeight="1" x14ac:dyDescent="0.3">
      <c r="L476" t="str">
        <f t="shared" si="11"/>
        <v/>
      </c>
      <c r="O476" s="51"/>
    </row>
    <row r="477" spans="12:15" ht="15" customHeight="1" x14ac:dyDescent="0.3">
      <c r="L477" t="str">
        <f t="shared" si="11"/>
        <v/>
      </c>
      <c r="O477" s="51"/>
    </row>
    <row r="478" spans="12:15" ht="15" customHeight="1" x14ac:dyDescent="0.3">
      <c r="L478" t="str">
        <f t="shared" si="11"/>
        <v/>
      </c>
      <c r="O478" s="51"/>
    </row>
    <row r="479" spans="12:15" ht="15" customHeight="1" x14ac:dyDescent="0.3">
      <c r="L479" t="str">
        <f t="shared" si="11"/>
        <v/>
      </c>
      <c r="O479" s="51"/>
    </row>
    <row r="480" spans="12:15" ht="15" customHeight="1" x14ac:dyDescent="0.3">
      <c r="L480" t="str">
        <f t="shared" si="11"/>
        <v/>
      </c>
      <c r="O480" s="51"/>
    </row>
    <row r="481" spans="12:15" ht="15" customHeight="1" x14ac:dyDescent="0.3">
      <c r="L481" t="str">
        <f t="shared" si="11"/>
        <v/>
      </c>
      <c r="O481" s="51"/>
    </row>
    <row r="482" spans="12:15" ht="15" customHeight="1" x14ac:dyDescent="0.3">
      <c r="L482" t="str">
        <f t="shared" si="11"/>
        <v/>
      </c>
      <c r="O482" s="51"/>
    </row>
    <row r="483" spans="12:15" ht="15" customHeight="1" x14ac:dyDescent="0.3">
      <c r="L483" t="str">
        <f t="shared" si="11"/>
        <v/>
      </c>
      <c r="O483" s="51"/>
    </row>
    <row r="484" spans="12:15" ht="15" customHeight="1" x14ac:dyDescent="0.3">
      <c r="L484" t="str">
        <f t="shared" si="11"/>
        <v/>
      </c>
      <c r="O484" s="51"/>
    </row>
    <row r="485" spans="12:15" ht="15" customHeight="1" x14ac:dyDescent="0.3">
      <c r="L485" t="str">
        <f t="shared" si="11"/>
        <v/>
      </c>
      <c r="O485" s="51"/>
    </row>
    <row r="486" spans="12:15" ht="15" customHeight="1" x14ac:dyDescent="0.3">
      <c r="L486" t="str">
        <f t="shared" si="11"/>
        <v/>
      </c>
      <c r="O486" s="51"/>
    </row>
    <row r="487" spans="12:15" ht="15" customHeight="1" x14ac:dyDescent="0.3">
      <c r="L487" t="str">
        <f t="shared" si="11"/>
        <v/>
      </c>
      <c r="O487" s="51"/>
    </row>
    <row r="488" spans="12:15" ht="15" customHeight="1" x14ac:dyDescent="0.3">
      <c r="L488" t="str">
        <f t="shared" si="11"/>
        <v/>
      </c>
      <c r="O488" s="51"/>
    </row>
    <row r="489" spans="12:15" ht="15" customHeight="1" x14ac:dyDescent="0.3">
      <c r="L489" t="str">
        <f t="shared" si="11"/>
        <v/>
      </c>
      <c r="O489" s="51"/>
    </row>
    <row r="490" spans="12:15" ht="15" customHeight="1" x14ac:dyDescent="0.3">
      <c r="L490" t="str">
        <f t="shared" si="11"/>
        <v/>
      </c>
      <c r="O490" s="51"/>
    </row>
    <row r="491" spans="12:15" ht="15" customHeight="1" x14ac:dyDescent="0.3">
      <c r="L491" t="str">
        <f t="shared" si="11"/>
        <v/>
      </c>
      <c r="O491" s="51"/>
    </row>
    <row r="492" spans="12:15" ht="15" customHeight="1" x14ac:dyDescent="0.3">
      <c r="L492" t="str">
        <f t="shared" si="11"/>
        <v/>
      </c>
      <c r="O492" s="51"/>
    </row>
    <row r="493" spans="12:15" ht="15" customHeight="1" x14ac:dyDescent="0.3">
      <c r="L493" t="str">
        <f t="shared" si="11"/>
        <v/>
      </c>
      <c r="O493" s="51"/>
    </row>
    <row r="494" spans="12:15" ht="15" customHeight="1" x14ac:dyDescent="0.3">
      <c r="L494" t="str">
        <f t="shared" si="11"/>
        <v/>
      </c>
      <c r="O494" s="51"/>
    </row>
    <row r="495" spans="12:15" ht="15" customHeight="1" x14ac:dyDescent="0.3">
      <c r="L495" t="str">
        <f t="shared" si="11"/>
        <v/>
      </c>
      <c r="O495" s="51"/>
    </row>
    <row r="496" spans="12:15" ht="15" customHeight="1" x14ac:dyDescent="0.3">
      <c r="L496" t="str">
        <f t="shared" si="11"/>
        <v/>
      </c>
      <c r="O496" s="51"/>
    </row>
    <row r="497" spans="12:15" ht="15" customHeight="1" x14ac:dyDescent="0.3">
      <c r="L497" t="str">
        <f t="shared" si="11"/>
        <v/>
      </c>
      <c r="O497" s="51"/>
    </row>
    <row r="498" spans="12:15" ht="15" customHeight="1" x14ac:dyDescent="0.3">
      <c r="L498" t="str">
        <f t="shared" si="11"/>
        <v/>
      </c>
      <c r="O498" s="51"/>
    </row>
    <row r="499" spans="12:15" ht="15" customHeight="1" x14ac:dyDescent="0.3">
      <c r="L499" t="str">
        <f t="shared" si="11"/>
        <v/>
      </c>
      <c r="O499" s="51"/>
    </row>
    <row r="500" spans="12:15" ht="15" customHeight="1" x14ac:dyDescent="0.3">
      <c r="L500" t="str">
        <f t="shared" si="11"/>
        <v/>
      </c>
      <c r="O500" s="51"/>
    </row>
  </sheetData>
  <conditionalFormatting sqref="P4:BV103">
    <cfRule type="expression" dxfId="43" priority="2">
      <formula>AND($A4&lt;&gt;"",P$3&gt;=INT($J4),P$3&lt;=INT($M4))</formula>
    </cfRule>
  </conditionalFormatting>
  <printOptions horizontalCentered="1"/>
  <pageMargins left="0.7" right="0.7" top="0.75" bottom="0.75" header="0.511811023622047" footer="0.511811023622047"/>
  <pageSetup fitToHeight="0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CG500"/>
  <sheetViews>
    <sheetView zoomScale="70" zoomScaleNormal="70" workbookViewId="0">
      <selection activeCell="BZ20" sqref="BZ20"/>
    </sheetView>
  </sheetViews>
  <sheetFormatPr defaultColWidth="8.6640625" defaultRowHeight="14.4" x14ac:dyDescent="0.3"/>
  <cols>
    <col min="1" max="1" width="6.77734375" bestFit="1" customWidth="1"/>
    <col min="2" max="2" width="4.44140625" bestFit="1" customWidth="1"/>
    <col min="3" max="3" width="5.21875" bestFit="1" customWidth="1"/>
    <col min="4" max="4" width="6.44140625" bestFit="1" customWidth="1"/>
    <col min="5" max="5" width="19.6640625" bestFit="1" customWidth="1"/>
    <col min="6" max="6" width="14.33203125" style="107" customWidth="1"/>
    <col min="7" max="7" width="12.6640625" bestFit="1" customWidth="1"/>
    <col min="8" max="8" width="8.5546875" bestFit="1" customWidth="1"/>
    <col min="9" max="9" width="9.77734375" bestFit="1" customWidth="1"/>
    <col min="10" max="10" width="16.109375" bestFit="1" customWidth="1"/>
    <col min="11" max="11" width="8.88671875" bestFit="1" customWidth="1"/>
    <col min="12" max="12" width="11.6640625" bestFit="1" customWidth="1"/>
    <col min="13" max="13" width="16.109375" bestFit="1" customWidth="1"/>
    <col min="14" max="14" width="13" bestFit="1" customWidth="1"/>
    <col min="15" max="15" width="21.88671875" bestFit="1" customWidth="1"/>
    <col min="16" max="24" width="4.5546875" bestFit="1" customWidth="1"/>
    <col min="25" max="45" width="5.44140625" bestFit="1" customWidth="1"/>
    <col min="46" max="54" width="4.88671875" bestFit="1" customWidth="1"/>
    <col min="55" max="74" width="5.77734375" bestFit="1" customWidth="1"/>
    <col min="75" max="75" width="15.5546875" bestFit="1" customWidth="1"/>
    <col min="76" max="76" width="30.21875" bestFit="1" customWidth="1"/>
    <col min="77" max="77" width="10.5546875" bestFit="1" customWidth="1"/>
    <col min="78" max="78" width="10.21875" bestFit="1" customWidth="1"/>
    <col min="79" max="79" width="9.6640625" bestFit="1" customWidth="1"/>
    <col min="80" max="80" width="10.5546875" bestFit="1" customWidth="1"/>
    <col min="81" max="81" width="10.44140625" bestFit="1" customWidth="1"/>
    <col min="82" max="82" width="10" bestFit="1" customWidth="1"/>
    <col min="83" max="84" width="10.21875" bestFit="1" customWidth="1"/>
    <col min="85" max="85" width="10.109375" bestFit="1" customWidth="1"/>
    <col min="86" max="86" width="12.88671875" customWidth="1"/>
    <col min="87" max="100" width="13" customWidth="1"/>
  </cols>
  <sheetData>
    <row r="1" spans="1:85" ht="15" customHeight="1" x14ac:dyDescent="0.3">
      <c r="D1" s="31"/>
      <c r="E1" s="32"/>
      <c r="F1" s="103"/>
      <c r="G1" s="31"/>
      <c r="H1" s="31"/>
      <c r="I1" s="31"/>
      <c r="J1" s="31"/>
      <c r="K1" s="31"/>
      <c r="L1" s="31"/>
      <c r="M1" s="31"/>
      <c r="N1" s="31"/>
      <c r="BW1" s="31"/>
      <c r="BX1" s="33" t="s">
        <v>250</v>
      </c>
      <c r="BY1" s="31"/>
      <c r="BZ1" s="31"/>
      <c r="CA1" s="31"/>
      <c r="CB1" s="31"/>
      <c r="CC1" s="31"/>
      <c r="CD1" s="31"/>
      <c r="CE1" s="31"/>
      <c r="CF1" s="31"/>
      <c r="CG1" s="31"/>
    </row>
    <row r="2" spans="1:85" ht="15" customHeight="1" x14ac:dyDescent="0.3">
      <c r="D2" s="31"/>
      <c r="E2" s="34"/>
      <c r="F2" s="104"/>
      <c r="G2" s="34"/>
      <c r="H2" s="34"/>
      <c r="I2" s="34"/>
      <c r="J2" s="34"/>
      <c r="K2" s="34"/>
      <c r="L2" s="34"/>
      <c r="M2" s="34"/>
      <c r="N2" s="34"/>
      <c r="Q2" s="35"/>
      <c r="BW2" s="31"/>
      <c r="BX2" s="36" t="s">
        <v>226</v>
      </c>
      <c r="BY2" s="36" t="s">
        <v>227</v>
      </c>
      <c r="BZ2" s="36" t="s">
        <v>228</v>
      </c>
      <c r="CA2" s="36" t="s">
        <v>229</v>
      </c>
      <c r="CB2" s="36" t="s">
        <v>230</v>
      </c>
      <c r="CC2" s="36" t="s">
        <v>231</v>
      </c>
      <c r="CD2" s="36" t="s">
        <v>232</v>
      </c>
      <c r="CE2" s="36" t="s">
        <v>233</v>
      </c>
      <c r="CF2" s="36" t="s">
        <v>234</v>
      </c>
      <c r="CG2" s="36" t="s">
        <v>235</v>
      </c>
    </row>
    <row r="3" spans="1:85" ht="21.6" x14ac:dyDescent="0.3">
      <c r="A3" s="101" t="s">
        <v>2</v>
      </c>
      <c r="B3" s="101" t="s">
        <v>3</v>
      </c>
      <c r="C3" s="101" t="s">
        <v>4</v>
      </c>
      <c r="D3" s="37" t="s">
        <v>236</v>
      </c>
      <c r="E3" s="38" t="s">
        <v>237</v>
      </c>
      <c r="F3" s="39" t="s">
        <v>238</v>
      </c>
      <c r="G3" s="38" t="s">
        <v>239</v>
      </c>
      <c r="H3" s="38" t="s">
        <v>240</v>
      </c>
      <c r="I3" s="40" t="s">
        <v>241</v>
      </c>
      <c r="J3" s="41" t="s">
        <v>242</v>
      </c>
      <c r="K3" s="41" t="s">
        <v>243</v>
      </c>
      <c r="L3" s="41" t="s">
        <v>244</v>
      </c>
      <c r="M3" s="41" t="s">
        <v>245</v>
      </c>
      <c r="N3" s="42" t="s">
        <v>246</v>
      </c>
      <c r="O3" s="102" t="s">
        <v>247</v>
      </c>
      <c r="P3" s="100">
        <v>46113</v>
      </c>
      <c r="Q3" s="100">
        <v>46114</v>
      </c>
      <c r="R3" s="100">
        <v>46115</v>
      </c>
      <c r="S3" s="100">
        <v>46116</v>
      </c>
      <c r="T3" s="100">
        <v>46117</v>
      </c>
      <c r="U3" s="100">
        <v>46118</v>
      </c>
      <c r="V3" s="100">
        <v>46119</v>
      </c>
      <c r="W3" s="100">
        <v>46120</v>
      </c>
      <c r="X3" s="100">
        <v>46121</v>
      </c>
      <c r="Y3" s="100">
        <v>46122</v>
      </c>
      <c r="Z3" s="100">
        <v>46123</v>
      </c>
      <c r="AA3" s="100">
        <v>46124</v>
      </c>
      <c r="AB3" s="100">
        <v>46125</v>
      </c>
      <c r="AC3" s="100">
        <v>46126</v>
      </c>
      <c r="AD3" s="100">
        <v>46127</v>
      </c>
      <c r="AE3" s="100">
        <v>46128</v>
      </c>
      <c r="AF3" s="100">
        <v>46129</v>
      </c>
      <c r="AG3" s="100">
        <v>46130</v>
      </c>
      <c r="AH3" s="100">
        <v>46131</v>
      </c>
      <c r="AI3" s="100">
        <v>46132</v>
      </c>
      <c r="AJ3" s="100">
        <v>46133</v>
      </c>
      <c r="AK3" s="100">
        <v>46134</v>
      </c>
      <c r="AL3" s="100">
        <v>46135</v>
      </c>
      <c r="AM3" s="100">
        <v>46136</v>
      </c>
      <c r="AN3" s="100">
        <v>46137</v>
      </c>
      <c r="AO3" s="100">
        <v>46138</v>
      </c>
      <c r="AP3" s="100">
        <v>46139</v>
      </c>
      <c r="AQ3" s="100">
        <v>46140</v>
      </c>
      <c r="AR3" s="100">
        <v>46141</v>
      </c>
      <c r="AS3" s="100">
        <v>46142</v>
      </c>
      <c r="AT3" s="100">
        <v>46143</v>
      </c>
      <c r="AU3" s="100">
        <v>46144</v>
      </c>
      <c r="AV3" s="100">
        <v>46145</v>
      </c>
      <c r="AW3" s="100">
        <v>46146</v>
      </c>
      <c r="AX3" s="100">
        <v>46147</v>
      </c>
      <c r="AY3" s="100">
        <v>46148</v>
      </c>
      <c r="AZ3" s="100">
        <v>46149</v>
      </c>
      <c r="BA3" s="100">
        <v>46150</v>
      </c>
      <c r="BB3" s="100">
        <v>46151</v>
      </c>
      <c r="BC3" s="100">
        <v>46152</v>
      </c>
      <c r="BD3" s="100">
        <v>46153</v>
      </c>
      <c r="BE3" s="100">
        <v>46154</v>
      </c>
      <c r="BF3" s="100">
        <v>46155</v>
      </c>
      <c r="BG3" s="100">
        <v>46156</v>
      </c>
      <c r="BH3" s="100">
        <v>46157</v>
      </c>
      <c r="BI3" s="100">
        <v>46158</v>
      </c>
      <c r="BJ3" s="100">
        <v>46159</v>
      </c>
      <c r="BK3" s="100">
        <v>46160</v>
      </c>
      <c r="BL3" s="100">
        <v>46161</v>
      </c>
      <c r="BM3" s="100">
        <v>46162</v>
      </c>
      <c r="BN3" s="100">
        <v>46163</v>
      </c>
      <c r="BO3" s="100">
        <v>46164</v>
      </c>
      <c r="BP3" s="100">
        <v>46165</v>
      </c>
      <c r="BQ3" s="100">
        <v>46166</v>
      </c>
      <c r="BR3" s="100">
        <v>46167</v>
      </c>
      <c r="BS3" s="100">
        <v>46168</v>
      </c>
      <c r="BT3" s="100">
        <v>46169</v>
      </c>
      <c r="BU3" s="100">
        <v>46170</v>
      </c>
      <c r="BV3" s="100">
        <v>46171</v>
      </c>
      <c r="BW3" s="45" t="s">
        <v>248</v>
      </c>
      <c r="BX3" s="46">
        <v>1206</v>
      </c>
      <c r="BY3" s="46">
        <v>1580</v>
      </c>
      <c r="BZ3" s="46">
        <v>1320</v>
      </c>
      <c r="CA3" s="46">
        <v>1162</v>
      </c>
      <c r="CB3" s="46">
        <v>1342</v>
      </c>
      <c r="CC3" s="46">
        <v>658</v>
      </c>
      <c r="CD3" s="46">
        <v>670</v>
      </c>
      <c r="CE3" s="46">
        <v>560</v>
      </c>
      <c r="CF3" s="46">
        <v>0</v>
      </c>
      <c r="CG3" s="46">
        <v>0</v>
      </c>
    </row>
    <row r="4" spans="1:85" ht="27.6" customHeight="1" x14ac:dyDescent="0.3">
      <c r="A4" s="10" t="str">
        <f>IF(Job_Master!A4="","",Job_Master!A4)</f>
        <v>BJ-104</v>
      </c>
      <c r="B4" s="10">
        <f>IF($A4="","",Job_Master!B4)</f>
        <v>28</v>
      </c>
      <c r="C4" s="10" t="str">
        <f>IF($A4="","",Job_Master!C4)</f>
        <v>2P</v>
      </c>
      <c r="D4" s="47">
        <f>IF($A4="","",Job_Master!D4)</f>
        <v>2</v>
      </c>
      <c r="E4" s="48" t="str">
        <f>IF($A4="","","SPM-MC-01")</f>
        <v>SPM-MC-01</v>
      </c>
      <c r="F4" s="105" t="str">
        <f>IF($E4="","",IFERROR(VLOOKUP($E4,Machine_List!$B:$G,6,0),""))</f>
        <v>General Workman</v>
      </c>
      <c r="G4" s="49">
        <f>IF($E4="","",IFERROR(VLOOKUP($E4,Machine_List!$B:$C,2,0),""))</f>
        <v>46285</v>
      </c>
      <c r="H4" s="48">
        <f>IF($E4="","",IFERROR(VLOOKUP($E4,Machine_List!$B:$D,3,0),""))</f>
        <v>6</v>
      </c>
      <c r="I4" s="46"/>
      <c r="J4" s="50">
        <f ca="1">IF($A4="","",IF($I4&lt;&gt;"",$I4,MAX(VTL_Plan!$M4,IFERROR(LOOKUP(2,1/($E$3:INDIRECT("E"&amp;(ROW()-1))=$E4),$M$3:INDIRECT("M"&amp;(ROW()-1))),VTL_Plan!$M4))))</f>
        <v>46115.884259259248</v>
      </c>
      <c r="K4" s="48">
        <f>IF($A4="","",IFERROR(VLOOKUP(B4,CHOOSE(MATCH(C4,Settings!$L$4:$L$10,0),OPR_2P!$A$4:$I$18,SEG_6P!$A$4:$I$18,SOL_4P!$A$4:$I$18,RW_2P!$A$4:$I$18,RW2_4P!$A$4:$I$18,FLAP_4P!$A$4:$I$18,TUBE_4P!$A$4:$I$18),2,0),0))</f>
        <v>38</v>
      </c>
      <c r="L4" s="48">
        <f t="shared" ref="L4:L67" si="0">IF($A4="","",K4*D4)</f>
        <v>76</v>
      </c>
      <c r="M4" s="50">
        <f ca="1">IF($A4="","",IF(AND(ISNUMBER(G4),G4&gt;=J4,G4&lt;=(J4+(L4/(IF(F4="Contract Workman",Settings!$K$5,Settings!$K$4))))),J4+(L4/(IF(F4="Contract Workman",Settings!$K$5,Settings!$K$4)))+(H4/(IF(F4="Contract Workman",Settings!$K$5,Settings!$K$4))),J4+(L4/(IF(F4="Contract Workman",Settings!$K$5,Settings!$K$4)))))</f>
        <v>46119.402777777766</v>
      </c>
      <c r="N4" s="48" t="str">
        <f t="shared" ref="N4:N35" ca="1" si="1">IF($A4="","",IF(F4="Contract Workman",IF(AND(MOD(M4,1)&gt;=8/24,MOD(M4,1)&lt;20/24),"Shift S1","Shift S2"),IF(AND(MOD(M4,1)&gt;=7/24,MOD(M4,1)&lt;15/24),"Shift A",IF(AND(MOD(M4,1)&gt;=15/24,MOD(M4,1)&lt;23/24),"Shift B","Shift C"))))</f>
        <v>Shift A</v>
      </c>
      <c r="O4" s="51" t="str">
        <f>IF(B4="","", IF(IFERROR(ISNUMBER(SEARCH(B4, VLOOKUP(E4, Machine_List!$B:$J, 9, 0))), FALSE()), "✅ Machine OK", "❌ Sug: " &amp; IFERROR(INDEX(Machine_List!$B$4:$B$50, MATCH("*"&amp;B4&amp;"*", Machine_List!$J$4:$J$50, 0)), "Check Limits")))</f>
        <v>✅ Machine OK</v>
      </c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2"/>
      <c r="BK4" s="52"/>
      <c r="BL4" s="52"/>
      <c r="BM4" s="52"/>
      <c r="BW4" s="45" t="s">
        <v>249</v>
      </c>
      <c r="BX4" s="46">
        <v>3888</v>
      </c>
      <c r="BY4" s="46">
        <v>4017.6</v>
      </c>
      <c r="BZ4" s="46">
        <v>3888</v>
      </c>
      <c r="CA4" s="46">
        <v>4017.6</v>
      </c>
      <c r="CB4" s="46">
        <v>4017.6</v>
      </c>
      <c r="CC4" s="46">
        <v>3888</v>
      </c>
      <c r="CD4" s="46">
        <v>4017.6</v>
      </c>
      <c r="CE4" s="46">
        <v>3888</v>
      </c>
      <c r="CF4" s="46">
        <v>4017.6</v>
      </c>
      <c r="CG4" s="46">
        <v>4017.6</v>
      </c>
    </row>
    <row r="5" spans="1:85" ht="28.8" customHeight="1" x14ac:dyDescent="0.3">
      <c r="A5" s="10" t="str">
        <f>IF(Job_Master!A5="","",Job_Master!A5)</f>
        <v>BJ-101</v>
      </c>
      <c r="B5" s="10">
        <f>IF($A5="","",Job_Master!B5)</f>
        <v>42</v>
      </c>
      <c r="C5" s="10" t="str">
        <f>IF($A5="","",Job_Master!C5)</f>
        <v>SOL</v>
      </c>
      <c r="D5" s="10">
        <f>IF($A5="","",Job_Master!D5)</f>
        <v>4</v>
      </c>
      <c r="E5" s="48" t="str">
        <f>IF($A5="","","SPM-MC-01")</f>
        <v>SPM-MC-01</v>
      </c>
      <c r="F5" s="106" t="str">
        <f>IF($E5="","",IFERROR(VLOOKUP($E5,Machine_List!$B:$G,6,0),""))</f>
        <v>General Workman</v>
      </c>
      <c r="G5" s="53">
        <f>IF($E5="","",IFERROR(VLOOKUP($E5,Machine_List!$B:$C,2,0),""))</f>
        <v>46285</v>
      </c>
      <c r="H5" s="10">
        <f>IF($E5="","",IFERROR(VLOOKUP($E5,Machine_List!$B:$D,3,0),""))</f>
        <v>6</v>
      </c>
      <c r="I5" s="54"/>
      <c r="J5" s="55">
        <f ca="1">IF($A5="","",IF($I5&lt;&gt;"",$I5,MAX(VTL_Plan!$M5,IFERROR(LOOKUP(2,1/($E$3:INDIRECT("E"&amp;(ROW()-1))=$E5),$M$3:INDIRECT("M"&amp;(ROW()-1))),VTL_Plan!$M5))))</f>
        <v>46121.069444444438</v>
      </c>
      <c r="K5" s="10">
        <f>IF($A5="","",IFERROR(VLOOKUP(B5,CHOOSE(MATCH(C5,Settings!$L$4:$L$10,0),OPR_2P!$A$4:$I$18,SEG_6P!$A$4:$I$18,SOL_4P!$A$4:$I$18,RW_2P!$A$4:$I$18,RW2_4P!$A$4:$I$18,FLAP_4P!$A$4:$I$18,TUBE_4P!$A$4:$I$18),2,0),0))</f>
        <v>54</v>
      </c>
      <c r="L5" s="10">
        <f t="shared" si="0"/>
        <v>216</v>
      </c>
      <c r="M5" s="55">
        <f ca="1">IF($A5="","",IF(AND(ISNUMBER(G5),G5&gt;=J5,G5&lt;=(J5+(L5/(IF(F5="Contract Workman",Settings!$K$5,Settings!$K$4))))),J5+(L5/(IF(F5="Contract Workman",Settings!$K$5,Settings!$K$4)))+(H5/(IF(F5="Contract Workman",Settings!$K$5,Settings!$K$4))),J5+(L5/(IF(F5="Contract Workman",Settings!$K$5,Settings!$K$4)))))</f>
        <v>46131.069444444438</v>
      </c>
      <c r="N5" s="10" t="str">
        <f t="shared" ca="1" si="1"/>
        <v>Shift C</v>
      </c>
      <c r="O5" s="51" t="str">
        <f>IF(B5="","", IF(IFERROR(ISNUMBER(SEARCH(B5, VLOOKUP(E5, Machine_List!$B:$J, 9, 0))), FALSE()), "✅ Machine OK", "❌ Sug: " &amp; IFERROR(INDEX(Machine_List!$B$4:$B$50, MATCH("*"&amp;B5&amp;"*", Machine_List!$J$4:$J$50, 0)), "Check Limits")))</f>
        <v>✅ Machine OK</v>
      </c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  <c r="BD5" s="52"/>
      <c r="BE5" s="52"/>
      <c r="BF5" s="52"/>
      <c r="BG5" s="52"/>
      <c r="BH5" s="52"/>
      <c r="BI5" s="52"/>
      <c r="BJ5" s="52"/>
      <c r="BK5" s="52"/>
      <c r="BL5" s="52"/>
      <c r="BM5" s="52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</row>
    <row r="6" spans="1:85" ht="28.8" customHeight="1" x14ac:dyDescent="0.3">
      <c r="A6" s="10" t="str">
        <f>IF(Job_Master!A6="","",Job_Master!A6)</f>
        <v>BJ-105</v>
      </c>
      <c r="B6" s="10">
        <f>IF($A6="","",Job_Master!B6)</f>
        <v>28</v>
      </c>
      <c r="C6" s="10" t="str">
        <f>IF($A6="","",Job_Master!C6)</f>
        <v>RW</v>
      </c>
      <c r="D6" s="10">
        <f>IF($A6="","",Job_Master!D6)</f>
        <v>2</v>
      </c>
      <c r="E6" s="48" t="str">
        <f>IF($A6="","","SPM-MC-02")</f>
        <v>SPM-MC-02</v>
      </c>
      <c r="F6" s="106" t="str">
        <f>IF($E6="","",IFERROR(VLOOKUP($E6,Machine_List!$B:$G,6,0),""))</f>
        <v>General Workman</v>
      </c>
      <c r="G6" s="53">
        <f>IF($E6="","",IFERROR(VLOOKUP($E6,Machine_List!$B:$C,2,0),""))</f>
        <v>46459</v>
      </c>
      <c r="H6" s="10">
        <f>IF($E6="","",IFERROR(VLOOKUP($E6,Machine_List!$B:$D,3,0),""))</f>
        <v>6</v>
      </c>
      <c r="I6" s="54"/>
      <c r="J6" s="55">
        <f ca="1">IF($A6="","",IF($I6&lt;&gt;"",$I6,MAX(VTL_Plan!$M6,IFERROR(LOOKUP(2,1/($E$3:INDIRECT("E"&amp;(ROW()-1))=$E6),$M$3:INDIRECT("M"&amp;(ROW()-1))),VTL_Plan!$M6))))</f>
        <v>46115.884259259248</v>
      </c>
      <c r="K6" s="10">
        <f>IF($A6="","",IFERROR(VLOOKUP(B6,CHOOSE(MATCH(C6,Settings!$L$4:$L$10,0),OPR_2P!$A$4:$I$18,SEG_6P!$A$4:$I$18,SOL_4P!$A$4:$I$18,RW_2P!$A$4:$I$18,RW2_4P!$A$4:$I$18,FLAP_4P!$A$4:$I$18,TUBE_4P!$A$4:$I$18),2,0),0))</f>
        <v>29</v>
      </c>
      <c r="L6" s="10">
        <f t="shared" si="0"/>
        <v>58</v>
      </c>
      <c r="M6" s="55">
        <f ca="1">IF($A6="","",IF(AND(ISNUMBER(G6),G6&gt;=J6,G6&lt;=(J6+(L6/(IF(F6="Contract Workman",Settings!$K$5,Settings!$K$4))))),J6+(L6/(IF(F6="Contract Workman",Settings!$K$5,Settings!$K$4)))+(H6/(IF(F6="Contract Workman",Settings!$K$5,Settings!$K$4))),J6+(L6/(IF(F6="Contract Workman",Settings!$K$5,Settings!$K$4)))))</f>
        <v>46118.569444444431</v>
      </c>
      <c r="N6" s="10" t="str">
        <f t="shared" ca="1" si="1"/>
        <v>Shift A</v>
      </c>
      <c r="O6" s="51" t="str">
        <f>IF(B6="","", IF(IFERROR(ISNUMBER(SEARCH(B6, VLOOKUP(E6, Machine_List!$B:$J, 9, 0))), FALSE()), "✅ Machine OK", "❌ Sug: " &amp; IFERROR(INDEX(Machine_List!$B$4:$B$50, MATCH("*"&amp;B6&amp;"*", Machine_List!$J$4:$J$50, 0)), "Check Limits")))</f>
        <v>✅ Machine OK</v>
      </c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52"/>
      <c r="BJ6" s="52"/>
      <c r="BK6" s="52"/>
      <c r="BL6" s="52"/>
      <c r="BM6" s="52"/>
    </row>
    <row r="7" spans="1:85" ht="28.8" customHeight="1" x14ac:dyDescent="0.3">
      <c r="A7" s="10" t="str">
        <f>IF(Job_Master!A7="","",Job_Master!A7)</f>
        <v>BJ-100</v>
      </c>
      <c r="B7" s="10">
        <f>IF($A7="","",Job_Master!B7)</f>
        <v>25</v>
      </c>
      <c r="C7" s="10" t="str">
        <f>IF($A7="","",Job_Master!C7)</f>
        <v>SEG</v>
      </c>
      <c r="D7" s="10">
        <f>IF($A7="","",Job_Master!D7)</f>
        <v>6</v>
      </c>
      <c r="E7" s="48" t="str">
        <f>IF($A7="","","SPM-MC-02")</f>
        <v>SPM-MC-02</v>
      </c>
      <c r="F7" s="106" t="str">
        <f>IF($E7="","",IFERROR(VLOOKUP($E7,Machine_List!$B:$G,6,0),""))</f>
        <v>General Workman</v>
      </c>
      <c r="G7" s="53">
        <f>IF($E7="","",IFERROR(VLOOKUP($E7,Machine_List!$B:$C,2,0),""))</f>
        <v>46459</v>
      </c>
      <c r="H7" s="10">
        <f>IF($E7="","",IFERROR(VLOOKUP($E7,Machine_List!$B:$D,3,0),""))</f>
        <v>6</v>
      </c>
      <c r="I7" s="54"/>
      <c r="J7" s="55">
        <f ca="1">IF($A7="","",IF($I7&lt;&gt;"",$I7,MAX(VTL_Plan!$M7,IFERROR(LOOKUP(2,1/($E$3:INDIRECT("E"&amp;(ROW()-1))=$E7),$M$3:INDIRECT("M"&amp;(ROW()-1))),VTL_Plan!$M7))))</f>
        <v>46122.828703703693</v>
      </c>
      <c r="K7" s="10">
        <f>IF($A7="","",IFERROR(VLOOKUP(B7,CHOOSE(MATCH(C7,Settings!$L$4:$L$10,0),OPR_2P!$A$4:$I$18,SEG_6P!$A$4:$I$18,SOL_4P!$A$4:$I$18,RW_2P!$A$4:$I$18,RW2_4P!$A$4:$I$18,FLAP_4P!$A$4:$I$18,TUBE_4P!$A$4:$I$18),2,0),0))</f>
        <v>38</v>
      </c>
      <c r="L7" s="10">
        <f t="shared" si="0"/>
        <v>228</v>
      </c>
      <c r="M7" s="55">
        <f ca="1">IF($A7="","",IF(AND(ISNUMBER(G7),G7&gt;=J7,G7&lt;=(J7+(L7/(IF(F7="Contract Workman",Settings!$K$5,Settings!$K$4))))),J7+(L7/(IF(F7="Contract Workman",Settings!$K$5,Settings!$K$4)))+(H7/(IF(F7="Contract Workman",Settings!$K$5,Settings!$K$4))),J7+(L7/(IF(F7="Contract Workman",Settings!$K$5,Settings!$K$4)))))</f>
        <v>46133.384259259248</v>
      </c>
      <c r="N7" s="10" t="str">
        <f t="shared" ca="1" si="1"/>
        <v>Shift A</v>
      </c>
      <c r="O7" s="51" t="str">
        <f>IF(B7="","", IF(IFERROR(ISNUMBER(SEARCH(B7, VLOOKUP(E7, Machine_List!$B:$J, 9, 0))), FALSE()), "✅ Machine OK", "❌ Sug: " &amp; IFERROR(INDEX(Machine_List!$B$4:$B$50, MATCH("*"&amp;B7&amp;"*", Machine_List!$J$4:$J$50, 0)), "Check Limits")))</f>
        <v>✅ Machine OK</v>
      </c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52"/>
      <c r="BJ7" s="52"/>
      <c r="BK7" s="52"/>
      <c r="BL7" s="52"/>
      <c r="BM7" s="52"/>
    </row>
    <row r="8" spans="1:85" ht="28.8" customHeight="1" x14ac:dyDescent="0.3">
      <c r="A8" s="10" t="str">
        <f>IF(Job_Master!A8="","",Job_Master!A8)</f>
        <v>BJ-102</v>
      </c>
      <c r="B8" s="10">
        <f>IF($A8="","",Job_Master!B8)</f>
        <v>34</v>
      </c>
      <c r="C8" s="10" t="str">
        <f>IF($A8="","",Job_Master!C8)</f>
        <v>SEG</v>
      </c>
      <c r="D8" s="10">
        <f>IF($A8="","",Job_Master!D8)</f>
        <v>6</v>
      </c>
      <c r="E8" s="48" t="str">
        <f>IF($A8="","","SPM-MC-03")</f>
        <v>SPM-MC-03</v>
      </c>
      <c r="F8" s="106" t="str">
        <f>IF($E8="","",IFERROR(VLOOKUP($E8,Machine_List!$B:$G,6,0),""))</f>
        <v>General Workman</v>
      </c>
      <c r="G8" s="53">
        <f>IF($E8="","",IFERROR(VLOOKUP($E8,Machine_List!$B:$C,2,0),""))</f>
        <v>46104</v>
      </c>
      <c r="H8" s="10">
        <f>IF($E8="","",IFERROR(VLOOKUP($E8,Machine_List!$B:$D,3,0),""))</f>
        <v>6</v>
      </c>
      <c r="I8" s="54"/>
      <c r="J8" s="55">
        <f ca="1">IF($A8="","",IF($I8&lt;&gt;"",$I8,MAX(VTL_Plan!$M8,IFERROR(LOOKUP(2,1/($E$3:INDIRECT("E"&amp;(ROW()-1))=$E8),$M$3:INDIRECT("M"&amp;(ROW()-1))),VTL_Plan!$M8))))</f>
        <v>46122.736111111102</v>
      </c>
      <c r="K8" s="10">
        <f>IF($A8="","",IFERROR(VLOOKUP(B8,CHOOSE(MATCH(C8,Settings!$L$4:$L$10,0),OPR_2P!$A$4:$I$18,SEG_6P!$A$4:$I$18,SOL_4P!$A$4:$I$18,RW_2P!$A$4:$I$18,RW2_4P!$A$4:$I$18,FLAP_4P!$A$4:$I$18,TUBE_4P!$A$4:$I$18),2,0),0))</f>
        <v>49</v>
      </c>
      <c r="L8" s="10">
        <f t="shared" si="0"/>
        <v>294</v>
      </c>
      <c r="M8" s="55">
        <f ca="1">IF($A8="","",IF(AND(ISNUMBER(G8),G8&gt;=J8,G8&lt;=(J8+(L8/(IF(F8="Contract Workman",Settings!$K$5,Settings!$K$4))))),J8+(L8/(IF(F8="Contract Workman",Settings!$K$5,Settings!$K$4)))+(H8/(IF(F8="Contract Workman",Settings!$K$5,Settings!$K$4))),J8+(L8/(IF(F8="Contract Workman",Settings!$K$5,Settings!$K$4)))))</f>
        <v>46136.347222222212</v>
      </c>
      <c r="N8" s="10" t="str">
        <f t="shared" ca="1" si="1"/>
        <v>Shift A</v>
      </c>
      <c r="O8" s="51" t="str">
        <f>IF(B8="","", IF(IFERROR(ISNUMBER(SEARCH(B8, VLOOKUP(E8, Machine_List!$B:$J, 9, 0))), FALSE()), "✅ Machine OK", "❌ Sug: " &amp; IFERROR(INDEX(Machine_List!$B$4:$B$50, MATCH("*"&amp;B8&amp;"*", Machine_List!$J$4:$J$50, 0)), "Check Limits")))</f>
        <v>✅ Machine OK</v>
      </c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52"/>
      <c r="BL8" s="52"/>
      <c r="BM8" s="52"/>
    </row>
    <row r="9" spans="1:85" ht="28.8" customHeight="1" x14ac:dyDescent="0.3">
      <c r="A9" s="10" t="str">
        <f>IF(Job_Master!A9="","",Job_Master!A9)</f>
        <v>BJ-103</v>
      </c>
      <c r="B9" s="10">
        <f>IF($A9="","",Job_Master!B9)</f>
        <v>20</v>
      </c>
      <c r="C9" s="10" t="str">
        <f>IF($A9="","",Job_Master!C9)</f>
        <v>RW</v>
      </c>
      <c r="D9" s="10">
        <f>IF($A9="","",Job_Master!D9)</f>
        <v>2</v>
      </c>
      <c r="E9" s="48" t="str">
        <f>IF($A9="","","SPM-MC-04")</f>
        <v>SPM-MC-04</v>
      </c>
      <c r="F9" s="106" t="str">
        <f>IF($E9="","",IFERROR(VLOOKUP($E9,Machine_List!$B:$G,6,0),""))</f>
        <v>General Workman</v>
      </c>
      <c r="G9" s="53">
        <f>IF($E9="","",IFERROR(VLOOKUP($E9,Machine_List!$B:$C,2,0),""))</f>
        <v>46197</v>
      </c>
      <c r="H9" s="10">
        <f>IF($E9="","",IFERROR(VLOOKUP($E9,Machine_List!$B:$D,3,0),""))</f>
        <v>6</v>
      </c>
      <c r="I9" s="54"/>
      <c r="J9" s="55">
        <f ca="1">IF($A9="","",IF($I9&lt;&gt;"",$I9,MAX(VTL_Plan!$M9,IFERROR(LOOKUP(2,1/($E$3:INDIRECT("E"&amp;(ROW()-1))=$E9),$M$3:INDIRECT("M"&amp;(ROW()-1))),VTL_Plan!$M9))))</f>
        <v>46117.736111111102</v>
      </c>
      <c r="K9" s="10">
        <f>IF($A9="","",IFERROR(VLOOKUP(B9,CHOOSE(MATCH(C9,Settings!$L$4:$L$10,0),OPR_2P!$A$4:$I$18,SEG_6P!$A$4:$I$18,SOL_4P!$A$4:$I$18,RW_2P!$A$4:$I$18,RW2_4P!$A$4:$I$18,FLAP_4P!$A$4:$I$18,TUBE_4P!$A$4:$I$18),2,0),0))</f>
        <v>32</v>
      </c>
      <c r="L9" s="10">
        <f t="shared" si="0"/>
        <v>64</v>
      </c>
      <c r="M9" s="55">
        <f ca="1">IF($A9="","",IF(AND(ISNUMBER(G9),G9&gt;=J9,G9&lt;=(J9+(L9/(IF(F9="Contract Workman",Settings!$K$5,Settings!$K$4))))),J9+(L9/(IF(F9="Contract Workman",Settings!$K$5,Settings!$K$4)))+(H9/(IF(F9="Contract Workman",Settings!$K$5,Settings!$K$4))),J9+(L9/(IF(F9="Contract Workman",Settings!$K$5,Settings!$K$4)))))</f>
        <v>46120.699074074066</v>
      </c>
      <c r="N9" s="10" t="str">
        <f t="shared" ca="1" si="1"/>
        <v>Shift B</v>
      </c>
      <c r="O9" s="51" t="str">
        <f>IF(B9="","", IF(IFERROR(ISNUMBER(SEARCH(B9, VLOOKUP(E9, Machine_List!$B:$J, 9, 0))), FALSE()), "✅ Machine OK", "❌ Sug: " &amp; IFERROR(INDEX(Machine_List!$B$4:$B$50, MATCH("*"&amp;B9&amp;"*", Machine_List!$J$4:$J$50, 0)), "Check Limits")))</f>
        <v>✅ Machine OK</v>
      </c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2"/>
      <c r="AQ9" s="52"/>
      <c r="AR9" s="52"/>
      <c r="AS9" s="52"/>
      <c r="AT9" s="52"/>
      <c r="AU9" s="52"/>
      <c r="AV9" s="52"/>
      <c r="AW9" s="52"/>
      <c r="AX9" s="52"/>
      <c r="AY9" s="52"/>
      <c r="AZ9" s="52"/>
      <c r="BA9" s="52"/>
      <c r="BB9" s="52"/>
      <c r="BC9" s="52"/>
      <c r="BD9" s="52"/>
      <c r="BE9" s="52"/>
      <c r="BF9" s="52"/>
      <c r="BG9" s="52"/>
      <c r="BH9" s="52"/>
      <c r="BI9" s="52"/>
      <c r="BJ9" s="52"/>
      <c r="BK9" s="52"/>
      <c r="BL9" s="52"/>
      <c r="BM9" s="52"/>
    </row>
    <row r="10" spans="1:85" ht="28.8" customHeight="1" x14ac:dyDescent="0.3">
      <c r="A10" s="10" t="str">
        <f>IF(Job_Master!A10="","",Job_Master!A10)</f>
        <v>BJ-108</v>
      </c>
      <c r="B10" s="10">
        <f>IF($A10="","",Job_Master!B10)</f>
        <v>70</v>
      </c>
      <c r="C10" s="10" t="str">
        <f>IF($A10="","",Job_Master!C10)</f>
        <v>RW</v>
      </c>
      <c r="D10" s="10">
        <f>IF($A10="","",Job_Master!D10)</f>
        <v>2</v>
      </c>
      <c r="E10" s="48" t="str">
        <f>IF($A10="","","SPM-MC-01")</f>
        <v>SPM-MC-01</v>
      </c>
      <c r="F10" s="106" t="str">
        <f>IF($E10="","",IFERROR(VLOOKUP($E10,Machine_List!$B:$G,6,0),""))</f>
        <v>General Workman</v>
      </c>
      <c r="G10" s="53">
        <f>IF($E10="","",IFERROR(VLOOKUP($E10,Machine_List!$B:$C,2,0),""))</f>
        <v>46285</v>
      </c>
      <c r="H10" s="10">
        <f>IF($E10="","",IFERROR(VLOOKUP($E10,Machine_List!$B:$D,3,0),""))</f>
        <v>6</v>
      </c>
      <c r="I10" s="54"/>
      <c r="J10" s="55">
        <f ca="1">IF($A10="","",IF($I10&lt;&gt;"",$I10,MAX(VTL_Plan!$M10,IFERROR(LOOKUP(2,1/($E$3:INDIRECT("E"&amp;(ROW()-1))=$E10),$M$3:INDIRECT("M"&amp;(ROW()-1))),VTL_Plan!$M10))))</f>
        <v>46131.069444444438</v>
      </c>
      <c r="K10" s="10">
        <f>IF($A10="","",IFERROR(VLOOKUP(B10,CHOOSE(MATCH(C10,Settings!$L$4:$L$10,0),OPR_2P!$A$4:$I$18,SEG_6P!$A$4:$I$18,SOL_4P!$A$4:$I$18,RW_2P!$A$4:$I$18,RW2_4P!$A$4:$I$18,FLAP_4P!$A$4:$I$18,TUBE_4P!$A$4:$I$18),2,0),0))</f>
        <v>100</v>
      </c>
      <c r="L10" s="10">
        <f t="shared" si="0"/>
        <v>200</v>
      </c>
      <c r="M10" s="55">
        <f ca="1">IF($A10="","",IF(AND(ISNUMBER(G10),G10&gt;=J10,G10&lt;=(J10+(L10/(IF(F10="Contract Workman",Settings!$K$5,Settings!$K$4))))),J10+(L10/(IF(F10="Contract Workman",Settings!$K$5,Settings!$K$4)))+(H10/(IF(F10="Contract Workman",Settings!$K$5,Settings!$K$4))),J10+(L10/(IF(F10="Contract Workman",Settings!$K$5,Settings!$K$4)))))</f>
        <v>46140.328703703701</v>
      </c>
      <c r="N10" s="10" t="str">
        <f t="shared" ca="1" si="1"/>
        <v>Shift A</v>
      </c>
      <c r="O10" s="51" t="str">
        <f>IF(B10="","", IF(IFERROR(ISNUMBER(SEARCH(B10, VLOOKUP(E10, Machine_List!$B:$J, 9, 0))), FALSE()), "✅ Machine OK", "❌ Sug: " &amp; IFERROR(INDEX(Machine_List!$B$4:$B$50, MATCH("*"&amp;B10&amp;"*", Machine_List!$J$4:$J$50, 0)), "Check Limits")))</f>
        <v>✅ Machine OK</v>
      </c>
      <c r="P10" s="56"/>
      <c r="Q10" s="57"/>
      <c r="R10" s="57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2"/>
      <c r="BM10" s="52"/>
    </row>
    <row r="11" spans="1:85" ht="28.8" customHeight="1" x14ac:dyDescent="0.3">
      <c r="A11" s="10" t="str">
        <f>IF(Job_Master!A11="","",Job_Master!A11)</f>
        <v>BJ-106</v>
      </c>
      <c r="B11" s="10">
        <f>IF($A11="","",Job_Master!B11)</f>
        <v>15</v>
      </c>
      <c r="C11" s="10" t="str">
        <f>IF($A11="","",Job_Master!C11)</f>
        <v>RW</v>
      </c>
      <c r="D11" s="10">
        <f>IF($A11="","",Job_Master!D11)</f>
        <v>2</v>
      </c>
      <c r="E11" s="48" t="str">
        <f>IF($A11="","","SPM-MC-05")</f>
        <v>SPM-MC-05</v>
      </c>
      <c r="F11" s="106" t="str">
        <f>IF($E11="","",IFERROR(VLOOKUP($E11,Machine_List!$B:$G,6,0),""))</f>
        <v>General Workman</v>
      </c>
      <c r="G11" s="53">
        <f>IF($E11="","",IFERROR(VLOOKUP($E11,Machine_List!$B:$C,2,0),""))</f>
        <v>46271</v>
      </c>
      <c r="H11" s="10">
        <f>IF($E11="","",IFERROR(VLOOKUP($E11,Machine_List!$B:$D,3,0),""))</f>
        <v>6</v>
      </c>
      <c r="I11" s="54"/>
      <c r="J11" s="55">
        <f ca="1">IF($A11="","",IF($I11&lt;&gt;"",$I11,MAX(VTL_Plan!$M11,IFERROR(LOOKUP(2,1/($E$3:INDIRECT("E"&amp;(ROW()-1))=$E11),$M$3:INDIRECT("M"&amp;(ROW()-1))),VTL_Plan!$M11))))</f>
        <v>46119.124999999993</v>
      </c>
      <c r="K11" s="10">
        <f>IF($A11="","",IFERROR(VLOOKUP(B11,CHOOSE(MATCH(C11,Settings!$L$4:$L$10,0),OPR_2P!$A$4:$I$18,SEG_6P!$A$4:$I$18,SOL_4P!$A$4:$I$18,RW_2P!$A$4:$I$18,RW2_4P!$A$4:$I$18,FLAP_4P!$A$4:$I$18,TUBE_4P!$A$4:$I$18),2,0),0))</f>
        <v>15</v>
      </c>
      <c r="L11" s="10">
        <f t="shared" si="0"/>
        <v>30</v>
      </c>
      <c r="M11" s="55">
        <f ca="1">IF($A11="","",IF(AND(ISNUMBER(G11),G11&gt;=J11,G11&lt;=(J11+(L11/(IF(F11="Contract Workman",Settings!$K$5,Settings!$K$4))))),J11+(L11/(IF(F11="Contract Workman",Settings!$K$5,Settings!$K$4)))+(H11/(IF(F11="Contract Workman",Settings!$K$5,Settings!$K$4))),J11+(L11/(IF(F11="Contract Workman",Settings!$K$5,Settings!$K$4)))))</f>
        <v>46120.513888888883</v>
      </c>
      <c r="N11" s="10" t="str">
        <f t="shared" ca="1" si="1"/>
        <v>Shift A</v>
      </c>
      <c r="O11" s="51" t="str">
        <f>IF(B11="","", IF(IFERROR(ISNUMBER(SEARCH(B11, VLOOKUP(E11, Machine_List!$B:$J, 9, 0))), FALSE()), "✅ Machine OK", "❌ Sug: " &amp; IFERROR(INDEX(Machine_List!$B$4:$B$50, MATCH("*"&amp;B11&amp;"*", Machine_List!$J$4:$J$50, 0)), "Check Limits")))</f>
        <v>✅ Machine OK</v>
      </c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  <c r="BM11" s="52"/>
    </row>
    <row r="12" spans="1:85" ht="28.8" customHeight="1" x14ac:dyDescent="0.3">
      <c r="A12" s="10" t="str">
        <f>IF(Job_Master!A12="","",Job_Master!A12)</f>
        <v>BJ-109</v>
      </c>
      <c r="B12" s="10">
        <f>IF($A12="","",Job_Master!B12)</f>
        <v>30</v>
      </c>
      <c r="C12" s="10" t="str">
        <f>IF($A12="","",Job_Master!C12)</f>
        <v>RW</v>
      </c>
      <c r="D12" s="10">
        <f>IF($A12="","",Job_Master!D12)</f>
        <v>2</v>
      </c>
      <c r="E12" s="48" t="str">
        <f>IF($A12="","","SPM-MC-04")</f>
        <v>SPM-MC-04</v>
      </c>
      <c r="F12" s="106" t="str">
        <f>IF($E12="","",IFERROR(VLOOKUP($E12,Machine_List!$B:$G,6,0),""))</f>
        <v>General Workman</v>
      </c>
      <c r="G12" s="53">
        <f>IF($E12="","",IFERROR(VLOOKUP($E12,Machine_List!$B:$C,2,0),""))</f>
        <v>46197</v>
      </c>
      <c r="H12" s="10">
        <f>IF($E12="","",IFERROR(VLOOKUP($E12,Machine_List!$B:$D,3,0),""))</f>
        <v>6</v>
      </c>
      <c r="I12" s="54"/>
      <c r="J12" s="55">
        <f ca="1">IF($A12="","",IF($I12&lt;&gt;"",$I12,MAX(VTL_Plan!$M12,IFERROR(LOOKUP(2,1/($E$3:INDIRECT("E"&amp;(ROW()-1))=$E12),$M$3:INDIRECT("M"&amp;(ROW()-1))),VTL_Plan!$M12))))</f>
        <v>46123.847222222219</v>
      </c>
      <c r="K12" s="10">
        <f>IF($A12="","",IFERROR(VLOOKUP(B12,CHOOSE(MATCH(C12,Settings!$L$4:$L$10,0),OPR_2P!$A$4:$I$18,SEG_6P!$A$4:$I$18,SOL_4P!$A$4:$I$18,RW_2P!$A$4:$I$18,RW2_4P!$A$4:$I$18,FLAP_4P!$A$4:$I$18,TUBE_4P!$A$4:$I$18),2,0),0))</f>
        <v>32</v>
      </c>
      <c r="L12" s="10">
        <f t="shared" si="0"/>
        <v>64</v>
      </c>
      <c r="M12" s="55">
        <f ca="1">IF($A12="","",IF(AND(ISNUMBER(G12),G12&gt;=J12,G12&lt;=(J12+(L12/(IF(F12="Contract Workman",Settings!$K$5,Settings!$K$4))))),J12+(L12/(IF(F12="Contract Workman",Settings!$K$5,Settings!$K$4)))+(H12/(IF(F12="Contract Workman",Settings!$K$5,Settings!$K$4))),J12+(L12/(IF(F12="Contract Workman",Settings!$K$5,Settings!$K$4)))))</f>
        <v>46126.810185185182</v>
      </c>
      <c r="N12" s="10" t="str">
        <f t="shared" ca="1" si="1"/>
        <v>Shift B</v>
      </c>
      <c r="O12" s="51" t="str">
        <f>IF(B12="","", IF(IFERROR(ISNUMBER(SEARCH(B12, VLOOKUP(E12, Machine_List!$B:$J, 9, 0))), FALSE()), "✅ Machine OK", "❌ Sug: " &amp; IFERROR(INDEX(Machine_List!$B$4:$B$50, MATCH("*"&amp;B12&amp;"*", Machine_List!$J$4:$J$50, 0)), "Check Limits")))</f>
        <v>✅ Machine OK</v>
      </c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2"/>
      <c r="BD12" s="52"/>
      <c r="BE12" s="52"/>
      <c r="BF12" s="52"/>
      <c r="BG12" s="52"/>
      <c r="BH12" s="52"/>
      <c r="BI12" s="52"/>
      <c r="BJ12" s="52"/>
      <c r="BK12" s="52"/>
      <c r="BL12" s="52"/>
      <c r="BM12" s="52"/>
    </row>
    <row r="13" spans="1:85" ht="28.8" customHeight="1" x14ac:dyDescent="0.3">
      <c r="A13" s="10" t="str">
        <f>IF(Job_Master!A13="","",Job_Master!A13)</f>
        <v>BJ-110</v>
      </c>
      <c r="B13" s="10">
        <f>IF($A13="","",Job_Master!B13)</f>
        <v>17</v>
      </c>
      <c r="C13" s="10" t="str">
        <f>IF($A13="","",Job_Master!C13)</f>
        <v>2P</v>
      </c>
      <c r="D13" s="10">
        <f>IF($A13="","",Job_Master!D13)</f>
        <v>2</v>
      </c>
      <c r="E13" s="48" t="str">
        <f>IF($A13="","","SPM-MC-05")</f>
        <v>SPM-MC-05</v>
      </c>
      <c r="F13" s="106" t="str">
        <f>IF($E13="","",IFERROR(VLOOKUP($E13,Machine_List!$B:$G,6,0),""))</f>
        <v>General Workman</v>
      </c>
      <c r="G13" s="53">
        <f>IF($E13="","",IFERROR(VLOOKUP($E13,Machine_List!$B:$C,2,0),""))</f>
        <v>46271</v>
      </c>
      <c r="H13" s="10">
        <f>IF($E13="","",IFERROR(VLOOKUP($E13,Machine_List!$B:$D,3,0),""))</f>
        <v>6</v>
      </c>
      <c r="I13" s="54"/>
      <c r="J13" s="55">
        <f ca="1">IF($A13="","",IF($I13&lt;&gt;"",$I13,MAX(VTL_Plan!$M13,IFERROR(LOOKUP(2,1/($E$3:INDIRECT("E"&amp;(ROW()-1))=$E13),$M$3:INDIRECT("M"&amp;(ROW()-1))),VTL_Plan!$M13))))</f>
        <v>46120.699074074066</v>
      </c>
      <c r="K13" s="10">
        <f>IF($A13="","",IFERROR(VLOOKUP(B13,CHOOSE(MATCH(C13,Settings!$L$4:$L$10,0),OPR_2P!$A$4:$I$18,SEG_6P!$A$4:$I$18,SOL_4P!$A$4:$I$18,RW_2P!$A$4:$I$18,RW2_4P!$A$4:$I$18,FLAP_4P!$A$4:$I$18,TUBE_4P!$A$4:$I$18),2,0),0))</f>
        <v>20</v>
      </c>
      <c r="L13" s="10">
        <f t="shared" si="0"/>
        <v>40</v>
      </c>
      <c r="M13" s="55">
        <f ca="1">IF($A13="","",IF(AND(ISNUMBER(G13),G13&gt;=J13,G13&lt;=(J13+(L13/(IF(F13="Contract Workman",Settings!$K$5,Settings!$K$4))))),J13+(L13/(IF(F13="Contract Workman",Settings!$K$5,Settings!$K$4)))+(H13/(IF(F13="Contract Workman",Settings!$K$5,Settings!$K$4))),J13+(L13/(IF(F13="Contract Workman",Settings!$K$5,Settings!$K$4)))))</f>
        <v>46122.55092592592</v>
      </c>
      <c r="N13" s="10" t="str">
        <f t="shared" ca="1" si="1"/>
        <v>Shift A</v>
      </c>
      <c r="O13" s="51" t="str">
        <f>IF(B13="","", IF(IFERROR(ISNUMBER(SEARCH(B13, VLOOKUP(E13, Machine_List!$B:$J, 9, 0))), FALSE()), "✅ Machine OK", "❌ Sug: " &amp; IFERROR(INDEX(Machine_List!$B$4:$B$50, MATCH("*"&amp;B13&amp;"*", Machine_List!$J$4:$J$50, 0)), "Check Limits")))</f>
        <v>✅ Machine OK</v>
      </c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2"/>
      <c r="BD13" s="52"/>
      <c r="BE13" s="52"/>
      <c r="BF13" s="52"/>
      <c r="BG13" s="52"/>
      <c r="BH13" s="52"/>
      <c r="BI13" s="52"/>
      <c r="BJ13" s="52"/>
      <c r="BK13" s="52"/>
      <c r="BL13" s="52"/>
      <c r="BM13" s="52"/>
    </row>
    <row r="14" spans="1:85" ht="28.8" customHeight="1" x14ac:dyDescent="0.3">
      <c r="A14" s="10" t="str">
        <f>IF(Job_Master!A14="","",Job_Master!A14)</f>
        <v>BJ-111</v>
      </c>
      <c r="B14" s="10">
        <f>IF($A14="","",Job_Master!B14)</f>
        <v>25</v>
      </c>
      <c r="C14" s="10" t="str">
        <f>IF($A14="","",Job_Master!C14)</f>
        <v>RW</v>
      </c>
      <c r="D14" s="10">
        <f>IF($A14="","",Job_Master!D14)</f>
        <v>2</v>
      </c>
      <c r="E14" s="48" t="str">
        <f>IF($A14="","","SPM-MC-05")</f>
        <v>SPM-MC-05</v>
      </c>
      <c r="F14" s="106" t="str">
        <f>IF($E14="","",IFERROR(VLOOKUP($E14,Machine_List!$B:$G,6,0),""))</f>
        <v>General Workman</v>
      </c>
      <c r="G14" s="53">
        <f>IF($E14="","",IFERROR(VLOOKUP($E14,Machine_List!$B:$C,2,0),""))</f>
        <v>46271</v>
      </c>
      <c r="H14" s="10">
        <f>IF($E14="","",IFERROR(VLOOKUP($E14,Machine_List!$B:$D,3,0),""))</f>
        <v>6</v>
      </c>
      <c r="I14" s="54"/>
      <c r="J14" s="55">
        <f ca="1">IF($A14="","",IF($I14&lt;&gt;"",$I14,MAX(VTL_Plan!$M14,IFERROR(LOOKUP(2,1/($E$3:INDIRECT("E"&amp;(ROW()-1))=$E14),$M$3:INDIRECT("M"&amp;(ROW()-1))),VTL_Plan!$M14))))</f>
        <v>46123.013888888883</v>
      </c>
      <c r="K14" s="10">
        <f>IF($A14="","",IFERROR(VLOOKUP(B14,CHOOSE(MATCH(C14,Settings!$L$4:$L$10,0),OPR_2P!$A$4:$I$18,SEG_6P!$A$4:$I$18,SOL_4P!$A$4:$I$18,RW_2P!$A$4:$I$18,RW2_4P!$A$4:$I$18,FLAP_4P!$A$4:$I$18,TUBE_4P!$A$4:$I$18),2,0),0))</f>
        <v>30</v>
      </c>
      <c r="L14" s="10">
        <f t="shared" si="0"/>
        <v>60</v>
      </c>
      <c r="M14" s="55">
        <f ca="1">IF($A14="","",IF(AND(ISNUMBER(G14),G14&gt;=J14,G14&lt;=(J14+(L14/(IF(F14="Contract Workman",Settings!$K$5,Settings!$K$4))))),J14+(L14/(IF(F14="Contract Workman",Settings!$K$5,Settings!$K$4)))+(H14/(IF(F14="Contract Workman",Settings!$K$5,Settings!$K$4))),J14+(L14/(IF(F14="Contract Workman",Settings!$K$5,Settings!$K$4)))))</f>
        <v>46125.791666666664</v>
      </c>
      <c r="N14" s="10" t="str">
        <f t="shared" ca="1" si="1"/>
        <v>Shift B</v>
      </c>
      <c r="O14" s="51" t="str">
        <f>IF(B14="","", IF(IFERROR(ISNUMBER(SEARCH(B14, VLOOKUP(E14, Machine_List!$B:$J, 9, 0))), FALSE()), "✅ Machine OK", "❌ Sug: " &amp; IFERROR(INDEX(Machine_List!$B$4:$B$50, MATCH("*"&amp;B14&amp;"*", Machine_List!$J$4:$J$50, 0)), "Check Limits")))</f>
        <v>✅ Machine OK</v>
      </c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2"/>
      <c r="AQ14" s="52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2"/>
      <c r="BD14" s="52"/>
      <c r="BE14" s="52"/>
      <c r="BF14" s="52"/>
      <c r="BG14" s="52"/>
      <c r="BH14" s="52"/>
      <c r="BI14" s="52"/>
      <c r="BJ14" s="52"/>
      <c r="BK14" s="52"/>
      <c r="BL14" s="52"/>
      <c r="BM14" s="52"/>
    </row>
    <row r="15" spans="1:85" ht="28.8" customHeight="1" x14ac:dyDescent="0.3">
      <c r="A15" s="10" t="str">
        <f>IF(Job_Master!A15="","",Job_Master!A15)</f>
        <v>BJ-107</v>
      </c>
      <c r="B15" s="10">
        <f>IF($A15="","",Job_Master!B15)</f>
        <v>20</v>
      </c>
      <c r="C15" s="10" t="str">
        <f>IF($A15="","",Job_Master!C15)</f>
        <v>SEG</v>
      </c>
      <c r="D15" s="10">
        <f>IF($A15="","",Job_Master!D15)</f>
        <v>6</v>
      </c>
      <c r="E15" s="48" t="str">
        <f>IF($A15="","","SPM-MC-04")</f>
        <v>SPM-MC-04</v>
      </c>
      <c r="F15" s="106" t="str">
        <f>IF($E15="","",IFERROR(VLOOKUP($E15,Machine_List!$B:$G,6,0),""))</f>
        <v>General Workman</v>
      </c>
      <c r="G15" s="53">
        <f>IF($E15="","",IFERROR(VLOOKUP($E15,Machine_List!$B:$C,2,0),""))</f>
        <v>46197</v>
      </c>
      <c r="H15" s="10">
        <f>IF($E15="","",IFERROR(VLOOKUP($E15,Machine_List!$B:$D,3,0),""))</f>
        <v>6</v>
      </c>
      <c r="I15" s="54"/>
      <c r="J15" s="55">
        <f ca="1">IF($A15="","",IF($I15&lt;&gt;"",$I15,MAX(VTL_Plan!$M15,IFERROR(LOOKUP(2,1/($E$3:INDIRECT("E"&amp;(ROW()-1))=$E15),$M$3:INDIRECT("M"&amp;(ROW()-1))),VTL_Plan!$M15))))</f>
        <v>46128.569444444438</v>
      </c>
      <c r="K15" s="10">
        <f>IF($A15="","",IFERROR(VLOOKUP(B15,CHOOSE(MATCH(C15,Settings!$L$4:$L$10,0),OPR_2P!$A$4:$I$18,SEG_6P!$A$4:$I$18,SOL_4P!$A$4:$I$18,RW_2P!$A$4:$I$18,RW2_4P!$A$4:$I$18,FLAP_4P!$A$4:$I$18,TUBE_4P!$A$4:$I$18),2,0),0))</f>
        <v>26</v>
      </c>
      <c r="L15" s="10">
        <f t="shared" si="0"/>
        <v>156</v>
      </c>
      <c r="M15" s="55">
        <f ca="1">IF($A15="","",IF(AND(ISNUMBER(G15),G15&gt;=J15,G15&lt;=(J15+(L15/(IF(F15="Contract Workman",Settings!$K$5,Settings!$K$4))))),J15+(L15/(IF(F15="Contract Workman",Settings!$K$5,Settings!$K$4)))+(H15/(IF(F15="Contract Workman",Settings!$K$5,Settings!$K$4))),J15+(L15/(IF(F15="Contract Workman",Settings!$K$5,Settings!$K$4)))))</f>
        <v>46135.791666666657</v>
      </c>
      <c r="N15" s="10" t="str">
        <f t="shared" ca="1" si="1"/>
        <v>Shift B</v>
      </c>
      <c r="O15" s="51" t="str">
        <f>IF(B15="","", IF(IFERROR(ISNUMBER(SEARCH(B15, VLOOKUP(E15, Machine_List!$B:$J, 9, 0))), FALSE()), "✅ Machine OK", "❌ Sug: " &amp; IFERROR(INDEX(Machine_List!$B$4:$B$50, MATCH("*"&amp;B15&amp;"*", Machine_List!$J$4:$J$50, 0)), "Check Limits")))</f>
        <v>✅ Machine OK</v>
      </c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2"/>
      <c r="BC15" s="52"/>
      <c r="BD15" s="52"/>
      <c r="BE15" s="52"/>
      <c r="BF15" s="52"/>
      <c r="BG15" s="52"/>
      <c r="BH15" s="52"/>
      <c r="BI15" s="52"/>
      <c r="BJ15" s="52"/>
      <c r="BK15" s="52"/>
      <c r="BL15" s="52"/>
      <c r="BM15" s="52"/>
    </row>
    <row r="16" spans="1:85" ht="28.8" customHeight="1" x14ac:dyDescent="0.3">
      <c r="A16" s="10" t="str">
        <f>IF(Job_Master!A16="","",Job_Master!A16)</f>
        <v>BJ-112</v>
      </c>
      <c r="B16" s="10">
        <f>IF($A16="","",Job_Master!B16)</f>
        <v>17</v>
      </c>
      <c r="C16" s="10" t="str">
        <f>IF($A16="","",Job_Master!C16)</f>
        <v>2P</v>
      </c>
      <c r="D16" s="10">
        <f>IF($A16="","",Job_Master!D16)</f>
        <v>2</v>
      </c>
      <c r="E16" s="48" t="str">
        <f>IF($A16="","","SPM-MC-02")</f>
        <v>SPM-MC-02</v>
      </c>
      <c r="F16" s="106" t="str">
        <f>IF($E16="","",IFERROR(VLOOKUP($E16,Machine_List!$B:$G,6,0),""))</f>
        <v>General Workman</v>
      </c>
      <c r="G16" s="53">
        <f>IF($E16="","",IFERROR(VLOOKUP($E16,Machine_List!$B:$C,2,0),""))</f>
        <v>46459</v>
      </c>
      <c r="H16" s="10">
        <f>IF($E16="","",IFERROR(VLOOKUP($E16,Machine_List!$B:$D,3,0),""))</f>
        <v>6</v>
      </c>
      <c r="I16" s="54"/>
      <c r="J16" s="55">
        <f ca="1">IF($A16="","",IF($I16&lt;&gt;"",$I16,MAX(VTL_Plan!$M16,IFERROR(LOOKUP(2,1/($E$3:INDIRECT("E"&amp;(ROW()-1))=$E16),$M$3:INDIRECT("M"&amp;(ROW()-1))),VTL_Plan!$M16))))</f>
        <v>46133.384259259248</v>
      </c>
      <c r="K16" s="10">
        <f>IF($A16="","",IFERROR(VLOOKUP(B16,CHOOSE(MATCH(C16,Settings!$L$4:$L$10,0),OPR_2P!$A$4:$I$18,SEG_6P!$A$4:$I$18,SOL_4P!$A$4:$I$18,RW_2P!$A$4:$I$18,RW2_4P!$A$4:$I$18,FLAP_4P!$A$4:$I$18,TUBE_4P!$A$4:$I$18),2,0),0))</f>
        <v>20</v>
      </c>
      <c r="L16" s="10">
        <f t="shared" si="0"/>
        <v>40</v>
      </c>
      <c r="M16" s="55">
        <f ca="1">IF($A16="","",IF(AND(ISNUMBER(G16),G16&gt;=J16,G16&lt;=(J16+(L16/(IF(F16="Contract Workman",Settings!$K$5,Settings!$K$4))))),J16+(L16/(IF(F16="Contract Workman",Settings!$K$5,Settings!$K$4)))+(H16/(IF(F16="Contract Workman",Settings!$K$5,Settings!$K$4))),J16+(L16/(IF(F16="Contract Workman",Settings!$K$5,Settings!$K$4)))))</f>
        <v>46135.236111111102</v>
      </c>
      <c r="N16" s="10" t="str">
        <f t="shared" ca="1" si="1"/>
        <v>Shift C</v>
      </c>
      <c r="O16" s="51" t="str">
        <f>IF(B16="","", IF(IFERROR(ISNUMBER(SEARCH(B16, VLOOKUP(E16, Machine_List!$B:$J, 9, 0))), FALSE()), "✅ Machine OK", "❌ Sug: " &amp; IFERROR(INDEX(Machine_List!$B$4:$B$50, MATCH("*"&amp;B16&amp;"*", Machine_List!$J$4:$J$50, 0)), "Check Limits")))</f>
        <v>✅ Machine OK</v>
      </c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  <c r="BD16" s="52"/>
      <c r="BE16" s="52"/>
      <c r="BF16" s="52"/>
      <c r="BG16" s="52"/>
      <c r="BH16" s="52"/>
      <c r="BI16" s="52"/>
      <c r="BJ16" s="52"/>
      <c r="BK16" s="52"/>
      <c r="BL16" s="52"/>
      <c r="BM16" s="52"/>
    </row>
    <row r="17" spans="1:65" ht="28.8" customHeight="1" x14ac:dyDescent="0.3">
      <c r="A17" s="10" t="str">
        <f>IF(Job_Master!A17="","",Job_Master!A17)</f>
        <v>BJ-114</v>
      </c>
      <c r="B17" s="10">
        <f>IF($A17="","",Job_Master!B17)</f>
        <v>50</v>
      </c>
      <c r="C17" s="10" t="str">
        <f>IF($A17="","",Job_Master!C17)</f>
        <v>SEG</v>
      </c>
      <c r="D17" s="10">
        <f>IF($A17="","",Job_Master!D17)</f>
        <v>6</v>
      </c>
      <c r="E17" s="48" t="str">
        <f>IF($A17="","","SPM-MC-01")</f>
        <v>SPM-MC-01</v>
      </c>
      <c r="F17" s="106" t="str">
        <f>IF($E17="","",IFERROR(VLOOKUP($E17,Machine_List!$B:$G,6,0),""))</f>
        <v>General Workman</v>
      </c>
      <c r="G17" s="53">
        <f>IF($E17="","",IFERROR(VLOOKUP($E17,Machine_List!$B:$C,2,0),""))</f>
        <v>46285</v>
      </c>
      <c r="H17" s="10">
        <f>IF($E17="","",IFERROR(VLOOKUP($E17,Machine_List!$B:$D,3,0),""))</f>
        <v>6</v>
      </c>
      <c r="I17" s="54"/>
      <c r="J17" s="55">
        <f ca="1">IF($A17="","",IF($I17&lt;&gt;"",$I17,MAX(VTL_Plan!$M17,IFERROR(LOOKUP(2,1/($E$3:INDIRECT("E"&amp;(ROW()-1))=$E17),$M$3:INDIRECT("M"&amp;(ROW()-1))),VTL_Plan!$M17))))</f>
        <v>46140.328703703701</v>
      </c>
      <c r="K17" s="10">
        <f>IF($A17="","",IFERROR(VLOOKUP(B17,CHOOSE(MATCH(C17,Settings!$L$4:$L$10,0),OPR_2P!$A$4:$I$18,SEG_6P!$A$4:$I$18,SOL_4P!$A$4:$I$18,RW_2P!$A$4:$I$18,RW2_4P!$A$4:$I$18,FLAP_4P!$A$4:$I$18,TUBE_4P!$A$4:$I$18),2,0),0))</f>
        <v>89</v>
      </c>
      <c r="L17" s="10">
        <f t="shared" si="0"/>
        <v>534</v>
      </c>
      <c r="M17" s="55">
        <f ca="1">IF($A17="","",IF(AND(ISNUMBER(G17),G17&gt;=J17,G17&lt;=(J17+(L17/(IF(F17="Contract Workman",Settings!$K$5,Settings!$K$4))))),J17+(L17/(IF(F17="Contract Workman",Settings!$K$5,Settings!$K$4)))+(H17/(IF(F17="Contract Workman",Settings!$K$5,Settings!$K$4))),J17+(L17/(IF(F17="Contract Workman",Settings!$K$5,Settings!$K$4)))))</f>
        <v>46165.05092592592</v>
      </c>
      <c r="N17" s="10" t="str">
        <f t="shared" ca="1" si="1"/>
        <v>Shift C</v>
      </c>
      <c r="O17" s="51" t="str">
        <f>IF(B17="","", IF(IFERROR(ISNUMBER(SEARCH(B17, VLOOKUP(E17, Machine_List!$B:$J, 9, 0))), FALSE()), "✅ Machine OK", "❌ Sug: " &amp; IFERROR(INDEX(Machine_List!$B$4:$B$50, MATCH("*"&amp;B17&amp;"*", Machine_List!$J$4:$J$50, 0)), "Check Limits")))</f>
        <v>✅ Machine OK</v>
      </c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2"/>
      <c r="BF17" s="52"/>
      <c r="BG17" s="52"/>
      <c r="BH17" s="52"/>
      <c r="BI17" s="52"/>
      <c r="BJ17" s="52"/>
      <c r="BK17" s="52"/>
      <c r="BL17" s="52"/>
      <c r="BM17" s="52"/>
    </row>
    <row r="18" spans="1:65" ht="28.8" customHeight="1" x14ac:dyDescent="0.3">
      <c r="A18" s="10" t="str">
        <f>IF(Job_Master!A18="","",Job_Master!A18)</f>
        <v>BJ-115</v>
      </c>
      <c r="B18" s="10">
        <f>IF($A18="","",Job_Master!B18)</f>
        <v>46</v>
      </c>
      <c r="C18" s="10" t="str">
        <f>IF($A18="","",Job_Master!C18)</f>
        <v>2P</v>
      </c>
      <c r="D18" s="10">
        <f>IF($A18="","",Job_Master!D18)</f>
        <v>2</v>
      </c>
      <c r="E18" s="48" t="str">
        <f>IF($A18="","","SPM-MC-05")</f>
        <v>SPM-MC-05</v>
      </c>
      <c r="F18" s="106" t="str">
        <f>IF($E18="","",IFERROR(VLOOKUP($E18,Machine_List!$B:$G,6,0),""))</f>
        <v>General Workman</v>
      </c>
      <c r="G18" s="53">
        <f>IF($E18="","",IFERROR(VLOOKUP($E18,Machine_List!$B:$C,2,0),""))</f>
        <v>46271</v>
      </c>
      <c r="H18" s="10">
        <f>IF($E18="","",IFERROR(VLOOKUP($E18,Machine_List!$B:$D,3,0),""))</f>
        <v>6</v>
      </c>
      <c r="I18" s="54"/>
      <c r="J18" s="55">
        <f ca="1">IF($A18="","",IF($I18&lt;&gt;"",$I18,MAX(VTL_Plan!$M18,IFERROR(LOOKUP(2,1/($E$3:INDIRECT("E"&amp;(ROW()-1))=$E18),$M$3:INDIRECT("M"&amp;(ROW()-1))),VTL_Plan!$M18))))</f>
        <v>46128.106481481482</v>
      </c>
      <c r="K18" s="10">
        <f>IF($A18="","",IFERROR(VLOOKUP(B18,CHOOSE(MATCH(C18,Settings!$L$4:$L$10,0),OPR_2P!$A$4:$I$18,SEG_6P!$A$4:$I$18,SOL_4P!$A$4:$I$18,RW_2P!$A$4:$I$18,RW2_4P!$A$4:$I$18,FLAP_4P!$A$4:$I$18,TUBE_4P!$A$4:$I$18),2,0),0))</f>
        <v>59</v>
      </c>
      <c r="L18" s="10">
        <f t="shared" si="0"/>
        <v>118</v>
      </c>
      <c r="M18" s="55">
        <f ca="1">IF($A18="","",IF(AND(ISNUMBER(G18),G18&gt;=J18,G18&lt;=(J18+(L18/(IF(F18="Contract Workman",Settings!$K$5,Settings!$K$4))))),J18+(L18/(IF(F18="Contract Workman",Settings!$K$5,Settings!$K$4)))+(H18/(IF(F18="Contract Workman",Settings!$K$5,Settings!$K$4))),J18+(L18/(IF(F18="Contract Workman",Settings!$K$5,Settings!$K$4)))))</f>
        <v>46133.569444444445</v>
      </c>
      <c r="N18" s="10" t="str">
        <f t="shared" ca="1" si="1"/>
        <v>Shift A</v>
      </c>
      <c r="O18" s="51" t="str">
        <f>IF(B18="","", IF(IFERROR(ISNUMBER(SEARCH(B18, VLOOKUP(E18, Machine_List!$B:$J, 9, 0))), FALSE()), "✅ Machine OK", "❌ Sug: " &amp; IFERROR(INDEX(Machine_List!$B$4:$B$50, MATCH("*"&amp;B18&amp;"*", Machine_List!$J$4:$J$50, 0)), "Check Limits")))</f>
        <v>✅ Machine OK</v>
      </c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52"/>
      <c r="BE18" s="52"/>
      <c r="BF18" s="52"/>
      <c r="BG18" s="52"/>
      <c r="BH18" s="52"/>
      <c r="BI18" s="52"/>
      <c r="BJ18" s="52"/>
      <c r="BK18" s="52"/>
      <c r="BL18" s="52"/>
      <c r="BM18" s="52"/>
    </row>
    <row r="19" spans="1:65" ht="28.8" customHeight="1" x14ac:dyDescent="0.3">
      <c r="A19" s="10" t="str">
        <f>IF(Job_Master!A19="","",Job_Master!A19)</f>
        <v>BJ-116</v>
      </c>
      <c r="B19" s="10">
        <f>IF($A19="","",Job_Master!B19)</f>
        <v>54</v>
      </c>
      <c r="C19" s="10" t="str">
        <f>IF($A19="","",Job_Master!C19)</f>
        <v>2P</v>
      </c>
      <c r="D19" s="10">
        <f>IF($A19="","",Job_Master!D19)</f>
        <v>2</v>
      </c>
      <c r="E19" s="48" t="str">
        <f>IF($A19="","","SPM-MC-02")</f>
        <v>SPM-MC-02</v>
      </c>
      <c r="F19" s="106" t="str">
        <f>IF($E19="","",IFERROR(VLOOKUP($E19,Machine_List!$B:$G,6,0),""))</f>
        <v>General Workman</v>
      </c>
      <c r="G19" s="53">
        <f>IF($E19="","",IFERROR(VLOOKUP($E19,Machine_List!$B:$C,2,0),""))</f>
        <v>46459</v>
      </c>
      <c r="H19" s="10">
        <f>IF($E19="","",IFERROR(VLOOKUP($E19,Machine_List!$B:$D,3,0),""))</f>
        <v>6</v>
      </c>
      <c r="I19" s="54"/>
      <c r="J19" s="55">
        <f ca="1">IF($A19="","",IF($I19&lt;&gt;"",$I19,MAX(VTL_Plan!$M19,IFERROR(LOOKUP(2,1/($E$3:INDIRECT("E"&amp;(ROW()-1))=$E19),$M$3:INDIRECT("M"&amp;(ROW()-1))),VTL_Plan!$M19))))</f>
        <v>46135.236111111102</v>
      </c>
      <c r="K19" s="10">
        <f>IF($A19="","",IFERROR(VLOOKUP(B19,CHOOSE(MATCH(C19,Settings!$L$4:$L$10,0),OPR_2P!$A$4:$I$18,SEG_6P!$A$4:$I$18,SOL_4P!$A$4:$I$18,RW_2P!$A$4:$I$18,RW2_4P!$A$4:$I$18,FLAP_4P!$A$4:$I$18,TUBE_4P!$A$4:$I$18),2,0),0))</f>
        <v>100</v>
      </c>
      <c r="L19" s="10">
        <f t="shared" si="0"/>
        <v>200</v>
      </c>
      <c r="M19" s="55">
        <f ca="1">IF($A19="","",IF(AND(ISNUMBER(G19),G19&gt;=J19,G19&lt;=(J19+(L19/(IF(F19="Contract Workman",Settings!$K$5,Settings!$K$4))))),J19+(L19/(IF(F19="Contract Workman",Settings!$K$5,Settings!$K$4)))+(H19/(IF(F19="Contract Workman",Settings!$K$5,Settings!$K$4))),J19+(L19/(IF(F19="Contract Workman",Settings!$K$5,Settings!$K$4)))))</f>
        <v>46144.495370370365</v>
      </c>
      <c r="N19" s="10" t="str">
        <f t="shared" ca="1" si="1"/>
        <v>Shift A</v>
      </c>
      <c r="O19" s="51" t="str">
        <f>IF(B19="","", IF(IFERROR(ISNUMBER(SEARCH(B19, VLOOKUP(E19, Machine_List!$B:$J, 9, 0))), FALSE()), "✅ Machine OK", "❌ Sug: " &amp; IFERROR(INDEX(Machine_List!$B$4:$B$50, MATCH("*"&amp;B19&amp;"*", Machine_List!$J$4:$J$50, 0)), "Check Limits")))</f>
        <v>✅ Machine OK</v>
      </c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2"/>
      <c r="AQ19" s="52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2"/>
      <c r="BD19" s="52"/>
      <c r="BE19" s="52"/>
      <c r="BF19" s="52"/>
      <c r="BG19" s="52"/>
      <c r="BH19" s="52"/>
      <c r="BI19" s="52"/>
      <c r="BJ19" s="52"/>
      <c r="BK19" s="52"/>
      <c r="BL19" s="52"/>
      <c r="BM19" s="52"/>
    </row>
    <row r="20" spans="1:65" ht="28.8" customHeight="1" x14ac:dyDescent="0.3">
      <c r="A20" s="10" t="str">
        <f>IF(Job_Master!A20="","",Job_Master!A20)</f>
        <v>BJ-118</v>
      </c>
      <c r="B20" s="10">
        <f>IF($A20="","",Job_Master!B20)</f>
        <v>28</v>
      </c>
      <c r="C20" s="10" t="str">
        <f>IF($A20="","",Job_Master!C20)</f>
        <v>SOL</v>
      </c>
      <c r="D20" s="10">
        <f>IF($A20="","",Job_Master!D20)</f>
        <v>4</v>
      </c>
      <c r="E20" s="48" t="str">
        <f>IF($A20="","","SPM-MC-03")</f>
        <v>SPM-MC-03</v>
      </c>
      <c r="F20" s="106" t="str">
        <f>IF($E20="","",IFERROR(VLOOKUP($E20,Machine_List!$B:$G,6,0),""))</f>
        <v>General Workman</v>
      </c>
      <c r="G20" s="53">
        <f>IF($E20="","",IFERROR(VLOOKUP($E20,Machine_List!$B:$C,2,0),""))</f>
        <v>46104</v>
      </c>
      <c r="H20" s="10">
        <f>IF($E20="","",IFERROR(VLOOKUP($E20,Machine_List!$B:$D,3,0),""))</f>
        <v>6</v>
      </c>
      <c r="I20" s="54"/>
      <c r="J20" s="55">
        <f ca="1">IF($A20="","",IF($I20&lt;&gt;"",$I20,MAX(VTL_Plan!$M20,IFERROR(LOOKUP(2,1/($E$3:INDIRECT("E"&amp;(ROW()-1))=$E20),$M$3:INDIRECT("M"&amp;(ROW()-1))),VTL_Plan!$M20))))</f>
        <v>46136.347222222212</v>
      </c>
      <c r="K20" s="10">
        <f>IF($A20="","",IFERROR(VLOOKUP(B20,CHOOSE(MATCH(C20,Settings!$L$4:$L$10,0),OPR_2P!$A$4:$I$18,SEG_6P!$A$4:$I$18,SOL_4P!$A$4:$I$18,RW_2P!$A$4:$I$18,RW2_4P!$A$4:$I$18,FLAP_4P!$A$4:$I$18,TUBE_4P!$A$4:$I$18),2,0),0))</f>
        <v>33</v>
      </c>
      <c r="L20" s="10">
        <f t="shared" si="0"/>
        <v>132</v>
      </c>
      <c r="M20" s="55">
        <f ca="1">IF($A20="","",IF(AND(ISNUMBER(G20),G20&gt;=J20,G20&lt;=(J20+(L20/(IF(F20="Contract Workman",Settings!$K$5,Settings!$K$4))))),J20+(L20/(IF(F20="Contract Workman",Settings!$K$5,Settings!$K$4)))+(H20/(IF(F20="Contract Workman",Settings!$K$5,Settings!$K$4))),J20+(L20/(IF(F20="Contract Workman",Settings!$K$5,Settings!$K$4)))))</f>
        <v>46142.458333333321</v>
      </c>
      <c r="N20" s="10" t="str">
        <f t="shared" ca="1" si="1"/>
        <v>Shift A</v>
      </c>
      <c r="O20" s="51" t="str">
        <f>IF(B20="","", IF(IFERROR(ISNUMBER(SEARCH(B20, VLOOKUP(E20, Machine_List!$B:$J, 9, 0))), FALSE()), "✅ Machine OK", "❌ Sug: " &amp; IFERROR(INDEX(Machine_List!$B$4:$B$50, MATCH("*"&amp;B20&amp;"*", Machine_List!$J$4:$J$50, 0)), "Check Limits")))</f>
        <v>✅ Machine OK</v>
      </c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2"/>
      <c r="AQ20" s="52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2"/>
      <c r="BC20" s="52"/>
      <c r="BD20" s="52"/>
      <c r="BE20" s="52"/>
      <c r="BF20" s="52"/>
      <c r="BG20" s="52"/>
      <c r="BH20" s="52"/>
      <c r="BI20" s="52"/>
      <c r="BJ20" s="52"/>
      <c r="BK20" s="52"/>
      <c r="BL20" s="52"/>
      <c r="BM20" s="52"/>
    </row>
    <row r="21" spans="1:65" ht="28.8" customHeight="1" x14ac:dyDescent="0.3">
      <c r="A21" s="10" t="str">
        <f>IF(Job_Master!A21="","",Job_Master!A21)</f>
        <v>BJ-119</v>
      </c>
      <c r="B21" s="10">
        <f>IF($A21="","",Job_Master!B21)</f>
        <v>63</v>
      </c>
      <c r="C21" s="10" t="str">
        <f>IF($A21="","",Job_Master!C21)</f>
        <v>SOL</v>
      </c>
      <c r="D21" s="10">
        <f>IF($A21="","",Job_Master!D21)</f>
        <v>4</v>
      </c>
      <c r="E21" s="48" t="str">
        <f>IF($A21="","","SPM-MC-02")</f>
        <v>SPM-MC-02</v>
      </c>
      <c r="F21" s="106" t="str">
        <f>IF($E21="","",IFERROR(VLOOKUP($E21,Machine_List!$B:$G,6,0),""))</f>
        <v>General Workman</v>
      </c>
      <c r="G21" s="53">
        <f>IF($E21="","",IFERROR(VLOOKUP($E21,Machine_List!$B:$C,2,0),""))</f>
        <v>46459</v>
      </c>
      <c r="H21" s="10">
        <f>IF($E21="","",IFERROR(VLOOKUP($E21,Machine_List!$B:$D,3,0),""))</f>
        <v>6</v>
      </c>
      <c r="I21" s="54"/>
      <c r="J21" s="55">
        <f ca="1">IF($A21="","",IF($I21&lt;&gt;"",$I21,MAX(VTL_Plan!$M21,IFERROR(LOOKUP(2,1/($E$3:INDIRECT("E"&amp;(ROW()-1))=$E21),$M$3:INDIRECT("M"&amp;(ROW()-1))),VTL_Plan!$M21))))</f>
        <v>46145.976851851839</v>
      </c>
      <c r="K21" s="10">
        <f>IF($A21="","",IFERROR(VLOOKUP(B21,CHOOSE(MATCH(C21,Settings!$L$4:$L$10,0),OPR_2P!$A$4:$I$18,SEG_6P!$A$4:$I$18,SOL_4P!$A$4:$I$18,RW_2P!$A$4:$I$18,RW2_4P!$A$4:$I$18,FLAP_4P!$A$4:$I$18,TUBE_4P!$A$4:$I$18),2,0),0))</f>
        <v>115</v>
      </c>
      <c r="L21" s="10">
        <f t="shared" si="0"/>
        <v>460</v>
      </c>
      <c r="M21" s="55">
        <f ca="1">IF($A21="","",IF(AND(ISNUMBER(G21),G21&gt;=J21,G21&lt;=(J21+(L21/(IF(F21="Contract Workman",Settings!$K$5,Settings!$K$4))))),J21+(L21/(IF(F21="Contract Workman",Settings!$K$5,Settings!$K$4)))+(H21/(IF(F21="Contract Workman",Settings!$K$5,Settings!$K$4))),J21+(L21/(IF(F21="Contract Workman",Settings!$K$5,Settings!$K$4)))))</f>
        <v>46167.273148148139</v>
      </c>
      <c r="N21" s="10" t="str">
        <f t="shared" ca="1" si="1"/>
        <v>Shift C</v>
      </c>
      <c r="O21" s="51" t="str">
        <f>IF(B21="","", IF(IFERROR(ISNUMBER(SEARCH(B21, VLOOKUP(E21, Machine_List!$B:$J, 9, 0))), FALSE()), "✅ Machine OK", "❌ Sug: " &amp; IFERROR(INDEX(Machine_List!$B$4:$B$50, MATCH("*"&amp;B21&amp;"*", Machine_List!$J$4:$J$50, 0)), "Check Limits")))</f>
        <v>✅ Machine OK</v>
      </c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2"/>
      <c r="AQ21" s="52"/>
      <c r="AR21" s="52"/>
      <c r="AS21" s="52"/>
      <c r="AT21" s="52"/>
      <c r="AU21" s="52"/>
      <c r="AV21" s="52"/>
      <c r="AW21" s="52"/>
      <c r="AX21" s="52"/>
      <c r="AY21" s="52"/>
      <c r="AZ21" s="52"/>
      <c r="BA21" s="52"/>
      <c r="BB21" s="52"/>
      <c r="BC21" s="52"/>
      <c r="BD21" s="52"/>
      <c r="BE21" s="52"/>
      <c r="BF21" s="52"/>
      <c r="BG21" s="52"/>
      <c r="BH21" s="52"/>
      <c r="BI21" s="52"/>
      <c r="BJ21" s="52"/>
      <c r="BK21" s="52"/>
      <c r="BL21" s="52"/>
      <c r="BM21" s="52"/>
    </row>
    <row r="22" spans="1:65" ht="28.8" customHeight="1" x14ac:dyDescent="0.3">
      <c r="A22" s="10" t="str">
        <f>IF(Job_Master!A22="","",Job_Master!A22)</f>
        <v>BJ-120</v>
      </c>
      <c r="B22" s="10">
        <f>IF($A22="","",Job_Master!B22)</f>
        <v>46</v>
      </c>
      <c r="C22" s="10" t="str">
        <f>IF($A22="","",Job_Master!C22)</f>
        <v>2P</v>
      </c>
      <c r="D22" s="10">
        <f>IF($A22="","",Job_Master!D22)</f>
        <v>2</v>
      </c>
      <c r="E22" s="48" t="str">
        <f>IF($A22="","","SPM-MC-04")</f>
        <v>SPM-MC-04</v>
      </c>
      <c r="F22" s="106" t="str">
        <f>IF($E22="","",IFERROR(VLOOKUP($E22,Machine_List!$B:$G,6,0),""))</f>
        <v>General Workman</v>
      </c>
      <c r="G22" s="53">
        <f>IF($E22="","",IFERROR(VLOOKUP($E22,Machine_List!$B:$C,2,0),""))</f>
        <v>46197</v>
      </c>
      <c r="H22" s="10">
        <f>IF($E22="","",IFERROR(VLOOKUP($E22,Machine_List!$B:$D,3,0),""))</f>
        <v>6</v>
      </c>
      <c r="I22" s="54"/>
      <c r="J22" s="55">
        <f ca="1">IF($A22="","",IF($I22&lt;&gt;"",$I22,MAX(VTL_Plan!$M22,IFERROR(LOOKUP(2,1/($E$3:INDIRECT("E"&amp;(ROW()-1))=$E22),$M$3:INDIRECT("M"&amp;(ROW()-1))),VTL_Plan!$M22))))</f>
        <v>46137.550925925927</v>
      </c>
      <c r="K22" s="10">
        <f>IF($A22="","",IFERROR(VLOOKUP(B22,CHOOSE(MATCH(C22,Settings!$L$4:$L$10,0),OPR_2P!$A$4:$I$18,SEG_6P!$A$4:$I$18,SOL_4P!$A$4:$I$18,RW_2P!$A$4:$I$18,RW2_4P!$A$4:$I$18,FLAP_4P!$A$4:$I$18,TUBE_4P!$A$4:$I$18),2,0),0))</f>
        <v>59</v>
      </c>
      <c r="L22" s="10">
        <f t="shared" si="0"/>
        <v>118</v>
      </c>
      <c r="M22" s="55">
        <f ca="1">IF($A22="","",IF(AND(ISNUMBER(G22),G22&gt;=J22,G22&lt;=(J22+(L22/(IF(F22="Contract Workman",Settings!$K$5,Settings!$K$4))))),J22+(L22/(IF(F22="Contract Workman",Settings!$K$5,Settings!$K$4)))+(H22/(IF(F22="Contract Workman",Settings!$K$5,Settings!$K$4))),J22+(L22/(IF(F22="Contract Workman",Settings!$K$5,Settings!$K$4)))))</f>
        <v>46143.013888888891</v>
      </c>
      <c r="N22" s="10" t="str">
        <f t="shared" ca="1" si="1"/>
        <v>Shift C</v>
      </c>
      <c r="O22" s="51" t="str">
        <f>IF(B22="","", IF(IFERROR(ISNUMBER(SEARCH(B22, VLOOKUP(E22, Machine_List!$B:$J, 9, 0))), FALSE()), "✅ Machine OK", "❌ Sug: " &amp; IFERROR(INDEX(Machine_List!$B$4:$B$50, MATCH("*"&amp;B22&amp;"*", Machine_List!$J$4:$J$50, 0)), "Check Limits")))</f>
        <v>✅ Machine OK</v>
      </c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2"/>
      <c r="AP22" s="52"/>
      <c r="AQ22" s="52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52"/>
      <c r="BC22" s="52"/>
      <c r="BD22" s="52"/>
      <c r="BE22" s="52"/>
      <c r="BF22" s="52"/>
      <c r="BG22" s="52"/>
      <c r="BH22" s="52"/>
      <c r="BI22" s="52"/>
      <c r="BJ22" s="52"/>
      <c r="BK22" s="52"/>
      <c r="BL22" s="52"/>
      <c r="BM22" s="52"/>
    </row>
    <row r="23" spans="1:65" ht="28.8" customHeight="1" x14ac:dyDescent="0.3">
      <c r="A23" s="10" t="str">
        <f>IF(Job_Master!A23="","",Job_Master!A23)</f>
        <v>BJ-113</v>
      </c>
      <c r="B23" s="10">
        <f>IF($A23="","",Job_Master!B23)</f>
        <v>9</v>
      </c>
      <c r="C23" s="10" t="str">
        <f>IF($A23="","",Job_Master!C23)</f>
        <v>SEG</v>
      </c>
      <c r="D23" s="10">
        <f>IF($A23="","",Job_Master!D23)</f>
        <v>6</v>
      </c>
      <c r="E23" s="48" t="str">
        <f>IF($A23="","","SPM-MC-06")</f>
        <v>SPM-MC-06</v>
      </c>
      <c r="F23" s="106" t="str">
        <f>IF($E23="","",IFERROR(VLOOKUP($E23,Machine_List!$B:$G,6,0),""))</f>
        <v>General Workman</v>
      </c>
      <c r="G23" s="53">
        <f>IF($E23="","",IFERROR(VLOOKUP($E23,Machine_List!$B:$C,2,0),""))</f>
        <v>46176</v>
      </c>
      <c r="H23" s="10">
        <f>IF($E23="","",IFERROR(VLOOKUP($E23,Machine_List!$B:$D,3,0),""))</f>
        <v>6</v>
      </c>
      <c r="I23" s="54"/>
      <c r="J23" s="55">
        <f ca="1">IF($A23="","",IF($I23&lt;&gt;"",$I23,MAX(VTL_Plan!$M23,IFERROR(LOOKUP(2,1/($E$3:INDIRECT("E"&amp;(ROW()-1))=$E23),$M$3:INDIRECT("M"&amp;(ROW()-1))),VTL_Plan!$M23))))</f>
        <v>46132.643518518511</v>
      </c>
      <c r="K23" s="10">
        <f>IF($A23="","",IFERROR(VLOOKUP(B23,CHOOSE(MATCH(C23,Settings!$L$4:$L$10,0),OPR_2P!$A$4:$I$18,SEG_6P!$A$4:$I$18,SOL_4P!$A$4:$I$18,RW_2P!$A$4:$I$18,RW2_4P!$A$4:$I$18,FLAP_4P!$A$4:$I$18,TUBE_4P!$A$4:$I$18),2,0),0))</f>
        <v>8</v>
      </c>
      <c r="L23" s="10">
        <f t="shared" si="0"/>
        <v>48</v>
      </c>
      <c r="M23" s="55">
        <f ca="1">IF($A23="","",IF(AND(ISNUMBER(G23),G23&gt;=J23,G23&lt;=(J23+(L23/(IF(F23="Contract Workman",Settings!$K$5,Settings!$K$4))))),J23+(L23/(IF(F23="Contract Workman",Settings!$K$5,Settings!$K$4)))+(H23/(IF(F23="Contract Workman",Settings!$K$5,Settings!$K$4))),J23+(L23/(IF(F23="Contract Workman",Settings!$K$5,Settings!$K$4)))))</f>
        <v>46134.86574074073</v>
      </c>
      <c r="N23" s="10" t="str">
        <f t="shared" ca="1" si="1"/>
        <v>Shift B</v>
      </c>
      <c r="O23" s="51" t="str">
        <f>IF(B23="","", IF(IFERROR(ISNUMBER(SEARCH(B23, VLOOKUP(E23, Machine_List!$B:$J, 9, 0))), FALSE()), "✅ Machine OK", "❌ Sug: " &amp; IFERROR(INDEX(Machine_List!$B$4:$B$50, MATCH("*"&amp;B23&amp;"*", Machine_List!$J$4:$J$50, 0)), "Check Limits")))</f>
        <v>✅ Machine OK</v>
      </c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2"/>
      <c r="AQ23" s="52"/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 s="52"/>
      <c r="BC23" s="52"/>
      <c r="BD23" s="52"/>
      <c r="BE23" s="52"/>
      <c r="BF23" s="52"/>
      <c r="BG23" s="52"/>
      <c r="BH23" s="52"/>
      <c r="BI23" s="52"/>
      <c r="BJ23" s="52"/>
      <c r="BK23" s="52"/>
      <c r="BL23" s="52"/>
      <c r="BM23" s="52"/>
    </row>
    <row r="24" spans="1:65" ht="28.8" customHeight="1" x14ac:dyDescent="0.3">
      <c r="A24" s="10" t="str">
        <f>IF(Job_Master!A24="","",Job_Master!A24)</f>
        <v>BJ-121</v>
      </c>
      <c r="B24" s="10">
        <f>IF($A24="","",Job_Master!B24)</f>
        <v>57</v>
      </c>
      <c r="C24" s="10" t="str">
        <f>IF($A24="","",Job_Master!C24)</f>
        <v>RW</v>
      </c>
      <c r="D24" s="10">
        <f>IF($A24="","",Job_Master!D24)</f>
        <v>2</v>
      </c>
      <c r="E24" s="48" t="str">
        <f>IF($A24="","","SPM-MC-03")</f>
        <v>SPM-MC-03</v>
      </c>
      <c r="F24" s="106" t="str">
        <f>IF($E24="","",IFERROR(VLOOKUP($E24,Machine_List!$B:$G,6,0),""))</f>
        <v>General Workman</v>
      </c>
      <c r="G24" s="53">
        <f>IF($E24="","",IFERROR(VLOOKUP($E24,Machine_List!$B:$C,2,0),""))</f>
        <v>46104</v>
      </c>
      <c r="H24" s="10">
        <f>IF($E24="","",IFERROR(VLOOKUP($E24,Machine_List!$B:$D,3,0),""))</f>
        <v>6</v>
      </c>
      <c r="I24" s="54"/>
      <c r="J24" s="55">
        <f ca="1">IF($A24="","",IF($I24&lt;&gt;"",$I24,MAX(VTL_Plan!$M24,IFERROR(LOOKUP(2,1/($E$3:INDIRECT("E"&amp;(ROW()-1))=$E24),$M$3:INDIRECT("M"&amp;(ROW()-1))),VTL_Plan!$M24))))</f>
        <v>46142.458333333321</v>
      </c>
      <c r="K24" s="10">
        <f>IF($A24="","",IFERROR(VLOOKUP(B24,CHOOSE(MATCH(C24,Settings!$L$4:$L$10,0),OPR_2P!$A$4:$I$18,SEG_6P!$A$4:$I$18,SOL_4P!$A$4:$I$18,RW_2P!$A$4:$I$18,RW2_4P!$A$4:$I$18,FLAP_4P!$A$4:$I$18,TUBE_4P!$A$4:$I$18),2,0),0))</f>
        <v>108</v>
      </c>
      <c r="L24" s="10">
        <f t="shared" si="0"/>
        <v>216</v>
      </c>
      <c r="M24" s="55">
        <f ca="1">IF($A24="","",IF(AND(ISNUMBER(G24),G24&gt;=J24,G24&lt;=(J24+(L24/(IF(F24="Contract Workman",Settings!$K$5,Settings!$K$4))))),J24+(L24/(IF(F24="Contract Workman",Settings!$K$5,Settings!$K$4)))+(H24/(IF(F24="Contract Workman",Settings!$K$5,Settings!$K$4))),J24+(L24/(IF(F24="Contract Workman",Settings!$K$5,Settings!$K$4)))))</f>
        <v>46152.458333333321</v>
      </c>
      <c r="N24" s="10" t="str">
        <f t="shared" ca="1" si="1"/>
        <v>Shift A</v>
      </c>
      <c r="O24" s="51" t="str">
        <f>IF(B24="","", IF(IFERROR(ISNUMBER(SEARCH(B24, VLOOKUP(E24, Machine_List!$B:$J, 9, 0))), FALSE()), "✅ Machine OK", "❌ Sug: " &amp; IFERROR(INDEX(Machine_List!$B$4:$B$50, MATCH("*"&amp;B24&amp;"*", Machine_List!$J$4:$J$50, 0)), "Check Limits")))</f>
        <v>✅ Machine OK</v>
      </c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2"/>
      <c r="AP24" s="52"/>
      <c r="AQ24" s="52"/>
      <c r="AR24" s="52"/>
      <c r="AS24" s="52"/>
      <c r="AT24" s="52"/>
      <c r="AU24" s="52"/>
      <c r="AV24" s="52"/>
      <c r="AW24" s="52"/>
      <c r="AX24" s="52"/>
      <c r="AY24" s="52"/>
      <c r="AZ24" s="52"/>
      <c r="BA24" s="52"/>
      <c r="BB24" s="52"/>
      <c r="BC24" s="52"/>
      <c r="BD24" s="52"/>
      <c r="BE24" s="52"/>
      <c r="BF24" s="52"/>
      <c r="BG24" s="52"/>
      <c r="BH24" s="52"/>
      <c r="BI24" s="52"/>
      <c r="BJ24" s="52"/>
      <c r="BK24" s="52"/>
      <c r="BL24" s="52"/>
      <c r="BM24" s="52"/>
    </row>
    <row r="25" spans="1:65" ht="28.8" customHeight="1" x14ac:dyDescent="0.3">
      <c r="A25" s="10" t="str">
        <f>IF(Job_Master!A25="","",Job_Master!A25)</f>
        <v>BJ-123</v>
      </c>
      <c r="B25" s="10">
        <f>IF($A25="","",Job_Master!B25)</f>
        <v>46</v>
      </c>
      <c r="C25" s="10" t="str">
        <f>IF($A25="","",Job_Master!C25)</f>
        <v>RW</v>
      </c>
      <c r="D25" s="10">
        <f>IF($A25="","",Job_Master!D25)</f>
        <v>2</v>
      </c>
      <c r="E25" s="48" t="str">
        <f>IF($A25="","","SPM-MC-05")</f>
        <v>SPM-MC-05</v>
      </c>
      <c r="F25" s="106" t="str">
        <f>IF($E25="","",IFERROR(VLOOKUP($E25,Machine_List!$B:$G,6,0),""))</f>
        <v>General Workman</v>
      </c>
      <c r="G25" s="53">
        <f>IF($E25="","",IFERROR(VLOOKUP($E25,Machine_List!$B:$C,2,0),""))</f>
        <v>46271</v>
      </c>
      <c r="H25" s="10">
        <f>IF($E25="","",IFERROR(VLOOKUP($E25,Machine_List!$B:$D,3,0),""))</f>
        <v>6</v>
      </c>
      <c r="I25" s="54"/>
      <c r="J25" s="55">
        <f ca="1">IF($A25="","",IF($I25&lt;&gt;"",$I25,MAX(VTL_Plan!$M25,IFERROR(LOOKUP(2,1/($E$3:INDIRECT("E"&amp;(ROW()-1))=$E25),$M$3:INDIRECT("M"&amp;(ROW()-1))),VTL_Plan!$M25))))</f>
        <v>46141.81018518519</v>
      </c>
      <c r="K25" s="10">
        <f>IF($A25="","",IFERROR(VLOOKUP(B25,CHOOSE(MATCH(C25,Settings!$L$4:$L$10,0),OPR_2P!$A$4:$I$18,SEG_6P!$A$4:$I$18,SOL_4P!$A$4:$I$18,RW_2P!$A$4:$I$18,RW2_4P!$A$4:$I$18,FLAP_4P!$A$4:$I$18,TUBE_4P!$A$4:$I$18),2,0),0))</f>
        <v>51</v>
      </c>
      <c r="L25" s="10">
        <f t="shared" si="0"/>
        <v>102</v>
      </c>
      <c r="M25" s="55">
        <f ca="1">IF($A25="","",IF(AND(ISNUMBER(G25),G25&gt;=J25,G25&lt;=(J25+(L25/(IF(F25="Contract Workman",Settings!$K$5,Settings!$K$4))))),J25+(L25/(IF(F25="Contract Workman",Settings!$K$5,Settings!$K$4)))+(H25/(IF(F25="Contract Workman",Settings!$K$5,Settings!$K$4))),J25+(L25/(IF(F25="Contract Workman",Settings!$K$5,Settings!$K$4)))))</f>
        <v>46146.532407407409</v>
      </c>
      <c r="N25" s="10" t="str">
        <f t="shared" ca="1" si="1"/>
        <v>Shift A</v>
      </c>
      <c r="O25" s="51" t="str">
        <f>IF(B25="","", IF(IFERROR(ISNUMBER(SEARCH(B25, VLOOKUP(E25, Machine_List!$B:$J, 9, 0))), FALSE()), "✅ Machine OK", "❌ Sug: " &amp; IFERROR(INDEX(Machine_List!$B$4:$B$50, MATCH("*"&amp;B25&amp;"*", Machine_List!$J$4:$J$50, 0)), "Check Limits")))</f>
        <v>✅ Machine OK</v>
      </c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52"/>
      <c r="BC25" s="52"/>
      <c r="BD25" s="52"/>
      <c r="BE25" s="52"/>
      <c r="BF25" s="52"/>
      <c r="BG25" s="52"/>
      <c r="BH25" s="52"/>
      <c r="BI25" s="52"/>
      <c r="BJ25" s="52"/>
      <c r="BK25" s="52"/>
      <c r="BL25" s="52"/>
      <c r="BM25" s="52"/>
    </row>
    <row r="26" spans="1:65" ht="28.8" customHeight="1" x14ac:dyDescent="0.3">
      <c r="A26" s="10" t="str">
        <f>IF(Job_Master!A26="","",Job_Master!A26)</f>
        <v>BJ-117</v>
      </c>
      <c r="B26" s="10">
        <f>IF($A26="","",Job_Master!B26)</f>
        <v>15</v>
      </c>
      <c r="C26" s="10" t="str">
        <f>IF($A26="","",Job_Master!C26)</f>
        <v>RW</v>
      </c>
      <c r="D26" s="10">
        <f>IF($A26="","",Job_Master!D26)</f>
        <v>2</v>
      </c>
      <c r="E26" s="48" t="str">
        <f>IF($A26="","","SPM-MC-06")</f>
        <v>SPM-MC-06</v>
      </c>
      <c r="F26" s="106" t="str">
        <f>IF($E26="","",IFERROR(VLOOKUP($E26,Machine_List!$B:$G,6,0),""))</f>
        <v>General Workman</v>
      </c>
      <c r="G26" s="53">
        <f>IF($E26="","",IFERROR(VLOOKUP($E26,Machine_List!$B:$C,2,0),""))</f>
        <v>46176</v>
      </c>
      <c r="H26" s="10">
        <f>IF($E26="","",IFERROR(VLOOKUP($E26,Machine_List!$B:$D,3,0),""))</f>
        <v>6</v>
      </c>
      <c r="I26" s="54"/>
      <c r="J26" s="55">
        <f ca="1">IF($A26="","",IF($I26&lt;&gt;"",$I26,MAX(VTL_Plan!$M26,IFERROR(LOOKUP(2,1/($E$3:INDIRECT("E"&amp;(ROW()-1))=$E26),$M$3:INDIRECT("M"&amp;(ROW()-1))),VTL_Plan!$M26))))</f>
        <v>46134.86574074073</v>
      </c>
      <c r="K26" s="10">
        <f>IF($A26="","",IFERROR(VLOOKUP(B26,CHOOSE(MATCH(C26,Settings!$L$4:$L$10,0),OPR_2P!$A$4:$I$18,SEG_6P!$A$4:$I$18,SOL_4P!$A$4:$I$18,RW_2P!$A$4:$I$18,RW2_4P!$A$4:$I$18,FLAP_4P!$A$4:$I$18,TUBE_4P!$A$4:$I$18),2,0),0))</f>
        <v>15</v>
      </c>
      <c r="L26" s="10">
        <f t="shared" si="0"/>
        <v>30</v>
      </c>
      <c r="M26" s="55">
        <f ca="1">IF($A26="","",IF(AND(ISNUMBER(G26),G26&gt;=J26,G26&lt;=(J26+(L26/(IF(F26="Contract Workman",Settings!$K$5,Settings!$K$4))))),J26+(L26/(IF(F26="Contract Workman",Settings!$K$5,Settings!$K$4)))+(H26/(IF(F26="Contract Workman",Settings!$K$5,Settings!$K$4))),J26+(L26/(IF(F26="Contract Workman",Settings!$K$5,Settings!$K$4)))))</f>
        <v>46136.25462962962</v>
      </c>
      <c r="N26" s="10" t="str">
        <f t="shared" ca="1" si="1"/>
        <v>Shift C</v>
      </c>
      <c r="O26" s="51" t="str">
        <f>IF(B26="","", IF(IFERROR(ISNUMBER(SEARCH(B26, VLOOKUP(E26, Machine_List!$B:$J, 9, 0))), FALSE()), "✅ Machine OK", "❌ Sug: " &amp; IFERROR(INDEX(Machine_List!$B$4:$B$50, MATCH("*"&amp;B26&amp;"*", Machine_List!$J$4:$J$50, 0)), "Check Limits")))</f>
        <v>✅ Machine OK</v>
      </c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2"/>
      <c r="BF26" s="52"/>
      <c r="BG26" s="52"/>
      <c r="BH26" s="52"/>
      <c r="BI26" s="52"/>
      <c r="BJ26" s="52"/>
      <c r="BK26" s="52"/>
      <c r="BL26" s="52"/>
      <c r="BM26" s="52"/>
    </row>
    <row r="27" spans="1:65" ht="28.8" customHeight="1" x14ac:dyDescent="0.3">
      <c r="A27" s="10" t="str">
        <f>IF(Job_Master!A27="","",Job_Master!A27)</f>
        <v>BJ-122</v>
      </c>
      <c r="B27" s="10">
        <f>IF($A27="","",Job_Master!B27)</f>
        <v>54</v>
      </c>
      <c r="C27" s="10" t="str">
        <f>IF($A27="","",Job_Master!C27)</f>
        <v>SOL</v>
      </c>
      <c r="D27" s="10">
        <f>IF($A27="","",Job_Master!D27)</f>
        <v>4</v>
      </c>
      <c r="E27" s="48" t="str">
        <f>IF($A27="","","SPM-MC-01")</f>
        <v>SPM-MC-01</v>
      </c>
      <c r="F27" s="106" t="str">
        <f>IF($E27="","",IFERROR(VLOOKUP($E27,Machine_List!$B:$G,6,0),""))</f>
        <v>General Workman</v>
      </c>
      <c r="G27" s="53">
        <f>IF($E27="","",IFERROR(VLOOKUP($E27,Machine_List!$B:$C,2,0),""))</f>
        <v>46285</v>
      </c>
      <c r="H27" s="10">
        <f>IF($E27="","",IFERROR(VLOOKUP($E27,Machine_List!$B:$D,3,0),""))</f>
        <v>6</v>
      </c>
      <c r="I27" s="54"/>
      <c r="J27" s="55">
        <f ca="1">IF($A27="","",IF($I27&lt;&gt;"",$I27,MAX(VTL_Plan!$M27,IFERROR(LOOKUP(2,1/($E$3:INDIRECT("E"&amp;(ROW()-1))=$E27),$M$3:INDIRECT("M"&amp;(ROW()-1))),VTL_Plan!$M27))))</f>
        <v>46165.05092592592</v>
      </c>
      <c r="K27" s="10">
        <f>IF($A27="","",IFERROR(VLOOKUP(B27,CHOOSE(MATCH(C27,Settings!$L$4:$L$10,0),OPR_2P!$A$4:$I$18,SEG_6P!$A$4:$I$18,SOL_4P!$A$4:$I$18,RW_2P!$A$4:$I$18,RW2_4P!$A$4:$I$18,FLAP_4P!$A$4:$I$18,TUBE_4P!$A$4:$I$18),2,0),0))</f>
        <v>84</v>
      </c>
      <c r="L27" s="10">
        <f t="shared" si="0"/>
        <v>336</v>
      </c>
      <c r="M27" s="55">
        <f ca="1">IF($A27="","",IF(AND(ISNUMBER(G27),G27&gt;=J27,G27&lt;=(J27+(L27/(IF(F27="Contract Workman",Settings!$K$5,Settings!$K$4))))),J27+(L27/(IF(F27="Contract Workman",Settings!$K$5,Settings!$K$4)))+(H27/(IF(F27="Contract Workman",Settings!$K$5,Settings!$K$4))),J27+(L27/(IF(F27="Contract Workman",Settings!$K$5,Settings!$K$4)))))</f>
        <v>46180.606481481474</v>
      </c>
      <c r="N27" s="10" t="str">
        <f t="shared" ca="1" si="1"/>
        <v>Shift A</v>
      </c>
      <c r="O27" s="51" t="str">
        <f>IF(B27="","", IF(IFERROR(ISNUMBER(SEARCH(B27, VLOOKUP(E27, Machine_List!$B:$J, 9, 0))), FALSE()), "✅ Machine OK", "❌ Sug: " &amp; IFERROR(INDEX(Machine_List!$B$4:$B$50, MATCH("*"&amp;B27&amp;"*", Machine_List!$J$4:$J$50, 0)), "Check Limits")))</f>
        <v>✅ Machine OK</v>
      </c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2"/>
      <c r="AQ27" s="52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52"/>
      <c r="BC27" s="52"/>
      <c r="BD27" s="52"/>
      <c r="BE27" s="52"/>
      <c r="BF27" s="52"/>
      <c r="BG27" s="52"/>
      <c r="BH27" s="52"/>
      <c r="BI27" s="52"/>
      <c r="BJ27" s="52"/>
      <c r="BK27" s="52"/>
      <c r="BL27" s="52"/>
      <c r="BM27" s="52"/>
    </row>
    <row r="28" spans="1:65" ht="28.8" customHeight="1" x14ac:dyDescent="0.3">
      <c r="A28" s="10" t="str">
        <f>IF(Job_Master!A28="","",Job_Master!A28)</f>
        <v>BJ-124</v>
      </c>
      <c r="B28" s="10">
        <f>IF($A28="","",Job_Master!B28)</f>
        <v>42</v>
      </c>
      <c r="C28" s="10" t="str">
        <f>IF($A28="","",Job_Master!C28)</f>
        <v>2P</v>
      </c>
      <c r="D28" s="10">
        <f>IF($A28="","",Job_Master!D28)</f>
        <v>2</v>
      </c>
      <c r="E28" s="48" t="str">
        <f>IF($A28="","","SPM-MC-04")</f>
        <v>SPM-MC-04</v>
      </c>
      <c r="F28" s="106" t="str">
        <f>IF($E28="","",IFERROR(VLOOKUP($E28,Machine_List!$B:$G,6,0),""))</f>
        <v>General Workman</v>
      </c>
      <c r="G28" s="53">
        <f>IF($E28="","",IFERROR(VLOOKUP($E28,Machine_List!$B:$C,2,0),""))</f>
        <v>46197</v>
      </c>
      <c r="H28" s="10">
        <f>IF($E28="","",IFERROR(VLOOKUP($E28,Machine_List!$B:$D,3,0),""))</f>
        <v>6</v>
      </c>
      <c r="I28" s="54"/>
      <c r="J28" s="55">
        <f ca="1">IF($A28="","",IF($I28&lt;&gt;"",$I28,MAX(VTL_Plan!$M28,IFERROR(LOOKUP(2,1/($E$3:INDIRECT("E"&amp;(ROW()-1))=$E28),$M$3:INDIRECT("M"&amp;(ROW()-1))),VTL_Plan!$M28))))</f>
        <v>46145.69907407408</v>
      </c>
      <c r="K28" s="10">
        <f>IF($A28="","",IFERROR(VLOOKUP(B28,CHOOSE(MATCH(C28,Settings!$L$4:$L$10,0),OPR_2P!$A$4:$I$18,SEG_6P!$A$4:$I$18,SOL_4P!$A$4:$I$18,RW_2P!$A$4:$I$18,RW2_4P!$A$4:$I$18,FLAP_4P!$A$4:$I$18,TUBE_4P!$A$4:$I$18),2,0),0))</f>
        <v>48</v>
      </c>
      <c r="L28" s="10">
        <f t="shared" si="0"/>
        <v>96</v>
      </c>
      <c r="M28" s="55">
        <f ca="1">IF($A28="","",IF(AND(ISNUMBER(G28),G28&gt;=J28,G28&lt;=(J28+(L28/(IF(F28="Contract Workman",Settings!$K$5,Settings!$K$4))))),J28+(L28/(IF(F28="Contract Workman",Settings!$K$5,Settings!$K$4)))+(H28/(IF(F28="Contract Workman",Settings!$K$5,Settings!$K$4))),J28+(L28/(IF(F28="Contract Workman",Settings!$K$5,Settings!$K$4)))))</f>
        <v>46150.143518518526</v>
      </c>
      <c r="N28" s="10" t="str">
        <f t="shared" ca="1" si="1"/>
        <v>Shift C</v>
      </c>
      <c r="O28" s="51" t="str">
        <f>IF(B28="","", IF(IFERROR(ISNUMBER(SEARCH(B28, VLOOKUP(E28, Machine_List!$B:$J, 9, 0))), FALSE()), "✅ Machine OK", "❌ Sug: " &amp; IFERROR(INDEX(Machine_List!$B$4:$B$50, MATCH("*"&amp;B28&amp;"*", Machine_List!$J$4:$J$50, 0)), "Check Limits")))</f>
        <v>✅ Machine OK</v>
      </c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2"/>
      <c r="AO28" s="52"/>
      <c r="AP28" s="52"/>
      <c r="AQ28" s="52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52"/>
      <c r="BC28" s="52"/>
      <c r="BD28" s="52"/>
      <c r="BE28" s="52"/>
      <c r="BF28" s="52"/>
      <c r="BG28" s="52"/>
      <c r="BH28" s="52"/>
      <c r="BI28" s="52"/>
      <c r="BJ28" s="52"/>
      <c r="BK28" s="52"/>
      <c r="BL28" s="52"/>
      <c r="BM28" s="52"/>
    </row>
    <row r="29" spans="1:65" ht="28.8" customHeight="1" x14ac:dyDescent="0.3">
      <c r="A29" s="10" t="str">
        <f>IF(Job_Master!A29="","",Job_Master!A29)</f>
        <v>BJ-126</v>
      </c>
      <c r="B29" s="10">
        <f>IF($A29="","",Job_Master!B29)</f>
        <v>42</v>
      </c>
      <c r="C29" s="10" t="str">
        <f>IF($A29="","",Job_Master!C29)</f>
        <v>2P</v>
      </c>
      <c r="D29" s="10">
        <f>IF($A29="","",Job_Master!D29)</f>
        <v>2</v>
      </c>
      <c r="E29" s="48" t="str">
        <f>IF($A29="","","SPM-MC-04")</f>
        <v>SPM-MC-04</v>
      </c>
      <c r="F29" s="106" t="str">
        <f>IF($E29="","",IFERROR(VLOOKUP($E29,Machine_List!$B:$G,6,0),""))</f>
        <v>General Workman</v>
      </c>
      <c r="G29" s="53">
        <f>IF($E29="","",IFERROR(VLOOKUP($E29,Machine_List!$B:$C,2,0),""))</f>
        <v>46197</v>
      </c>
      <c r="H29" s="10">
        <f>IF($E29="","",IFERROR(VLOOKUP($E29,Machine_List!$B:$D,3,0),""))</f>
        <v>6</v>
      </c>
      <c r="I29" s="54"/>
      <c r="J29" s="55">
        <f ca="1">IF($A29="","",IF($I29&lt;&gt;"",$I29,MAX(VTL_Plan!$M29,IFERROR(LOOKUP(2,1/($E$3:INDIRECT("E"&amp;(ROW()-1))=$E29),$M$3:INDIRECT("M"&amp;(ROW()-1))),VTL_Plan!$M29))))</f>
        <v>46150.143518518526</v>
      </c>
      <c r="K29" s="10">
        <f>IF($A29="","",IFERROR(VLOOKUP(B29,CHOOSE(MATCH(C29,Settings!$L$4:$L$10,0),OPR_2P!$A$4:$I$18,SEG_6P!$A$4:$I$18,SOL_4P!$A$4:$I$18,RW_2P!$A$4:$I$18,RW2_4P!$A$4:$I$18,FLAP_4P!$A$4:$I$18,TUBE_4P!$A$4:$I$18),2,0),0))</f>
        <v>48</v>
      </c>
      <c r="L29" s="10">
        <f t="shared" si="0"/>
        <v>96</v>
      </c>
      <c r="M29" s="55">
        <f ca="1">IF($A29="","",IF(AND(ISNUMBER(G29),G29&gt;=J29,G29&lt;=(J29+(L29/(IF(F29="Contract Workman",Settings!$K$5,Settings!$K$4))))),J29+(L29/(IF(F29="Contract Workman",Settings!$K$5,Settings!$K$4)))+(H29/(IF(F29="Contract Workman",Settings!$K$5,Settings!$K$4))),J29+(L29/(IF(F29="Contract Workman",Settings!$K$5,Settings!$K$4)))))</f>
        <v>46154.587962962971</v>
      </c>
      <c r="N29" s="10" t="str">
        <f t="shared" ca="1" si="1"/>
        <v>Shift A</v>
      </c>
      <c r="O29" s="51" t="str">
        <f>IF(B29="","", IF(IFERROR(ISNUMBER(SEARCH(B29, VLOOKUP(E29, Machine_List!$B:$J, 9, 0))), FALSE()), "✅ Machine OK", "❌ Sug: " &amp; IFERROR(INDEX(Machine_List!$B$4:$B$50, MATCH("*"&amp;B29&amp;"*", Machine_List!$J$4:$J$50, 0)), "Check Limits")))</f>
        <v>✅ Machine OK</v>
      </c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2"/>
      <c r="AQ29" s="52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52"/>
      <c r="BC29" s="52"/>
      <c r="BD29" s="52"/>
      <c r="BE29" s="52"/>
      <c r="BF29" s="52"/>
      <c r="BG29" s="52"/>
      <c r="BH29" s="52"/>
      <c r="BI29" s="52"/>
      <c r="BJ29" s="52"/>
      <c r="BK29" s="52"/>
      <c r="BL29" s="52"/>
      <c r="BM29" s="52"/>
    </row>
    <row r="30" spans="1:65" ht="28.8" customHeight="1" x14ac:dyDescent="0.3">
      <c r="A30" s="10" t="str">
        <f>IF(Job_Master!A30="","",Job_Master!A30)</f>
        <v>BJ-127</v>
      </c>
      <c r="B30" s="10">
        <f>IF($A30="","",Job_Master!B30)</f>
        <v>15</v>
      </c>
      <c r="C30" s="10" t="str">
        <f>IF($A30="","",Job_Master!C30)</f>
        <v>RW</v>
      </c>
      <c r="D30" s="10">
        <f>IF($A30="","",Job_Master!D30)</f>
        <v>2</v>
      </c>
      <c r="E30" s="48" t="str">
        <f>IF($A30="","","SPM-MC-06")</f>
        <v>SPM-MC-06</v>
      </c>
      <c r="F30" s="106" t="str">
        <f>IF($E30="","",IFERROR(VLOOKUP($E30,Machine_List!$B:$G,6,0),""))</f>
        <v>General Workman</v>
      </c>
      <c r="G30" s="53">
        <f>IF($E30="","",IFERROR(VLOOKUP($E30,Machine_List!$B:$C,2,0),""))</f>
        <v>46176</v>
      </c>
      <c r="H30" s="10">
        <f>IF($E30="","",IFERROR(VLOOKUP($E30,Machine_List!$B:$D,3,0),""))</f>
        <v>6</v>
      </c>
      <c r="I30" s="54"/>
      <c r="J30" s="55">
        <f ca="1">IF($A30="","",IF($I30&lt;&gt;"",$I30,MAX(VTL_Plan!$M30,IFERROR(LOOKUP(2,1/($E$3:INDIRECT("E"&amp;(ROW()-1))=$E30),$M$3:INDIRECT("M"&amp;(ROW()-1))),VTL_Plan!$M30))))</f>
        <v>46136.25462962962</v>
      </c>
      <c r="K30" s="10">
        <f>IF($A30="","",IFERROR(VLOOKUP(B30,CHOOSE(MATCH(C30,Settings!$L$4:$L$10,0),OPR_2P!$A$4:$I$18,SEG_6P!$A$4:$I$18,SOL_4P!$A$4:$I$18,RW_2P!$A$4:$I$18,RW2_4P!$A$4:$I$18,FLAP_4P!$A$4:$I$18,TUBE_4P!$A$4:$I$18),2,0),0))</f>
        <v>15</v>
      </c>
      <c r="L30" s="10">
        <f t="shared" si="0"/>
        <v>30</v>
      </c>
      <c r="M30" s="55">
        <f ca="1">IF($A30="","",IF(AND(ISNUMBER(G30),G30&gt;=J30,G30&lt;=(J30+(L30/(IF(F30="Contract Workman",Settings!$K$5,Settings!$K$4))))),J30+(L30/(IF(F30="Contract Workman",Settings!$K$5,Settings!$K$4)))+(H30/(IF(F30="Contract Workman",Settings!$K$5,Settings!$K$4))),J30+(L30/(IF(F30="Contract Workman",Settings!$K$5,Settings!$K$4)))))</f>
        <v>46137.643518518511</v>
      </c>
      <c r="N30" s="10" t="str">
        <f t="shared" ca="1" si="1"/>
        <v>Shift B</v>
      </c>
      <c r="O30" s="51" t="str">
        <f>IF(B30="","", IF(IFERROR(ISNUMBER(SEARCH(B30, VLOOKUP(E30, Machine_List!$B:$J, 9, 0))), FALSE()), "✅ Machine OK", "❌ Sug: " &amp; IFERROR(INDEX(Machine_List!$B$4:$B$50, MATCH("*"&amp;B30&amp;"*", Machine_List!$J$4:$J$50, 0)), "Check Limits")))</f>
        <v>✅ Machine OK</v>
      </c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P30" s="52"/>
      <c r="AQ30" s="52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52"/>
      <c r="BC30" s="52"/>
      <c r="BD30" s="52"/>
      <c r="BE30" s="52"/>
      <c r="BF30" s="52"/>
      <c r="BG30" s="52"/>
      <c r="BH30" s="52"/>
      <c r="BI30" s="52"/>
      <c r="BJ30" s="52"/>
      <c r="BK30" s="52"/>
      <c r="BL30" s="52"/>
      <c r="BM30" s="52"/>
    </row>
    <row r="31" spans="1:65" ht="28.8" customHeight="1" x14ac:dyDescent="0.3">
      <c r="A31" s="10" t="str">
        <f>IF(Job_Master!A31="","",Job_Master!A31)</f>
        <v>BJ-128</v>
      </c>
      <c r="B31" s="10">
        <f>IF($A31="","",Job_Master!B31)</f>
        <v>46</v>
      </c>
      <c r="C31" s="10" t="str">
        <f>IF($A31="","",Job_Master!C31)</f>
        <v>2P</v>
      </c>
      <c r="D31" s="10">
        <f>IF($A31="","",Job_Master!D31)</f>
        <v>2</v>
      </c>
      <c r="E31" s="48" t="str">
        <f>IF($A31="","","SPM-MC-04")</f>
        <v>SPM-MC-04</v>
      </c>
      <c r="F31" s="106" t="str">
        <f>IF($E31="","",IFERROR(VLOOKUP($E31,Machine_List!$B:$G,6,0),""))</f>
        <v>General Workman</v>
      </c>
      <c r="G31" s="53">
        <f>IF($E31="","",IFERROR(VLOOKUP($E31,Machine_List!$B:$C,2,0),""))</f>
        <v>46197</v>
      </c>
      <c r="H31" s="10">
        <f>IF($E31="","",IFERROR(VLOOKUP($E31,Machine_List!$B:$D,3,0),""))</f>
        <v>6</v>
      </c>
      <c r="I31" s="54"/>
      <c r="J31" s="55">
        <f ca="1">IF($A31="","",IF($I31&lt;&gt;"",$I31,MAX(VTL_Plan!$M31,IFERROR(LOOKUP(2,1/($E$3:INDIRECT("E"&amp;(ROW()-1))=$E31),$M$3:INDIRECT("M"&amp;(ROW()-1))),VTL_Plan!$M31))))</f>
        <v>46154.587962962971</v>
      </c>
      <c r="K31" s="10">
        <f>IF($A31="","",IFERROR(VLOOKUP(B31,CHOOSE(MATCH(C31,Settings!$L$4:$L$10,0),OPR_2P!$A$4:$I$18,SEG_6P!$A$4:$I$18,SOL_4P!$A$4:$I$18,RW_2P!$A$4:$I$18,RW2_4P!$A$4:$I$18,FLAP_4P!$A$4:$I$18,TUBE_4P!$A$4:$I$18),2,0),0))</f>
        <v>59</v>
      </c>
      <c r="L31" s="10">
        <f t="shared" si="0"/>
        <v>118</v>
      </c>
      <c r="M31" s="55">
        <f ca="1">IF($A31="","",IF(AND(ISNUMBER(G31),G31&gt;=J31,G31&lt;=(J31+(L31/(IF(F31="Contract Workman",Settings!$K$5,Settings!$K$4))))),J31+(L31/(IF(F31="Contract Workman",Settings!$K$5,Settings!$K$4)))+(H31/(IF(F31="Contract Workman",Settings!$K$5,Settings!$K$4))),J31+(L31/(IF(F31="Contract Workman",Settings!$K$5,Settings!$K$4)))))</f>
        <v>46160.050925925934</v>
      </c>
      <c r="N31" s="10" t="str">
        <f t="shared" ca="1" si="1"/>
        <v>Shift C</v>
      </c>
      <c r="O31" s="51" t="str">
        <f>IF(B31="","", IF(IFERROR(ISNUMBER(SEARCH(B31, VLOOKUP(E31, Machine_List!$B:$J, 9, 0))), FALSE()), "✅ Machine OK", "❌ Sug: " &amp; IFERROR(INDEX(Machine_List!$B$4:$B$50, MATCH("*"&amp;B31&amp;"*", Machine_List!$J$4:$J$50, 0)), "Check Limits")))</f>
        <v>✅ Machine OK</v>
      </c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2"/>
      <c r="BC31" s="52"/>
      <c r="BD31" s="52"/>
      <c r="BE31" s="52"/>
      <c r="BF31" s="52"/>
      <c r="BG31" s="52"/>
      <c r="BH31" s="52"/>
      <c r="BI31" s="52"/>
      <c r="BJ31" s="52"/>
      <c r="BK31" s="52"/>
      <c r="BL31" s="52"/>
      <c r="BM31" s="52"/>
    </row>
    <row r="32" spans="1:65" ht="28.8" customHeight="1" x14ac:dyDescent="0.3">
      <c r="A32" s="10" t="str">
        <f>IF(Job_Master!A32="","",Job_Master!A32)</f>
        <v>BJ-125</v>
      </c>
      <c r="B32" s="10">
        <f>IF($A32="","",Job_Master!B32)</f>
        <v>25</v>
      </c>
      <c r="C32" s="10" t="str">
        <f>IF($A32="","",Job_Master!C32)</f>
        <v>SEG</v>
      </c>
      <c r="D32" s="10">
        <f>IF($A32="","",Job_Master!D32)</f>
        <v>6</v>
      </c>
      <c r="E32" s="48" t="str">
        <f>IF($A32="","","SPM-MC-06")</f>
        <v>SPM-MC-06</v>
      </c>
      <c r="F32" s="106" t="str">
        <f>IF($E32="","",IFERROR(VLOOKUP($E32,Machine_List!$B:$G,6,0),""))</f>
        <v>General Workman</v>
      </c>
      <c r="G32" s="53">
        <f>IF($E32="","",IFERROR(VLOOKUP($E32,Machine_List!$B:$C,2,0),""))</f>
        <v>46176</v>
      </c>
      <c r="H32" s="10">
        <f>IF($E32="","",IFERROR(VLOOKUP($E32,Machine_List!$B:$D,3,0),""))</f>
        <v>6</v>
      </c>
      <c r="I32" s="54"/>
      <c r="J32" s="55">
        <f ca="1">IF($A32="","",IF($I32&lt;&gt;"",$I32,MAX(VTL_Plan!$M32,IFERROR(LOOKUP(2,1/($E$3:INDIRECT("E"&amp;(ROW()-1))=$E32),$M$3:INDIRECT("M"&amp;(ROW()-1))),VTL_Plan!$M32))))</f>
        <v>46142.643518518518</v>
      </c>
      <c r="K32" s="10">
        <f>IF($A32="","",IFERROR(VLOOKUP(B32,CHOOSE(MATCH(C32,Settings!$L$4:$L$10,0),OPR_2P!$A$4:$I$18,SEG_6P!$A$4:$I$18,SOL_4P!$A$4:$I$18,RW_2P!$A$4:$I$18,RW2_4P!$A$4:$I$18,FLAP_4P!$A$4:$I$18,TUBE_4P!$A$4:$I$18),2,0),0))</f>
        <v>38</v>
      </c>
      <c r="L32" s="10">
        <f t="shared" si="0"/>
        <v>228</v>
      </c>
      <c r="M32" s="55">
        <f ca="1">IF($A32="","",IF(AND(ISNUMBER(G32),G32&gt;=J32,G32&lt;=(J32+(L32/(IF(F32="Contract Workman",Settings!$K$5,Settings!$K$4))))),J32+(L32/(IF(F32="Contract Workman",Settings!$K$5,Settings!$K$4)))+(H32/(IF(F32="Contract Workman",Settings!$K$5,Settings!$K$4))),J32+(L32/(IF(F32="Contract Workman",Settings!$K$5,Settings!$K$4)))))</f>
        <v>46153.199074074073</v>
      </c>
      <c r="N32" s="10" t="str">
        <f t="shared" ca="1" si="1"/>
        <v>Shift C</v>
      </c>
      <c r="O32" s="51" t="str">
        <f>IF(B32="","", IF(IFERROR(ISNUMBER(SEARCH(B32, VLOOKUP(E32, Machine_List!$B:$J, 9, 0))), FALSE()), "✅ Machine OK", "❌ Sug: " &amp; IFERROR(INDEX(Machine_List!$B$4:$B$50, MATCH("*"&amp;B32&amp;"*", Machine_List!$J$4:$J$50, 0)), "Check Limits")))</f>
        <v>✅ Machine OK</v>
      </c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2"/>
      <c r="AO32" s="52"/>
      <c r="AP32" s="52"/>
      <c r="AQ32" s="52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52"/>
      <c r="BC32" s="52"/>
      <c r="BD32" s="52"/>
      <c r="BE32" s="52"/>
      <c r="BF32" s="52"/>
      <c r="BG32" s="52"/>
      <c r="BH32" s="52"/>
      <c r="BI32" s="52"/>
      <c r="BJ32" s="52"/>
      <c r="BK32" s="52"/>
      <c r="BL32" s="52"/>
      <c r="BM32" s="52"/>
    </row>
    <row r="33" spans="1:65" ht="28.8" customHeight="1" x14ac:dyDescent="0.3">
      <c r="A33" s="10" t="str">
        <f>IF(Job_Master!A33="","",Job_Master!A33)</f>
        <v>BJ-129</v>
      </c>
      <c r="B33" s="10">
        <f>IF($A33="","",Job_Master!B33)</f>
        <v>9</v>
      </c>
      <c r="C33" s="10" t="str">
        <f>IF($A33="","",Job_Master!C33)</f>
        <v>RW</v>
      </c>
      <c r="D33" s="10">
        <f>IF($A33="","",Job_Master!D33)</f>
        <v>2</v>
      </c>
      <c r="E33" s="48" t="str">
        <f>IF($A33="","","SPM-MC-05")</f>
        <v>SPM-MC-05</v>
      </c>
      <c r="F33" s="106" t="str">
        <f>IF($E33="","",IFERROR(VLOOKUP($E33,Machine_List!$B:$G,6,0),""))</f>
        <v>General Workman</v>
      </c>
      <c r="G33" s="53">
        <f>IF($E33="","",IFERROR(VLOOKUP($E33,Machine_List!$B:$C,2,0),""))</f>
        <v>46271</v>
      </c>
      <c r="H33" s="10">
        <f>IF($E33="","",IFERROR(VLOOKUP($E33,Machine_List!$B:$D,3,0),""))</f>
        <v>6</v>
      </c>
      <c r="I33" s="54"/>
      <c r="J33" s="55">
        <f ca="1">IF($A33="","",IF($I33&lt;&gt;"",$I33,MAX(VTL_Plan!$M33,IFERROR(LOOKUP(2,1/($E$3:INDIRECT("E"&amp;(ROW()-1))=$E33),$M$3:INDIRECT("M"&amp;(ROW()-1))),VTL_Plan!$M33))))</f>
        <v>46146.532407407409</v>
      </c>
      <c r="K33" s="10">
        <f>IF($A33="","",IFERROR(VLOOKUP(B33,CHOOSE(MATCH(C33,Settings!$L$4:$L$10,0),OPR_2P!$A$4:$I$18,SEG_6P!$A$4:$I$18,SOL_4P!$A$4:$I$18,RW_2P!$A$4:$I$18,RW2_4P!$A$4:$I$18,FLAP_4P!$A$4:$I$18,TUBE_4P!$A$4:$I$18),2,0),0))</f>
        <v>2</v>
      </c>
      <c r="L33" s="10">
        <f t="shared" si="0"/>
        <v>4</v>
      </c>
      <c r="M33" s="55">
        <f ca="1">IF($A33="","",IF(AND(ISNUMBER(G33),G33&gt;=J33,G33&lt;=(J33+(L33/(IF(F33="Contract Workman",Settings!$K$5,Settings!$K$4))))),J33+(L33/(IF(F33="Contract Workman",Settings!$K$5,Settings!$K$4)))+(H33/(IF(F33="Contract Workman",Settings!$K$5,Settings!$K$4))),J33+(L33/(IF(F33="Contract Workman",Settings!$K$5,Settings!$K$4)))))</f>
        <v>46146.717592592591</v>
      </c>
      <c r="N33" s="10" t="str">
        <f t="shared" ca="1" si="1"/>
        <v>Shift B</v>
      </c>
      <c r="O33" s="51" t="str">
        <f>IF(B33="","", IF(IFERROR(ISNUMBER(SEARCH(B33, VLOOKUP(E33, Machine_List!$B:$J, 9, 0))), FALSE()), "✅ Machine OK", "❌ Sug: " &amp; IFERROR(INDEX(Machine_List!$B$4:$B$50, MATCH("*"&amp;B33&amp;"*", Machine_List!$J$4:$J$50, 0)), "Check Limits")))</f>
        <v>✅ Machine OK</v>
      </c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2"/>
      <c r="AQ33" s="52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/>
      <c r="BD33" s="52"/>
      <c r="BE33" s="52"/>
      <c r="BF33" s="52"/>
      <c r="BG33" s="52"/>
      <c r="BH33" s="52"/>
      <c r="BI33" s="52"/>
      <c r="BJ33" s="52"/>
      <c r="BK33" s="52"/>
      <c r="BL33" s="52"/>
      <c r="BM33" s="52"/>
    </row>
    <row r="34" spans="1:65" ht="28.8" customHeight="1" x14ac:dyDescent="0.3">
      <c r="A34" s="10" t="str">
        <f>IF(Job_Master!A34="","",Job_Master!A34)</f>
        <v>BJ-130</v>
      </c>
      <c r="B34" s="10">
        <f>IF($A34="","",Job_Master!B34)</f>
        <v>57</v>
      </c>
      <c r="C34" s="10" t="str">
        <f>IF($A34="","",Job_Master!C34)</f>
        <v>RW</v>
      </c>
      <c r="D34" s="10">
        <f>IF($A34="","",Job_Master!D34)</f>
        <v>2</v>
      </c>
      <c r="E34" s="48" t="str">
        <f>IF($A34="","","SPM-MC-03")</f>
        <v>SPM-MC-03</v>
      </c>
      <c r="F34" s="106" t="str">
        <f>IF($E34="","",IFERROR(VLOOKUP($E34,Machine_List!$B:$G,6,0),""))</f>
        <v>General Workman</v>
      </c>
      <c r="G34" s="53">
        <f>IF($E34="","",IFERROR(VLOOKUP($E34,Machine_List!$B:$C,2,0),""))</f>
        <v>46104</v>
      </c>
      <c r="H34" s="10">
        <f>IF($E34="","",IFERROR(VLOOKUP($E34,Machine_List!$B:$D,3,0),""))</f>
        <v>6</v>
      </c>
      <c r="I34" s="54"/>
      <c r="J34" s="55">
        <f ca="1">IF($A34="","",IF($I34&lt;&gt;"",$I34,MAX(VTL_Plan!$M34,IFERROR(LOOKUP(2,1/($E$3:INDIRECT("E"&amp;(ROW()-1))=$E34),$M$3:INDIRECT("M"&amp;(ROW()-1))),VTL_Plan!$M34))))</f>
        <v>46152.458333333321</v>
      </c>
      <c r="K34" s="10">
        <f>IF($A34="","",IFERROR(VLOOKUP(B34,CHOOSE(MATCH(C34,Settings!$L$4:$L$10,0),OPR_2P!$A$4:$I$18,SEG_6P!$A$4:$I$18,SOL_4P!$A$4:$I$18,RW_2P!$A$4:$I$18,RW2_4P!$A$4:$I$18,FLAP_4P!$A$4:$I$18,TUBE_4P!$A$4:$I$18),2,0),0))</f>
        <v>108</v>
      </c>
      <c r="L34" s="10">
        <f t="shared" si="0"/>
        <v>216</v>
      </c>
      <c r="M34" s="55">
        <f ca="1">IF($A34="","",IF(AND(ISNUMBER(G34),G34&gt;=J34,G34&lt;=(J34+(L34/(IF(F34="Contract Workman",Settings!$K$5,Settings!$K$4))))),J34+(L34/(IF(F34="Contract Workman",Settings!$K$5,Settings!$K$4)))+(H34/(IF(F34="Contract Workman",Settings!$K$5,Settings!$K$4))),J34+(L34/(IF(F34="Contract Workman",Settings!$K$5,Settings!$K$4)))))</f>
        <v>46162.458333333321</v>
      </c>
      <c r="N34" s="10" t="str">
        <f t="shared" ca="1" si="1"/>
        <v>Shift A</v>
      </c>
      <c r="O34" s="51" t="str">
        <f>IF(B34="","", IF(IFERROR(ISNUMBER(SEARCH(B34, VLOOKUP(E34, Machine_List!$B:$J, 9, 0))), FALSE()), "✅ Machine OK", "❌ Sug: " &amp; IFERROR(INDEX(Machine_List!$B$4:$B$50, MATCH("*"&amp;B34&amp;"*", Machine_List!$J$4:$J$50, 0)), "Check Limits")))</f>
        <v>✅ Machine OK</v>
      </c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2"/>
      <c r="AO34" s="52"/>
      <c r="AP34" s="52"/>
      <c r="AQ34" s="52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52"/>
      <c r="BC34" s="52"/>
      <c r="BD34" s="52"/>
      <c r="BE34" s="52"/>
      <c r="BF34" s="52"/>
      <c r="BG34" s="52"/>
      <c r="BH34" s="52"/>
      <c r="BI34" s="52"/>
      <c r="BJ34" s="52"/>
      <c r="BK34" s="52"/>
      <c r="BL34" s="52"/>
      <c r="BM34" s="52"/>
    </row>
    <row r="35" spans="1:65" ht="28.8" customHeight="1" x14ac:dyDescent="0.3">
      <c r="A35" s="10" t="str">
        <f>IF(Job_Master!A35="","",Job_Master!A35)</f>
        <v>BJ-133</v>
      </c>
      <c r="B35" s="10">
        <f>IF($A35="","",Job_Master!B35)</f>
        <v>25</v>
      </c>
      <c r="C35" s="10" t="str">
        <f>IF($A35="","",Job_Master!C35)</f>
        <v>RW</v>
      </c>
      <c r="D35" s="10">
        <f>IF($A35="","",Job_Master!D35)</f>
        <v>2</v>
      </c>
      <c r="E35" s="48" t="str">
        <f>IF($A35="","","SPM-MC-05")</f>
        <v>SPM-MC-05</v>
      </c>
      <c r="F35" s="106" t="str">
        <f>IF($E35="","",IFERROR(VLOOKUP($E35,Machine_List!$B:$G,6,0),""))</f>
        <v>General Workman</v>
      </c>
      <c r="G35" s="53">
        <f>IF($E35="","",IFERROR(VLOOKUP($E35,Machine_List!$B:$C,2,0),""))</f>
        <v>46271</v>
      </c>
      <c r="H35" s="10">
        <f>IF($E35="","",IFERROR(VLOOKUP($E35,Machine_List!$B:$D,3,0),""))</f>
        <v>6</v>
      </c>
      <c r="I35" s="54"/>
      <c r="J35" s="55">
        <f ca="1">IF($A35="","",IF($I35&lt;&gt;"",$I35,MAX(VTL_Plan!$M35,IFERROR(LOOKUP(2,1/($E$3:INDIRECT("E"&amp;(ROW()-1))=$E35),$M$3:INDIRECT("M"&amp;(ROW()-1))),VTL_Plan!$M35))))</f>
        <v>46146.717592592591</v>
      </c>
      <c r="K35" s="10">
        <f>IF($A35="","",IFERROR(VLOOKUP(B35,CHOOSE(MATCH(C35,Settings!$L$4:$L$10,0),OPR_2P!$A$4:$I$18,SEG_6P!$A$4:$I$18,SOL_4P!$A$4:$I$18,RW_2P!$A$4:$I$18,RW2_4P!$A$4:$I$18,FLAP_4P!$A$4:$I$18,TUBE_4P!$A$4:$I$18),2,0),0))</f>
        <v>30</v>
      </c>
      <c r="L35" s="10">
        <f t="shared" si="0"/>
        <v>60</v>
      </c>
      <c r="M35" s="55">
        <f ca="1">IF($A35="","",IF(AND(ISNUMBER(G35),G35&gt;=J35,G35&lt;=(J35+(L35/(IF(F35="Contract Workman",Settings!$K$5,Settings!$K$4))))),J35+(L35/(IF(F35="Contract Workman",Settings!$K$5,Settings!$K$4)))+(H35/(IF(F35="Contract Workman",Settings!$K$5,Settings!$K$4))),J35+(L35/(IF(F35="Contract Workman",Settings!$K$5,Settings!$K$4)))))</f>
        <v>46149.495370370372</v>
      </c>
      <c r="N35" s="10" t="str">
        <f t="shared" ca="1" si="1"/>
        <v>Shift A</v>
      </c>
      <c r="O35" s="51" t="str">
        <f>IF(B35="","", IF(IFERROR(ISNUMBER(SEARCH(B35, VLOOKUP(E35, Machine_List!$B:$J, 9, 0))), FALSE()), "✅ Machine OK", "❌ Sug: " &amp; IFERROR(INDEX(Machine_List!$B$4:$B$50, MATCH("*"&amp;B35&amp;"*", Machine_List!$J$4:$J$50, 0)), "Check Limits")))</f>
        <v>✅ Machine OK</v>
      </c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2"/>
      <c r="BF35" s="52"/>
      <c r="BG35" s="52"/>
      <c r="BH35" s="52"/>
      <c r="BI35" s="52"/>
      <c r="BJ35" s="52"/>
      <c r="BK35" s="52"/>
      <c r="BL35" s="52"/>
      <c r="BM35" s="52"/>
    </row>
    <row r="36" spans="1:65" ht="28.8" customHeight="1" x14ac:dyDescent="0.3">
      <c r="A36" s="10" t="str">
        <f>IF(Job_Master!A36="","",Job_Master!A36)</f>
        <v>BJ-131</v>
      </c>
      <c r="B36" s="10">
        <f>IF($A36="","",Job_Master!B36)</f>
        <v>70</v>
      </c>
      <c r="C36" s="10" t="str">
        <f>IF($A36="","",Job_Master!C36)</f>
        <v>2P</v>
      </c>
      <c r="D36" s="10">
        <f>IF($A36="","",Job_Master!D36)</f>
        <v>2</v>
      </c>
      <c r="E36" s="48" t="str">
        <f>IF($A36="","","SPM-MC-02")</f>
        <v>SPM-MC-02</v>
      </c>
      <c r="F36" s="106" t="str">
        <f>IF($E36="","",IFERROR(VLOOKUP($E36,Machine_List!$B:$G,6,0),""))</f>
        <v>General Workman</v>
      </c>
      <c r="G36" s="53">
        <f>IF($E36="","",IFERROR(VLOOKUP($E36,Machine_List!$B:$C,2,0),""))</f>
        <v>46459</v>
      </c>
      <c r="H36" s="10">
        <f>IF($E36="","",IFERROR(VLOOKUP($E36,Machine_List!$B:$D,3,0),""))</f>
        <v>6</v>
      </c>
      <c r="I36" s="54"/>
      <c r="J36" s="55">
        <f ca="1">IF($A36="","",IF($I36&lt;&gt;"",$I36,MAX(VTL_Plan!$M36,IFERROR(LOOKUP(2,1/($E$3:INDIRECT("E"&amp;(ROW()-1))=$E36),$M$3:INDIRECT("M"&amp;(ROW()-1))),VTL_Plan!$M36))))</f>
        <v>46167.273148148139</v>
      </c>
      <c r="K36" s="10">
        <f>IF($A36="","",IFERROR(VLOOKUP(B36,CHOOSE(MATCH(C36,Settings!$L$4:$L$10,0),OPR_2P!$A$4:$I$18,SEG_6P!$A$4:$I$18,SOL_4P!$A$4:$I$18,RW_2P!$A$4:$I$18,RW2_4P!$A$4:$I$18,FLAP_4P!$A$4:$I$18,TUBE_4P!$A$4:$I$18),2,0),0))</f>
        <v>115</v>
      </c>
      <c r="L36" s="10">
        <f t="shared" si="0"/>
        <v>230</v>
      </c>
      <c r="M36" s="55">
        <f ca="1">IF($A36="","",IF(AND(ISNUMBER(G36),G36&gt;=J36,G36&lt;=(J36+(L36/(IF(F36="Contract Workman",Settings!$K$5,Settings!$K$4))))),J36+(L36/(IF(F36="Contract Workman",Settings!$K$5,Settings!$K$4)))+(H36/(IF(F36="Contract Workman",Settings!$K$5,Settings!$K$4))),J36+(L36/(IF(F36="Contract Workman",Settings!$K$5,Settings!$K$4)))))</f>
        <v>46177.921296296285</v>
      </c>
      <c r="N36" s="10" t="str">
        <f t="shared" ref="N36:N67" ca="1" si="2">IF($A36="","",IF(F36="Contract Workman",IF(AND(MOD(M36,1)&gt;=8/24,MOD(M36,1)&lt;20/24),"Shift S1","Shift S2"),IF(AND(MOD(M36,1)&gt;=7/24,MOD(M36,1)&lt;15/24),"Shift A",IF(AND(MOD(M36,1)&gt;=15/24,MOD(M36,1)&lt;23/24),"Shift B","Shift C"))))</f>
        <v>Shift B</v>
      </c>
      <c r="O36" s="51" t="str">
        <f>IF(B36="","", IF(IFERROR(ISNUMBER(SEARCH(B36, VLOOKUP(E36, Machine_List!$B:$J, 9, 0))), FALSE()), "✅ Machine OK", "❌ Sug: " &amp; IFERROR(INDEX(Machine_List!$B$4:$B$50, MATCH("*"&amp;B36&amp;"*", Machine_List!$J$4:$J$50, 0)), "Check Limits")))</f>
        <v>✅ Machine OK</v>
      </c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2"/>
      <c r="AN36" s="52"/>
      <c r="AO36" s="52"/>
      <c r="AP36" s="52"/>
      <c r="AQ36" s="52"/>
      <c r="AR36" s="52"/>
      <c r="AS36" s="52"/>
      <c r="AT36" s="52"/>
      <c r="AU36" s="52"/>
      <c r="AV36" s="52"/>
      <c r="AW36" s="52"/>
      <c r="AX36" s="52"/>
      <c r="AY36" s="52"/>
      <c r="AZ36" s="52"/>
      <c r="BA36" s="52"/>
      <c r="BB36" s="52"/>
      <c r="BC36" s="52"/>
      <c r="BD36" s="52"/>
      <c r="BE36" s="52"/>
      <c r="BF36" s="52"/>
      <c r="BG36" s="52"/>
      <c r="BH36" s="52"/>
      <c r="BI36" s="52"/>
      <c r="BJ36" s="52"/>
      <c r="BK36" s="52"/>
      <c r="BL36" s="52"/>
      <c r="BM36" s="52"/>
    </row>
    <row r="37" spans="1:65" ht="28.8" customHeight="1" x14ac:dyDescent="0.3">
      <c r="A37" s="10" t="str">
        <f>IF(Job_Master!A37="","",Job_Master!A37)</f>
        <v>BJ-134</v>
      </c>
      <c r="B37" s="10">
        <f>IF($A37="","",Job_Master!B37)</f>
        <v>15</v>
      </c>
      <c r="C37" s="10" t="str">
        <f>IF($A37="","",Job_Master!C37)</f>
        <v>RW</v>
      </c>
      <c r="D37" s="10">
        <f>IF($A37="","",Job_Master!D37)</f>
        <v>2</v>
      </c>
      <c r="E37" s="48" t="str">
        <f>IF($A37="","","SPM-MC-05")</f>
        <v>SPM-MC-05</v>
      </c>
      <c r="F37" s="106" t="str">
        <f>IF($E37="","",IFERROR(VLOOKUP($E37,Machine_List!$B:$G,6,0),""))</f>
        <v>General Workman</v>
      </c>
      <c r="G37" s="53">
        <f>IF($E37="","",IFERROR(VLOOKUP($E37,Machine_List!$B:$C,2,0),""))</f>
        <v>46271</v>
      </c>
      <c r="H37" s="10">
        <f>IF($E37="","",IFERROR(VLOOKUP($E37,Machine_List!$B:$D,3,0),""))</f>
        <v>6</v>
      </c>
      <c r="I37" s="54"/>
      <c r="J37" s="55">
        <f ca="1">IF($A37="","",IF($I37&lt;&gt;"",$I37,MAX(VTL_Plan!$M37,IFERROR(LOOKUP(2,1/($E$3:INDIRECT("E"&amp;(ROW()-1))=$E37),$M$3:INDIRECT("M"&amp;(ROW()-1))),VTL_Plan!$M37))))</f>
        <v>46149.495370370372</v>
      </c>
      <c r="K37" s="10">
        <f>IF($A37="","",IFERROR(VLOOKUP(B37,CHOOSE(MATCH(C37,Settings!$L$4:$L$10,0),OPR_2P!$A$4:$I$18,SEG_6P!$A$4:$I$18,SOL_4P!$A$4:$I$18,RW_2P!$A$4:$I$18,RW2_4P!$A$4:$I$18,FLAP_4P!$A$4:$I$18,TUBE_4P!$A$4:$I$18),2,0),0))</f>
        <v>15</v>
      </c>
      <c r="L37" s="10">
        <f t="shared" si="0"/>
        <v>30</v>
      </c>
      <c r="M37" s="55">
        <f ca="1">IF($A37="","",IF(AND(ISNUMBER(G37),G37&gt;=J37,G37&lt;=(J37+(L37/(IF(F37="Contract Workman",Settings!$K$5,Settings!$K$4))))),J37+(L37/(IF(F37="Contract Workman",Settings!$K$5,Settings!$K$4)))+(H37/(IF(F37="Contract Workman",Settings!$K$5,Settings!$K$4))),J37+(L37/(IF(F37="Contract Workman",Settings!$K$5,Settings!$K$4)))))</f>
        <v>46150.884259259263</v>
      </c>
      <c r="N37" s="10" t="str">
        <f t="shared" ca="1" si="2"/>
        <v>Shift B</v>
      </c>
      <c r="O37" s="51" t="str">
        <f>IF(B37="","", IF(IFERROR(ISNUMBER(SEARCH(B37, VLOOKUP(E37, Machine_List!$B:$J, 9, 0))), FALSE()), "✅ Machine OK", "❌ Sug: " &amp; IFERROR(INDEX(Machine_List!$B$4:$B$50, MATCH("*"&amp;B37&amp;"*", Machine_List!$J$4:$J$50, 0)), "Check Limits")))</f>
        <v>✅ Machine OK</v>
      </c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2"/>
      <c r="AN37" s="52"/>
      <c r="AO37" s="52"/>
      <c r="AP37" s="52"/>
      <c r="AQ37" s="52"/>
      <c r="AR37" s="52"/>
      <c r="AS37" s="52"/>
      <c r="AT37" s="52"/>
      <c r="AU37" s="52"/>
      <c r="AV37" s="52"/>
      <c r="AW37" s="52"/>
      <c r="AX37" s="52"/>
      <c r="AY37" s="52"/>
      <c r="AZ37" s="52"/>
      <c r="BA37" s="52"/>
      <c r="BB37" s="52"/>
      <c r="BC37" s="52"/>
      <c r="BD37" s="52"/>
      <c r="BE37" s="52"/>
      <c r="BF37" s="52"/>
      <c r="BG37" s="52"/>
      <c r="BH37" s="52"/>
      <c r="BI37" s="52"/>
      <c r="BJ37" s="52"/>
      <c r="BK37" s="52"/>
      <c r="BL37" s="52"/>
      <c r="BM37" s="52"/>
    </row>
    <row r="38" spans="1:65" ht="28.8" customHeight="1" x14ac:dyDescent="0.3">
      <c r="A38" s="10" t="str">
        <f>IF(Job_Master!A38="","",Job_Master!A38)</f>
        <v>BJ-135</v>
      </c>
      <c r="B38" s="10">
        <f>IF($A38="","",Job_Master!B38)</f>
        <v>28</v>
      </c>
      <c r="C38" s="10" t="str">
        <f>IF($A38="","",Job_Master!C38)</f>
        <v>2P</v>
      </c>
      <c r="D38" s="10">
        <f>IF($A38="","",Job_Master!D38)</f>
        <v>2</v>
      </c>
      <c r="E38" s="48" t="str">
        <f>IF($A38="","","SPM-MC-05")</f>
        <v>SPM-MC-05</v>
      </c>
      <c r="F38" s="106" t="str">
        <f>IF($E38="","",IFERROR(VLOOKUP($E38,Machine_List!$B:$G,6,0),""))</f>
        <v>General Workman</v>
      </c>
      <c r="G38" s="53">
        <f>IF($E38="","",IFERROR(VLOOKUP($E38,Machine_List!$B:$C,2,0),""))</f>
        <v>46271</v>
      </c>
      <c r="H38" s="10">
        <f>IF($E38="","",IFERROR(VLOOKUP($E38,Machine_List!$B:$D,3,0),""))</f>
        <v>6</v>
      </c>
      <c r="I38" s="54"/>
      <c r="J38" s="55">
        <f ca="1">IF($A38="","",IF($I38&lt;&gt;"",$I38,MAX(VTL_Plan!$M38,IFERROR(LOOKUP(2,1/($E$3:INDIRECT("E"&amp;(ROW()-1))=$E38),$M$3:INDIRECT("M"&amp;(ROW()-1))),VTL_Plan!$M38))))</f>
        <v>46150.884259259263</v>
      </c>
      <c r="K38" s="10">
        <f>IF($A38="","",IFERROR(VLOOKUP(B38,CHOOSE(MATCH(C38,Settings!$L$4:$L$10,0),OPR_2P!$A$4:$I$18,SEG_6P!$A$4:$I$18,SOL_4P!$A$4:$I$18,RW_2P!$A$4:$I$18,RW2_4P!$A$4:$I$18,FLAP_4P!$A$4:$I$18,TUBE_4P!$A$4:$I$18),2,0),0))</f>
        <v>38</v>
      </c>
      <c r="L38" s="10">
        <f t="shared" si="0"/>
        <v>76</v>
      </c>
      <c r="M38" s="55">
        <f ca="1">IF($A38="","",IF(AND(ISNUMBER(G38),G38&gt;=J38,G38&lt;=(J38+(L38/(IF(F38="Contract Workman",Settings!$K$5,Settings!$K$4))))),J38+(L38/(IF(F38="Contract Workman",Settings!$K$5,Settings!$K$4)))+(H38/(IF(F38="Contract Workman",Settings!$K$5,Settings!$K$4))),J38+(L38/(IF(F38="Contract Workman",Settings!$K$5,Settings!$K$4)))))</f>
        <v>46154.402777777781</v>
      </c>
      <c r="N38" s="10" t="str">
        <f t="shared" ca="1" si="2"/>
        <v>Shift A</v>
      </c>
      <c r="O38" s="51" t="str">
        <f>IF(B38="","", IF(IFERROR(ISNUMBER(SEARCH(B38, VLOOKUP(E38, Machine_List!$B:$J, 9, 0))), FALSE()), "✅ Machine OK", "❌ Sug: " &amp; IFERROR(INDEX(Machine_List!$B$4:$B$50, MATCH("*"&amp;B38&amp;"*", Machine_List!$J$4:$J$50, 0)), "Check Limits")))</f>
        <v>✅ Machine OK</v>
      </c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2"/>
      <c r="AN38" s="52"/>
      <c r="AO38" s="52"/>
      <c r="AP38" s="52"/>
      <c r="AQ38" s="52"/>
      <c r="AR38" s="52"/>
      <c r="AS38" s="52"/>
      <c r="AT38" s="52"/>
      <c r="AU38" s="52"/>
      <c r="AV38" s="52"/>
      <c r="AW38" s="52"/>
      <c r="AX38" s="52"/>
      <c r="AY38" s="52"/>
      <c r="AZ38" s="52"/>
      <c r="BA38" s="52"/>
      <c r="BB38" s="52"/>
      <c r="BC38" s="52"/>
      <c r="BD38" s="52"/>
      <c r="BE38" s="52"/>
      <c r="BF38" s="52"/>
      <c r="BG38" s="52"/>
      <c r="BH38" s="52"/>
      <c r="BI38" s="52"/>
      <c r="BJ38" s="52"/>
      <c r="BK38" s="52"/>
      <c r="BL38" s="52"/>
      <c r="BM38" s="52"/>
    </row>
    <row r="39" spans="1:65" ht="28.8" customHeight="1" x14ac:dyDescent="0.3">
      <c r="A39" s="10" t="str">
        <f>IF(Job_Master!A39="","",Job_Master!A39)</f>
        <v>BJ-132</v>
      </c>
      <c r="B39" s="10">
        <f>IF($A39="","",Job_Master!B39)</f>
        <v>57</v>
      </c>
      <c r="C39" s="10" t="str">
        <f>IF($A39="","",Job_Master!C39)</f>
        <v>SOL</v>
      </c>
      <c r="D39" s="10">
        <f>IF($A39="","",Job_Master!D39)</f>
        <v>4</v>
      </c>
      <c r="E39" s="48" t="str">
        <f>IF($A39="","","SPM-MC-01")</f>
        <v>SPM-MC-01</v>
      </c>
      <c r="F39" s="106" t="str">
        <f>IF($E39="","",IFERROR(VLOOKUP($E39,Machine_List!$B:$G,6,0),""))</f>
        <v>General Workman</v>
      </c>
      <c r="G39" s="53">
        <f>IF($E39="","",IFERROR(VLOOKUP($E39,Machine_List!$B:$C,2,0),""))</f>
        <v>46285</v>
      </c>
      <c r="H39" s="10">
        <f>IF($E39="","",IFERROR(VLOOKUP($E39,Machine_List!$B:$D,3,0),""))</f>
        <v>6</v>
      </c>
      <c r="I39" s="54"/>
      <c r="J39" s="55">
        <f ca="1">IF($A39="","",IF($I39&lt;&gt;"",$I39,MAX(VTL_Plan!$M39,IFERROR(LOOKUP(2,1/($E$3:INDIRECT("E"&amp;(ROW()-1))=$E39),$M$3:INDIRECT("M"&amp;(ROW()-1))),VTL_Plan!$M39))))</f>
        <v>46180.606481481474</v>
      </c>
      <c r="K39" s="10">
        <f>IF($A39="","",IFERROR(VLOOKUP(B39,CHOOSE(MATCH(C39,Settings!$L$4:$L$10,0),OPR_2P!$A$4:$I$18,SEG_6P!$A$4:$I$18,SOL_4P!$A$4:$I$18,RW_2P!$A$4:$I$18,RW2_4P!$A$4:$I$18,FLAP_4P!$A$4:$I$18,TUBE_4P!$A$4:$I$18),2,0),0))</f>
        <v>99</v>
      </c>
      <c r="L39" s="10">
        <f t="shared" si="0"/>
        <v>396</v>
      </c>
      <c r="M39" s="55">
        <f ca="1">IF($A39="","",IF(AND(ISNUMBER(G39),G39&gt;=J39,G39&lt;=(J39+(L39/(IF(F39="Contract Workman",Settings!$K$5,Settings!$K$4))))),J39+(L39/(IF(F39="Contract Workman",Settings!$K$5,Settings!$K$4)))+(H39/(IF(F39="Contract Workman",Settings!$K$5,Settings!$K$4))),J39+(L39/(IF(F39="Contract Workman",Settings!$K$5,Settings!$K$4)))))</f>
        <v>46198.93981481481</v>
      </c>
      <c r="N39" s="10" t="str">
        <f t="shared" ca="1" si="2"/>
        <v>Shift B</v>
      </c>
      <c r="O39" s="51" t="str">
        <f>IF(B39="","", IF(IFERROR(ISNUMBER(SEARCH(B39, VLOOKUP(E39, Machine_List!$B:$J, 9, 0))), FALSE()), "✅ Machine OK", "❌ Sug: " &amp; IFERROR(INDEX(Machine_List!$B$4:$B$50, MATCH("*"&amp;B39&amp;"*", Machine_List!$J$4:$J$50, 0)), "Check Limits")))</f>
        <v>✅ Machine OK</v>
      </c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2"/>
      <c r="AN39" s="52"/>
      <c r="AO39" s="52"/>
      <c r="AP39" s="52"/>
      <c r="AQ39" s="52"/>
      <c r="AR39" s="52"/>
      <c r="AS39" s="52"/>
      <c r="AT39" s="52"/>
      <c r="AU39" s="52"/>
      <c r="AV39" s="52"/>
      <c r="AW39" s="52"/>
      <c r="AX39" s="52"/>
      <c r="AY39" s="52"/>
      <c r="AZ39" s="52"/>
      <c r="BA39" s="52"/>
      <c r="BB39" s="52"/>
      <c r="BC39" s="52"/>
      <c r="BD39" s="52"/>
      <c r="BE39" s="52"/>
      <c r="BF39" s="52"/>
      <c r="BG39" s="52"/>
      <c r="BH39" s="52"/>
      <c r="BI39" s="52"/>
      <c r="BJ39" s="52"/>
      <c r="BK39" s="52"/>
      <c r="BL39" s="52"/>
      <c r="BM39" s="52"/>
    </row>
    <row r="40" spans="1:65" ht="28.8" customHeight="1" x14ac:dyDescent="0.3">
      <c r="A40" s="10" t="str">
        <f>IF(Job_Master!A40="","",Job_Master!A40)</f>
        <v>BJ-136</v>
      </c>
      <c r="B40" s="10">
        <f>IF($A40="","",Job_Master!B40)</f>
        <v>20</v>
      </c>
      <c r="C40" s="10" t="str">
        <f>IF($A40="","",Job_Master!C40)</f>
        <v>RW</v>
      </c>
      <c r="D40" s="10">
        <f>IF($A40="","",Job_Master!D40)</f>
        <v>2</v>
      </c>
      <c r="E40" s="48" t="str">
        <f>IF($A40="","","SPM-MC-05")</f>
        <v>SPM-MC-05</v>
      </c>
      <c r="F40" s="106" t="str">
        <f>IF($E40="","",IFERROR(VLOOKUP($E40,Machine_List!$B:$G,6,0),""))</f>
        <v>General Workman</v>
      </c>
      <c r="G40" s="53">
        <f>IF($E40="","",IFERROR(VLOOKUP($E40,Machine_List!$B:$C,2,0),""))</f>
        <v>46271</v>
      </c>
      <c r="H40" s="10">
        <f>IF($E40="","",IFERROR(VLOOKUP($E40,Machine_List!$B:$D,3,0),""))</f>
        <v>6</v>
      </c>
      <c r="I40" s="54"/>
      <c r="J40" s="55">
        <f ca="1">IF($A40="","",IF($I40&lt;&gt;"",$I40,MAX(VTL_Plan!$M40,IFERROR(LOOKUP(2,1/($E$3:INDIRECT("E"&amp;(ROW()-1))=$E40),$M$3:INDIRECT("M"&amp;(ROW()-1))),VTL_Plan!$M40))))</f>
        <v>46154.402777777781</v>
      </c>
      <c r="K40" s="10">
        <f>IF($A40="","",IFERROR(VLOOKUP(B40,CHOOSE(MATCH(C40,Settings!$L$4:$L$10,0),OPR_2P!$A$4:$I$18,SEG_6P!$A$4:$I$18,SOL_4P!$A$4:$I$18,RW_2P!$A$4:$I$18,RW2_4P!$A$4:$I$18,FLAP_4P!$A$4:$I$18,TUBE_4P!$A$4:$I$18),2,0),0))</f>
        <v>32</v>
      </c>
      <c r="L40" s="10">
        <f t="shared" si="0"/>
        <v>64</v>
      </c>
      <c r="M40" s="55">
        <f ca="1">IF($A40="","",IF(AND(ISNUMBER(G40),G40&gt;=J40,G40&lt;=(J40+(L40/(IF(F40="Contract Workman",Settings!$K$5,Settings!$K$4))))),J40+(L40/(IF(F40="Contract Workman",Settings!$K$5,Settings!$K$4)))+(H40/(IF(F40="Contract Workman",Settings!$K$5,Settings!$K$4))),J40+(L40/(IF(F40="Contract Workman",Settings!$K$5,Settings!$K$4)))))</f>
        <v>46157.365740740745</v>
      </c>
      <c r="N40" s="10" t="str">
        <f t="shared" ca="1" si="2"/>
        <v>Shift A</v>
      </c>
      <c r="O40" s="51" t="str">
        <f>IF(B40="","", IF(IFERROR(ISNUMBER(SEARCH(B40, VLOOKUP(E40, Machine_List!$B:$J, 9, 0))), FALSE()), "✅ Machine OK", "❌ Sug: " &amp; IFERROR(INDEX(Machine_List!$B$4:$B$50, MATCH("*"&amp;B40&amp;"*", Machine_List!$J$4:$J$50, 0)), "Check Limits")))</f>
        <v>✅ Machine OK</v>
      </c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2"/>
      <c r="AN40" s="52"/>
      <c r="AO40" s="52"/>
      <c r="AP40" s="52"/>
      <c r="AQ40" s="52"/>
      <c r="AR40" s="52"/>
      <c r="AS40" s="52"/>
      <c r="AT40" s="52"/>
      <c r="AU40" s="52"/>
      <c r="AV40" s="52"/>
      <c r="AW40" s="52"/>
      <c r="AX40" s="52"/>
      <c r="AY40" s="52"/>
      <c r="AZ40" s="52"/>
      <c r="BA40" s="52"/>
      <c r="BB40" s="52"/>
      <c r="BC40" s="52"/>
      <c r="BD40" s="52"/>
      <c r="BE40" s="52"/>
      <c r="BF40" s="52"/>
      <c r="BG40" s="52"/>
      <c r="BH40" s="52"/>
      <c r="BI40" s="52"/>
      <c r="BJ40" s="52"/>
      <c r="BK40" s="52"/>
      <c r="BL40" s="52"/>
      <c r="BM40" s="52"/>
    </row>
    <row r="41" spans="1:65" ht="28.8" customHeight="1" x14ac:dyDescent="0.3">
      <c r="A41" s="10" t="str">
        <f>IF(Job_Master!A41="","",Job_Master!A41)</f>
        <v>BJ-137</v>
      </c>
      <c r="B41" s="10">
        <f>IF($A41="","",Job_Master!B41)</f>
        <v>34</v>
      </c>
      <c r="C41" s="10" t="str">
        <f>IF($A41="","",Job_Master!C41)</f>
        <v>RW</v>
      </c>
      <c r="D41" s="10">
        <f>IF($A41="","",Job_Master!D41)</f>
        <v>2</v>
      </c>
      <c r="E41" s="48" t="str">
        <f>IF($A41="","","SPM-MC-05")</f>
        <v>SPM-MC-05</v>
      </c>
      <c r="F41" s="106" t="str">
        <f>IF($E41="","",IFERROR(VLOOKUP($E41,Machine_List!$B:$G,6,0),""))</f>
        <v>General Workman</v>
      </c>
      <c r="G41" s="53">
        <f>IF($E41="","",IFERROR(VLOOKUP($E41,Machine_List!$B:$C,2,0),""))</f>
        <v>46271</v>
      </c>
      <c r="H41" s="10">
        <f>IF($E41="","",IFERROR(VLOOKUP($E41,Machine_List!$B:$D,3,0),""))</f>
        <v>6</v>
      </c>
      <c r="I41" s="54"/>
      <c r="J41" s="55">
        <f ca="1">IF($A41="","",IF($I41&lt;&gt;"",$I41,MAX(VTL_Plan!$M41,IFERROR(LOOKUP(2,1/($E$3:INDIRECT("E"&amp;(ROW()-1))=$E41),$M$3:INDIRECT("M"&amp;(ROW()-1))),VTL_Plan!$M41))))</f>
        <v>46157.365740740745</v>
      </c>
      <c r="K41" s="10">
        <f>IF($A41="","",IFERROR(VLOOKUP(B41,CHOOSE(MATCH(C41,Settings!$L$4:$L$10,0),OPR_2P!$A$4:$I$18,SEG_6P!$A$4:$I$18,SOL_4P!$A$4:$I$18,RW_2P!$A$4:$I$18,RW2_4P!$A$4:$I$18,FLAP_4P!$A$4:$I$18,TUBE_4P!$A$4:$I$18),2,0),0))</f>
        <v>56</v>
      </c>
      <c r="L41" s="10">
        <f t="shared" si="0"/>
        <v>112</v>
      </c>
      <c r="M41" s="55">
        <f ca="1">IF($A41="","",IF(AND(ISNUMBER(G41),G41&gt;=J41,G41&lt;=(J41+(L41/(IF(F41="Contract Workman",Settings!$K$5,Settings!$K$4))))),J41+(L41/(IF(F41="Contract Workman",Settings!$K$5,Settings!$K$4)))+(H41/(IF(F41="Contract Workman",Settings!$K$5,Settings!$K$4))),J41+(L41/(IF(F41="Contract Workman",Settings!$K$5,Settings!$K$4)))))</f>
        <v>46162.550925925927</v>
      </c>
      <c r="N41" s="10" t="str">
        <f t="shared" ca="1" si="2"/>
        <v>Shift A</v>
      </c>
      <c r="O41" s="51" t="str">
        <f>IF(B41="","", IF(IFERROR(ISNUMBER(SEARCH(B41, VLOOKUP(E41, Machine_List!$B:$J, 9, 0))), FALSE()), "✅ Machine OK", "❌ Sug: " &amp; IFERROR(INDEX(Machine_List!$B$4:$B$50, MATCH("*"&amp;B41&amp;"*", Machine_List!$J$4:$J$50, 0)), "Check Limits")))</f>
        <v>✅ Machine OK</v>
      </c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2"/>
      <c r="AN41" s="52"/>
      <c r="AO41" s="52"/>
      <c r="AP41" s="52"/>
      <c r="AQ41" s="52"/>
      <c r="AR41" s="52"/>
      <c r="AS41" s="52"/>
      <c r="AT41" s="52"/>
      <c r="AU41" s="52"/>
      <c r="AV41" s="52"/>
      <c r="AW41" s="52"/>
      <c r="AX41" s="52"/>
      <c r="AY41" s="52"/>
      <c r="AZ41" s="52"/>
      <c r="BA41" s="52"/>
      <c r="BB41" s="52"/>
      <c r="BC41" s="52"/>
      <c r="BD41" s="52"/>
      <c r="BE41" s="52"/>
      <c r="BF41" s="52"/>
      <c r="BG41" s="52"/>
      <c r="BH41" s="52"/>
      <c r="BI41" s="52"/>
      <c r="BJ41" s="52"/>
      <c r="BK41" s="52"/>
      <c r="BL41" s="52"/>
      <c r="BM41" s="52"/>
    </row>
    <row r="42" spans="1:65" ht="28.8" customHeight="1" x14ac:dyDescent="0.3">
      <c r="A42" s="10" t="str">
        <f>IF(Job_Master!A42="","",Job_Master!A42)</f>
        <v>BJ-140</v>
      </c>
      <c r="B42" s="10">
        <f>IF($A42="","",Job_Master!B42)</f>
        <v>54</v>
      </c>
      <c r="C42" s="10" t="str">
        <f>IF($A42="","",Job_Master!C42)</f>
        <v>RW</v>
      </c>
      <c r="D42" s="10">
        <f>IF($A42="","",Job_Master!D42)</f>
        <v>2</v>
      </c>
      <c r="E42" s="48" t="str">
        <f>IF($A42="","","SPM-MC-03")</f>
        <v>SPM-MC-03</v>
      </c>
      <c r="F42" s="106" t="str">
        <f>IF($E42="","",IFERROR(VLOOKUP($E42,Machine_List!$B:$G,6,0),""))</f>
        <v>General Workman</v>
      </c>
      <c r="G42" s="53">
        <f>IF($E42="","",IFERROR(VLOOKUP($E42,Machine_List!$B:$C,2,0),""))</f>
        <v>46104</v>
      </c>
      <c r="H42" s="10">
        <f>IF($E42="","",IFERROR(VLOOKUP($E42,Machine_List!$B:$D,3,0),""))</f>
        <v>6</v>
      </c>
      <c r="I42" s="54"/>
      <c r="J42" s="55">
        <f ca="1">IF($A42="","",IF($I42&lt;&gt;"",$I42,MAX(VTL_Plan!$M42,IFERROR(LOOKUP(2,1/($E$3:INDIRECT("E"&amp;(ROW()-1))=$E42),$M$3:INDIRECT("M"&amp;(ROW()-1))),VTL_Plan!$M42))))</f>
        <v>46162.736111111102</v>
      </c>
      <c r="K42" s="10">
        <f>IF($A42="","",IFERROR(VLOOKUP(B42,CHOOSE(MATCH(C42,Settings!$L$4:$L$10,0),OPR_2P!$A$4:$I$18,SEG_6P!$A$4:$I$18,SOL_4P!$A$4:$I$18,RW_2P!$A$4:$I$18,RW2_4P!$A$4:$I$18,FLAP_4P!$A$4:$I$18,TUBE_4P!$A$4:$I$18),2,0),0))</f>
        <v>78</v>
      </c>
      <c r="L42" s="10">
        <f t="shared" si="0"/>
        <v>156</v>
      </c>
      <c r="M42" s="55">
        <f ca="1">IF($A42="","",IF(AND(ISNUMBER(G42),G42&gt;=J42,G42&lt;=(J42+(L42/(IF(F42="Contract Workman",Settings!$K$5,Settings!$K$4))))),J42+(L42/(IF(F42="Contract Workman",Settings!$K$5,Settings!$K$4)))+(H42/(IF(F42="Contract Workman",Settings!$K$5,Settings!$K$4))),J42+(L42/(IF(F42="Contract Workman",Settings!$K$5,Settings!$K$4)))))</f>
        <v>46169.958333333321</v>
      </c>
      <c r="N42" s="10" t="str">
        <f t="shared" ca="1" si="2"/>
        <v>Shift B</v>
      </c>
      <c r="O42" s="51" t="str">
        <f>IF(B42="","", IF(IFERROR(ISNUMBER(SEARCH(B42, VLOOKUP(E42, Machine_List!$B:$J, 9, 0))), FALSE()), "✅ Machine OK", "❌ Sug: " &amp; IFERROR(INDEX(Machine_List!$B$4:$B$50, MATCH("*"&amp;B42&amp;"*", Machine_List!$J$4:$J$50, 0)), "Check Limits")))</f>
        <v>✅ Machine OK</v>
      </c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2"/>
      <c r="AN42" s="52"/>
      <c r="AO42" s="52"/>
      <c r="AP42" s="52"/>
      <c r="AQ42" s="52"/>
      <c r="AR42" s="52"/>
      <c r="AS42" s="52"/>
      <c r="AT42" s="52"/>
      <c r="AU42" s="52"/>
      <c r="AV42" s="52"/>
      <c r="AW42" s="52"/>
      <c r="AX42" s="52"/>
      <c r="AY42" s="52"/>
      <c r="AZ42" s="52"/>
      <c r="BA42" s="52"/>
      <c r="BB42" s="52"/>
      <c r="BC42" s="52"/>
      <c r="BD42" s="52"/>
      <c r="BE42" s="52"/>
      <c r="BF42" s="52"/>
      <c r="BG42" s="52"/>
      <c r="BH42" s="52"/>
      <c r="BI42" s="52"/>
      <c r="BJ42" s="52"/>
      <c r="BK42" s="52"/>
      <c r="BL42" s="52"/>
      <c r="BM42" s="52"/>
    </row>
    <row r="43" spans="1:65" ht="28.8" customHeight="1" x14ac:dyDescent="0.3">
      <c r="A43" s="10" t="str">
        <f>IF(Job_Master!A43="","",Job_Master!A43)</f>
        <v>BJ-138</v>
      </c>
      <c r="B43" s="10">
        <f>IF($A43="","",Job_Master!B43)</f>
        <v>9</v>
      </c>
      <c r="C43" s="10" t="str">
        <f>IF($A43="","",Job_Master!C43)</f>
        <v>RW</v>
      </c>
      <c r="D43" s="10">
        <f>IF($A43="","",Job_Master!D43)</f>
        <v>2</v>
      </c>
      <c r="E43" s="48" t="str">
        <f>IF($A43="","","SPM-MC-06")</f>
        <v>SPM-MC-06</v>
      </c>
      <c r="F43" s="106" t="str">
        <f>IF($E43="","",IFERROR(VLOOKUP($E43,Machine_List!$B:$G,6,0),""))</f>
        <v>General Workman</v>
      </c>
      <c r="G43" s="53">
        <f>IF($E43="","",IFERROR(VLOOKUP($E43,Machine_List!$B:$C,2,0),""))</f>
        <v>46176</v>
      </c>
      <c r="H43" s="10">
        <f>IF($E43="","",IFERROR(VLOOKUP($E43,Machine_List!$B:$D,3,0),""))</f>
        <v>6</v>
      </c>
      <c r="I43" s="54"/>
      <c r="J43" s="55">
        <f ca="1">IF($A43="","",IF($I43&lt;&gt;"",$I43,MAX(VTL_Plan!$M43,IFERROR(LOOKUP(2,1/($E$3:INDIRECT("E"&amp;(ROW()-1))=$E43),$M$3:INDIRECT("M"&amp;(ROW()-1))),VTL_Plan!$M43))))</f>
        <v>46153.199074074073</v>
      </c>
      <c r="K43" s="10">
        <f>IF($A43="","",IFERROR(VLOOKUP(B43,CHOOSE(MATCH(C43,Settings!$L$4:$L$10,0),OPR_2P!$A$4:$I$18,SEG_6P!$A$4:$I$18,SOL_4P!$A$4:$I$18,RW_2P!$A$4:$I$18,RW2_4P!$A$4:$I$18,FLAP_4P!$A$4:$I$18,TUBE_4P!$A$4:$I$18),2,0),0))</f>
        <v>2</v>
      </c>
      <c r="L43" s="10">
        <f t="shared" si="0"/>
        <v>4</v>
      </c>
      <c r="M43" s="55">
        <f ca="1">IF($A43="","",IF(AND(ISNUMBER(G43),G43&gt;=J43,G43&lt;=(J43+(L43/(IF(F43="Contract Workman",Settings!$K$5,Settings!$K$4))))),J43+(L43/(IF(F43="Contract Workman",Settings!$K$5,Settings!$K$4)))+(H43/(IF(F43="Contract Workman",Settings!$K$5,Settings!$K$4))),J43+(L43/(IF(F43="Contract Workman",Settings!$K$5,Settings!$K$4)))))</f>
        <v>46153.384259259255</v>
      </c>
      <c r="N43" s="10" t="str">
        <f t="shared" ca="1" si="2"/>
        <v>Shift A</v>
      </c>
      <c r="O43" s="51" t="str">
        <f>IF(B43="","", IF(IFERROR(ISNUMBER(SEARCH(B43, VLOOKUP(E43, Machine_List!$B:$J, 9, 0))), FALSE()), "✅ Machine OK", "❌ Sug: " &amp; IFERROR(INDEX(Machine_List!$B$4:$B$50, MATCH("*"&amp;B43&amp;"*", Machine_List!$J$4:$J$50, 0)), "Check Limits")))</f>
        <v>✅ Machine OK</v>
      </c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52"/>
      <c r="AN43" s="52"/>
      <c r="AO43" s="52"/>
      <c r="AP43" s="52"/>
      <c r="AQ43" s="52"/>
      <c r="AR43" s="52"/>
      <c r="AS43" s="52"/>
      <c r="AT43" s="52"/>
      <c r="AU43" s="52"/>
      <c r="AV43" s="52"/>
      <c r="AW43" s="52"/>
      <c r="AX43" s="52"/>
      <c r="AY43" s="52"/>
      <c r="AZ43" s="52"/>
      <c r="BA43" s="52"/>
      <c r="BB43" s="52"/>
      <c r="BC43" s="52"/>
      <c r="BD43" s="52"/>
      <c r="BE43" s="52"/>
      <c r="BF43" s="52"/>
      <c r="BG43" s="52"/>
      <c r="BH43" s="52"/>
      <c r="BI43" s="52"/>
      <c r="BJ43" s="52"/>
      <c r="BK43" s="52"/>
      <c r="BL43" s="52"/>
      <c r="BM43" s="52"/>
    </row>
    <row r="44" spans="1:65" ht="28.8" customHeight="1" x14ac:dyDescent="0.3">
      <c r="A44" s="10" t="str">
        <f>IF(Job_Master!A44="","",Job_Master!A44)</f>
        <v>BJ-144</v>
      </c>
      <c r="B44" s="10">
        <f>IF($A44="","",Job_Master!B44)</f>
        <v>63</v>
      </c>
      <c r="C44" s="10" t="str">
        <f>IF($A44="","",Job_Master!C44)</f>
        <v>RW</v>
      </c>
      <c r="D44" s="10">
        <f>IF($A44="","",Job_Master!D44)</f>
        <v>2</v>
      </c>
      <c r="E44" s="48" t="str">
        <f>IF($A44="","","SPM-MC-02")</f>
        <v>SPM-MC-02</v>
      </c>
      <c r="F44" s="106" t="str">
        <f>IF($E44="","",IFERROR(VLOOKUP($E44,Machine_List!$B:$G,6,0),""))</f>
        <v>General Workman</v>
      </c>
      <c r="G44" s="53">
        <f>IF($E44="","",IFERROR(VLOOKUP($E44,Machine_List!$B:$C,2,0),""))</f>
        <v>46459</v>
      </c>
      <c r="H44" s="10">
        <f>IF($E44="","",IFERROR(VLOOKUP($E44,Machine_List!$B:$D,3,0),""))</f>
        <v>6</v>
      </c>
      <c r="I44" s="54"/>
      <c r="J44" s="55">
        <f ca="1">IF($A44="","",IF($I44&lt;&gt;"",$I44,MAX(VTL_Plan!$M44,IFERROR(LOOKUP(2,1/($E$3:INDIRECT("E"&amp;(ROW()-1))=$E44),$M$3:INDIRECT("M"&amp;(ROW()-1))),VTL_Plan!$M44))))</f>
        <v>46177.921296296285</v>
      </c>
      <c r="K44" s="10">
        <f>IF($A44="","",IFERROR(VLOOKUP(B44,CHOOSE(MATCH(C44,Settings!$L$4:$L$10,0),OPR_2P!$A$4:$I$18,SEG_6P!$A$4:$I$18,SOL_4P!$A$4:$I$18,RW_2P!$A$4:$I$18,RW2_4P!$A$4:$I$18,FLAP_4P!$A$4:$I$18,TUBE_4P!$A$4:$I$18),2,0),0))</f>
        <v>104</v>
      </c>
      <c r="L44" s="10">
        <f t="shared" si="0"/>
        <v>208</v>
      </c>
      <c r="M44" s="55">
        <f ca="1">IF($A44="","",IF(AND(ISNUMBER(G44),G44&gt;=J44,G44&lt;=(J44+(L44/(IF(F44="Contract Workman",Settings!$K$5,Settings!$K$4))))),J44+(L44/(IF(F44="Contract Workman",Settings!$K$5,Settings!$K$4)))+(H44/(IF(F44="Contract Workman",Settings!$K$5,Settings!$K$4))),J44+(L44/(IF(F44="Contract Workman",Settings!$K$5,Settings!$K$4)))))</f>
        <v>46187.550925925912</v>
      </c>
      <c r="N44" s="10" t="str">
        <f t="shared" ca="1" si="2"/>
        <v>Shift A</v>
      </c>
      <c r="O44" s="51" t="str">
        <f>IF(B44="","", IF(IFERROR(ISNUMBER(SEARCH(B44, VLOOKUP(E44, Machine_List!$B:$J, 9, 0))), FALSE()), "✅ Machine OK", "❌ Sug: " &amp; IFERROR(INDEX(Machine_List!$B$4:$B$50, MATCH("*"&amp;B44&amp;"*", Machine_List!$J$4:$J$50, 0)), "Check Limits")))</f>
        <v>✅ Machine OK</v>
      </c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2"/>
      <c r="AN44" s="52"/>
      <c r="AO44" s="52"/>
      <c r="AP44" s="52"/>
      <c r="AQ44" s="52"/>
      <c r="AR44" s="52"/>
      <c r="AS44" s="52"/>
      <c r="AT44" s="52"/>
      <c r="AU44" s="52"/>
      <c r="AV44" s="52"/>
      <c r="AW44" s="52"/>
      <c r="AX44" s="52"/>
      <c r="AY44" s="52"/>
      <c r="AZ44" s="52"/>
      <c r="BA44" s="52"/>
      <c r="BB44" s="52"/>
      <c r="BC44" s="52"/>
      <c r="BD44" s="52"/>
      <c r="BE44" s="52"/>
      <c r="BF44" s="52"/>
      <c r="BG44" s="52"/>
      <c r="BH44" s="52"/>
      <c r="BI44" s="52"/>
      <c r="BJ44" s="52"/>
      <c r="BK44" s="52"/>
      <c r="BL44" s="52"/>
      <c r="BM44" s="52"/>
    </row>
    <row r="45" spans="1:65" ht="28.8" customHeight="1" x14ac:dyDescent="0.3">
      <c r="A45" s="10" t="str">
        <f>IF(Job_Master!A45="","",Job_Master!A45)</f>
        <v>BJ-146</v>
      </c>
      <c r="B45" s="10">
        <f>IF($A45="","",Job_Master!B45)</f>
        <v>20</v>
      </c>
      <c r="C45" s="10" t="str">
        <f>IF($A45="","",Job_Master!C45)</f>
        <v>RW</v>
      </c>
      <c r="D45" s="10">
        <f>IF($A45="","",Job_Master!D45)</f>
        <v>2</v>
      </c>
      <c r="E45" s="48" t="str">
        <f>IF($A45="","","SPM-MC-06")</f>
        <v>SPM-MC-06</v>
      </c>
      <c r="F45" s="106" t="str">
        <f>IF($E45="","",IFERROR(VLOOKUP($E45,Machine_List!$B:$G,6,0),""))</f>
        <v>General Workman</v>
      </c>
      <c r="G45" s="53">
        <f>IF($E45="","",IFERROR(VLOOKUP($E45,Machine_List!$B:$C,2,0),""))</f>
        <v>46176</v>
      </c>
      <c r="H45" s="10">
        <f>IF($E45="","",IFERROR(VLOOKUP($E45,Machine_List!$B:$D,3,0),""))</f>
        <v>6</v>
      </c>
      <c r="I45" s="54"/>
      <c r="J45" s="55">
        <f ca="1">IF($A45="","",IF($I45&lt;&gt;"",$I45,MAX(VTL_Plan!$M45,IFERROR(LOOKUP(2,1/($E$3:INDIRECT("E"&amp;(ROW()-1))=$E45),$M$3:INDIRECT("M"&amp;(ROW()-1))),VTL_Plan!$M45))))</f>
        <v>46154.310185185197</v>
      </c>
      <c r="K45" s="10">
        <f>IF($A45="","",IFERROR(VLOOKUP(B45,CHOOSE(MATCH(C45,Settings!$L$4:$L$10,0),OPR_2P!$A$4:$I$18,SEG_6P!$A$4:$I$18,SOL_4P!$A$4:$I$18,RW_2P!$A$4:$I$18,RW2_4P!$A$4:$I$18,FLAP_4P!$A$4:$I$18,TUBE_4P!$A$4:$I$18),2,0),0))</f>
        <v>32</v>
      </c>
      <c r="L45" s="10">
        <f t="shared" si="0"/>
        <v>64</v>
      </c>
      <c r="M45" s="55">
        <f ca="1">IF($A45="","",IF(AND(ISNUMBER(G45),G45&gt;=J45,G45&lt;=(J45+(L45/(IF(F45="Contract Workman",Settings!$K$5,Settings!$K$4))))),J45+(L45/(IF(F45="Contract Workman",Settings!$K$5,Settings!$K$4)))+(H45/(IF(F45="Contract Workman",Settings!$K$5,Settings!$K$4))),J45+(L45/(IF(F45="Contract Workman",Settings!$K$5,Settings!$K$4)))))</f>
        <v>46157.273148148161</v>
      </c>
      <c r="N45" s="10" t="str">
        <f t="shared" ca="1" si="2"/>
        <v>Shift C</v>
      </c>
      <c r="O45" s="51" t="str">
        <f>IF(B45="","", IF(IFERROR(ISNUMBER(SEARCH(B45, VLOOKUP(E45, Machine_List!$B:$J, 9, 0))), FALSE()), "✅ Machine OK", "❌ Sug: " &amp; IFERROR(INDEX(Machine_List!$B$4:$B$50, MATCH("*"&amp;B45&amp;"*", Machine_List!$J$4:$J$50, 0)), "Check Limits")))</f>
        <v>✅ Machine OK</v>
      </c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2"/>
      <c r="AN45" s="52"/>
      <c r="AO45" s="52"/>
      <c r="AP45" s="52"/>
      <c r="AQ45" s="52"/>
      <c r="AR45" s="52"/>
      <c r="AS45" s="52"/>
      <c r="AT45" s="52"/>
      <c r="AU45" s="52"/>
      <c r="AV45" s="52"/>
      <c r="AW45" s="52"/>
      <c r="AX45" s="52"/>
      <c r="AY45" s="52"/>
      <c r="AZ45" s="52"/>
      <c r="BA45" s="52"/>
      <c r="BB45" s="52"/>
      <c r="BC45" s="52"/>
      <c r="BD45" s="52"/>
      <c r="BE45" s="52"/>
      <c r="BF45" s="52"/>
      <c r="BG45" s="52"/>
      <c r="BH45" s="52"/>
      <c r="BI45" s="52"/>
      <c r="BJ45" s="52"/>
      <c r="BK45" s="52"/>
      <c r="BL45" s="52"/>
      <c r="BM45" s="52"/>
    </row>
    <row r="46" spans="1:65" ht="28.8" customHeight="1" x14ac:dyDescent="0.3">
      <c r="A46" s="10" t="str">
        <f>IF(Job_Master!A46="","",Job_Master!A46)</f>
        <v>BJ-139</v>
      </c>
      <c r="B46" s="10">
        <f>IF($A46="","",Job_Master!B46)</f>
        <v>15</v>
      </c>
      <c r="C46" s="10" t="str">
        <f>IF($A46="","",Job_Master!C46)</f>
        <v>RW</v>
      </c>
      <c r="D46" s="10">
        <f>IF($A46="","",Job_Master!D46)</f>
        <v>2</v>
      </c>
      <c r="E46" s="48" t="str">
        <f>IF($A46="","","SPM-MC-06")</f>
        <v>SPM-MC-06</v>
      </c>
      <c r="F46" s="106" t="str">
        <f>IF($E46="","",IFERROR(VLOOKUP($E46,Machine_List!$B:$G,6,0),""))</f>
        <v>General Workman</v>
      </c>
      <c r="G46" s="53">
        <f>IF($E46="","",IFERROR(VLOOKUP($E46,Machine_List!$B:$C,2,0),""))</f>
        <v>46176</v>
      </c>
      <c r="H46" s="10">
        <f>IF($E46="","",IFERROR(VLOOKUP($E46,Machine_List!$B:$D,3,0),""))</f>
        <v>6</v>
      </c>
      <c r="I46" s="54"/>
      <c r="J46" s="55">
        <f ca="1">IF($A46="","",IF($I46&lt;&gt;"",$I46,MAX(VTL_Plan!$M46,IFERROR(LOOKUP(2,1/($E$3:INDIRECT("E"&amp;(ROW()-1))=$E46),$M$3:INDIRECT("M"&amp;(ROW()-1))),VTL_Plan!$M46))))</f>
        <v>46157.273148148161</v>
      </c>
      <c r="K46" s="10">
        <f>IF($A46="","",IFERROR(VLOOKUP(B46,CHOOSE(MATCH(C46,Settings!$L$4:$L$10,0),OPR_2P!$A$4:$I$18,SEG_6P!$A$4:$I$18,SOL_4P!$A$4:$I$18,RW_2P!$A$4:$I$18,RW2_4P!$A$4:$I$18,FLAP_4P!$A$4:$I$18,TUBE_4P!$A$4:$I$18),2,0),0))</f>
        <v>15</v>
      </c>
      <c r="L46" s="10">
        <f t="shared" si="0"/>
        <v>30</v>
      </c>
      <c r="M46" s="55">
        <f ca="1">IF($A46="","",IF(AND(ISNUMBER(G46),G46&gt;=J46,G46&lt;=(J46+(L46/(IF(F46="Contract Workman",Settings!$K$5,Settings!$K$4))))),J46+(L46/(IF(F46="Contract Workman",Settings!$K$5,Settings!$K$4)))+(H46/(IF(F46="Contract Workman",Settings!$K$5,Settings!$K$4))),J46+(L46/(IF(F46="Contract Workman",Settings!$K$5,Settings!$K$4)))))</f>
        <v>46158.662037037051</v>
      </c>
      <c r="N46" s="10" t="str">
        <f t="shared" ca="1" si="2"/>
        <v>Shift B</v>
      </c>
      <c r="O46" s="51" t="str">
        <f>IF(B46="","", IF(IFERROR(ISNUMBER(SEARCH(B46, VLOOKUP(E46, Machine_List!$B:$J, 9, 0))), FALSE()), "✅ Machine OK", "❌ Sug: " &amp; IFERROR(INDEX(Machine_List!$B$4:$B$50, MATCH("*"&amp;B46&amp;"*", Machine_List!$J$4:$J$50, 0)), "Check Limits")))</f>
        <v>✅ Machine OK</v>
      </c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2"/>
      <c r="AN46" s="52"/>
      <c r="AO46" s="52"/>
      <c r="AP46" s="52"/>
      <c r="AQ46" s="52"/>
      <c r="AR46" s="52"/>
      <c r="AS46" s="52"/>
      <c r="AT46" s="52"/>
      <c r="AU46" s="52"/>
      <c r="AV46" s="52"/>
      <c r="AW46" s="52"/>
      <c r="AX46" s="52"/>
      <c r="AY46" s="52"/>
      <c r="AZ46" s="52"/>
      <c r="BA46" s="52"/>
      <c r="BB46" s="52"/>
      <c r="BC46" s="52"/>
      <c r="BD46" s="52"/>
      <c r="BE46" s="52"/>
      <c r="BF46" s="52"/>
      <c r="BG46" s="52"/>
      <c r="BH46" s="52"/>
      <c r="BI46" s="52"/>
      <c r="BJ46" s="52"/>
      <c r="BK46" s="52"/>
      <c r="BL46" s="52"/>
      <c r="BM46" s="52"/>
    </row>
    <row r="47" spans="1:65" ht="28.8" customHeight="1" x14ac:dyDescent="0.3">
      <c r="A47" s="10" t="str">
        <f>IF(Job_Master!A47="","",Job_Master!A47)</f>
        <v>BJ-141</v>
      </c>
      <c r="B47" s="10">
        <f>IF($A47="","",Job_Master!B47)</f>
        <v>50</v>
      </c>
      <c r="C47" s="10" t="str">
        <f>IF($A47="","",Job_Master!C47)</f>
        <v>SOL</v>
      </c>
      <c r="D47" s="10">
        <f>IF($A47="","",Job_Master!D47)</f>
        <v>4</v>
      </c>
      <c r="E47" s="48" t="str">
        <f>IF($A47="","","SPM-MC-01")</f>
        <v>SPM-MC-01</v>
      </c>
      <c r="F47" s="106" t="str">
        <f>IF($E47="","",IFERROR(VLOOKUP($E47,Machine_List!$B:$G,6,0),""))</f>
        <v>General Workman</v>
      </c>
      <c r="G47" s="53">
        <f>IF($E47="","",IFERROR(VLOOKUP($E47,Machine_List!$B:$C,2,0),""))</f>
        <v>46285</v>
      </c>
      <c r="H47" s="10">
        <f>IF($E47="","",IFERROR(VLOOKUP($E47,Machine_List!$B:$D,3,0),""))</f>
        <v>6</v>
      </c>
      <c r="I47" s="54"/>
      <c r="J47" s="55">
        <f ca="1">IF($A47="","",IF($I47&lt;&gt;"",$I47,MAX(VTL_Plan!$M47,IFERROR(LOOKUP(2,1/($E$3:INDIRECT("E"&amp;(ROW()-1))=$E47),$M$3:INDIRECT("M"&amp;(ROW()-1))),VTL_Plan!$M47))))</f>
        <v>46198.93981481481</v>
      </c>
      <c r="K47" s="10">
        <f>IF($A47="","",IFERROR(VLOOKUP(B47,CHOOSE(MATCH(C47,Settings!$L$4:$L$10,0),OPR_2P!$A$4:$I$18,SEG_6P!$A$4:$I$18,SOL_4P!$A$4:$I$18,RW_2P!$A$4:$I$18,RW2_4P!$A$4:$I$18,FLAP_4P!$A$4:$I$18,TUBE_4P!$A$4:$I$18),2,0),0))</f>
        <v>99</v>
      </c>
      <c r="L47" s="10">
        <f t="shared" si="0"/>
        <v>396</v>
      </c>
      <c r="M47" s="55">
        <f ca="1">IF($A47="","",IF(AND(ISNUMBER(G47),G47&gt;=J47,G47&lt;=(J47+(L47/(IF(F47="Contract Workman",Settings!$K$5,Settings!$K$4))))),J47+(L47/(IF(F47="Contract Workman",Settings!$K$5,Settings!$K$4)))+(H47/(IF(F47="Contract Workman",Settings!$K$5,Settings!$K$4))),J47+(L47/(IF(F47="Contract Workman",Settings!$K$5,Settings!$K$4)))))</f>
        <v>46217.273148148146</v>
      </c>
      <c r="N47" s="10" t="str">
        <f t="shared" ca="1" si="2"/>
        <v>Shift C</v>
      </c>
      <c r="O47" s="51" t="str">
        <f>IF(B47="","", IF(IFERROR(ISNUMBER(SEARCH(B47, VLOOKUP(E47, Machine_List!$B:$J, 9, 0))), FALSE()), "✅ Machine OK", "❌ Sug: " &amp; IFERROR(INDEX(Machine_List!$B$4:$B$50, MATCH("*"&amp;B47&amp;"*", Machine_List!$J$4:$J$50, 0)), "Check Limits")))</f>
        <v>✅ Machine OK</v>
      </c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2"/>
      <c r="AN47" s="52"/>
      <c r="AO47" s="52"/>
      <c r="AP47" s="52"/>
      <c r="AQ47" s="52"/>
      <c r="AR47" s="52"/>
      <c r="AS47" s="52"/>
      <c r="AT47" s="52"/>
      <c r="AU47" s="52"/>
      <c r="AV47" s="52"/>
      <c r="AW47" s="52"/>
      <c r="AX47" s="52"/>
      <c r="AY47" s="52"/>
      <c r="AZ47" s="52"/>
      <c r="BA47" s="52"/>
      <c r="BB47" s="52"/>
      <c r="BC47" s="52"/>
      <c r="BD47" s="52"/>
      <c r="BE47" s="52"/>
      <c r="BF47" s="52"/>
      <c r="BG47" s="52"/>
      <c r="BH47" s="52"/>
      <c r="BI47" s="52"/>
      <c r="BJ47" s="52"/>
      <c r="BK47" s="52"/>
      <c r="BL47" s="52"/>
      <c r="BM47" s="52"/>
    </row>
    <row r="48" spans="1:65" ht="28.8" customHeight="1" x14ac:dyDescent="0.3">
      <c r="A48" s="10" t="str">
        <f>IF(Job_Master!A48="","",Job_Master!A48)</f>
        <v>BJ-142</v>
      </c>
      <c r="B48" s="10">
        <f>IF($A48="","",Job_Master!B48)</f>
        <v>9</v>
      </c>
      <c r="C48" s="10" t="str">
        <f>IF($A48="","",Job_Master!C48)</f>
        <v>RW</v>
      </c>
      <c r="D48" s="10">
        <f>IF($A48="","",Job_Master!D48)</f>
        <v>2</v>
      </c>
      <c r="E48" s="48" t="str">
        <f>IF($A48="","","SPM-MC-06")</f>
        <v>SPM-MC-06</v>
      </c>
      <c r="F48" s="106" t="str">
        <f>IF($E48="","",IFERROR(VLOOKUP($E48,Machine_List!$B:$G,6,0),""))</f>
        <v>General Workman</v>
      </c>
      <c r="G48" s="53">
        <f>IF($E48="","",IFERROR(VLOOKUP($E48,Machine_List!$B:$C,2,0),""))</f>
        <v>46176</v>
      </c>
      <c r="H48" s="10">
        <f>IF($E48="","",IFERROR(VLOOKUP($E48,Machine_List!$B:$D,3,0),""))</f>
        <v>6</v>
      </c>
      <c r="I48" s="54"/>
      <c r="J48" s="55">
        <f ca="1">IF($A48="","",IF($I48&lt;&gt;"",$I48,MAX(VTL_Plan!$M48,IFERROR(LOOKUP(2,1/($E$3:INDIRECT("E"&amp;(ROW()-1))=$E48),$M$3:INDIRECT("M"&amp;(ROW()-1))),VTL_Plan!$M48))))</f>
        <v>46158.662037037051</v>
      </c>
      <c r="K48" s="10">
        <f>IF($A48="","",IFERROR(VLOOKUP(B48,CHOOSE(MATCH(C48,Settings!$L$4:$L$10,0),OPR_2P!$A$4:$I$18,SEG_6P!$A$4:$I$18,SOL_4P!$A$4:$I$18,RW_2P!$A$4:$I$18,RW2_4P!$A$4:$I$18,FLAP_4P!$A$4:$I$18,TUBE_4P!$A$4:$I$18),2,0),0))</f>
        <v>2</v>
      </c>
      <c r="L48" s="10">
        <f t="shared" si="0"/>
        <v>4</v>
      </c>
      <c r="M48" s="55">
        <f ca="1">IF($A48="","",IF(AND(ISNUMBER(G48),G48&gt;=J48,G48&lt;=(J48+(L48/(IF(F48="Contract Workman",Settings!$K$5,Settings!$K$4))))),J48+(L48/(IF(F48="Contract Workman",Settings!$K$5,Settings!$K$4)))+(H48/(IF(F48="Contract Workman",Settings!$K$5,Settings!$K$4))),J48+(L48/(IF(F48="Contract Workman",Settings!$K$5,Settings!$K$4)))))</f>
        <v>46158.847222222234</v>
      </c>
      <c r="N48" s="10" t="str">
        <f t="shared" ca="1" si="2"/>
        <v>Shift B</v>
      </c>
      <c r="O48" s="51" t="str">
        <f>IF(B48="","", IF(IFERROR(ISNUMBER(SEARCH(B48, VLOOKUP(E48, Machine_List!$B:$J, 9, 0))), FALSE()), "✅ Machine OK", "❌ Sug: " &amp; IFERROR(INDEX(Machine_List!$B$4:$B$50, MATCH("*"&amp;B48&amp;"*", Machine_List!$J$4:$J$50, 0)), "Check Limits")))</f>
        <v>✅ Machine OK</v>
      </c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2"/>
      <c r="AN48" s="52"/>
      <c r="AO48" s="52"/>
      <c r="AP48" s="52"/>
      <c r="AQ48" s="52"/>
      <c r="AR48" s="52"/>
      <c r="AS48" s="52"/>
      <c r="AT48" s="52"/>
      <c r="AU48" s="52"/>
      <c r="AV48" s="52"/>
      <c r="AW48" s="52"/>
      <c r="AX48" s="52"/>
      <c r="AY48" s="52"/>
      <c r="AZ48" s="52"/>
      <c r="BA48" s="52"/>
      <c r="BB48" s="52"/>
      <c r="BC48" s="52"/>
      <c r="BD48" s="52"/>
      <c r="BE48" s="52"/>
      <c r="BF48" s="52"/>
      <c r="BG48" s="52"/>
      <c r="BH48" s="52"/>
      <c r="BI48" s="52"/>
      <c r="BJ48" s="52"/>
      <c r="BK48" s="52"/>
      <c r="BL48" s="52"/>
      <c r="BM48" s="52"/>
    </row>
    <row r="49" spans="1:65" ht="28.8" customHeight="1" x14ac:dyDescent="0.3">
      <c r="A49" s="10" t="str">
        <f>IF(Job_Master!A49="","",Job_Master!A49)</f>
        <v>BJ-147</v>
      </c>
      <c r="B49" s="10">
        <f>IF($A49="","",Job_Master!B49)</f>
        <v>34</v>
      </c>
      <c r="C49" s="10" t="str">
        <f>IF($A49="","",Job_Master!C49)</f>
        <v>SOL</v>
      </c>
      <c r="D49" s="10">
        <f>IF($A49="","",Job_Master!D49)</f>
        <v>4</v>
      </c>
      <c r="E49" s="48" t="str">
        <f>IF($A49="","","SPM-MC-04")</f>
        <v>SPM-MC-04</v>
      </c>
      <c r="F49" s="106" t="str">
        <f>IF($E49="","",IFERROR(VLOOKUP($E49,Machine_List!$B:$G,6,0),""))</f>
        <v>General Workman</v>
      </c>
      <c r="G49" s="53">
        <f>IF($E49="","",IFERROR(VLOOKUP($E49,Machine_List!$B:$C,2,0),""))</f>
        <v>46197</v>
      </c>
      <c r="H49" s="10">
        <f>IF($E49="","",IFERROR(VLOOKUP($E49,Machine_List!$B:$D,3,0),""))</f>
        <v>6</v>
      </c>
      <c r="I49" s="54"/>
      <c r="J49" s="55">
        <f ca="1">IF($A49="","",IF($I49&lt;&gt;"",$I49,MAX(VTL_Plan!$M49,IFERROR(LOOKUP(2,1/($E$3:INDIRECT("E"&amp;(ROW()-1))=$E49),$M$3:INDIRECT("M"&amp;(ROW()-1))),VTL_Plan!$M49))))</f>
        <v>46163.291666666679</v>
      </c>
      <c r="K49" s="10">
        <f>IF($A49="","",IFERROR(VLOOKUP(B49,CHOOSE(MATCH(C49,Settings!$L$4:$L$10,0),OPR_2P!$A$4:$I$18,SEG_6P!$A$4:$I$18,SOL_4P!$A$4:$I$18,RW_2P!$A$4:$I$18,RW2_4P!$A$4:$I$18,FLAP_4P!$A$4:$I$18,TUBE_4P!$A$4:$I$18),2,0),0))</f>
        <v>65</v>
      </c>
      <c r="L49" s="10">
        <f t="shared" si="0"/>
        <v>260</v>
      </c>
      <c r="M49" s="55">
        <f ca="1">IF($A49="","",IF(AND(ISNUMBER(G49),G49&gt;=J49,G49&lt;=(J49+(L49/(IF(F49="Contract Workman",Settings!$K$5,Settings!$K$4))))),J49+(L49/(IF(F49="Contract Workman",Settings!$K$5,Settings!$K$4)))+(H49/(IF(F49="Contract Workman",Settings!$K$5,Settings!$K$4))),J49+(L49/(IF(F49="Contract Workman",Settings!$K$5,Settings!$K$4)))))</f>
        <v>46175.328703703715</v>
      </c>
      <c r="N49" s="10" t="str">
        <f t="shared" ca="1" si="2"/>
        <v>Shift A</v>
      </c>
      <c r="O49" s="51" t="str">
        <f>IF(B49="","", IF(IFERROR(ISNUMBER(SEARCH(B49, VLOOKUP(E49, Machine_List!$B:$J, 9, 0))), FALSE()), "✅ Machine OK", "❌ Sug: " &amp; IFERROR(INDEX(Machine_List!$B$4:$B$50, MATCH("*"&amp;B49&amp;"*", Machine_List!$J$4:$J$50, 0)), "Check Limits")))</f>
        <v>✅ Machine OK</v>
      </c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O49" s="52"/>
      <c r="AP49" s="52"/>
      <c r="AQ49" s="52"/>
      <c r="AR49" s="52"/>
      <c r="AS49" s="52"/>
      <c r="AT49" s="52"/>
      <c r="AU49" s="52"/>
      <c r="AV49" s="52"/>
      <c r="AW49" s="52"/>
      <c r="AX49" s="52"/>
      <c r="AY49" s="52"/>
      <c r="AZ49" s="52"/>
      <c r="BA49" s="52"/>
      <c r="BB49" s="52"/>
      <c r="BC49" s="52"/>
      <c r="BD49" s="52"/>
      <c r="BE49" s="52"/>
      <c r="BF49" s="52"/>
      <c r="BG49" s="52"/>
      <c r="BH49" s="52"/>
      <c r="BI49" s="52"/>
      <c r="BJ49" s="52"/>
      <c r="BK49" s="52"/>
      <c r="BL49" s="52"/>
      <c r="BM49" s="52"/>
    </row>
    <row r="50" spans="1:65" ht="28.8" customHeight="1" x14ac:dyDescent="0.3">
      <c r="A50" s="10" t="str">
        <f>IF(Job_Master!A50="","",Job_Master!A50)</f>
        <v>BJ-150</v>
      </c>
      <c r="B50" s="10">
        <f>IF($A50="","",Job_Master!B50)</f>
        <v>34</v>
      </c>
      <c r="C50" s="10" t="str">
        <f>IF($A50="","",Job_Master!C50)</f>
        <v>SOL</v>
      </c>
      <c r="D50" s="10">
        <f>IF($A50="","",Job_Master!D50)</f>
        <v>4</v>
      </c>
      <c r="E50" s="48" t="str">
        <f>IF($A50="","","SPM-MC-04")</f>
        <v>SPM-MC-04</v>
      </c>
      <c r="F50" s="106" t="str">
        <f>IF($E50="","",IFERROR(VLOOKUP($E50,Machine_List!$B:$G,6,0),""))</f>
        <v>General Workman</v>
      </c>
      <c r="G50" s="53">
        <f>IF($E50="","",IFERROR(VLOOKUP($E50,Machine_List!$B:$C,2,0),""))</f>
        <v>46197</v>
      </c>
      <c r="H50" s="10">
        <f>IF($E50="","",IFERROR(VLOOKUP($E50,Machine_List!$B:$D,3,0),""))</f>
        <v>6</v>
      </c>
      <c r="I50" s="54"/>
      <c r="J50" s="55">
        <f ca="1">IF($A50="","",IF($I50&lt;&gt;"",$I50,MAX(VTL_Plan!$M50,IFERROR(LOOKUP(2,1/($E$3:INDIRECT("E"&amp;(ROW()-1))=$E50),$M$3:INDIRECT("M"&amp;(ROW()-1))),VTL_Plan!$M50))))</f>
        <v>46175.328703703715</v>
      </c>
      <c r="K50" s="10">
        <f>IF($A50="","",IFERROR(VLOOKUP(B50,CHOOSE(MATCH(C50,Settings!$L$4:$L$10,0),OPR_2P!$A$4:$I$18,SEG_6P!$A$4:$I$18,SOL_4P!$A$4:$I$18,RW_2P!$A$4:$I$18,RW2_4P!$A$4:$I$18,FLAP_4P!$A$4:$I$18,TUBE_4P!$A$4:$I$18),2,0),0))</f>
        <v>65</v>
      </c>
      <c r="L50" s="10">
        <f t="shared" si="0"/>
        <v>260</v>
      </c>
      <c r="M50" s="55">
        <f ca="1">IF($A50="","",IF(AND(ISNUMBER(G50),G50&gt;=J50,G50&lt;=(J50+(L50/(IF(F50="Contract Workman",Settings!$K$5,Settings!$K$4))))),J50+(L50/(IF(F50="Contract Workman",Settings!$K$5,Settings!$K$4)))+(H50/(IF(F50="Contract Workman",Settings!$K$5,Settings!$K$4))),J50+(L50/(IF(F50="Contract Workman",Settings!$K$5,Settings!$K$4)))))</f>
        <v>46187.365740740752</v>
      </c>
      <c r="N50" s="10" t="str">
        <f t="shared" ca="1" si="2"/>
        <v>Shift A</v>
      </c>
      <c r="O50" s="51" t="str">
        <f>IF(B50="","", IF(IFERROR(ISNUMBER(SEARCH(B50, VLOOKUP(E50, Machine_List!$B:$J, 9, 0))), FALSE()), "✅ Machine OK", "❌ Sug: " &amp; IFERROR(INDEX(Machine_List!$B$4:$B$50, MATCH("*"&amp;B50&amp;"*", Machine_List!$J$4:$J$50, 0)), "Check Limits")))</f>
        <v>✅ Machine OK</v>
      </c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  <c r="AK50" s="52"/>
      <c r="AL50" s="52"/>
      <c r="AM50" s="52"/>
      <c r="AN50" s="52"/>
      <c r="AO50" s="52"/>
      <c r="AP50" s="52"/>
      <c r="AQ50" s="52"/>
      <c r="AR50" s="52"/>
      <c r="AS50" s="52"/>
      <c r="AT50" s="52"/>
      <c r="AU50" s="52"/>
      <c r="AV50" s="52"/>
      <c r="AW50" s="52"/>
      <c r="AX50" s="52"/>
      <c r="AY50" s="52"/>
      <c r="AZ50" s="52"/>
      <c r="BA50" s="52"/>
      <c r="BB50" s="52"/>
      <c r="BC50" s="52"/>
      <c r="BD50" s="52"/>
      <c r="BE50" s="52"/>
      <c r="BF50" s="52"/>
      <c r="BG50" s="52"/>
      <c r="BH50" s="52"/>
      <c r="BI50" s="52"/>
      <c r="BJ50" s="52"/>
      <c r="BK50" s="52"/>
      <c r="BL50" s="52"/>
      <c r="BM50" s="52"/>
    </row>
    <row r="51" spans="1:65" ht="28.8" customHeight="1" x14ac:dyDescent="0.3">
      <c r="A51" s="10" t="str">
        <f>IF(Job_Master!A51="","",Job_Master!A51)</f>
        <v>BJ-151</v>
      </c>
      <c r="B51" s="10">
        <f>IF($A51="","",Job_Master!B51)</f>
        <v>25</v>
      </c>
      <c r="C51" s="10" t="str">
        <f>IF($A51="","",Job_Master!C51)</f>
        <v>SOL</v>
      </c>
      <c r="D51" s="10">
        <f>IF($A51="","",Job_Master!D51)</f>
        <v>4</v>
      </c>
      <c r="E51" s="48" t="str">
        <f>IF($A51="","","SPM-MC-06")</f>
        <v>SPM-MC-06</v>
      </c>
      <c r="F51" s="106" t="str">
        <f>IF($E51="","",IFERROR(VLOOKUP($E51,Machine_List!$B:$G,6,0),""))</f>
        <v>General Workman</v>
      </c>
      <c r="G51" s="53">
        <f>IF($E51="","",IFERROR(VLOOKUP($E51,Machine_List!$B:$C,2,0),""))</f>
        <v>46176</v>
      </c>
      <c r="H51" s="10">
        <f>IF($E51="","",IFERROR(VLOOKUP($E51,Machine_List!$B:$D,3,0),""))</f>
        <v>6</v>
      </c>
      <c r="I51" s="54"/>
      <c r="J51" s="55">
        <f ca="1">IF($A51="","",IF($I51&lt;&gt;"",$I51,MAX(VTL_Plan!$M51,IFERROR(LOOKUP(2,1/($E$3:INDIRECT("E"&amp;(ROW()-1))=$E51),$M$3:INDIRECT("M"&amp;(ROW()-1))),VTL_Plan!$M51))))</f>
        <v>46161.162037037051</v>
      </c>
      <c r="K51" s="10">
        <f>IF($A51="","",IFERROR(VLOOKUP(B51,CHOOSE(MATCH(C51,Settings!$L$4:$L$10,0),OPR_2P!$A$4:$I$18,SEG_6P!$A$4:$I$18,SOL_4P!$A$4:$I$18,RW_2P!$A$4:$I$18,RW2_4P!$A$4:$I$18,FLAP_4P!$A$4:$I$18,TUBE_4P!$A$4:$I$18),2,0),0))</f>
        <v>27</v>
      </c>
      <c r="L51" s="10">
        <f t="shared" si="0"/>
        <v>108</v>
      </c>
      <c r="M51" s="55">
        <f ca="1">IF($A51="","",IF(AND(ISNUMBER(G51),G51&gt;=J51,G51&lt;=(J51+(L51/(IF(F51="Contract Workman",Settings!$K$5,Settings!$K$4))))),J51+(L51/(IF(F51="Contract Workman",Settings!$K$5,Settings!$K$4)))+(H51/(IF(F51="Contract Workman",Settings!$K$5,Settings!$K$4))),J51+(L51/(IF(F51="Contract Workman",Settings!$K$5,Settings!$K$4)))))</f>
        <v>46166.162037037051</v>
      </c>
      <c r="N51" s="10" t="str">
        <f t="shared" ca="1" si="2"/>
        <v>Shift C</v>
      </c>
      <c r="O51" s="51" t="str">
        <f>IF(B51="","", IF(IFERROR(ISNUMBER(SEARCH(B51, VLOOKUP(E51, Machine_List!$B:$J, 9, 0))), FALSE()), "✅ Machine OK", "❌ Sug: " &amp; IFERROR(INDEX(Machine_List!$B$4:$B$50, MATCH("*"&amp;B51&amp;"*", Machine_List!$J$4:$J$50, 0)), "Check Limits")))</f>
        <v>✅ Machine OK</v>
      </c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L51" s="52"/>
      <c r="AM51" s="52"/>
      <c r="AN51" s="52"/>
      <c r="AO51" s="52"/>
      <c r="AP51" s="52"/>
      <c r="AQ51" s="52"/>
      <c r="AR51" s="52"/>
      <c r="AS51" s="52"/>
      <c r="AT51" s="52"/>
      <c r="AU51" s="52"/>
      <c r="AV51" s="52"/>
      <c r="AW51" s="52"/>
      <c r="AX51" s="52"/>
      <c r="AY51" s="52"/>
      <c r="AZ51" s="52"/>
      <c r="BA51" s="52"/>
      <c r="BB51" s="52"/>
      <c r="BC51" s="52"/>
      <c r="BD51" s="52"/>
      <c r="BE51" s="52"/>
      <c r="BF51" s="52"/>
      <c r="BG51" s="52"/>
      <c r="BH51" s="52"/>
      <c r="BI51" s="52"/>
      <c r="BJ51" s="52"/>
      <c r="BK51" s="52"/>
      <c r="BL51" s="52"/>
      <c r="BM51" s="52"/>
    </row>
    <row r="52" spans="1:65" ht="28.8" customHeight="1" x14ac:dyDescent="0.3">
      <c r="A52" s="10" t="str">
        <f>IF(Job_Master!A52="","",Job_Master!A52)</f>
        <v>BJ-152</v>
      </c>
      <c r="B52" s="10">
        <f>IF($A52="","",Job_Master!B52)</f>
        <v>34</v>
      </c>
      <c r="C52" s="10" t="str">
        <f>IF($A52="","",Job_Master!C52)</f>
        <v>2P</v>
      </c>
      <c r="D52" s="10">
        <f>IF($A52="","",Job_Master!D52)</f>
        <v>2</v>
      </c>
      <c r="E52" s="48" t="str">
        <f>IF($A52="","","SPM-MC-05")</f>
        <v>SPM-MC-05</v>
      </c>
      <c r="F52" s="106" t="str">
        <f>IF($E52="","",IFERROR(VLOOKUP($E52,Machine_List!$B:$G,6,0),""))</f>
        <v>General Workman</v>
      </c>
      <c r="G52" s="53">
        <f>IF($E52="","",IFERROR(VLOOKUP($E52,Machine_List!$B:$C,2,0),""))</f>
        <v>46271</v>
      </c>
      <c r="H52" s="10">
        <f>IF($E52="","",IFERROR(VLOOKUP($E52,Machine_List!$B:$D,3,0),""))</f>
        <v>6</v>
      </c>
      <c r="I52" s="54"/>
      <c r="J52" s="55">
        <f ca="1">IF($A52="","",IF($I52&lt;&gt;"",$I52,MAX(VTL_Plan!$M52,IFERROR(LOOKUP(2,1/($E$3:INDIRECT("E"&amp;(ROW()-1))=$E52),$M$3:INDIRECT("M"&amp;(ROW()-1))),VTL_Plan!$M52))))</f>
        <v>46172.736111111124</v>
      </c>
      <c r="K52" s="10">
        <f>IF($A52="","",IFERROR(VLOOKUP(B52,CHOOSE(MATCH(C52,Settings!$L$4:$L$10,0),OPR_2P!$A$4:$I$18,SEG_6P!$A$4:$I$18,SOL_4P!$A$4:$I$18,RW_2P!$A$4:$I$18,RW2_4P!$A$4:$I$18,FLAP_4P!$A$4:$I$18,TUBE_4P!$A$4:$I$18),2,0),0))</f>
        <v>50</v>
      </c>
      <c r="L52" s="10">
        <f t="shared" si="0"/>
        <v>100</v>
      </c>
      <c r="M52" s="55">
        <f ca="1">IF($A52="","",IF(AND(ISNUMBER(G52),G52&gt;=J52,G52&lt;=(J52+(L52/(IF(F52="Contract Workman",Settings!$K$5,Settings!$K$4))))),J52+(L52/(IF(F52="Contract Workman",Settings!$K$5,Settings!$K$4)))+(H52/(IF(F52="Contract Workman",Settings!$K$5,Settings!$K$4))),J52+(L52/(IF(F52="Contract Workman",Settings!$K$5,Settings!$K$4)))))</f>
        <v>46177.365740740752</v>
      </c>
      <c r="N52" s="10" t="str">
        <f t="shared" ca="1" si="2"/>
        <v>Shift A</v>
      </c>
      <c r="O52" s="51" t="str">
        <f>IF(B52="","", IF(IFERROR(ISNUMBER(SEARCH(B52, VLOOKUP(E52, Machine_List!$B:$J, 9, 0))), FALSE()), "✅ Machine OK", "❌ Sug: " &amp; IFERROR(INDEX(Machine_List!$B$4:$B$50, MATCH("*"&amp;B52&amp;"*", Machine_List!$J$4:$J$50, 0)), "Check Limits")))</f>
        <v>✅ Machine OK</v>
      </c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  <c r="AK52" s="52"/>
      <c r="AL52" s="52"/>
      <c r="AM52" s="52"/>
      <c r="AN52" s="52"/>
      <c r="AO52" s="52"/>
      <c r="AP52" s="52"/>
      <c r="AQ52" s="52"/>
      <c r="AR52" s="52"/>
      <c r="AS52" s="52"/>
      <c r="AT52" s="52"/>
      <c r="AU52" s="52"/>
      <c r="AV52" s="52"/>
      <c r="AW52" s="52"/>
      <c r="AX52" s="52"/>
      <c r="AY52" s="52"/>
      <c r="AZ52" s="52"/>
      <c r="BA52" s="52"/>
      <c r="BB52" s="52"/>
      <c r="BC52" s="52"/>
      <c r="BD52" s="52"/>
      <c r="BE52" s="52"/>
      <c r="BF52" s="52"/>
      <c r="BG52" s="52"/>
      <c r="BH52" s="52"/>
      <c r="BI52" s="52"/>
      <c r="BJ52" s="52"/>
      <c r="BK52" s="52"/>
      <c r="BL52" s="52"/>
      <c r="BM52" s="52"/>
    </row>
    <row r="53" spans="1:65" ht="28.8" customHeight="1" x14ac:dyDescent="0.3">
      <c r="A53" s="10" t="str">
        <f>IF(Job_Master!A53="","",Job_Master!A53)</f>
        <v>BJ-143</v>
      </c>
      <c r="B53" s="10">
        <f>IF($A53="","",Job_Master!B53)</f>
        <v>17</v>
      </c>
      <c r="C53" s="10" t="str">
        <f>IF($A53="","",Job_Master!C53)</f>
        <v>SOL</v>
      </c>
      <c r="D53" s="10">
        <f>IF($A53="","",Job_Master!D53)</f>
        <v>4</v>
      </c>
      <c r="E53" s="48" t="str">
        <f>IF($A53="","","SPM-MC-06")</f>
        <v>SPM-MC-06</v>
      </c>
      <c r="F53" s="106" t="str">
        <f>IF($E53="","",IFERROR(VLOOKUP($E53,Machine_List!$B:$G,6,0),""))</f>
        <v>General Workman</v>
      </c>
      <c r="G53" s="53">
        <f>IF($E53="","",IFERROR(VLOOKUP($E53,Machine_List!$B:$C,2,0),""))</f>
        <v>46176</v>
      </c>
      <c r="H53" s="10">
        <f>IF($E53="","",IFERROR(VLOOKUP($E53,Machine_List!$B:$D,3,0),""))</f>
        <v>6</v>
      </c>
      <c r="I53" s="54"/>
      <c r="J53" s="55">
        <f ca="1">IF($A53="","",IF($I53&lt;&gt;"",$I53,MAX(VTL_Plan!$M53,IFERROR(LOOKUP(2,1/($E$3:INDIRECT("E"&amp;(ROW()-1))=$E53),$M$3:INDIRECT("M"&amp;(ROW()-1))),VTL_Plan!$M53))))</f>
        <v>46166.162037037051</v>
      </c>
      <c r="K53" s="10">
        <f>IF($A53="","",IFERROR(VLOOKUP(B53,CHOOSE(MATCH(C53,Settings!$L$4:$L$10,0),OPR_2P!$A$4:$I$18,SEG_6P!$A$4:$I$18,SOL_4P!$A$4:$I$18,RW_2P!$A$4:$I$18,RW2_4P!$A$4:$I$18,FLAP_4P!$A$4:$I$18,TUBE_4P!$A$4:$I$18),2,0),0))</f>
        <v>13</v>
      </c>
      <c r="L53" s="10">
        <f t="shared" si="0"/>
        <v>52</v>
      </c>
      <c r="M53" s="55">
        <f ca="1">IF($A53="","",IF(AND(ISNUMBER(G53),G53&gt;=J53,G53&lt;=(J53+(L53/(IF(F53="Contract Workman",Settings!$K$5,Settings!$K$4))))),J53+(L53/(IF(F53="Contract Workman",Settings!$K$5,Settings!$K$4)))+(H53/(IF(F53="Contract Workman",Settings!$K$5,Settings!$K$4))),J53+(L53/(IF(F53="Contract Workman",Settings!$K$5,Settings!$K$4)))))</f>
        <v>46168.56944444446</v>
      </c>
      <c r="N53" s="10" t="str">
        <f t="shared" ca="1" si="2"/>
        <v>Shift A</v>
      </c>
      <c r="O53" s="51" t="str">
        <f>IF(B53="","", IF(IFERROR(ISNUMBER(SEARCH(B53, VLOOKUP(E53, Machine_List!$B:$J, 9, 0))), FALSE()), "✅ Machine OK", "❌ Sug: " &amp; IFERROR(INDEX(Machine_List!$B$4:$B$50, MATCH("*"&amp;B53&amp;"*", Machine_List!$J$4:$J$50, 0)), "Check Limits")))</f>
        <v>✅ Machine OK</v>
      </c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52"/>
      <c r="AN53" s="52"/>
      <c r="AO53" s="52"/>
      <c r="AP53" s="52"/>
      <c r="AQ53" s="52"/>
      <c r="AR53" s="52"/>
      <c r="AS53" s="52"/>
      <c r="AT53" s="52"/>
      <c r="AU53" s="52"/>
      <c r="AV53" s="52"/>
      <c r="AW53" s="52"/>
      <c r="AX53" s="52"/>
      <c r="AY53" s="52"/>
      <c r="AZ53" s="52"/>
      <c r="BA53" s="52"/>
      <c r="BB53" s="52"/>
      <c r="BC53" s="52"/>
      <c r="BD53" s="52"/>
      <c r="BE53" s="52"/>
      <c r="BF53" s="52"/>
      <c r="BG53" s="52"/>
      <c r="BH53" s="52"/>
      <c r="BI53" s="52"/>
      <c r="BJ53" s="52"/>
      <c r="BK53" s="52"/>
      <c r="BL53" s="52"/>
      <c r="BM53" s="52"/>
    </row>
    <row r="54" spans="1:65" ht="28.8" customHeight="1" x14ac:dyDescent="0.3">
      <c r="A54" s="10" t="str">
        <f>IF(Job_Master!A54="","",Job_Master!A54)</f>
        <v>BJ-154</v>
      </c>
      <c r="B54" s="10">
        <f>IF($A54="","",Job_Master!B54)</f>
        <v>25</v>
      </c>
      <c r="C54" s="10" t="str">
        <f>IF($A54="","",Job_Master!C54)</f>
        <v>RW</v>
      </c>
      <c r="D54" s="10">
        <f>IF($A54="","",Job_Master!D54)</f>
        <v>2</v>
      </c>
      <c r="E54" s="48" t="str">
        <f>IF($A54="","","SPM-MC-06")</f>
        <v>SPM-MC-06</v>
      </c>
      <c r="F54" s="106" t="str">
        <f>IF($E54="","",IFERROR(VLOOKUP($E54,Machine_List!$B:$G,6,0),""))</f>
        <v>General Workman</v>
      </c>
      <c r="G54" s="53">
        <f>IF($E54="","",IFERROR(VLOOKUP($E54,Machine_List!$B:$C,2,0),""))</f>
        <v>46176</v>
      </c>
      <c r="H54" s="10">
        <f>IF($E54="","",IFERROR(VLOOKUP($E54,Machine_List!$B:$D,3,0),""))</f>
        <v>6</v>
      </c>
      <c r="I54" s="54"/>
      <c r="J54" s="55">
        <f ca="1">IF($A54="","",IF($I54&lt;&gt;"",$I54,MAX(VTL_Plan!$M54,IFERROR(LOOKUP(2,1/($E$3:INDIRECT("E"&amp;(ROW()-1))=$E54),$M$3:INDIRECT("M"&amp;(ROW()-1))),VTL_Plan!$M54))))</f>
        <v>46168.56944444446</v>
      </c>
      <c r="K54" s="10">
        <f>IF($A54="","",IFERROR(VLOOKUP(B54,CHOOSE(MATCH(C54,Settings!$L$4:$L$10,0),OPR_2P!$A$4:$I$18,SEG_6P!$A$4:$I$18,SOL_4P!$A$4:$I$18,RW_2P!$A$4:$I$18,RW2_4P!$A$4:$I$18,FLAP_4P!$A$4:$I$18,TUBE_4P!$A$4:$I$18),2,0),0))</f>
        <v>30</v>
      </c>
      <c r="L54" s="10">
        <f t="shared" si="0"/>
        <v>60</v>
      </c>
      <c r="M54" s="55">
        <f ca="1">IF($A54="","",IF(AND(ISNUMBER(G54),G54&gt;=J54,G54&lt;=(J54+(L54/(IF(F54="Contract Workman",Settings!$K$5,Settings!$K$4))))),J54+(L54/(IF(F54="Contract Workman",Settings!$K$5,Settings!$K$4)))+(H54/(IF(F54="Contract Workman",Settings!$K$5,Settings!$K$4))),J54+(L54/(IF(F54="Contract Workman",Settings!$K$5,Settings!$K$4)))))</f>
        <v>46171.347222222241</v>
      </c>
      <c r="N54" s="10" t="str">
        <f t="shared" ca="1" si="2"/>
        <v>Shift A</v>
      </c>
      <c r="O54" s="51" t="str">
        <f>IF(B54="","", IF(IFERROR(ISNUMBER(SEARCH(B54, VLOOKUP(E54, Machine_List!$B:$J, 9, 0))), FALSE()), "✅ Machine OK", "❌ Sug: " &amp; IFERROR(INDEX(Machine_List!$B$4:$B$50, MATCH("*"&amp;B54&amp;"*", Machine_List!$J$4:$J$50, 0)), "Check Limits")))</f>
        <v>✅ Machine OK</v>
      </c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  <c r="AK54" s="52"/>
      <c r="AL54" s="52"/>
      <c r="AM54" s="52"/>
      <c r="AN54" s="52"/>
      <c r="AO54" s="52"/>
      <c r="AP54" s="52"/>
      <c r="AQ54" s="52"/>
      <c r="AR54" s="52"/>
      <c r="AS54" s="52"/>
      <c r="AT54" s="52"/>
      <c r="AU54" s="52"/>
      <c r="AV54" s="52"/>
      <c r="AW54" s="52"/>
      <c r="AX54" s="52"/>
      <c r="AY54" s="52"/>
      <c r="AZ54" s="52"/>
      <c r="BA54" s="52"/>
      <c r="BB54" s="52"/>
      <c r="BC54" s="52"/>
      <c r="BD54" s="52"/>
      <c r="BE54" s="52"/>
      <c r="BF54" s="52"/>
      <c r="BG54" s="52"/>
      <c r="BH54" s="52"/>
      <c r="BI54" s="52"/>
      <c r="BJ54" s="52"/>
      <c r="BK54" s="52"/>
      <c r="BL54" s="52"/>
      <c r="BM54" s="52"/>
    </row>
    <row r="55" spans="1:65" ht="28.8" customHeight="1" x14ac:dyDescent="0.3">
      <c r="A55" s="10" t="str">
        <f>IF(Job_Master!A55="","",Job_Master!A55)</f>
        <v>BJ-156</v>
      </c>
      <c r="B55" s="10">
        <f>IF($A55="","",Job_Master!B55)</f>
        <v>25</v>
      </c>
      <c r="C55" s="10" t="str">
        <f>IF($A55="","",Job_Master!C55)</f>
        <v>2P</v>
      </c>
      <c r="D55" s="10">
        <f>IF($A55="","",Job_Master!D55)</f>
        <v>2</v>
      </c>
      <c r="E55" s="48" t="str">
        <f>IF($A55="","","SPM-MC-06")</f>
        <v>SPM-MC-06</v>
      </c>
      <c r="F55" s="106" t="str">
        <f>IF($E55="","",IFERROR(VLOOKUP($E55,Machine_List!$B:$G,6,0),""))</f>
        <v>General Workman</v>
      </c>
      <c r="G55" s="53">
        <f>IF($E55="","",IFERROR(VLOOKUP($E55,Machine_List!$B:$C,2,0),""))</f>
        <v>46176</v>
      </c>
      <c r="H55" s="10">
        <f>IF($E55="","",IFERROR(VLOOKUP($E55,Machine_List!$B:$D,3,0),""))</f>
        <v>6</v>
      </c>
      <c r="I55" s="54"/>
      <c r="J55" s="55">
        <f ca="1">IF($A55="","",IF($I55&lt;&gt;"",$I55,MAX(VTL_Plan!$M55,IFERROR(LOOKUP(2,1/($E$3:INDIRECT("E"&amp;(ROW()-1))=$E55),$M$3:INDIRECT("M"&amp;(ROW()-1))),VTL_Plan!$M55))))</f>
        <v>46171.347222222241</v>
      </c>
      <c r="K55" s="10">
        <f>IF($A55="","",IFERROR(VLOOKUP(B55,CHOOSE(MATCH(C55,Settings!$L$4:$L$10,0),OPR_2P!$A$4:$I$18,SEG_6P!$A$4:$I$18,SOL_4P!$A$4:$I$18,RW_2P!$A$4:$I$18,RW2_4P!$A$4:$I$18,FLAP_4P!$A$4:$I$18,TUBE_4P!$A$4:$I$18),2,0),0))</f>
        <v>36</v>
      </c>
      <c r="L55" s="10">
        <f t="shared" si="0"/>
        <v>72</v>
      </c>
      <c r="M55" s="55">
        <f ca="1">IF($A55="","",IF(AND(ISNUMBER(G55),G55&gt;=J55,G55&lt;=(J55+(L55/(IF(F55="Contract Workman",Settings!$K$5,Settings!$K$4))))),J55+(L55/(IF(F55="Contract Workman",Settings!$K$5,Settings!$K$4)))+(H55/(IF(F55="Contract Workman",Settings!$K$5,Settings!$K$4))),J55+(L55/(IF(F55="Contract Workman",Settings!$K$5,Settings!$K$4)))))</f>
        <v>46174.680555555577</v>
      </c>
      <c r="N55" s="10" t="str">
        <f t="shared" ca="1" si="2"/>
        <v>Shift B</v>
      </c>
      <c r="O55" s="51" t="str">
        <f>IF(B55="","", IF(IFERROR(ISNUMBER(SEARCH(B55, VLOOKUP(E55, Machine_List!$B:$J, 9, 0))), FALSE()), "✅ Machine OK", "❌ Sug: " &amp; IFERROR(INDEX(Machine_List!$B$4:$B$50, MATCH("*"&amp;B55&amp;"*", Machine_List!$J$4:$J$50, 0)), "Check Limits")))</f>
        <v>✅ Machine OK</v>
      </c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  <c r="AK55" s="52"/>
      <c r="AL55" s="52"/>
      <c r="AM55" s="52"/>
      <c r="AN55" s="52"/>
      <c r="AO55" s="52"/>
      <c r="AP55" s="52"/>
      <c r="AQ55" s="52"/>
      <c r="AR55" s="52"/>
      <c r="AS55" s="52"/>
      <c r="AT55" s="52"/>
      <c r="AU55" s="52"/>
      <c r="AV55" s="52"/>
      <c r="AW55" s="52"/>
      <c r="AX55" s="52"/>
      <c r="AY55" s="52"/>
      <c r="AZ55" s="52"/>
      <c r="BA55" s="52"/>
      <c r="BB55" s="52"/>
      <c r="BC55" s="52"/>
      <c r="BD55" s="52"/>
      <c r="BE55" s="52"/>
      <c r="BF55" s="52"/>
      <c r="BG55" s="52"/>
      <c r="BH55" s="52"/>
      <c r="BI55" s="52"/>
      <c r="BJ55" s="52"/>
      <c r="BK55" s="52"/>
      <c r="BL55" s="52"/>
      <c r="BM55" s="52"/>
    </row>
    <row r="56" spans="1:65" ht="28.8" customHeight="1" x14ac:dyDescent="0.3">
      <c r="A56" s="10" t="str">
        <f>IF(Job_Master!A56="","",Job_Master!A56)</f>
        <v>BJ-145</v>
      </c>
      <c r="B56" s="10">
        <f>IF($A56="","",Job_Master!B56)</f>
        <v>15</v>
      </c>
      <c r="C56" s="10" t="str">
        <f>IF($A56="","",Job_Master!C56)</f>
        <v>2P</v>
      </c>
      <c r="D56" s="10">
        <f>IF($A56="","",Job_Master!D56)</f>
        <v>2</v>
      </c>
      <c r="E56" s="48" t="str">
        <f>IF($A56="","","SPM-MC-06")</f>
        <v>SPM-MC-06</v>
      </c>
      <c r="F56" s="106" t="str">
        <f>IF($E56="","",IFERROR(VLOOKUP($E56,Machine_List!$B:$G,6,0),""))</f>
        <v>General Workman</v>
      </c>
      <c r="G56" s="53">
        <f>IF($E56="","",IFERROR(VLOOKUP($E56,Machine_List!$B:$C,2,0),""))</f>
        <v>46176</v>
      </c>
      <c r="H56" s="10">
        <f>IF($E56="","",IFERROR(VLOOKUP($E56,Machine_List!$B:$D,3,0),""))</f>
        <v>6</v>
      </c>
      <c r="I56" s="54"/>
      <c r="J56" s="55">
        <f ca="1">IF($A56="","",IF($I56&lt;&gt;"",$I56,MAX(VTL_Plan!$M56,IFERROR(LOOKUP(2,1/($E$3:INDIRECT("E"&amp;(ROW()-1))=$E56),$M$3:INDIRECT("M"&amp;(ROW()-1))),VTL_Plan!$M56))))</f>
        <v>46174.680555555577</v>
      </c>
      <c r="K56" s="10">
        <f>IF($A56="","",IFERROR(VLOOKUP(B56,CHOOSE(MATCH(C56,Settings!$L$4:$L$10,0),OPR_2P!$A$4:$I$18,SEG_6P!$A$4:$I$18,SOL_4P!$A$4:$I$18,RW_2P!$A$4:$I$18,RW2_4P!$A$4:$I$18,FLAP_4P!$A$4:$I$18,TUBE_4P!$A$4:$I$18),2,0),0))</f>
        <v>19</v>
      </c>
      <c r="L56" s="10">
        <f t="shared" si="0"/>
        <v>38</v>
      </c>
      <c r="M56" s="55">
        <f ca="1">IF($A56="","",IF(AND(ISNUMBER(G56),G56&gt;=J56,G56&lt;=(J56+(L56/(IF(F56="Contract Workman",Settings!$K$5,Settings!$K$4))))),J56+(L56/(IF(F56="Contract Workman",Settings!$K$5,Settings!$K$4)))+(H56/(IF(F56="Contract Workman",Settings!$K$5,Settings!$K$4))),J56+(L56/(IF(F56="Contract Workman",Settings!$K$5,Settings!$K$4)))))</f>
        <v>46176.71759259262</v>
      </c>
      <c r="N56" s="10" t="str">
        <f t="shared" ca="1" si="2"/>
        <v>Shift B</v>
      </c>
      <c r="O56" s="51" t="str">
        <f>IF(B56="","", IF(IFERROR(ISNUMBER(SEARCH(B56, VLOOKUP(E56, Machine_List!$B:$J, 9, 0))), FALSE()), "✅ Machine OK", "❌ Sug: " &amp; IFERROR(INDEX(Machine_List!$B$4:$B$50, MATCH("*"&amp;B56&amp;"*", Machine_List!$J$4:$J$50, 0)), "Check Limits")))</f>
        <v>✅ Machine OK</v>
      </c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  <c r="AK56" s="52"/>
      <c r="AL56" s="52"/>
      <c r="AM56" s="52"/>
      <c r="AN56" s="52"/>
      <c r="AO56" s="52"/>
      <c r="AP56" s="52"/>
      <c r="AQ56" s="52"/>
      <c r="AR56" s="52"/>
      <c r="AS56" s="52"/>
      <c r="AT56" s="52"/>
      <c r="AU56" s="52"/>
      <c r="AV56" s="52"/>
      <c r="AW56" s="52"/>
      <c r="AX56" s="52"/>
      <c r="AY56" s="52"/>
      <c r="AZ56" s="52"/>
      <c r="BA56" s="52"/>
      <c r="BB56" s="52"/>
      <c r="BC56" s="52"/>
      <c r="BD56" s="52"/>
      <c r="BE56" s="52"/>
      <c r="BF56" s="52"/>
      <c r="BG56" s="52"/>
      <c r="BH56" s="52"/>
      <c r="BI56" s="52"/>
      <c r="BJ56" s="52"/>
      <c r="BK56" s="52"/>
      <c r="BL56" s="52"/>
      <c r="BM56" s="52"/>
    </row>
    <row r="57" spans="1:65" ht="28.8" customHeight="1" x14ac:dyDescent="0.3">
      <c r="A57" s="10" t="str">
        <f>IF(Job_Master!A57="","",Job_Master!A57)</f>
        <v>BJ-153</v>
      </c>
      <c r="B57" s="10">
        <f>IF($A57="","",Job_Master!B57)</f>
        <v>34</v>
      </c>
      <c r="C57" s="10" t="str">
        <f>IF($A57="","",Job_Master!C57)</f>
        <v>SEG</v>
      </c>
      <c r="D57" s="10">
        <f>IF($A57="","",Job_Master!D57)</f>
        <v>6</v>
      </c>
      <c r="E57" s="48" t="str">
        <f>IF($A57="","","SPM-MC-03")</f>
        <v>SPM-MC-03</v>
      </c>
      <c r="F57" s="106" t="str">
        <f>IF($E57="","",IFERROR(VLOOKUP($E57,Machine_List!$B:$G,6,0),""))</f>
        <v>General Workman</v>
      </c>
      <c r="G57" s="53">
        <f>IF($E57="","",IFERROR(VLOOKUP($E57,Machine_List!$B:$C,2,0),""))</f>
        <v>46104</v>
      </c>
      <c r="H57" s="10">
        <f>IF($E57="","",IFERROR(VLOOKUP($E57,Machine_List!$B:$D,3,0),""))</f>
        <v>6</v>
      </c>
      <c r="I57" s="54"/>
      <c r="J57" s="55">
        <f ca="1">IF($A57="","",IF($I57&lt;&gt;"",$I57,MAX(VTL_Plan!$M57,IFERROR(LOOKUP(2,1/($E$3:INDIRECT("E"&amp;(ROW()-1))=$E57),$M$3:INDIRECT("M"&amp;(ROW()-1))),VTL_Plan!$M57))))</f>
        <v>46182.180555555569</v>
      </c>
      <c r="K57" s="10">
        <f>IF($A57="","",IFERROR(VLOOKUP(B57,CHOOSE(MATCH(C57,Settings!$L$4:$L$10,0),OPR_2P!$A$4:$I$18,SEG_6P!$A$4:$I$18,SOL_4P!$A$4:$I$18,RW_2P!$A$4:$I$18,RW2_4P!$A$4:$I$18,FLAP_4P!$A$4:$I$18,TUBE_4P!$A$4:$I$18),2,0),0))</f>
        <v>49</v>
      </c>
      <c r="L57" s="10">
        <f t="shared" si="0"/>
        <v>294</v>
      </c>
      <c r="M57" s="55">
        <f ca="1">IF($A57="","",IF(AND(ISNUMBER(G57),G57&gt;=J57,G57&lt;=(J57+(L57/(IF(F57="Contract Workman",Settings!$K$5,Settings!$K$4))))),J57+(L57/(IF(F57="Contract Workman",Settings!$K$5,Settings!$K$4)))+(H57/(IF(F57="Contract Workman",Settings!$K$5,Settings!$K$4))),J57+(L57/(IF(F57="Contract Workman",Settings!$K$5,Settings!$K$4)))))</f>
        <v>46195.791666666679</v>
      </c>
      <c r="N57" s="10" t="str">
        <f t="shared" ca="1" si="2"/>
        <v>Shift B</v>
      </c>
      <c r="O57" s="51" t="str">
        <f>IF(B57="","", IF(IFERROR(ISNUMBER(SEARCH(B57, VLOOKUP(E57, Machine_List!$B:$J, 9, 0))), FALSE()), "✅ Machine OK", "❌ Sug: " &amp; IFERROR(INDEX(Machine_List!$B$4:$B$50, MATCH("*"&amp;B57&amp;"*", Machine_List!$J$4:$J$50, 0)), "Check Limits")))</f>
        <v>✅ Machine OK</v>
      </c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  <c r="AK57" s="52"/>
      <c r="AL57" s="52"/>
      <c r="AM57" s="52"/>
      <c r="AN57" s="52"/>
      <c r="AO57" s="52"/>
      <c r="AP57" s="52"/>
      <c r="AQ57" s="52"/>
      <c r="AR57" s="52"/>
      <c r="AS57" s="52"/>
      <c r="AT57" s="52"/>
      <c r="AU57" s="52"/>
      <c r="AV57" s="52"/>
      <c r="AW57" s="52"/>
      <c r="AX57" s="52"/>
      <c r="AY57" s="52"/>
      <c r="AZ57" s="52"/>
      <c r="BA57" s="52"/>
      <c r="BB57" s="52"/>
      <c r="BC57" s="52"/>
      <c r="BD57" s="52"/>
      <c r="BE57" s="52"/>
      <c r="BF57" s="52"/>
      <c r="BG57" s="52"/>
      <c r="BH57" s="52"/>
      <c r="BI57" s="52"/>
      <c r="BJ57" s="52"/>
      <c r="BK57" s="52"/>
      <c r="BL57" s="52"/>
      <c r="BM57" s="52"/>
    </row>
    <row r="58" spans="1:65" ht="28.8" customHeight="1" x14ac:dyDescent="0.3">
      <c r="A58" s="10" t="str">
        <f>IF(Job_Master!A58="","",Job_Master!A58)</f>
        <v>BJ-160</v>
      </c>
      <c r="B58" s="10">
        <f>IF($A58="","",Job_Master!B58)</f>
        <v>34</v>
      </c>
      <c r="C58" s="10" t="str">
        <f>IF($A58="","",Job_Master!C58)</f>
        <v>2P</v>
      </c>
      <c r="D58" s="10">
        <f>IF($A58="","",Job_Master!D58)</f>
        <v>2</v>
      </c>
      <c r="E58" s="48" t="str">
        <f>IF($A58="","","SPM-MC-04")</f>
        <v>SPM-MC-04</v>
      </c>
      <c r="F58" s="106" t="str">
        <f>IF($E58="","",IFERROR(VLOOKUP($E58,Machine_List!$B:$G,6,0),""))</f>
        <v>General Workman</v>
      </c>
      <c r="G58" s="53">
        <f>IF($E58="","",IFERROR(VLOOKUP($E58,Machine_List!$B:$C,2,0),""))</f>
        <v>46197</v>
      </c>
      <c r="H58" s="10">
        <f>IF($E58="","",IFERROR(VLOOKUP($E58,Machine_List!$B:$D,3,0),""))</f>
        <v>6</v>
      </c>
      <c r="I58" s="54"/>
      <c r="J58" s="55">
        <f ca="1">IF($A58="","",IF($I58&lt;&gt;"",$I58,MAX(VTL_Plan!$M58,IFERROR(LOOKUP(2,1/($E$3:INDIRECT("E"&amp;(ROW()-1))=$E58),$M$3:INDIRECT("M"&amp;(ROW()-1))),VTL_Plan!$M58))))</f>
        <v>46187.365740740752</v>
      </c>
      <c r="K58" s="10">
        <f>IF($A58="","",IFERROR(VLOOKUP(B58,CHOOSE(MATCH(C58,Settings!$L$4:$L$10,0),OPR_2P!$A$4:$I$18,SEG_6P!$A$4:$I$18,SOL_4P!$A$4:$I$18,RW_2P!$A$4:$I$18,RW2_4P!$A$4:$I$18,FLAP_4P!$A$4:$I$18,TUBE_4P!$A$4:$I$18),2,0),0))</f>
        <v>50</v>
      </c>
      <c r="L58" s="10">
        <f t="shared" si="0"/>
        <v>100</v>
      </c>
      <c r="M58" s="55">
        <f ca="1">IF($A58="","",IF(AND(ISNUMBER(G58),G58&gt;=J58,G58&lt;=(J58+(L58/(IF(F58="Contract Workman",Settings!$K$5,Settings!$K$4))))),J58+(L58/(IF(F58="Contract Workman",Settings!$K$5,Settings!$K$4)))+(H58/(IF(F58="Contract Workman",Settings!$K$5,Settings!$K$4))),J58+(L58/(IF(F58="Contract Workman",Settings!$K$5,Settings!$K$4)))))</f>
        <v>46191.99537037038</v>
      </c>
      <c r="N58" s="10" t="str">
        <f t="shared" ca="1" si="2"/>
        <v>Shift C</v>
      </c>
      <c r="O58" s="51" t="str">
        <f>IF(B58="","", IF(IFERROR(ISNUMBER(SEARCH(B58, VLOOKUP(E58, Machine_List!$B:$J, 9, 0))), FALSE()), "✅ Machine OK", "❌ Sug: " &amp; IFERROR(INDEX(Machine_List!$B$4:$B$50, MATCH("*"&amp;B58&amp;"*", Machine_List!$J$4:$J$50, 0)), "Check Limits")))</f>
        <v>✅ Machine OK</v>
      </c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52"/>
      <c r="AK58" s="52"/>
      <c r="AL58" s="52"/>
      <c r="AM58" s="52"/>
      <c r="AN58" s="52"/>
      <c r="AO58" s="52"/>
      <c r="AP58" s="52"/>
      <c r="AQ58" s="52"/>
      <c r="AR58" s="52"/>
      <c r="AS58" s="52"/>
      <c r="AT58" s="52"/>
      <c r="AU58" s="52"/>
      <c r="AV58" s="52"/>
      <c r="AW58" s="52"/>
      <c r="AX58" s="52"/>
      <c r="AY58" s="52"/>
      <c r="AZ58" s="52"/>
      <c r="BA58" s="52"/>
      <c r="BB58" s="52"/>
      <c r="BC58" s="52"/>
      <c r="BD58" s="52"/>
      <c r="BE58" s="52"/>
      <c r="BF58" s="52"/>
      <c r="BG58" s="52"/>
      <c r="BH58" s="52"/>
      <c r="BI58" s="52"/>
      <c r="BJ58" s="52"/>
      <c r="BK58" s="52"/>
      <c r="BL58" s="52"/>
      <c r="BM58" s="52"/>
    </row>
    <row r="59" spans="1:65" ht="28.8" customHeight="1" x14ac:dyDescent="0.3">
      <c r="A59" s="10" t="str">
        <f>IF(Job_Master!A59="","",Job_Master!A59)</f>
        <v>BJ-158</v>
      </c>
      <c r="B59" s="10">
        <f>IF($A59="","",Job_Master!B59)</f>
        <v>54</v>
      </c>
      <c r="C59" s="10" t="str">
        <f>IF($A59="","",Job_Master!C59)</f>
        <v>2P</v>
      </c>
      <c r="D59" s="10">
        <f>IF($A59="","",Job_Master!D59)</f>
        <v>2</v>
      </c>
      <c r="E59" s="48" t="str">
        <f>IF($A59="","","SPM-MC-02")</f>
        <v>SPM-MC-02</v>
      </c>
      <c r="F59" s="106" t="str">
        <f>IF($E59="","",IFERROR(VLOOKUP($E59,Machine_List!$B:$G,6,0),""))</f>
        <v>General Workman</v>
      </c>
      <c r="G59" s="53">
        <f>IF($E59="","",IFERROR(VLOOKUP($E59,Machine_List!$B:$C,2,0),""))</f>
        <v>46459</v>
      </c>
      <c r="H59" s="10">
        <f>IF($E59="","",IFERROR(VLOOKUP($E59,Machine_List!$B:$D,3,0),""))</f>
        <v>6</v>
      </c>
      <c r="I59" s="54"/>
      <c r="J59" s="55">
        <f ca="1">IF($A59="","",IF($I59&lt;&gt;"",$I59,MAX(VTL_Plan!$M59,IFERROR(LOOKUP(2,1/($E$3:INDIRECT("E"&amp;(ROW()-1))=$E59),$M$3:INDIRECT("M"&amp;(ROW()-1))),VTL_Plan!$M59))))</f>
        <v>46187.550925925912</v>
      </c>
      <c r="K59" s="10">
        <f>IF($A59="","",IFERROR(VLOOKUP(B59,CHOOSE(MATCH(C59,Settings!$L$4:$L$10,0),OPR_2P!$A$4:$I$18,SEG_6P!$A$4:$I$18,SOL_4P!$A$4:$I$18,RW_2P!$A$4:$I$18,RW2_4P!$A$4:$I$18,FLAP_4P!$A$4:$I$18,TUBE_4P!$A$4:$I$18),2,0),0))</f>
        <v>100</v>
      </c>
      <c r="L59" s="10">
        <f t="shared" si="0"/>
        <v>200</v>
      </c>
      <c r="M59" s="55">
        <f ca="1">IF($A59="","",IF(AND(ISNUMBER(G59),G59&gt;=J59,G59&lt;=(J59+(L59/(IF(F59="Contract Workman",Settings!$K$5,Settings!$K$4))))),J59+(L59/(IF(F59="Contract Workman",Settings!$K$5,Settings!$K$4)))+(H59/(IF(F59="Contract Workman",Settings!$K$5,Settings!$K$4))),J59+(L59/(IF(F59="Contract Workman",Settings!$K$5,Settings!$K$4)))))</f>
        <v>46196.810185185175</v>
      </c>
      <c r="N59" s="10" t="str">
        <f t="shared" ca="1" si="2"/>
        <v>Shift B</v>
      </c>
      <c r="O59" s="51" t="str">
        <f>IF(B59="","", IF(IFERROR(ISNUMBER(SEARCH(B59, VLOOKUP(E59, Machine_List!$B:$J, 9, 0))), FALSE()), "✅ Machine OK", "❌ Sug: " &amp; IFERROR(INDEX(Machine_List!$B$4:$B$50, MATCH("*"&amp;B59&amp;"*", Machine_List!$J$4:$J$50, 0)), "Check Limits")))</f>
        <v>✅ Machine OK</v>
      </c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  <c r="AK59" s="52"/>
      <c r="AL59" s="52"/>
      <c r="AM59" s="52"/>
      <c r="AN59" s="52"/>
      <c r="AO59" s="52"/>
      <c r="AP59" s="52"/>
      <c r="AQ59" s="52"/>
      <c r="AR59" s="52"/>
      <c r="AS59" s="52"/>
      <c r="AT59" s="52"/>
      <c r="AU59" s="52"/>
      <c r="AV59" s="52"/>
      <c r="AW59" s="52"/>
      <c r="AX59" s="52"/>
      <c r="AY59" s="52"/>
      <c r="AZ59" s="52"/>
      <c r="BA59" s="52"/>
      <c r="BB59" s="52"/>
      <c r="BC59" s="52"/>
      <c r="BD59" s="52"/>
      <c r="BE59" s="52"/>
      <c r="BF59" s="52"/>
      <c r="BG59" s="52"/>
      <c r="BH59" s="52"/>
      <c r="BI59" s="52"/>
      <c r="BJ59" s="52"/>
      <c r="BK59" s="52"/>
      <c r="BL59" s="52"/>
      <c r="BM59" s="52"/>
    </row>
    <row r="60" spans="1:65" ht="28.8" customHeight="1" x14ac:dyDescent="0.3">
      <c r="A60" s="10" t="str">
        <f>IF(Job_Master!A60="","",Job_Master!A60)</f>
        <v>BJ-157</v>
      </c>
      <c r="B60" s="10">
        <f>IF($A60="","",Job_Master!B60)</f>
        <v>50</v>
      </c>
      <c r="C60" s="10" t="str">
        <f>IF($A60="","",Job_Master!C60)</f>
        <v>SEG</v>
      </c>
      <c r="D60" s="10">
        <f>IF($A60="","",Job_Master!D60)</f>
        <v>6</v>
      </c>
      <c r="E60" s="48" t="str">
        <f>IF($A60="","","SPM-MC-01")</f>
        <v>SPM-MC-01</v>
      </c>
      <c r="F60" s="106" t="str">
        <f>IF($E60="","",IFERROR(VLOOKUP($E60,Machine_List!$B:$G,6,0),""))</f>
        <v>General Workman</v>
      </c>
      <c r="G60" s="53">
        <f>IF($E60="","",IFERROR(VLOOKUP($E60,Machine_List!$B:$C,2,0),""))</f>
        <v>46285</v>
      </c>
      <c r="H60" s="10">
        <f>IF($E60="","",IFERROR(VLOOKUP($E60,Machine_List!$B:$D,3,0),""))</f>
        <v>6</v>
      </c>
      <c r="I60" s="54"/>
      <c r="J60" s="55">
        <f ca="1">IF($A60="","",IF($I60&lt;&gt;"",$I60,MAX(VTL_Plan!$M60,IFERROR(LOOKUP(2,1/($E$3:INDIRECT("E"&amp;(ROW()-1))=$E60),$M$3:INDIRECT("M"&amp;(ROW()-1))),VTL_Plan!$M60))))</f>
        <v>46217.273148148146</v>
      </c>
      <c r="K60" s="10">
        <f>IF($A60="","",IFERROR(VLOOKUP(B60,CHOOSE(MATCH(C60,Settings!$L$4:$L$10,0),OPR_2P!$A$4:$I$18,SEG_6P!$A$4:$I$18,SOL_4P!$A$4:$I$18,RW_2P!$A$4:$I$18,RW2_4P!$A$4:$I$18,FLAP_4P!$A$4:$I$18,TUBE_4P!$A$4:$I$18),2,0),0))</f>
        <v>89</v>
      </c>
      <c r="L60" s="10">
        <f t="shared" si="0"/>
        <v>534</v>
      </c>
      <c r="M60" s="55">
        <f ca="1">IF($A60="","",IF(AND(ISNUMBER(G60),G60&gt;=J60,G60&lt;=(J60+(L60/(IF(F60="Contract Workman",Settings!$K$5,Settings!$K$4))))),J60+(L60/(IF(F60="Contract Workman",Settings!$K$5,Settings!$K$4)))+(H60/(IF(F60="Contract Workman",Settings!$K$5,Settings!$K$4))),J60+(L60/(IF(F60="Contract Workman",Settings!$K$5,Settings!$K$4)))))</f>
        <v>46241.995370370365</v>
      </c>
      <c r="N60" s="10" t="str">
        <f t="shared" ca="1" si="2"/>
        <v>Shift C</v>
      </c>
      <c r="O60" s="51" t="str">
        <f>IF(B60="","", IF(IFERROR(ISNUMBER(SEARCH(B60, VLOOKUP(E60, Machine_List!$B:$J, 9, 0))), FALSE()), "✅ Machine OK", "❌ Sug: " &amp; IFERROR(INDEX(Machine_List!$B$4:$B$50, MATCH("*"&amp;B60&amp;"*", Machine_List!$J$4:$J$50, 0)), "Check Limits")))</f>
        <v>✅ Machine OK</v>
      </c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52"/>
      <c r="AN60" s="52"/>
      <c r="AO60" s="52"/>
      <c r="AP60" s="52"/>
      <c r="AQ60" s="52"/>
      <c r="AR60" s="52"/>
      <c r="AS60" s="52"/>
      <c r="AT60" s="52"/>
      <c r="AU60" s="52"/>
      <c r="AV60" s="52"/>
      <c r="AW60" s="52"/>
      <c r="AX60" s="52"/>
      <c r="AY60" s="52"/>
      <c r="AZ60" s="52"/>
      <c r="BA60" s="52"/>
      <c r="BB60" s="52"/>
      <c r="BC60" s="52"/>
      <c r="BD60" s="52"/>
      <c r="BE60" s="52"/>
      <c r="BF60" s="52"/>
      <c r="BG60" s="52"/>
      <c r="BH60" s="52"/>
      <c r="BI60" s="52"/>
      <c r="BJ60" s="52"/>
      <c r="BK60" s="52"/>
      <c r="BL60" s="52"/>
      <c r="BM60" s="52"/>
    </row>
    <row r="61" spans="1:65" ht="28.8" customHeight="1" x14ac:dyDescent="0.3">
      <c r="A61" s="10" t="str">
        <f>IF(Job_Master!A61="","",Job_Master!A61)</f>
        <v>BJ-159</v>
      </c>
      <c r="B61" s="10">
        <f>IF($A61="","",Job_Master!B61)</f>
        <v>54</v>
      </c>
      <c r="C61" s="10" t="str">
        <f>IF($A61="","",Job_Master!C61)</f>
        <v>RW</v>
      </c>
      <c r="D61" s="10">
        <f>IF($A61="","",Job_Master!D61)</f>
        <v>2</v>
      </c>
      <c r="E61" s="48" t="str">
        <f>IF($A61="","","SPM-MC-02")</f>
        <v>SPM-MC-02</v>
      </c>
      <c r="F61" s="106" t="str">
        <f>IF($E61="","",IFERROR(VLOOKUP($E61,Machine_List!$B:$G,6,0),""))</f>
        <v>General Workman</v>
      </c>
      <c r="G61" s="53">
        <f>IF($E61="","",IFERROR(VLOOKUP($E61,Machine_List!$B:$C,2,0),""))</f>
        <v>46459</v>
      </c>
      <c r="H61" s="10">
        <f>IF($E61="","",IFERROR(VLOOKUP($E61,Machine_List!$B:$D,3,0),""))</f>
        <v>6</v>
      </c>
      <c r="I61" s="54"/>
      <c r="J61" s="55">
        <f ca="1">IF($A61="","",IF($I61&lt;&gt;"",$I61,MAX(VTL_Plan!$M61,IFERROR(LOOKUP(2,1/($E$3:INDIRECT("E"&amp;(ROW()-1))=$E61),$M$3:INDIRECT("M"&amp;(ROW()-1))),VTL_Plan!$M61))))</f>
        <v>46196.810185185175</v>
      </c>
      <c r="K61" s="10">
        <f>IF($A61="","",IFERROR(VLOOKUP(B61,CHOOSE(MATCH(C61,Settings!$L$4:$L$10,0),OPR_2P!$A$4:$I$18,SEG_6P!$A$4:$I$18,SOL_4P!$A$4:$I$18,RW_2P!$A$4:$I$18,RW2_4P!$A$4:$I$18,FLAP_4P!$A$4:$I$18,TUBE_4P!$A$4:$I$18),2,0),0))</f>
        <v>78</v>
      </c>
      <c r="L61" s="10">
        <f t="shared" si="0"/>
        <v>156</v>
      </c>
      <c r="M61" s="55">
        <f ca="1">IF($A61="","",IF(AND(ISNUMBER(G61),G61&gt;=J61,G61&lt;=(J61+(L61/(IF(F61="Contract Workman",Settings!$K$5,Settings!$K$4))))),J61+(L61/(IF(F61="Contract Workman",Settings!$K$5,Settings!$K$4)))+(H61/(IF(F61="Contract Workman",Settings!$K$5,Settings!$K$4))),J61+(L61/(IF(F61="Contract Workman",Settings!$K$5,Settings!$K$4)))))</f>
        <v>46204.032407407394</v>
      </c>
      <c r="N61" s="10" t="str">
        <f t="shared" ca="1" si="2"/>
        <v>Shift C</v>
      </c>
      <c r="O61" s="51" t="str">
        <f>IF(B61="","", IF(IFERROR(ISNUMBER(SEARCH(B61, VLOOKUP(E61, Machine_List!$B:$J, 9, 0))), FALSE()), "✅ Machine OK", "❌ Sug: " &amp; IFERROR(INDEX(Machine_List!$B$4:$B$50, MATCH("*"&amp;B61&amp;"*", Machine_List!$J$4:$J$50, 0)), "Check Limits")))</f>
        <v>✅ Machine OK</v>
      </c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52"/>
      <c r="AG61" s="52"/>
      <c r="AH61" s="52"/>
      <c r="AI61" s="52"/>
      <c r="AJ61" s="52"/>
      <c r="AK61" s="52"/>
      <c r="AL61" s="52"/>
      <c r="AM61" s="52"/>
      <c r="AN61" s="52"/>
      <c r="AO61" s="52"/>
      <c r="AP61" s="52"/>
      <c r="AQ61" s="52"/>
      <c r="AR61" s="52"/>
      <c r="AS61" s="52"/>
      <c r="AT61" s="52"/>
      <c r="AU61" s="52"/>
      <c r="AV61" s="52"/>
      <c r="AW61" s="52"/>
      <c r="AX61" s="52"/>
      <c r="AY61" s="52"/>
      <c r="AZ61" s="52"/>
      <c r="BA61" s="52"/>
      <c r="BB61" s="52"/>
      <c r="BC61" s="52"/>
      <c r="BD61" s="52"/>
      <c r="BE61" s="52"/>
      <c r="BF61" s="52"/>
      <c r="BG61" s="52"/>
      <c r="BH61" s="52"/>
      <c r="BI61" s="52"/>
      <c r="BJ61" s="52"/>
      <c r="BK61" s="52"/>
      <c r="BL61" s="52"/>
      <c r="BM61" s="52"/>
    </row>
    <row r="62" spans="1:65" ht="28.8" customHeight="1" x14ac:dyDescent="0.3">
      <c r="A62" s="10" t="str">
        <f>IF(Job_Master!A62="","",Job_Master!A62)</f>
        <v>BJ-148</v>
      </c>
      <c r="B62" s="10">
        <f>IF($A62="","",Job_Master!B62)</f>
        <v>9</v>
      </c>
      <c r="C62" s="10" t="str">
        <f>IF($A62="","",Job_Master!C62)</f>
        <v>SEG</v>
      </c>
      <c r="D62" s="10">
        <f>IF($A62="","",Job_Master!D62)</f>
        <v>6</v>
      </c>
      <c r="E62" s="48" t="str">
        <f>IF($A62="","","SPM-MC-06")</f>
        <v>SPM-MC-06</v>
      </c>
      <c r="F62" s="106" t="str">
        <f>IF($E62="","",IFERROR(VLOOKUP($E62,Machine_List!$B:$G,6,0),""))</f>
        <v>General Workman</v>
      </c>
      <c r="G62" s="53">
        <f>IF($E62="","",IFERROR(VLOOKUP($E62,Machine_List!$B:$C,2,0),""))</f>
        <v>46176</v>
      </c>
      <c r="H62" s="10">
        <f>IF($E62="","",IFERROR(VLOOKUP($E62,Machine_List!$B:$D,3,0),""))</f>
        <v>6</v>
      </c>
      <c r="I62" s="54"/>
      <c r="J62" s="55">
        <f ca="1">IF($A62="","",IF($I62&lt;&gt;"",$I62,MAX(VTL_Plan!$M62,IFERROR(LOOKUP(2,1/($E$3:INDIRECT("E"&amp;(ROW()-1))=$E62),$M$3:INDIRECT("M"&amp;(ROW()-1))),VTL_Plan!$M62))))</f>
        <v>46176.71759259262</v>
      </c>
      <c r="K62" s="10">
        <f>IF($A62="","",IFERROR(VLOOKUP(B62,CHOOSE(MATCH(C62,Settings!$L$4:$L$10,0),OPR_2P!$A$4:$I$18,SEG_6P!$A$4:$I$18,SOL_4P!$A$4:$I$18,RW_2P!$A$4:$I$18,RW2_4P!$A$4:$I$18,FLAP_4P!$A$4:$I$18,TUBE_4P!$A$4:$I$18),2,0),0))</f>
        <v>8</v>
      </c>
      <c r="L62" s="10">
        <f t="shared" si="0"/>
        <v>48</v>
      </c>
      <c r="M62" s="55">
        <f ca="1">IF($A62="","",IF(AND(ISNUMBER(G62),G62&gt;=J62,G62&lt;=(J62+(L62/(IF(F62="Contract Workman",Settings!$K$5,Settings!$K$4))))),J62+(L62/(IF(F62="Contract Workman",Settings!$K$5,Settings!$K$4)))+(H62/(IF(F62="Contract Workman",Settings!$K$5,Settings!$K$4))),J62+(L62/(IF(F62="Contract Workman",Settings!$K$5,Settings!$K$4)))))</f>
        <v>46178.939814814839</v>
      </c>
      <c r="N62" s="10" t="str">
        <f t="shared" ca="1" si="2"/>
        <v>Shift B</v>
      </c>
      <c r="O62" s="51" t="str">
        <f>IF(B62="","", IF(IFERROR(ISNUMBER(SEARCH(B62, VLOOKUP(E62, Machine_List!$B:$J, 9, 0))), FALSE()), "✅ Machine OK", "❌ Sug: " &amp; IFERROR(INDEX(Machine_List!$B$4:$B$50, MATCH("*"&amp;B62&amp;"*", Machine_List!$J$4:$J$50, 0)), "Check Limits")))</f>
        <v>✅ Machine OK</v>
      </c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52"/>
      <c r="AK62" s="52"/>
      <c r="AL62" s="52"/>
      <c r="AM62" s="52"/>
      <c r="AN62" s="52"/>
      <c r="AO62" s="52"/>
      <c r="AP62" s="52"/>
      <c r="AQ62" s="52"/>
      <c r="AR62" s="52"/>
      <c r="AS62" s="52"/>
      <c r="AT62" s="52"/>
      <c r="AU62" s="52"/>
      <c r="AV62" s="52"/>
      <c r="AW62" s="52"/>
      <c r="AX62" s="52"/>
      <c r="AY62" s="52"/>
      <c r="AZ62" s="52"/>
      <c r="BA62" s="52"/>
      <c r="BB62" s="52"/>
      <c r="BC62" s="52"/>
      <c r="BD62" s="52"/>
      <c r="BE62" s="52"/>
      <c r="BF62" s="52"/>
      <c r="BG62" s="52"/>
      <c r="BH62" s="52"/>
      <c r="BI62" s="52"/>
      <c r="BJ62" s="52"/>
      <c r="BK62" s="52"/>
      <c r="BL62" s="52"/>
      <c r="BM62" s="52"/>
    </row>
    <row r="63" spans="1:65" ht="28.8" customHeight="1" x14ac:dyDescent="0.3">
      <c r="A63" s="10" t="str">
        <f>IF(Job_Master!A63="","",Job_Master!A63)</f>
        <v>BJ-161</v>
      </c>
      <c r="B63" s="10">
        <f>IF($A63="","",Job_Master!B63)</f>
        <v>30</v>
      </c>
      <c r="C63" s="10" t="str">
        <f>IF($A63="","",Job_Master!C63)</f>
        <v>SEG</v>
      </c>
      <c r="D63" s="10">
        <f>IF($A63="","",Job_Master!D63)</f>
        <v>6</v>
      </c>
      <c r="E63" s="48" t="str">
        <f>IF($A63="","","SPM-MC-04")</f>
        <v>SPM-MC-04</v>
      </c>
      <c r="F63" s="106" t="str">
        <f>IF($E63="","",IFERROR(VLOOKUP($E63,Machine_List!$B:$G,6,0),""))</f>
        <v>General Workman</v>
      </c>
      <c r="G63" s="53">
        <f>IF($E63="","",IFERROR(VLOOKUP($E63,Machine_List!$B:$C,2,0),""))</f>
        <v>46197</v>
      </c>
      <c r="H63" s="10">
        <f>IF($E63="","",IFERROR(VLOOKUP($E63,Machine_List!$B:$D,3,0),""))</f>
        <v>6</v>
      </c>
      <c r="I63" s="54"/>
      <c r="J63" s="55">
        <f ca="1">IF($A63="","",IF($I63&lt;&gt;"",$I63,MAX(VTL_Plan!$M63,IFERROR(LOOKUP(2,1/($E$3:INDIRECT("E"&amp;(ROW()-1))=$E63),$M$3:INDIRECT("M"&amp;(ROW()-1))),VTL_Plan!$M63))))</f>
        <v>46191.99537037038</v>
      </c>
      <c r="K63" s="10">
        <f>IF($A63="","",IFERROR(VLOOKUP(B63,CHOOSE(MATCH(C63,Settings!$L$4:$L$10,0),OPR_2P!$A$4:$I$18,SEG_6P!$A$4:$I$18,SOL_4P!$A$4:$I$18,RW_2P!$A$4:$I$18,RW2_4P!$A$4:$I$18,FLAP_4P!$A$4:$I$18,TUBE_4P!$A$4:$I$18),2,0),0))</f>
        <v>35</v>
      </c>
      <c r="L63" s="10">
        <f t="shared" si="0"/>
        <v>210</v>
      </c>
      <c r="M63" s="55">
        <f ca="1">IF($A63="","",IF(AND(ISNUMBER(G63),G63&gt;=J63,G63&lt;=(J63+(L63/(IF(F63="Contract Workman",Settings!$K$5,Settings!$K$4))))),J63+(L63/(IF(F63="Contract Workman",Settings!$K$5,Settings!$K$4)))+(H63/(IF(F63="Contract Workman",Settings!$K$5,Settings!$K$4))),J63+(L63/(IF(F63="Contract Workman",Settings!$K$5,Settings!$K$4)))))</f>
        <v>46201.99537037038</v>
      </c>
      <c r="N63" s="10" t="str">
        <f t="shared" ca="1" si="2"/>
        <v>Shift C</v>
      </c>
      <c r="O63" s="51" t="str">
        <f>IF(B63="","", IF(IFERROR(ISNUMBER(SEARCH(B63, VLOOKUP(E63, Machine_List!$B:$J, 9, 0))), FALSE()), "✅ Machine OK", "❌ Sug: " &amp; IFERROR(INDEX(Machine_List!$B$4:$B$50, MATCH("*"&amp;B63&amp;"*", Machine_List!$J$4:$J$50, 0)), "Check Limits")))</f>
        <v>✅ Machine OK</v>
      </c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52"/>
      <c r="AK63" s="52"/>
      <c r="AL63" s="52"/>
      <c r="AM63" s="52"/>
      <c r="AN63" s="52"/>
      <c r="AO63" s="52"/>
      <c r="AP63" s="52"/>
      <c r="AQ63" s="52"/>
      <c r="AR63" s="52"/>
      <c r="AS63" s="52"/>
      <c r="AT63" s="52"/>
      <c r="AU63" s="52"/>
      <c r="AV63" s="52"/>
      <c r="AW63" s="52"/>
      <c r="AX63" s="52"/>
      <c r="AY63" s="52"/>
      <c r="AZ63" s="52"/>
      <c r="BA63" s="52"/>
      <c r="BB63" s="52"/>
      <c r="BC63" s="52"/>
      <c r="BD63" s="52"/>
      <c r="BE63" s="52"/>
      <c r="BF63" s="52"/>
      <c r="BG63" s="52"/>
      <c r="BH63" s="52"/>
      <c r="BI63" s="52"/>
      <c r="BJ63" s="52"/>
      <c r="BK63" s="52"/>
      <c r="BL63" s="52"/>
      <c r="BM63" s="52"/>
    </row>
    <row r="64" spans="1:65" ht="28.8" customHeight="1" x14ac:dyDescent="0.3">
      <c r="A64" s="10" t="str">
        <f>IF(Job_Master!A64="","",Job_Master!A64)</f>
        <v>BJ-149</v>
      </c>
      <c r="B64" s="10">
        <f>IF($A64="","",Job_Master!B64)</f>
        <v>9</v>
      </c>
      <c r="C64" s="10" t="str">
        <f>IF($A64="","",Job_Master!C64)</f>
        <v>2P</v>
      </c>
      <c r="D64" s="10">
        <f>IF($A64="","",Job_Master!D64)</f>
        <v>2</v>
      </c>
      <c r="E64" s="48" t="str">
        <f>IF($A64="","","SPM-MC-06")</f>
        <v>SPM-MC-06</v>
      </c>
      <c r="F64" s="106" t="str">
        <f>IF($E64="","",IFERROR(VLOOKUP($E64,Machine_List!$B:$G,6,0),""))</f>
        <v>General Workman</v>
      </c>
      <c r="G64" s="53">
        <f>IF($E64="","",IFERROR(VLOOKUP($E64,Machine_List!$B:$C,2,0),""))</f>
        <v>46176</v>
      </c>
      <c r="H64" s="10">
        <f>IF($E64="","",IFERROR(VLOOKUP($E64,Machine_List!$B:$D,3,0),""))</f>
        <v>6</v>
      </c>
      <c r="I64" s="54"/>
      <c r="J64" s="55">
        <f ca="1">IF($A64="","",IF($I64&lt;&gt;"",$I64,MAX(VTL_Plan!$M64,IFERROR(LOOKUP(2,1/($E$3:INDIRECT("E"&amp;(ROW()-1))=$E64),$M$3:INDIRECT("M"&amp;(ROW()-1))),VTL_Plan!$M64))))</f>
        <v>46178.939814814839</v>
      </c>
      <c r="K64" s="10">
        <f>IF($A64="","",IFERROR(VLOOKUP(B64,CHOOSE(MATCH(C64,Settings!$L$4:$L$10,0),OPR_2P!$A$4:$I$18,SEG_6P!$A$4:$I$18,SOL_4P!$A$4:$I$18,RW_2P!$A$4:$I$18,RW2_4P!$A$4:$I$18,FLAP_4P!$A$4:$I$18,TUBE_4P!$A$4:$I$18),2,0),0))</f>
        <v>6</v>
      </c>
      <c r="L64" s="10">
        <f t="shared" si="0"/>
        <v>12</v>
      </c>
      <c r="M64" s="55">
        <f ca="1">IF($A64="","",IF(AND(ISNUMBER(G64),G64&gt;=J64,G64&lt;=(J64+(L64/(IF(F64="Contract Workman",Settings!$K$5,Settings!$K$4))))),J64+(L64/(IF(F64="Contract Workman",Settings!$K$5,Settings!$K$4)))+(H64/(IF(F64="Contract Workman",Settings!$K$5,Settings!$K$4))),J64+(L64/(IF(F64="Contract Workman",Settings!$K$5,Settings!$K$4)))))</f>
        <v>46179.495370370394</v>
      </c>
      <c r="N64" s="10" t="str">
        <f t="shared" ca="1" si="2"/>
        <v>Shift A</v>
      </c>
      <c r="O64" s="51" t="str">
        <f>IF(B64="","", IF(IFERROR(ISNUMBER(SEARCH(B64, VLOOKUP(E64, Machine_List!$B:$J, 9, 0))), FALSE()), "✅ Machine OK", "❌ Sug: " &amp; IFERROR(INDEX(Machine_List!$B$4:$B$50, MATCH("*"&amp;B64&amp;"*", Machine_List!$J$4:$J$50, 0)), "Check Limits")))</f>
        <v>✅ Machine OK</v>
      </c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2"/>
      <c r="AJ64" s="52"/>
      <c r="AK64" s="52"/>
      <c r="AL64" s="52"/>
      <c r="AM64" s="52"/>
      <c r="AN64" s="52"/>
      <c r="AO64" s="52"/>
      <c r="AP64" s="52"/>
      <c r="AQ64" s="52"/>
      <c r="AR64" s="52"/>
      <c r="AS64" s="52"/>
      <c r="AT64" s="52"/>
      <c r="AU64" s="52"/>
      <c r="AV64" s="52"/>
      <c r="AW64" s="52"/>
      <c r="AX64" s="52"/>
      <c r="AY64" s="52"/>
      <c r="AZ64" s="52"/>
      <c r="BA64" s="52"/>
      <c r="BB64" s="52"/>
      <c r="BC64" s="52"/>
      <c r="BD64" s="52"/>
      <c r="BE64" s="52"/>
      <c r="BF64" s="52"/>
      <c r="BG64" s="52"/>
      <c r="BH64" s="52"/>
      <c r="BI64" s="52"/>
      <c r="BJ64" s="52"/>
      <c r="BK64" s="52"/>
      <c r="BL64" s="52"/>
      <c r="BM64" s="52"/>
    </row>
    <row r="65" spans="1:65" ht="28.8" customHeight="1" x14ac:dyDescent="0.3">
      <c r="A65" s="10" t="str">
        <f>IF(Job_Master!A65="","",Job_Master!A65)</f>
        <v>BJ-163</v>
      </c>
      <c r="B65" s="10">
        <f>IF($A65="","",Job_Master!B65)</f>
        <v>70</v>
      </c>
      <c r="C65" s="10" t="str">
        <f>IF($A65="","",Job_Master!C65)</f>
        <v>SOL</v>
      </c>
      <c r="D65" s="10">
        <f>IF($A65="","",Job_Master!D65)</f>
        <v>4</v>
      </c>
      <c r="E65" s="48" t="str">
        <f>IF($A65="","","SPM-MC-02")</f>
        <v>SPM-MC-02</v>
      </c>
      <c r="F65" s="106" t="str">
        <f>IF($E65="","",IFERROR(VLOOKUP($E65,Machine_List!$B:$G,6,0),""))</f>
        <v>General Workman</v>
      </c>
      <c r="G65" s="53">
        <f>IF($E65="","",IFERROR(VLOOKUP($E65,Machine_List!$B:$C,2,0),""))</f>
        <v>46459</v>
      </c>
      <c r="H65" s="10">
        <f>IF($E65="","",IFERROR(VLOOKUP($E65,Machine_List!$B:$D,3,0),""))</f>
        <v>6</v>
      </c>
      <c r="I65" s="54"/>
      <c r="J65" s="55">
        <f ca="1">IF($A65="","",IF($I65&lt;&gt;"",$I65,MAX(VTL_Plan!$M65,IFERROR(LOOKUP(2,1/($E$3:INDIRECT("E"&amp;(ROW()-1))=$E65),$M$3:INDIRECT("M"&amp;(ROW()-1))),VTL_Plan!$M65))))</f>
        <v>46204.032407407394</v>
      </c>
      <c r="K65" s="10">
        <f>IF($A65="","",IFERROR(VLOOKUP(B65,CHOOSE(MATCH(C65,Settings!$L$4:$L$10,0),OPR_2P!$A$4:$I$18,SEG_6P!$A$4:$I$18,SOL_4P!$A$4:$I$18,RW_2P!$A$4:$I$18,RW2_4P!$A$4:$I$18,FLAP_4P!$A$4:$I$18,TUBE_4P!$A$4:$I$18),2,0),0))</f>
        <v>133</v>
      </c>
      <c r="L65" s="10">
        <f t="shared" si="0"/>
        <v>532</v>
      </c>
      <c r="M65" s="55">
        <f ca="1">IF($A65="","",IF(AND(ISNUMBER(G65),G65&gt;=J65,G65&lt;=(J65+(L65/(IF(F65="Contract Workman",Settings!$K$5,Settings!$K$4))))),J65+(L65/(IF(F65="Contract Workman",Settings!$K$5,Settings!$K$4)))+(H65/(IF(F65="Contract Workman",Settings!$K$5,Settings!$K$4))),J65+(L65/(IF(F65="Contract Workman",Settings!$K$5,Settings!$K$4)))))</f>
        <v>46228.662037037022</v>
      </c>
      <c r="N65" s="10" t="str">
        <f t="shared" ca="1" si="2"/>
        <v>Shift B</v>
      </c>
      <c r="O65" s="51" t="str">
        <f>IF(B65="","", IF(IFERROR(ISNUMBER(SEARCH(B65, VLOOKUP(E65, Machine_List!$B:$J, 9, 0))), FALSE()), "✅ Machine OK", "❌ Sug: " &amp; IFERROR(INDEX(Machine_List!$B$4:$B$50, MATCH("*"&amp;B65&amp;"*", Machine_List!$J$4:$J$50, 0)), "Check Limits")))</f>
        <v>✅ Machine OK</v>
      </c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52"/>
      <c r="AG65" s="52"/>
      <c r="AH65" s="52"/>
      <c r="AI65" s="52"/>
      <c r="AJ65" s="52"/>
      <c r="AK65" s="52"/>
      <c r="AL65" s="52"/>
      <c r="AM65" s="52"/>
      <c r="AN65" s="52"/>
      <c r="AO65" s="52"/>
      <c r="AP65" s="52"/>
      <c r="AQ65" s="52"/>
      <c r="AR65" s="52"/>
      <c r="AS65" s="52"/>
      <c r="AT65" s="52"/>
      <c r="AU65" s="52"/>
      <c r="AV65" s="52"/>
      <c r="AW65" s="52"/>
      <c r="AX65" s="52"/>
      <c r="AY65" s="52"/>
      <c r="AZ65" s="52"/>
      <c r="BA65" s="52"/>
      <c r="BB65" s="52"/>
      <c r="BC65" s="52"/>
      <c r="BD65" s="52"/>
      <c r="BE65" s="52"/>
      <c r="BF65" s="52"/>
      <c r="BG65" s="52"/>
      <c r="BH65" s="52"/>
      <c r="BI65" s="52"/>
      <c r="BJ65" s="52"/>
      <c r="BK65" s="52"/>
      <c r="BL65" s="52"/>
      <c r="BM65" s="52"/>
    </row>
    <row r="66" spans="1:65" ht="28.8" customHeight="1" x14ac:dyDescent="0.3">
      <c r="A66" s="10" t="str">
        <f>IF(Job_Master!A66="","",Job_Master!A66)</f>
        <v>BJ-164</v>
      </c>
      <c r="B66" s="10">
        <f>IF($A66="","",Job_Master!B66)</f>
        <v>42</v>
      </c>
      <c r="C66" s="10" t="str">
        <f>IF($A66="","",Job_Master!C66)</f>
        <v>SOL</v>
      </c>
      <c r="D66" s="10">
        <f>IF($A66="","",Job_Master!D66)</f>
        <v>4</v>
      </c>
      <c r="E66" s="48" t="str">
        <f>IF($A66="","","SPM-MC-03")</f>
        <v>SPM-MC-03</v>
      </c>
      <c r="F66" s="106" t="str">
        <f>IF($E66="","",IFERROR(VLOOKUP($E66,Machine_List!$B:$G,6,0),""))</f>
        <v>General Workman</v>
      </c>
      <c r="G66" s="53">
        <f>IF($E66="","",IFERROR(VLOOKUP($E66,Machine_List!$B:$C,2,0),""))</f>
        <v>46104</v>
      </c>
      <c r="H66" s="10">
        <f>IF($E66="","",IFERROR(VLOOKUP($E66,Machine_List!$B:$D,3,0),""))</f>
        <v>6</v>
      </c>
      <c r="I66" s="54"/>
      <c r="J66" s="55">
        <f ca="1">IF($A66="","",IF($I66&lt;&gt;"",$I66,MAX(VTL_Plan!$M66,IFERROR(LOOKUP(2,1/($E$3:INDIRECT("E"&amp;(ROW()-1))=$E66),$M$3:INDIRECT("M"&amp;(ROW()-1))),VTL_Plan!$M66))))</f>
        <v>46198.291666666686</v>
      </c>
      <c r="K66" s="10">
        <f>IF($A66="","",IFERROR(VLOOKUP(B66,CHOOSE(MATCH(C66,Settings!$L$4:$L$10,0),OPR_2P!$A$4:$I$18,SEG_6P!$A$4:$I$18,SOL_4P!$A$4:$I$18,RW_2P!$A$4:$I$18,RW2_4P!$A$4:$I$18,FLAP_4P!$A$4:$I$18,TUBE_4P!$A$4:$I$18),2,0),0))</f>
        <v>54</v>
      </c>
      <c r="L66" s="10">
        <f t="shared" si="0"/>
        <v>216</v>
      </c>
      <c r="M66" s="55">
        <f ca="1">IF($A66="","",IF(AND(ISNUMBER(G66),G66&gt;=J66,G66&lt;=(J66+(L66/(IF(F66="Contract Workman",Settings!$K$5,Settings!$K$4))))),J66+(L66/(IF(F66="Contract Workman",Settings!$K$5,Settings!$K$4)))+(H66/(IF(F66="Contract Workman",Settings!$K$5,Settings!$K$4))),J66+(L66/(IF(F66="Contract Workman",Settings!$K$5,Settings!$K$4)))))</f>
        <v>46208.291666666686</v>
      </c>
      <c r="N66" s="10" t="str">
        <f t="shared" ca="1" si="2"/>
        <v>Shift A</v>
      </c>
      <c r="O66" s="51" t="str">
        <f>IF(B66="","", IF(IFERROR(ISNUMBER(SEARCH(B66, VLOOKUP(E66, Machine_List!$B:$J, 9, 0))), FALSE()), "✅ Machine OK", "❌ Sug: " &amp; IFERROR(INDEX(Machine_List!$B$4:$B$50, MATCH("*"&amp;B66&amp;"*", Machine_List!$J$4:$J$50, 0)), "Check Limits")))</f>
        <v>✅ Machine OK</v>
      </c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2"/>
      <c r="AJ66" s="52"/>
      <c r="AK66" s="52"/>
      <c r="AL66" s="52"/>
      <c r="AM66" s="52"/>
      <c r="AN66" s="52"/>
      <c r="AO66" s="52"/>
      <c r="AP66" s="52"/>
      <c r="AQ66" s="52"/>
      <c r="AR66" s="52"/>
      <c r="AS66" s="52"/>
      <c r="AT66" s="52"/>
      <c r="AU66" s="52"/>
      <c r="AV66" s="52"/>
      <c r="AW66" s="52"/>
      <c r="AX66" s="52"/>
      <c r="AY66" s="52"/>
      <c r="AZ66" s="52"/>
      <c r="BA66" s="52"/>
      <c r="BB66" s="52"/>
      <c r="BC66" s="52"/>
      <c r="BD66" s="52"/>
      <c r="BE66" s="52"/>
      <c r="BF66" s="52"/>
      <c r="BG66" s="52"/>
      <c r="BH66" s="52"/>
      <c r="BI66" s="52"/>
      <c r="BJ66" s="52"/>
      <c r="BK66" s="52"/>
      <c r="BL66" s="52"/>
      <c r="BM66" s="52"/>
    </row>
    <row r="67" spans="1:65" ht="28.8" customHeight="1" x14ac:dyDescent="0.3">
      <c r="A67" s="10" t="str">
        <f>IF(Job_Master!A67="","",Job_Master!A67)</f>
        <v>BJ-168</v>
      </c>
      <c r="B67" s="10">
        <f>IF($A67="","",Job_Master!B67)</f>
        <v>20</v>
      </c>
      <c r="C67" s="10" t="str">
        <f>IF($A67="","",Job_Master!C67)</f>
        <v>2P</v>
      </c>
      <c r="D67" s="10">
        <f>IF($A67="","",Job_Master!D67)</f>
        <v>2</v>
      </c>
      <c r="E67" s="48" t="str">
        <f>IF($A67="","","SPM-MC-06")</f>
        <v>SPM-MC-06</v>
      </c>
      <c r="F67" s="106" t="str">
        <f>IF($E67="","",IFERROR(VLOOKUP($E67,Machine_List!$B:$G,6,0),""))</f>
        <v>General Workman</v>
      </c>
      <c r="G67" s="53">
        <f>IF($E67="","",IFERROR(VLOOKUP($E67,Machine_List!$B:$C,2,0),""))</f>
        <v>46176</v>
      </c>
      <c r="H67" s="10">
        <f>IF($E67="","",IFERROR(VLOOKUP($E67,Machine_List!$B:$D,3,0),""))</f>
        <v>6</v>
      </c>
      <c r="I67" s="54"/>
      <c r="J67" s="55">
        <f ca="1">IF($A67="","",IF($I67&lt;&gt;"",$I67,MAX(VTL_Plan!$M67,IFERROR(LOOKUP(2,1/($E$3:INDIRECT("E"&amp;(ROW()-1))=$E67),$M$3:INDIRECT("M"&amp;(ROW()-1))),VTL_Plan!$M67))))</f>
        <v>46179.495370370394</v>
      </c>
      <c r="K67" s="10">
        <f>IF($A67="","",IFERROR(VLOOKUP(B67,CHOOSE(MATCH(C67,Settings!$L$4:$L$10,0),OPR_2P!$A$4:$I$18,SEG_6P!$A$4:$I$18,SOL_4P!$A$4:$I$18,RW_2P!$A$4:$I$18,RW2_4P!$A$4:$I$18,FLAP_4P!$A$4:$I$18,TUBE_4P!$A$4:$I$18),2,0),0))</f>
        <v>31</v>
      </c>
      <c r="L67" s="10">
        <f t="shared" si="0"/>
        <v>62</v>
      </c>
      <c r="M67" s="55">
        <f ca="1">IF($A67="","",IF(AND(ISNUMBER(G67),G67&gt;=J67,G67&lt;=(J67+(L67/(IF(F67="Contract Workman",Settings!$K$5,Settings!$K$4))))),J67+(L67/(IF(F67="Contract Workman",Settings!$K$5,Settings!$K$4)))+(H67/(IF(F67="Contract Workman",Settings!$K$5,Settings!$K$4))),J67+(L67/(IF(F67="Contract Workman",Settings!$K$5,Settings!$K$4)))))</f>
        <v>46182.365740740766</v>
      </c>
      <c r="N67" s="10" t="str">
        <f t="shared" ca="1" si="2"/>
        <v>Shift A</v>
      </c>
      <c r="O67" s="51" t="str">
        <f>IF(B67="","", IF(IFERROR(ISNUMBER(SEARCH(B67, VLOOKUP(E67, Machine_List!$B:$J, 9, 0))), FALSE()), "✅ Machine OK", "❌ Sug: " &amp; IFERROR(INDEX(Machine_List!$B$4:$B$50, MATCH("*"&amp;B67&amp;"*", Machine_List!$J$4:$J$50, 0)), "Check Limits")))</f>
        <v>✅ Machine OK</v>
      </c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52"/>
      <c r="AG67" s="52"/>
      <c r="AH67" s="52"/>
      <c r="AI67" s="52"/>
      <c r="AJ67" s="52"/>
      <c r="AK67" s="52"/>
      <c r="AL67" s="52"/>
      <c r="AM67" s="52"/>
      <c r="AN67" s="52"/>
      <c r="AO67" s="52"/>
      <c r="AP67" s="52"/>
      <c r="AQ67" s="52"/>
      <c r="AR67" s="52"/>
      <c r="AS67" s="52"/>
      <c r="AT67" s="52"/>
      <c r="AU67" s="52"/>
      <c r="AV67" s="52"/>
      <c r="AW67" s="52"/>
      <c r="AX67" s="52"/>
      <c r="AY67" s="52"/>
      <c r="AZ67" s="52"/>
      <c r="BA67" s="52"/>
      <c r="BB67" s="52"/>
      <c r="BC67" s="52"/>
      <c r="BD67" s="52"/>
      <c r="BE67" s="52"/>
      <c r="BF67" s="52"/>
      <c r="BG67" s="52"/>
      <c r="BH67" s="52"/>
      <c r="BI67" s="52"/>
      <c r="BJ67" s="52"/>
      <c r="BK67" s="52"/>
      <c r="BL67" s="52"/>
      <c r="BM67" s="52"/>
    </row>
    <row r="68" spans="1:65" ht="28.8" customHeight="1" x14ac:dyDescent="0.3">
      <c r="A68" s="10" t="str">
        <f>IF(Job_Master!A68="","",Job_Master!A68)</f>
        <v>BJ-155</v>
      </c>
      <c r="B68" s="10">
        <f>IF($A68="","",Job_Master!B68)</f>
        <v>17</v>
      </c>
      <c r="C68" s="10" t="str">
        <f>IF($A68="","",Job_Master!C68)</f>
        <v>RW</v>
      </c>
      <c r="D68" s="10">
        <f>IF($A68="","",Job_Master!D68)</f>
        <v>2</v>
      </c>
      <c r="E68" s="48" t="str">
        <f>IF($A68="","","SPM-MC-06")</f>
        <v>SPM-MC-06</v>
      </c>
      <c r="F68" s="106" t="str">
        <f>IF($E68="","",IFERROR(VLOOKUP($E68,Machine_List!$B:$G,6,0),""))</f>
        <v>General Workman</v>
      </c>
      <c r="G68" s="53">
        <f>IF($E68="","",IFERROR(VLOOKUP($E68,Machine_List!$B:$C,2,0),""))</f>
        <v>46176</v>
      </c>
      <c r="H68" s="10">
        <f>IF($E68="","",IFERROR(VLOOKUP($E68,Machine_List!$B:$D,3,0),""))</f>
        <v>6</v>
      </c>
      <c r="I68" s="54"/>
      <c r="J68" s="55">
        <f ca="1">IF($A68="","",IF($I68&lt;&gt;"",$I68,MAX(VTL_Plan!$M68,IFERROR(LOOKUP(2,1/($E$3:INDIRECT("E"&amp;(ROW()-1))=$E68),$M$3:INDIRECT("M"&amp;(ROW()-1))),VTL_Plan!$M68))))</f>
        <v>46182.365740740766</v>
      </c>
      <c r="K68" s="10">
        <f>IF($A68="","",IFERROR(VLOOKUP(B68,CHOOSE(MATCH(C68,Settings!$L$4:$L$10,0),OPR_2P!$A$4:$I$18,SEG_6P!$A$4:$I$18,SOL_4P!$A$4:$I$18,RW_2P!$A$4:$I$18,RW2_4P!$A$4:$I$18,FLAP_4P!$A$4:$I$18,TUBE_4P!$A$4:$I$18),2,0),0))</f>
        <v>17</v>
      </c>
      <c r="L68" s="10">
        <f t="shared" ref="L68:L131" si="3">IF($A68="","",K68*D68)</f>
        <v>34</v>
      </c>
      <c r="M68" s="55">
        <f ca="1">IF($A68="","",IF(AND(ISNUMBER(G68),G68&gt;=J68,G68&lt;=(J68+(L68/(IF(F68="Contract Workman",Settings!$K$5,Settings!$K$4))))),J68+(L68/(IF(F68="Contract Workman",Settings!$K$5,Settings!$K$4)))+(H68/(IF(F68="Contract Workman",Settings!$K$5,Settings!$K$4))),J68+(L68/(IF(F68="Contract Workman",Settings!$K$5,Settings!$K$4)))))</f>
        <v>46183.939814814839</v>
      </c>
      <c r="N68" s="10" t="str">
        <f t="shared" ref="N68:N99" ca="1" si="4">IF($A68="","",IF(F68="Contract Workman",IF(AND(MOD(M68,1)&gt;=8/24,MOD(M68,1)&lt;20/24),"Shift S1","Shift S2"),IF(AND(MOD(M68,1)&gt;=7/24,MOD(M68,1)&lt;15/24),"Shift A",IF(AND(MOD(M68,1)&gt;=15/24,MOD(M68,1)&lt;23/24),"Shift B","Shift C"))))</f>
        <v>Shift B</v>
      </c>
      <c r="O68" s="51" t="str">
        <f>IF(B68="","", IF(IFERROR(ISNUMBER(SEARCH(B68, VLOOKUP(E68, Machine_List!$B:$J, 9, 0))), FALSE()), "✅ Machine OK", "❌ Sug: " &amp; IFERROR(INDEX(Machine_List!$B$4:$B$50, MATCH("*"&amp;B68&amp;"*", Machine_List!$J$4:$J$50, 0)), "Check Limits")))</f>
        <v>✅ Machine OK</v>
      </c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2"/>
      <c r="AJ68" s="52"/>
      <c r="AK68" s="52"/>
      <c r="AL68" s="52"/>
      <c r="AM68" s="52"/>
      <c r="AN68" s="52"/>
      <c r="AO68" s="52"/>
      <c r="AP68" s="52"/>
      <c r="AQ68" s="52"/>
      <c r="AR68" s="52"/>
      <c r="AS68" s="52"/>
      <c r="AT68" s="52"/>
      <c r="AU68" s="52"/>
      <c r="AV68" s="52"/>
      <c r="AW68" s="52"/>
      <c r="AX68" s="52"/>
      <c r="AY68" s="52"/>
      <c r="AZ68" s="52"/>
      <c r="BA68" s="52"/>
      <c r="BB68" s="52"/>
      <c r="BC68" s="52"/>
      <c r="BD68" s="52"/>
      <c r="BE68" s="52"/>
      <c r="BF68" s="52"/>
      <c r="BG68" s="52"/>
      <c r="BH68" s="52"/>
      <c r="BI68" s="52"/>
      <c r="BJ68" s="52"/>
      <c r="BK68" s="52"/>
      <c r="BL68" s="52"/>
      <c r="BM68" s="52"/>
    </row>
    <row r="69" spans="1:65" ht="28.8" customHeight="1" x14ac:dyDescent="0.3">
      <c r="A69" s="10" t="str">
        <f>IF(Job_Master!A69="","",Job_Master!A69)</f>
        <v>BJ-167</v>
      </c>
      <c r="B69" s="10">
        <f>IF($A69="","",Job_Master!B69)</f>
        <v>54</v>
      </c>
      <c r="C69" s="10" t="str">
        <f>IF($A69="","",Job_Master!C69)</f>
        <v>2P</v>
      </c>
      <c r="D69" s="10">
        <f>IF($A69="","",Job_Master!D69)</f>
        <v>2</v>
      </c>
      <c r="E69" s="48" t="str">
        <f>IF($A69="","","SPM-MC-03")</f>
        <v>SPM-MC-03</v>
      </c>
      <c r="F69" s="106" t="str">
        <f>IF($E69="","",IFERROR(VLOOKUP($E69,Machine_List!$B:$G,6,0),""))</f>
        <v>General Workman</v>
      </c>
      <c r="G69" s="53">
        <f>IF($E69="","",IFERROR(VLOOKUP($E69,Machine_List!$B:$C,2,0),""))</f>
        <v>46104</v>
      </c>
      <c r="H69" s="10">
        <f>IF($E69="","",IFERROR(VLOOKUP($E69,Machine_List!$B:$D,3,0),""))</f>
        <v>6</v>
      </c>
      <c r="I69" s="54"/>
      <c r="J69" s="55">
        <f ca="1">IF($A69="","",IF($I69&lt;&gt;"",$I69,MAX(VTL_Plan!$M69,IFERROR(LOOKUP(2,1/($E$3:INDIRECT("E"&amp;(ROW()-1))=$E69),$M$3:INDIRECT("M"&amp;(ROW()-1))),VTL_Plan!$M69))))</f>
        <v>46208.291666666686</v>
      </c>
      <c r="K69" s="10">
        <f>IF($A69="","",IFERROR(VLOOKUP(B69,CHOOSE(MATCH(C69,Settings!$L$4:$L$10,0),OPR_2P!$A$4:$I$18,SEG_6P!$A$4:$I$18,SOL_4P!$A$4:$I$18,RW_2P!$A$4:$I$18,RW2_4P!$A$4:$I$18,FLAP_4P!$A$4:$I$18,TUBE_4P!$A$4:$I$18),2,0),0))</f>
        <v>100</v>
      </c>
      <c r="L69" s="10">
        <f t="shared" si="3"/>
        <v>200</v>
      </c>
      <c r="M69" s="55">
        <f ca="1">IF($A69="","",IF(AND(ISNUMBER(G69),G69&gt;=J69,G69&lt;=(J69+(L69/(IF(F69="Contract Workman",Settings!$K$5,Settings!$K$4))))),J69+(L69/(IF(F69="Contract Workman",Settings!$K$5,Settings!$K$4)))+(H69/(IF(F69="Contract Workman",Settings!$K$5,Settings!$K$4))),J69+(L69/(IF(F69="Contract Workman",Settings!$K$5,Settings!$K$4)))))</f>
        <v>46217.550925925949</v>
      </c>
      <c r="N69" s="10" t="str">
        <f t="shared" ca="1" si="4"/>
        <v>Shift A</v>
      </c>
      <c r="O69" s="51" t="str">
        <f>IF(B69="","", IF(IFERROR(ISNUMBER(SEARCH(B69, VLOOKUP(E69, Machine_List!$B:$J, 9, 0))), FALSE()), "✅ Machine OK", "❌ Sug: " &amp; IFERROR(INDEX(Machine_List!$B$4:$B$50, MATCH("*"&amp;B69&amp;"*", Machine_List!$J$4:$J$50, 0)), "Check Limits")))</f>
        <v>✅ Machine OK</v>
      </c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  <c r="AK69" s="52"/>
      <c r="AL69" s="52"/>
      <c r="AM69" s="52"/>
      <c r="AN69" s="52"/>
      <c r="AO69" s="52"/>
      <c r="AP69" s="52"/>
      <c r="AQ69" s="52"/>
      <c r="AR69" s="52"/>
      <c r="AS69" s="52"/>
      <c r="AT69" s="52"/>
      <c r="AU69" s="52"/>
      <c r="AV69" s="52"/>
      <c r="AW69" s="52"/>
      <c r="AX69" s="52"/>
      <c r="AY69" s="52"/>
      <c r="AZ69" s="52"/>
      <c r="BA69" s="52"/>
      <c r="BB69" s="52"/>
      <c r="BC69" s="52"/>
      <c r="BD69" s="52"/>
      <c r="BE69" s="52"/>
      <c r="BF69" s="52"/>
      <c r="BG69" s="52"/>
      <c r="BH69" s="52"/>
      <c r="BI69" s="52"/>
      <c r="BJ69" s="52"/>
      <c r="BK69" s="52"/>
      <c r="BL69" s="52"/>
      <c r="BM69" s="52"/>
    </row>
    <row r="70" spans="1:65" ht="28.8" customHeight="1" x14ac:dyDescent="0.3">
      <c r="A70" s="10" t="str">
        <f>IF(Job_Master!A70="","",Job_Master!A70)</f>
        <v>BJ-166</v>
      </c>
      <c r="B70" s="10">
        <f>IF($A70="","",Job_Master!B70)</f>
        <v>50</v>
      </c>
      <c r="C70" s="10" t="str">
        <f>IF($A70="","",Job_Master!C70)</f>
        <v>SOL</v>
      </c>
      <c r="D70" s="10">
        <f>IF($A70="","",Job_Master!D70)</f>
        <v>4</v>
      </c>
      <c r="E70" s="48" t="str">
        <f>IF($A70="","","SPM-MC-01")</f>
        <v>SPM-MC-01</v>
      </c>
      <c r="F70" s="106" t="str">
        <f>IF($E70="","",IFERROR(VLOOKUP($E70,Machine_List!$B:$G,6,0),""))</f>
        <v>General Workman</v>
      </c>
      <c r="G70" s="53">
        <f>IF($E70="","",IFERROR(VLOOKUP($E70,Machine_List!$B:$C,2,0),""))</f>
        <v>46285</v>
      </c>
      <c r="H70" s="10">
        <f>IF($E70="","",IFERROR(VLOOKUP($E70,Machine_List!$B:$D,3,0),""))</f>
        <v>6</v>
      </c>
      <c r="I70" s="54"/>
      <c r="J70" s="55">
        <f ca="1">IF($A70="","",IF($I70&lt;&gt;"",$I70,MAX(VTL_Plan!$M70,IFERROR(LOOKUP(2,1/($E$3:INDIRECT("E"&amp;(ROW()-1))=$E70),$M$3:INDIRECT("M"&amp;(ROW()-1))),VTL_Plan!$M70))))</f>
        <v>46241.995370370365</v>
      </c>
      <c r="K70" s="10">
        <f>IF($A70="","",IFERROR(VLOOKUP(B70,CHOOSE(MATCH(C70,Settings!$L$4:$L$10,0),OPR_2P!$A$4:$I$18,SEG_6P!$A$4:$I$18,SOL_4P!$A$4:$I$18,RW_2P!$A$4:$I$18,RW2_4P!$A$4:$I$18,FLAP_4P!$A$4:$I$18,TUBE_4P!$A$4:$I$18),2,0),0))</f>
        <v>99</v>
      </c>
      <c r="L70" s="10">
        <f t="shared" si="3"/>
        <v>396</v>
      </c>
      <c r="M70" s="55">
        <f ca="1">IF($A70="","",IF(AND(ISNUMBER(G70),G70&gt;=J70,G70&lt;=(J70+(L70/(IF(F70="Contract Workman",Settings!$K$5,Settings!$K$4))))),J70+(L70/(IF(F70="Contract Workman",Settings!$K$5,Settings!$K$4)))+(H70/(IF(F70="Contract Workman",Settings!$K$5,Settings!$K$4))),J70+(L70/(IF(F70="Contract Workman",Settings!$K$5,Settings!$K$4)))))</f>
        <v>46260.328703703701</v>
      </c>
      <c r="N70" s="10" t="str">
        <f t="shared" ca="1" si="4"/>
        <v>Shift A</v>
      </c>
      <c r="O70" s="51" t="str">
        <f>IF(B70="","", IF(IFERROR(ISNUMBER(SEARCH(B70, VLOOKUP(E70, Machine_List!$B:$J, 9, 0))), FALSE()), "✅ Machine OK", "❌ Sug: " &amp; IFERROR(INDEX(Machine_List!$B$4:$B$50, MATCH("*"&amp;B70&amp;"*", Machine_List!$J$4:$J$50, 0)), "Check Limits")))</f>
        <v>✅ Machine OK</v>
      </c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52"/>
      <c r="AJ70" s="52"/>
      <c r="AK70" s="52"/>
      <c r="AL70" s="52"/>
      <c r="AM70" s="52"/>
      <c r="AN70" s="52"/>
      <c r="AO70" s="52"/>
      <c r="AP70" s="52"/>
      <c r="AQ70" s="52"/>
      <c r="AR70" s="52"/>
      <c r="AS70" s="52"/>
      <c r="AT70" s="52"/>
      <c r="AU70" s="52"/>
      <c r="AV70" s="52"/>
      <c r="AW70" s="52"/>
      <c r="AX70" s="52"/>
      <c r="AY70" s="52"/>
      <c r="AZ70" s="52"/>
      <c r="BA70" s="52"/>
      <c r="BB70" s="52"/>
      <c r="BC70" s="52"/>
      <c r="BD70" s="52"/>
      <c r="BE70" s="52"/>
      <c r="BF70" s="52"/>
      <c r="BG70" s="52"/>
      <c r="BH70" s="52"/>
      <c r="BI70" s="52"/>
      <c r="BJ70" s="52"/>
      <c r="BK70" s="52"/>
      <c r="BL70" s="52"/>
      <c r="BM70" s="52"/>
    </row>
    <row r="71" spans="1:65" ht="28.8" customHeight="1" x14ac:dyDescent="0.3">
      <c r="A71" s="10" t="str">
        <f>IF(Job_Master!A71="","",Job_Master!A71)</f>
        <v>BJ-162</v>
      </c>
      <c r="B71" s="10">
        <f>IF($A71="","",Job_Master!B71)</f>
        <v>17</v>
      </c>
      <c r="C71" s="10" t="str">
        <f>IF($A71="","",Job_Master!C71)</f>
        <v>SOL</v>
      </c>
      <c r="D71" s="10">
        <f>IF($A71="","",Job_Master!D71)</f>
        <v>4</v>
      </c>
      <c r="E71" s="48" t="str">
        <f>IF($A71="","","SPM-MC-06")</f>
        <v>SPM-MC-06</v>
      </c>
      <c r="F71" s="106" t="str">
        <f>IF($E71="","",IFERROR(VLOOKUP($E71,Machine_List!$B:$G,6,0),""))</f>
        <v>General Workman</v>
      </c>
      <c r="G71" s="53">
        <f>IF($E71="","",IFERROR(VLOOKUP($E71,Machine_List!$B:$C,2,0),""))</f>
        <v>46176</v>
      </c>
      <c r="H71" s="10">
        <f>IF($E71="","",IFERROR(VLOOKUP($E71,Machine_List!$B:$D,3,0),""))</f>
        <v>6</v>
      </c>
      <c r="I71" s="54"/>
      <c r="J71" s="55">
        <f ca="1">IF($A71="","",IF($I71&lt;&gt;"",$I71,MAX(VTL_Plan!$M71,IFERROR(LOOKUP(2,1/($E$3:INDIRECT("E"&amp;(ROW()-1))=$E71),$M$3:INDIRECT("M"&amp;(ROW()-1))),VTL_Plan!$M71))))</f>
        <v>46183.939814814839</v>
      </c>
      <c r="K71" s="10">
        <f>IF($A71="","",IFERROR(VLOOKUP(B71,CHOOSE(MATCH(C71,Settings!$L$4:$L$10,0),OPR_2P!$A$4:$I$18,SEG_6P!$A$4:$I$18,SOL_4P!$A$4:$I$18,RW_2P!$A$4:$I$18,RW2_4P!$A$4:$I$18,FLAP_4P!$A$4:$I$18,TUBE_4P!$A$4:$I$18),2,0),0))</f>
        <v>13</v>
      </c>
      <c r="L71" s="10">
        <f t="shared" si="3"/>
        <v>52</v>
      </c>
      <c r="M71" s="55">
        <f ca="1">IF($A71="","",IF(AND(ISNUMBER(G71),G71&gt;=J71,G71&lt;=(J71+(L71/(IF(F71="Contract Workman",Settings!$K$5,Settings!$K$4))))),J71+(L71/(IF(F71="Contract Workman",Settings!$K$5,Settings!$K$4)))+(H71/(IF(F71="Contract Workman",Settings!$K$5,Settings!$K$4))),J71+(L71/(IF(F71="Contract Workman",Settings!$K$5,Settings!$K$4)))))</f>
        <v>46186.347222222248</v>
      </c>
      <c r="N71" s="10" t="str">
        <f t="shared" ca="1" si="4"/>
        <v>Shift A</v>
      </c>
      <c r="O71" s="51" t="str">
        <f>IF(B71="","", IF(IFERROR(ISNUMBER(SEARCH(B71, VLOOKUP(E71, Machine_List!$B:$J, 9, 0))), FALSE()), "✅ Machine OK", "❌ Sug: " &amp; IFERROR(INDEX(Machine_List!$B$4:$B$50, MATCH("*"&amp;B71&amp;"*", Machine_List!$J$4:$J$50, 0)), "Check Limits")))</f>
        <v>✅ Machine OK</v>
      </c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  <c r="AH71" s="52"/>
      <c r="AI71" s="52"/>
      <c r="AJ71" s="52"/>
      <c r="AK71" s="52"/>
      <c r="AL71" s="52"/>
      <c r="AM71" s="52"/>
      <c r="AN71" s="52"/>
      <c r="AO71" s="52"/>
      <c r="AP71" s="52"/>
      <c r="AQ71" s="52"/>
      <c r="AR71" s="52"/>
      <c r="AS71" s="52"/>
      <c r="AT71" s="52"/>
      <c r="AU71" s="52"/>
      <c r="AV71" s="52"/>
      <c r="AW71" s="52"/>
      <c r="AX71" s="52"/>
      <c r="AY71" s="52"/>
      <c r="AZ71" s="52"/>
      <c r="BA71" s="52"/>
      <c r="BB71" s="52"/>
      <c r="BC71" s="52"/>
      <c r="BD71" s="52"/>
      <c r="BE71" s="52"/>
      <c r="BF71" s="52"/>
      <c r="BG71" s="52"/>
      <c r="BH71" s="52"/>
      <c r="BI71" s="52"/>
      <c r="BJ71" s="52"/>
      <c r="BK71" s="52"/>
      <c r="BL71" s="52"/>
      <c r="BM71" s="52"/>
    </row>
    <row r="72" spans="1:65" ht="28.8" customHeight="1" x14ac:dyDescent="0.3">
      <c r="A72" s="10" t="str">
        <f>IF(Job_Master!A72="","",Job_Master!A72)</f>
        <v>BJ-165</v>
      </c>
      <c r="B72" s="10">
        <f>IF($A72="","",Job_Master!B72)</f>
        <v>17</v>
      </c>
      <c r="C72" s="10" t="str">
        <f>IF($A72="","",Job_Master!C72)</f>
        <v>2P</v>
      </c>
      <c r="D72" s="10">
        <f>IF($A72="","",Job_Master!D72)</f>
        <v>2</v>
      </c>
      <c r="E72" s="48" t="str">
        <f>IF($A72="","","SPM-MC-06")</f>
        <v>SPM-MC-06</v>
      </c>
      <c r="F72" s="106" t="str">
        <f>IF($E72="","",IFERROR(VLOOKUP($E72,Machine_List!$B:$G,6,0),""))</f>
        <v>General Workman</v>
      </c>
      <c r="G72" s="53">
        <f>IF($E72="","",IFERROR(VLOOKUP($E72,Machine_List!$B:$C,2,0),""))</f>
        <v>46176</v>
      </c>
      <c r="H72" s="10">
        <f>IF($E72="","",IFERROR(VLOOKUP($E72,Machine_List!$B:$D,3,0),""))</f>
        <v>6</v>
      </c>
      <c r="I72" s="54"/>
      <c r="J72" s="55">
        <f ca="1">IF($A72="","",IF($I72&lt;&gt;"",$I72,MAX(VTL_Plan!$M72,IFERROR(LOOKUP(2,1/($E$3:INDIRECT("E"&amp;(ROW()-1))=$E72),$M$3:INDIRECT("M"&amp;(ROW()-1))),VTL_Plan!$M72))))</f>
        <v>46186.347222222248</v>
      </c>
      <c r="K72" s="10">
        <f>IF($A72="","",IFERROR(VLOOKUP(B72,CHOOSE(MATCH(C72,Settings!$L$4:$L$10,0),OPR_2P!$A$4:$I$18,SEG_6P!$A$4:$I$18,SOL_4P!$A$4:$I$18,RW_2P!$A$4:$I$18,RW2_4P!$A$4:$I$18,FLAP_4P!$A$4:$I$18,TUBE_4P!$A$4:$I$18),2,0),0))</f>
        <v>20</v>
      </c>
      <c r="L72" s="10">
        <f t="shared" si="3"/>
        <v>40</v>
      </c>
      <c r="M72" s="55">
        <f ca="1">IF($A72="","",IF(AND(ISNUMBER(G72),G72&gt;=J72,G72&lt;=(J72+(L72/(IF(F72="Contract Workman",Settings!$K$5,Settings!$K$4))))),J72+(L72/(IF(F72="Contract Workman",Settings!$K$5,Settings!$K$4)))+(H72/(IF(F72="Contract Workman",Settings!$K$5,Settings!$K$4))),J72+(L72/(IF(F72="Contract Workman",Settings!$K$5,Settings!$K$4)))))</f>
        <v>46188.199074074102</v>
      </c>
      <c r="N72" s="10" t="str">
        <f t="shared" ca="1" si="4"/>
        <v>Shift C</v>
      </c>
      <c r="O72" s="51" t="str">
        <f>IF(B72="","", IF(IFERROR(ISNUMBER(SEARCH(B72, VLOOKUP(E72, Machine_List!$B:$J, 9, 0))), FALSE()), "✅ Machine OK", "❌ Sug: " &amp; IFERROR(INDEX(Machine_List!$B$4:$B$50, MATCH("*"&amp;B72&amp;"*", Machine_List!$J$4:$J$50, 0)), "Check Limits")))</f>
        <v>✅ Machine OK</v>
      </c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2"/>
      <c r="AJ72" s="52"/>
      <c r="AK72" s="52"/>
      <c r="AL72" s="52"/>
      <c r="AM72" s="52"/>
      <c r="AN72" s="52"/>
      <c r="AO72" s="52"/>
      <c r="AP72" s="52"/>
      <c r="AQ72" s="52"/>
      <c r="AR72" s="52"/>
      <c r="AS72" s="52"/>
      <c r="AT72" s="52"/>
      <c r="AU72" s="52"/>
      <c r="AV72" s="52"/>
      <c r="AW72" s="52"/>
      <c r="AX72" s="52"/>
      <c r="AY72" s="52"/>
      <c r="AZ72" s="52"/>
      <c r="BA72" s="52"/>
      <c r="BB72" s="52"/>
      <c r="BC72" s="52"/>
      <c r="BD72" s="52"/>
      <c r="BE72" s="52"/>
      <c r="BF72" s="52"/>
      <c r="BG72" s="52"/>
      <c r="BH72" s="52"/>
      <c r="BI72" s="52"/>
      <c r="BJ72" s="52"/>
      <c r="BK72" s="52"/>
      <c r="BL72" s="52"/>
      <c r="BM72" s="52"/>
    </row>
    <row r="73" spans="1:65" ht="28.8" customHeight="1" x14ac:dyDescent="0.3">
      <c r="A73" s="10" t="str">
        <f>IF(Job_Master!A73="","",Job_Master!A73)</f>
        <v>BJ-169</v>
      </c>
      <c r="B73" s="10">
        <f>IF($A73="","",Job_Master!B73)</f>
        <v>17</v>
      </c>
      <c r="C73" s="10" t="str">
        <f>IF($A73="","",Job_Master!C73)</f>
        <v>SEG</v>
      </c>
      <c r="D73" s="10">
        <f>IF($A73="","",Job_Master!D73)</f>
        <v>6</v>
      </c>
      <c r="E73" s="48" t="str">
        <f>IF($A73="","","SPM-MC-06")</f>
        <v>SPM-MC-06</v>
      </c>
      <c r="F73" s="106" t="str">
        <f>IF($E73="","",IFERROR(VLOOKUP($E73,Machine_List!$B:$G,6,0),""))</f>
        <v>General Workman</v>
      </c>
      <c r="G73" s="53">
        <f>IF($E73="","",IFERROR(VLOOKUP($E73,Machine_List!$B:$C,2,0),""))</f>
        <v>46176</v>
      </c>
      <c r="H73" s="10">
        <f>IF($E73="","",IFERROR(VLOOKUP($E73,Machine_List!$B:$D,3,0),""))</f>
        <v>6</v>
      </c>
      <c r="I73" s="54"/>
      <c r="J73" s="55">
        <f ca="1">IF($A73="","",IF($I73&lt;&gt;"",$I73,MAX(VTL_Plan!$M73,IFERROR(LOOKUP(2,1/($E$3:INDIRECT("E"&amp;(ROW()-1))=$E73),$M$3:INDIRECT("M"&amp;(ROW()-1))),VTL_Plan!$M73))))</f>
        <v>46188.199074074102</v>
      </c>
      <c r="K73" s="10">
        <f>IF($A73="","",IFERROR(VLOOKUP(B73,CHOOSE(MATCH(C73,Settings!$L$4:$L$10,0),OPR_2P!$A$4:$I$18,SEG_6P!$A$4:$I$18,SOL_4P!$A$4:$I$18,RW_2P!$A$4:$I$18,RW2_4P!$A$4:$I$18,FLAP_4P!$A$4:$I$18,TUBE_4P!$A$4:$I$18),2,0),0))</f>
        <v>19</v>
      </c>
      <c r="L73" s="10">
        <f t="shared" si="3"/>
        <v>114</v>
      </c>
      <c r="M73" s="55">
        <f ca="1">IF($A73="","",IF(AND(ISNUMBER(G73),G73&gt;=J73,G73&lt;=(J73+(L73/(IF(F73="Contract Workman",Settings!$K$5,Settings!$K$4))))),J73+(L73/(IF(F73="Contract Workman",Settings!$K$5,Settings!$K$4)))+(H73/(IF(F73="Contract Workman",Settings!$K$5,Settings!$K$4))),J73+(L73/(IF(F73="Contract Workman",Settings!$K$5,Settings!$K$4)))))</f>
        <v>46193.476851851883</v>
      </c>
      <c r="N73" s="10" t="str">
        <f t="shared" ca="1" si="4"/>
        <v>Shift A</v>
      </c>
      <c r="O73" s="51" t="str">
        <f>IF(B73="","", IF(IFERROR(ISNUMBER(SEARCH(B73, VLOOKUP(E73, Machine_List!$B:$J, 9, 0))), FALSE()), "✅ Machine OK", "❌ Sug: " &amp; IFERROR(INDEX(Machine_List!$B$4:$B$50, MATCH("*"&amp;B73&amp;"*", Machine_List!$J$4:$J$50, 0)), "Check Limits")))</f>
        <v>✅ Machine OK</v>
      </c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  <c r="AE73" s="52"/>
      <c r="AF73" s="52"/>
      <c r="AG73" s="52"/>
      <c r="AH73" s="52"/>
      <c r="AI73" s="52"/>
      <c r="AJ73" s="52"/>
      <c r="AK73" s="52"/>
      <c r="AL73" s="52"/>
      <c r="AM73" s="52"/>
      <c r="AN73" s="52"/>
      <c r="AO73" s="52"/>
      <c r="AP73" s="52"/>
      <c r="AQ73" s="52"/>
      <c r="AR73" s="52"/>
      <c r="AS73" s="52"/>
      <c r="AT73" s="52"/>
      <c r="AU73" s="52"/>
      <c r="AV73" s="52"/>
      <c r="AW73" s="52"/>
      <c r="AX73" s="52"/>
      <c r="AY73" s="52"/>
      <c r="AZ73" s="52"/>
      <c r="BA73" s="52"/>
      <c r="BB73" s="52"/>
      <c r="BC73" s="52"/>
      <c r="BD73" s="52"/>
      <c r="BE73" s="52"/>
      <c r="BF73" s="52"/>
      <c r="BG73" s="52"/>
      <c r="BH73" s="52"/>
      <c r="BI73" s="52"/>
      <c r="BJ73" s="52"/>
      <c r="BK73" s="52"/>
      <c r="BL73" s="52"/>
      <c r="BM73" s="52"/>
    </row>
    <row r="74" spans="1:65" x14ac:dyDescent="0.3">
      <c r="A74" s="10" t="str">
        <f>IF(Job_Master!A74="","",Job_Master!A74)</f>
        <v>BJ-170</v>
      </c>
      <c r="B74" s="10">
        <f>IF($A74="","",Job_Master!B74)</f>
        <v>20</v>
      </c>
      <c r="C74" s="10" t="str">
        <f>IF($A74="","",Job_Master!C74)</f>
        <v>SOL</v>
      </c>
      <c r="D74" s="10">
        <f>IF($A74="","",Job_Master!D74)</f>
        <v>4</v>
      </c>
      <c r="E74" s="48" t="str">
        <f>IF($A74="","",IFERROR(INDEX(Machine_List!$B$8:$B$13,MATCH("*"&amp;$B74&amp;"*",Machine_List!$J$8:$J$13,0)),"NO COMPATIBLE MACHINE"))</f>
        <v>SPM-MC-01</v>
      </c>
      <c r="F74" s="106" t="str">
        <f>IF($E74="","",IFERROR(VLOOKUP($E74,Machine_List!$B:$G,6,0),""))</f>
        <v>General Workman</v>
      </c>
      <c r="G74" s="53">
        <f>IF($E74="","",IFERROR(VLOOKUP($E74,Machine_List!$B:$C,2,0),""))</f>
        <v>46285</v>
      </c>
      <c r="H74" s="10">
        <f>IF($E74="","",IFERROR(VLOOKUP($E74,Machine_List!$B:$D,3,0),""))</f>
        <v>6</v>
      </c>
      <c r="I74" s="54"/>
      <c r="J74" s="55">
        <f ca="1">IF($A74="","",IF($I74&lt;&gt;"",$I74,MAX(VTL_Plan!$M74,IFERROR(LOOKUP(2,1/($E$3:INDIRECT("E"&amp;(ROW()-1))=$E74),$M$3:INDIRECT("M"&amp;(ROW()-1))),VTL_Plan!$M74))))</f>
        <v>46260.328703703701</v>
      </c>
      <c r="K74" s="10">
        <f>IF($A74="","",IFERROR(VLOOKUP(B74,CHOOSE(MATCH(C74,Settings!$L$4:$L$10,0),OPR_2P!$A$4:$I$18,SEG_6P!$A$4:$I$18,SOL_4P!$A$4:$I$18,RW_2P!$A$4:$I$18,RW2_4P!$A$4:$I$18,FLAP_4P!$A$4:$I$18,TUBE_4P!$A$4:$I$18),2,0),0))</f>
        <v>16</v>
      </c>
      <c r="L74" s="10">
        <f t="shared" si="3"/>
        <v>64</v>
      </c>
      <c r="M74" s="55">
        <f ca="1">IF($A74="","",IF(AND(ISNUMBER(G74),G74&gt;=J74,G74&lt;=(J74+(L74/(IF(F74="Contract Workman",Settings!$K$5,Settings!$K$4))))),J74+(L74/(IF(F74="Contract Workman",Settings!$K$5,Settings!$K$4)))+(H74/(IF(F74="Contract Workman",Settings!$K$5,Settings!$K$4))),J74+(L74/(IF(F74="Contract Workman",Settings!$K$5,Settings!$K$4)))))</f>
        <v>46263.291666666664</v>
      </c>
      <c r="N74" s="10" t="str">
        <f t="shared" ca="1" si="4"/>
        <v>Shift C</v>
      </c>
      <c r="O74" s="51" t="str">
        <f>IF(B74="","", IF(IFERROR(ISNUMBER(SEARCH(B74, VLOOKUP(E74, Machine_List!$B:$J, 9, 0))), FALSE()), "✅ Machine OK", "❌ Sug: " &amp; IFERROR(INDEX(Machine_List!$B$4:$B$50, MATCH("*"&amp;B74&amp;"*", Machine_List!$J$4:$J$50, 0)), "Check Limits")))</f>
        <v>✅ Machine OK</v>
      </c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2"/>
      <c r="AF74" s="52"/>
      <c r="AG74" s="52"/>
      <c r="AH74" s="52"/>
      <c r="AI74" s="52"/>
      <c r="AJ74" s="52"/>
      <c r="AK74" s="52"/>
      <c r="AL74" s="52"/>
      <c r="AM74" s="52"/>
      <c r="AN74" s="52"/>
      <c r="AO74" s="52"/>
      <c r="AP74" s="52"/>
      <c r="AQ74" s="52"/>
      <c r="AR74" s="52"/>
      <c r="AS74" s="52"/>
      <c r="AT74" s="52"/>
      <c r="AU74" s="52"/>
      <c r="AV74" s="52"/>
      <c r="AW74" s="52"/>
      <c r="AX74" s="52"/>
      <c r="AY74" s="52"/>
      <c r="AZ74" s="52"/>
      <c r="BA74" s="52"/>
      <c r="BB74" s="52"/>
      <c r="BC74" s="52"/>
      <c r="BD74" s="52"/>
      <c r="BE74" s="52"/>
      <c r="BF74" s="52"/>
      <c r="BG74" s="52"/>
      <c r="BH74" s="52"/>
      <c r="BI74" s="52"/>
      <c r="BJ74" s="52"/>
      <c r="BK74" s="52"/>
      <c r="BL74" s="52"/>
      <c r="BM74" s="52"/>
    </row>
    <row r="75" spans="1:65" x14ac:dyDescent="0.3">
      <c r="A75" s="10" t="str">
        <f>IF(Job_Master!A75="","",Job_Master!A75)</f>
        <v/>
      </c>
      <c r="B75" s="10" t="str">
        <f>IF($A75="","",Job_Master!B75)</f>
        <v/>
      </c>
      <c r="C75" s="10" t="str">
        <f>IF($A75="","",Job_Master!C75)</f>
        <v/>
      </c>
      <c r="D75" s="10" t="str">
        <f>IF($A75="","",Job_Master!D75)</f>
        <v/>
      </c>
      <c r="E75" s="48" t="str">
        <f>IF($A75="","",IFERROR(INDEX(Machine_List!$B$8:$B$13,MATCH("*"&amp;$B75&amp;"*",Machine_List!$J$8:$J$13,0)),"NO COMPATIBLE MACHINE"))</f>
        <v/>
      </c>
      <c r="F75" s="106" t="str">
        <f>IF($E75="","",IFERROR(VLOOKUP($E75,Machine_List!$B:$G,6,0),""))</f>
        <v/>
      </c>
      <c r="G75" s="53" t="str">
        <f>IF($E75="","",IFERROR(VLOOKUP($E75,Machine_List!$B:$C,2,0),""))</f>
        <v/>
      </c>
      <c r="H75" s="10" t="str">
        <f>IF($E75="","",IFERROR(VLOOKUP($E75,Machine_List!$B:$D,3,0),""))</f>
        <v/>
      </c>
      <c r="I75" s="54"/>
      <c r="J75" s="55" t="str">
        <f ca="1">IF($A75="","",IF($I75&lt;&gt;"",$I75,MAX(VTL_Plan!$M75,IFERROR(LOOKUP(2,1/($E$3:INDIRECT("E"&amp;(ROW()-1))=$E75),$M$3:INDIRECT("M"&amp;(ROW()-1))),VTL_Plan!$M75))))</f>
        <v/>
      </c>
      <c r="K75" s="10" t="str">
        <f>IF($A75="","",IFERROR(VLOOKUP(B75,CHOOSE(MATCH(C75,Settings!$L$4:$L$10,0),OPR_2P!$A$4:$I$18,SEG_6P!$A$4:$I$18,SOL_4P!$A$4:$I$18,RW_2P!$A$4:$I$18,RW2_4P!$A$4:$I$18,FLAP_4P!$A$4:$I$18,TUBE_4P!$A$4:$I$18),2,0),0))</f>
        <v/>
      </c>
      <c r="L75" s="10" t="str">
        <f t="shared" si="3"/>
        <v/>
      </c>
      <c r="M75" s="55" t="str">
        <f>IF($A75="","",IF(AND(ISNUMBER(G75),G75&gt;=J75,G75&lt;=(J75+(L75/(IF(F75="Contract Workman",Settings!$K$5,Settings!$K$4))))),J75+(L75/(IF(F75="Contract Workman",Settings!$K$5,Settings!$K$4)))+(H75/(IF(F75="Contract Workman",Settings!$K$5,Settings!$K$4))),J75+(L75/(IF(F75="Contract Workman",Settings!$K$5,Settings!$K$4)))))</f>
        <v/>
      </c>
      <c r="N75" s="10" t="str">
        <f t="shared" si="4"/>
        <v/>
      </c>
      <c r="O75" s="51" t="str">
        <f>IF(B75="","", IF(IFERROR(ISNUMBER(SEARCH(B75, VLOOKUP(E75, Machine_List!$B:$J, 9, 0))), FALSE()), "✅ Machine OK", "❌ Sug: " &amp; IFERROR(INDEX(Machine_List!$B$4:$B$50, MATCH("*"&amp;B75&amp;"*", Machine_List!$J$4:$J$50, 0)), "Check Limits")))</f>
        <v/>
      </c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52"/>
      <c r="AJ75" s="52"/>
      <c r="AK75" s="52"/>
      <c r="AL75" s="52"/>
      <c r="AM75" s="52"/>
      <c r="AN75" s="52"/>
      <c r="AO75" s="52"/>
      <c r="AP75" s="52"/>
      <c r="AQ75" s="52"/>
      <c r="AR75" s="52"/>
      <c r="AS75" s="52"/>
      <c r="AT75" s="52"/>
      <c r="AU75" s="52"/>
      <c r="AV75" s="52"/>
      <c r="AW75" s="52"/>
      <c r="AX75" s="52"/>
      <c r="AY75" s="52"/>
      <c r="AZ75" s="52"/>
      <c r="BA75" s="52"/>
      <c r="BB75" s="52"/>
      <c r="BC75" s="52"/>
      <c r="BD75" s="52"/>
      <c r="BE75" s="52"/>
      <c r="BF75" s="52"/>
      <c r="BG75" s="52"/>
      <c r="BH75" s="52"/>
      <c r="BI75" s="52"/>
      <c r="BJ75" s="52"/>
      <c r="BK75" s="52"/>
      <c r="BL75" s="52"/>
      <c r="BM75" s="52"/>
    </row>
    <row r="76" spans="1:65" x14ac:dyDescent="0.3">
      <c r="A76" s="10" t="str">
        <f>IF(Job_Master!A76="","",Job_Master!A76)</f>
        <v/>
      </c>
      <c r="B76" s="10" t="str">
        <f>IF($A76="","",Job_Master!B76)</f>
        <v/>
      </c>
      <c r="C76" s="10" t="str">
        <f>IF($A76="","",Job_Master!C76)</f>
        <v/>
      </c>
      <c r="D76" s="10" t="str">
        <f>IF($A76="","",Job_Master!D76)</f>
        <v/>
      </c>
      <c r="E76" s="48" t="str">
        <f>IF($A76="","",IFERROR(INDEX(Machine_List!$B$8:$B$13,MATCH("*"&amp;$B76&amp;"*",Machine_List!$J$8:$J$13,0)),"NO COMPATIBLE MACHINE"))</f>
        <v/>
      </c>
      <c r="F76" s="106" t="str">
        <f>IF($E76="","",IFERROR(VLOOKUP($E76,Machine_List!$B:$G,6,0),""))</f>
        <v/>
      </c>
      <c r="G76" s="53" t="str">
        <f>IF($E76="","",IFERROR(VLOOKUP($E76,Machine_List!$B:$C,2,0),""))</f>
        <v/>
      </c>
      <c r="H76" s="10" t="str">
        <f>IF($E76="","",IFERROR(VLOOKUP($E76,Machine_List!$B:$D,3,0),""))</f>
        <v/>
      </c>
      <c r="I76" s="54"/>
      <c r="J76" s="55" t="str">
        <f ca="1">IF($A76="","",IF($I76&lt;&gt;"",$I76,MAX(VTL_Plan!$M76,IFERROR(LOOKUP(2,1/($E$3:INDIRECT("E"&amp;(ROW()-1))=$E76),$M$3:INDIRECT("M"&amp;(ROW()-1))),VTL_Plan!$M76))))</f>
        <v/>
      </c>
      <c r="K76" s="10" t="str">
        <f>IF($A76="","",IFERROR(VLOOKUP(B76,CHOOSE(MATCH(C76,Settings!$L$4:$L$10,0),OPR_2P!$A$4:$I$18,SEG_6P!$A$4:$I$18,SOL_4P!$A$4:$I$18,RW_2P!$A$4:$I$18,RW2_4P!$A$4:$I$18,FLAP_4P!$A$4:$I$18,TUBE_4P!$A$4:$I$18),2,0),0))</f>
        <v/>
      </c>
      <c r="L76" s="10" t="str">
        <f t="shared" si="3"/>
        <v/>
      </c>
      <c r="M76" s="55" t="str">
        <f>IF($A76="","",IF(AND(ISNUMBER(G76),G76&gt;=J76,G76&lt;=(J76+(L76/(IF(F76="Contract Workman",Settings!$K$5,Settings!$K$4))))),J76+(L76/(IF(F76="Contract Workman",Settings!$K$5,Settings!$K$4)))+(H76/(IF(F76="Contract Workman",Settings!$K$5,Settings!$K$4))),J76+(L76/(IF(F76="Contract Workman",Settings!$K$5,Settings!$K$4)))))</f>
        <v/>
      </c>
      <c r="N76" s="10" t="str">
        <f t="shared" si="4"/>
        <v/>
      </c>
      <c r="O76" s="51" t="str">
        <f>IF(B76="","", IF(IFERROR(ISNUMBER(SEARCH(B76, VLOOKUP(E76, Machine_List!$B:$J, 9, 0))), FALSE()), "✅ Machine OK", "❌ Sug: " &amp; IFERROR(INDEX(Machine_List!$B$4:$B$50, MATCH("*"&amp;B76&amp;"*", Machine_List!$J$4:$J$50, 0)), "Check Limits")))</f>
        <v/>
      </c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52"/>
      <c r="AK76" s="52"/>
      <c r="AL76" s="52"/>
      <c r="AM76" s="52"/>
      <c r="AN76" s="52"/>
      <c r="AO76" s="52"/>
      <c r="AP76" s="52"/>
      <c r="AQ76" s="52"/>
      <c r="AR76" s="52"/>
      <c r="AS76" s="52"/>
      <c r="AT76" s="52"/>
      <c r="AU76" s="52"/>
      <c r="AV76" s="52"/>
      <c r="AW76" s="52"/>
      <c r="AX76" s="52"/>
      <c r="AY76" s="52"/>
      <c r="AZ76" s="52"/>
      <c r="BA76" s="52"/>
      <c r="BB76" s="52"/>
      <c r="BC76" s="52"/>
      <c r="BD76" s="52"/>
      <c r="BE76" s="52"/>
      <c r="BF76" s="52"/>
      <c r="BG76" s="52"/>
      <c r="BH76" s="52"/>
      <c r="BI76" s="52"/>
      <c r="BJ76" s="52"/>
      <c r="BK76" s="52"/>
      <c r="BL76" s="52"/>
      <c r="BM76" s="52"/>
    </row>
    <row r="77" spans="1:65" x14ac:dyDescent="0.3">
      <c r="A77" s="10" t="str">
        <f>IF(Job_Master!A77="","",Job_Master!A77)</f>
        <v/>
      </c>
      <c r="B77" s="10" t="str">
        <f>IF($A77="","",Job_Master!B77)</f>
        <v/>
      </c>
      <c r="C77" s="10" t="str">
        <f>IF($A77="","",Job_Master!C77)</f>
        <v/>
      </c>
      <c r="D77" s="10" t="str">
        <f>IF($A77="","",Job_Master!D77)</f>
        <v/>
      </c>
      <c r="E77" s="48" t="str">
        <f>IF($A77="","",IFERROR(INDEX(Machine_List!$B$8:$B$13,MATCH("*"&amp;$B77&amp;"*",Machine_List!$J$8:$J$13,0)),"NO COMPATIBLE MACHINE"))</f>
        <v/>
      </c>
      <c r="F77" s="106" t="str">
        <f>IF($E77="","",IFERROR(VLOOKUP($E77,Machine_List!$B:$G,6,0),""))</f>
        <v/>
      </c>
      <c r="G77" s="53" t="str">
        <f>IF($E77="","",IFERROR(VLOOKUP($E77,Machine_List!$B:$C,2,0),""))</f>
        <v/>
      </c>
      <c r="H77" s="10" t="str">
        <f>IF($E77="","",IFERROR(VLOOKUP($E77,Machine_List!$B:$D,3,0),""))</f>
        <v/>
      </c>
      <c r="I77" s="54"/>
      <c r="J77" s="55" t="str">
        <f ca="1">IF($A77="","",IF($I77&lt;&gt;"",$I77,MAX(VTL_Plan!$M77,IFERROR(LOOKUP(2,1/($E$3:INDIRECT("E"&amp;(ROW()-1))=$E77),$M$3:INDIRECT("M"&amp;(ROW()-1))),VTL_Plan!$M77))))</f>
        <v/>
      </c>
      <c r="K77" s="10" t="str">
        <f>IF($A77="","",IFERROR(VLOOKUP(B77,CHOOSE(MATCH(C77,Settings!$L$4:$L$10,0),OPR_2P!$A$4:$I$18,SEG_6P!$A$4:$I$18,SOL_4P!$A$4:$I$18,RW_2P!$A$4:$I$18,RW2_4P!$A$4:$I$18,FLAP_4P!$A$4:$I$18,TUBE_4P!$A$4:$I$18),2,0),0))</f>
        <v/>
      </c>
      <c r="L77" s="10" t="str">
        <f t="shared" si="3"/>
        <v/>
      </c>
      <c r="M77" s="55" t="str">
        <f>IF($A77="","",IF(AND(ISNUMBER(G77),G77&gt;=J77,G77&lt;=(J77+(L77/(IF(F77="Contract Workman",Settings!$K$5,Settings!$K$4))))),J77+(L77/(IF(F77="Contract Workman",Settings!$K$5,Settings!$K$4)))+(H77/(IF(F77="Contract Workman",Settings!$K$5,Settings!$K$4))),J77+(L77/(IF(F77="Contract Workman",Settings!$K$5,Settings!$K$4)))))</f>
        <v/>
      </c>
      <c r="N77" s="10" t="str">
        <f t="shared" si="4"/>
        <v/>
      </c>
      <c r="O77" s="51" t="str">
        <f>IF(B77="","", IF(IFERROR(ISNUMBER(SEARCH(B77, VLOOKUP(E77, Machine_List!$B:$J, 9, 0))), FALSE()), "✅ Machine OK", "❌ Sug: " &amp; IFERROR(INDEX(Machine_List!$B$4:$B$50, MATCH("*"&amp;B77&amp;"*", Machine_List!$J$4:$J$50, 0)), "Check Limits")))</f>
        <v/>
      </c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  <c r="AE77" s="52"/>
      <c r="AF77" s="52"/>
      <c r="AG77" s="52"/>
      <c r="AH77" s="52"/>
      <c r="AI77" s="52"/>
      <c r="AJ77" s="52"/>
      <c r="AK77" s="52"/>
      <c r="AL77" s="52"/>
      <c r="AM77" s="52"/>
      <c r="AN77" s="52"/>
      <c r="AO77" s="52"/>
      <c r="AP77" s="52"/>
      <c r="AQ77" s="52"/>
      <c r="AR77" s="52"/>
      <c r="AS77" s="52"/>
      <c r="AT77" s="52"/>
      <c r="AU77" s="52"/>
      <c r="AV77" s="52"/>
      <c r="AW77" s="52"/>
      <c r="AX77" s="52"/>
      <c r="AY77" s="52"/>
      <c r="AZ77" s="52"/>
      <c r="BA77" s="52"/>
      <c r="BB77" s="52"/>
      <c r="BC77" s="52"/>
      <c r="BD77" s="52"/>
      <c r="BE77" s="52"/>
      <c r="BF77" s="52"/>
      <c r="BG77" s="52"/>
      <c r="BH77" s="52"/>
      <c r="BI77" s="52"/>
      <c r="BJ77" s="52"/>
      <c r="BK77" s="52"/>
      <c r="BL77" s="52"/>
      <c r="BM77" s="52"/>
    </row>
    <row r="78" spans="1:65" x14ac:dyDescent="0.3">
      <c r="A78" s="10" t="str">
        <f>IF(Job_Master!A78="","",Job_Master!A78)</f>
        <v/>
      </c>
      <c r="B78" s="10" t="str">
        <f>IF($A78="","",Job_Master!B78)</f>
        <v/>
      </c>
      <c r="C78" s="10" t="str">
        <f>IF($A78="","",Job_Master!C78)</f>
        <v/>
      </c>
      <c r="D78" s="10" t="str">
        <f>IF($A78="","",Job_Master!D78)</f>
        <v/>
      </c>
      <c r="E78" s="48" t="str">
        <f>IF($A78="","",IFERROR(INDEX(Machine_List!$B$8:$B$13,MATCH("*"&amp;$B78&amp;"*",Machine_List!$J$8:$J$13,0)),"NO COMPATIBLE MACHINE"))</f>
        <v/>
      </c>
      <c r="F78" s="106" t="str">
        <f>IF($E78="","",IFERROR(VLOOKUP($E78,Machine_List!$B:$G,6,0),""))</f>
        <v/>
      </c>
      <c r="G78" s="53" t="str">
        <f>IF($E78="","",IFERROR(VLOOKUP($E78,Machine_List!$B:$C,2,0),""))</f>
        <v/>
      </c>
      <c r="H78" s="10" t="str">
        <f>IF($E78="","",IFERROR(VLOOKUP($E78,Machine_List!$B:$D,3,0),""))</f>
        <v/>
      </c>
      <c r="I78" s="54"/>
      <c r="J78" s="55" t="str">
        <f ca="1">IF($A78="","",IF($I78&lt;&gt;"",$I78,MAX(VTL_Plan!$M78,IFERROR(LOOKUP(2,1/($E$3:INDIRECT("E"&amp;(ROW()-1))=$E78),$M$3:INDIRECT("M"&amp;(ROW()-1))),VTL_Plan!$M78))))</f>
        <v/>
      </c>
      <c r="K78" s="10" t="str">
        <f>IF($A78="","",IFERROR(VLOOKUP(B78,CHOOSE(MATCH(C78,Settings!$L$4:$L$10,0),OPR_2P!$A$4:$I$18,SEG_6P!$A$4:$I$18,SOL_4P!$A$4:$I$18,RW_2P!$A$4:$I$18,RW2_4P!$A$4:$I$18,FLAP_4P!$A$4:$I$18,TUBE_4P!$A$4:$I$18),2,0),0))</f>
        <v/>
      </c>
      <c r="L78" s="10" t="str">
        <f t="shared" si="3"/>
        <v/>
      </c>
      <c r="M78" s="55" t="str">
        <f>IF($A78="","",IF(AND(ISNUMBER(G78),G78&gt;=J78,G78&lt;=(J78+(L78/(IF(F78="Contract Workman",Settings!$K$5,Settings!$K$4))))),J78+(L78/(IF(F78="Contract Workman",Settings!$K$5,Settings!$K$4)))+(H78/(IF(F78="Contract Workman",Settings!$K$5,Settings!$K$4))),J78+(L78/(IF(F78="Contract Workman",Settings!$K$5,Settings!$K$4)))))</f>
        <v/>
      </c>
      <c r="N78" s="10" t="str">
        <f t="shared" si="4"/>
        <v/>
      </c>
      <c r="O78" s="51" t="str">
        <f>IF(B78="","", IF(IFERROR(ISNUMBER(SEARCH(B78, VLOOKUP(E78, Machine_List!$B:$J, 9, 0))), FALSE()), "✅ Machine OK", "❌ Sug: " &amp; IFERROR(INDEX(Machine_List!$B$4:$B$50, MATCH("*"&amp;B78&amp;"*", Machine_List!$J$4:$J$50, 0)), "Check Limits")))</f>
        <v/>
      </c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52"/>
      <c r="AG78" s="52"/>
      <c r="AH78" s="52"/>
      <c r="AI78" s="52"/>
      <c r="AJ78" s="52"/>
      <c r="AK78" s="52"/>
      <c r="AL78" s="52"/>
      <c r="AM78" s="52"/>
      <c r="AN78" s="52"/>
      <c r="AO78" s="52"/>
      <c r="AP78" s="52"/>
      <c r="AQ78" s="52"/>
      <c r="AR78" s="52"/>
      <c r="AS78" s="52"/>
      <c r="AT78" s="52"/>
      <c r="AU78" s="52"/>
      <c r="AV78" s="52"/>
      <c r="AW78" s="52"/>
      <c r="AX78" s="52"/>
      <c r="AY78" s="52"/>
      <c r="AZ78" s="52"/>
      <c r="BA78" s="52"/>
      <c r="BB78" s="52"/>
      <c r="BC78" s="52"/>
      <c r="BD78" s="52"/>
      <c r="BE78" s="52"/>
      <c r="BF78" s="52"/>
      <c r="BG78" s="52"/>
      <c r="BH78" s="52"/>
      <c r="BI78" s="52"/>
      <c r="BJ78" s="52"/>
      <c r="BK78" s="52"/>
      <c r="BL78" s="52"/>
      <c r="BM78" s="52"/>
    </row>
    <row r="79" spans="1:65" x14ac:dyDescent="0.3">
      <c r="A79" s="10" t="str">
        <f>IF(Job_Master!A79="","",Job_Master!A79)</f>
        <v/>
      </c>
      <c r="B79" s="10" t="str">
        <f>IF($A79="","",Job_Master!B79)</f>
        <v/>
      </c>
      <c r="C79" s="10" t="str">
        <f>IF($A79="","",Job_Master!C79)</f>
        <v/>
      </c>
      <c r="D79" s="10" t="str">
        <f>IF($A79="","",Job_Master!D79)</f>
        <v/>
      </c>
      <c r="E79" s="48" t="str">
        <f>IF($A79="","",IFERROR(INDEX(Machine_List!$B$8:$B$13,MATCH("*"&amp;$B79&amp;"*",Machine_List!$J$8:$J$13,0)),"NO COMPATIBLE MACHINE"))</f>
        <v/>
      </c>
      <c r="F79" s="106" t="str">
        <f>IF($E79="","",IFERROR(VLOOKUP($E79,Machine_List!$B:$G,6,0),""))</f>
        <v/>
      </c>
      <c r="G79" s="53" t="str">
        <f>IF($E79="","",IFERROR(VLOOKUP($E79,Machine_List!$B:$C,2,0),""))</f>
        <v/>
      </c>
      <c r="H79" s="10" t="str">
        <f>IF($E79="","",IFERROR(VLOOKUP($E79,Machine_List!$B:$D,3,0),""))</f>
        <v/>
      </c>
      <c r="I79" s="54"/>
      <c r="J79" s="55" t="str">
        <f ca="1">IF($A79="","",IF($I79&lt;&gt;"",$I79,MAX(VTL_Plan!$M79,IFERROR(LOOKUP(2,1/($E$3:INDIRECT("E"&amp;(ROW()-1))=$E79),$M$3:INDIRECT("M"&amp;(ROW()-1))),VTL_Plan!$M79))))</f>
        <v/>
      </c>
      <c r="K79" s="10" t="str">
        <f>IF($A79="","",IFERROR(VLOOKUP(B79,CHOOSE(MATCH(C79,Settings!$L$4:$L$10,0),OPR_2P!$A$4:$I$18,SEG_6P!$A$4:$I$18,SOL_4P!$A$4:$I$18,RW_2P!$A$4:$I$18,RW2_4P!$A$4:$I$18,FLAP_4P!$A$4:$I$18,TUBE_4P!$A$4:$I$18),2,0),0))</f>
        <v/>
      </c>
      <c r="L79" s="10" t="str">
        <f t="shared" si="3"/>
        <v/>
      </c>
      <c r="M79" s="55" t="str">
        <f>IF($A79="","",IF(AND(ISNUMBER(G79),G79&gt;=J79,G79&lt;=(J79+(L79/(IF(F79="Contract Workman",Settings!$K$5,Settings!$K$4))))),J79+(L79/(IF(F79="Contract Workman",Settings!$K$5,Settings!$K$4)))+(H79/(IF(F79="Contract Workman",Settings!$K$5,Settings!$K$4))),J79+(L79/(IF(F79="Contract Workman",Settings!$K$5,Settings!$K$4)))))</f>
        <v/>
      </c>
      <c r="N79" s="10" t="str">
        <f t="shared" si="4"/>
        <v/>
      </c>
      <c r="O79" s="51" t="str">
        <f>IF(B79="","", IF(IFERROR(ISNUMBER(SEARCH(B79, VLOOKUP(E79, Machine_List!$B:$J, 9, 0))), FALSE()), "✅ Machine OK", "❌ Sug: " &amp; IFERROR(INDEX(Machine_List!$B$4:$B$50, MATCH("*"&amp;B79&amp;"*", Machine_List!$J$4:$J$50, 0)), "Check Limits")))</f>
        <v/>
      </c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  <c r="AF79" s="52"/>
      <c r="AG79" s="52"/>
      <c r="AH79" s="52"/>
      <c r="AI79" s="52"/>
      <c r="AJ79" s="52"/>
      <c r="AK79" s="52"/>
      <c r="AL79" s="52"/>
      <c r="AM79" s="52"/>
      <c r="AN79" s="52"/>
      <c r="AO79" s="52"/>
      <c r="AP79" s="52"/>
      <c r="AQ79" s="52"/>
      <c r="AR79" s="52"/>
      <c r="AS79" s="52"/>
      <c r="AT79" s="52"/>
      <c r="AU79" s="52"/>
      <c r="AV79" s="52"/>
      <c r="AW79" s="52"/>
      <c r="AX79" s="52"/>
      <c r="AY79" s="52"/>
      <c r="AZ79" s="52"/>
      <c r="BA79" s="52"/>
      <c r="BB79" s="52"/>
      <c r="BC79" s="52"/>
      <c r="BD79" s="52"/>
      <c r="BE79" s="52"/>
      <c r="BF79" s="52"/>
      <c r="BG79" s="52"/>
      <c r="BH79" s="52"/>
      <c r="BI79" s="52"/>
      <c r="BJ79" s="52"/>
      <c r="BK79" s="52"/>
      <c r="BL79" s="52"/>
      <c r="BM79" s="52"/>
    </row>
    <row r="80" spans="1:65" x14ac:dyDescent="0.3">
      <c r="A80" s="10" t="str">
        <f>IF(Job_Master!A80="","",Job_Master!A80)</f>
        <v/>
      </c>
      <c r="B80" s="10" t="str">
        <f>IF($A80="","",Job_Master!B80)</f>
        <v/>
      </c>
      <c r="C80" s="10" t="str">
        <f>IF($A80="","",Job_Master!C80)</f>
        <v/>
      </c>
      <c r="D80" s="10" t="str">
        <f>IF($A80="","",Job_Master!D80)</f>
        <v/>
      </c>
      <c r="E80" s="48" t="str">
        <f>IF($A80="","",IFERROR(INDEX(Machine_List!$B$8:$B$13,MATCH("*"&amp;$B80&amp;"*",Machine_List!$J$8:$J$13,0)),"NO COMPATIBLE MACHINE"))</f>
        <v/>
      </c>
      <c r="F80" s="106" t="str">
        <f>IF($E80="","",IFERROR(VLOOKUP($E80,Machine_List!$B:$G,6,0),""))</f>
        <v/>
      </c>
      <c r="G80" s="53" t="str">
        <f>IF($E80="","",IFERROR(VLOOKUP($E80,Machine_List!$B:$C,2,0),""))</f>
        <v/>
      </c>
      <c r="H80" s="10" t="str">
        <f>IF($E80="","",IFERROR(VLOOKUP($E80,Machine_List!$B:$D,3,0),""))</f>
        <v/>
      </c>
      <c r="I80" s="54"/>
      <c r="J80" s="55" t="str">
        <f ca="1">IF($A80="","",IF($I80&lt;&gt;"",$I80,MAX(VTL_Plan!$M80,IFERROR(LOOKUP(2,1/($E$3:INDIRECT("E"&amp;(ROW()-1))=$E80),$M$3:INDIRECT("M"&amp;(ROW()-1))),VTL_Plan!$M80))))</f>
        <v/>
      </c>
      <c r="K80" s="10" t="str">
        <f>IF($A80="","",IFERROR(VLOOKUP(B80,CHOOSE(MATCH(C80,Settings!$L$4:$L$10,0),OPR_2P!$A$4:$I$18,SEG_6P!$A$4:$I$18,SOL_4P!$A$4:$I$18,RW_2P!$A$4:$I$18,RW2_4P!$A$4:$I$18,FLAP_4P!$A$4:$I$18,TUBE_4P!$A$4:$I$18),2,0),0))</f>
        <v/>
      </c>
      <c r="L80" s="10" t="str">
        <f t="shared" si="3"/>
        <v/>
      </c>
      <c r="M80" s="55" t="str">
        <f>IF($A80="","",IF(AND(ISNUMBER(G80),G80&gt;=J80,G80&lt;=(J80+(L80/(IF(F80="Contract Workman",Settings!$K$5,Settings!$K$4))))),J80+(L80/(IF(F80="Contract Workman",Settings!$K$5,Settings!$K$4)))+(H80/(IF(F80="Contract Workman",Settings!$K$5,Settings!$K$4))),J80+(L80/(IF(F80="Contract Workman",Settings!$K$5,Settings!$K$4)))))</f>
        <v/>
      </c>
      <c r="N80" s="10" t="str">
        <f t="shared" si="4"/>
        <v/>
      </c>
      <c r="O80" s="51" t="str">
        <f>IF(B80="","", IF(IFERROR(ISNUMBER(SEARCH(B80, VLOOKUP(E80, Machine_List!$B:$J, 9, 0))), FALSE()), "✅ Machine OK", "❌ Sug: " &amp; IFERROR(INDEX(Machine_List!$B$4:$B$50, MATCH("*"&amp;B80&amp;"*", Machine_List!$J$4:$J$50, 0)), "Check Limits")))</f>
        <v/>
      </c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  <c r="AE80" s="52"/>
      <c r="AF80" s="52"/>
      <c r="AG80" s="52"/>
      <c r="AH80" s="52"/>
      <c r="AI80" s="52"/>
      <c r="AJ80" s="52"/>
      <c r="AK80" s="52"/>
      <c r="AL80" s="52"/>
      <c r="AM80" s="52"/>
      <c r="AN80" s="52"/>
      <c r="AO80" s="52"/>
      <c r="AP80" s="52"/>
      <c r="AQ80" s="52"/>
      <c r="AR80" s="52"/>
      <c r="AS80" s="52"/>
      <c r="AT80" s="52"/>
      <c r="AU80" s="52"/>
      <c r="AV80" s="52"/>
      <c r="AW80" s="52"/>
      <c r="AX80" s="52"/>
      <c r="AY80" s="52"/>
      <c r="AZ80" s="52"/>
      <c r="BA80" s="52"/>
      <c r="BB80" s="52"/>
      <c r="BC80" s="52"/>
      <c r="BD80" s="52"/>
      <c r="BE80" s="52"/>
      <c r="BF80" s="52"/>
      <c r="BG80" s="52"/>
      <c r="BH80" s="52"/>
      <c r="BI80" s="52"/>
      <c r="BJ80" s="52"/>
      <c r="BK80" s="52"/>
      <c r="BL80" s="52"/>
      <c r="BM80" s="52"/>
    </row>
    <row r="81" spans="1:65" ht="15" customHeight="1" x14ac:dyDescent="0.3">
      <c r="A81" s="10" t="str">
        <f>IF(Job_Master!A81="","",Job_Master!A81)</f>
        <v/>
      </c>
      <c r="B81" s="10" t="str">
        <f>IF($A81="","",Job_Master!B81)</f>
        <v/>
      </c>
      <c r="C81" s="10" t="str">
        <f>IF($A81="","",Job_Master!C81)</f>
        <v/>
      </c>
      <c r="D81" s="10" t="str">
        <f>IF($A81="","",Job_Master!D81)</f>
        <v/>
      </c>
      <c r="E81" s="48" t="str">
        <f>IF($A81="","",IFERROR(INDEX(Machine_List!$B$8:$B$13,MATCH("*"&amp;$B81&amp;"*",Machine_List!$J$8:$J$13,0)),"NO COMPATIBLE MACHINE"))</f>
        <v/>
      </c>
      <c r="F81" s="106" t="str">
        <f>IF($E81="","",IFERROR(VLOOKUP($E81,Machine_List!$B:$G,6,0),""))</f>
        <v/>
      </c>
      <c r="G81" s="53" t="str">
        <f>IF($E81="","",IFERROR(VLOOKUP($E81,Machine_List!$B:$C,2,0),""))</f>
        <v/>
      </c>
      <c r="H81" s="10" t="str">
        <f>IF($E81="","",IFERROR(VLOOKUP($E81,Machine_List!$B:$D,3,0),""))</f>
        <v/>
      </c>
      <c r="I81" s="54"/>
      <c r="J81" s="55" t="str">
        <f ca="1">IF($A81="","",IF($I81&lt;&gt;"",$I81,MAX(VTL_Plan!$M81,IFERROR(LOOKUP(2,1/($E$3:INDIRECT("E"&amp;(ROW()-1))=$E81),$M$3:INDIRECT("M"&amp;(ROW()-1))),VTL_Plan!$M81))))</f>
        <v/>
      </c>
      <c r="K81" s="10" t="str">
        <f>IF($A81="","",IFERROR(VLOOKUP(B81,CHOOSE(MATCH(C81,Settings!$L$4:$L$10,0),OPR_2P!$A$4:$I$18,SEG_6P!$A$4:$I$18,SOL_4P!$A$4:$I$18,RW_2P!$A$4:$I$18,RW2_4P!$A$4:$I$18,FLAP_4P!$A$4:$I$18,TUBE_4P!$A$4:$I$18),2,0),0))</f>
        <v/>
      </c>
      <c r="L81" s="10" t="str">
        <f t="shared" si="3"/>
        <v/>
      </c>
      <c r="M81" s="55" t="str">
        <f>IF($A81="","",IF(AND(ISNUMBER(G81),G81&gt;=J81,G81&lt;=(J81+(L81/(IF(F81="Contract Workman",Settings!$K$5,Settings!$K$4))))),J81+(L81/(IF(F81="Contract Workman",Settings!$K$5,Settings!$K$4)))+(H81/(IF(F81="Contract Workman",Settings!$K$5,Settings!$K$4))),J81+(L81/(IF(F81="Contract Workman",Settings!$K$5,Settings!$K$4)))))</f>
        <v/>
      </c>
      <c r="N81" s="10" t="str">
        <f t="shared" si="4"/>
        <v/>
      </c>
      <c r="O81" s="51" t="str">
        <f>IF(B81="","", IF(IFERROR(ISNUMBER(SEARCH(B81, VLOOKUP(E81, Machine_List!$B:$J, 9, 0))), FALSE()), "✅ Machine OK", "❌ Sug: " &amp; IFERROR(INDEX(Machine_List!$B$4:$B$50, MATCH("*"&amp;B81&amp;"*", Machine_List!$J$4:$J$50, 0)), "Check Limits")))</f>
        <v/>
      </c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  <c r="AE81" s="52"/>
      <c r="AF81" s="52"/>
      <c r="AG81" s="52"/>
      <c r="AH81" s="52"/>
      <c r="AI81" s="52"/>
      <c r="AJ81" s="52"/>
      <c r="AK81" s="52"/>
      <c r="AL81" s="52"/>
      <c r="AM81" s="52"/>
      <c r="AN81" s="52"/>
      <c r="AO81" s="52"/>
      <c r="AP81" s="52"/>
      <c r="AQ81" s="52"/>
      <c r="AR81" s="52"/>
      <c r="AS81" s="52"/>
      <c r="AT81" s="52"/>
      <c r="AU81" s="52"/>
      <c r="AV81" s="52"/>
      <c r="AW81" s="52"/>
      <c r="AX81" s="52"/>
      <c r="AY81" s="52"/>
      <c r="AZ81" s="52"/>
      <c r="BA81" s="52"/>
      <c r="BB81" s="52"/>
      <c r="BC81" s="52"/>
      <c r="BD81" s="52"/>
      <c r="BE81" s="52"/>
      <c r="BF81" s="52"/>
      <c r="BG81" s="52"/>
      <c r="BH81" s="52"/>
      <c r="BI81" s="52"/>
      <c r="BJ81" s="52"/>
      <c r="BK81" s="52"/>
      <c r="BL81" s="52"/>
      <c r="BM81" s="52"/>
    </row>
    <row r="82" spans="1:65" ht="15" customHeight="1" x14ac:dyDescent="0.3">
      <c r="A82" s="10" t="str">
        <f>IF(Job_Master!A82="","",Job_Master!A82)</f>
        <v/>
      </c>
      <c r="B82" s="10" t="str">
        <f>IF($A82="","",Job_Master!B82)</f>
        <v/>
      </c>
      <c r="C82" s="10" t="str">
        <f>IF($A82="","",Job_Master!C82)</f>
        <v/>
      </c>
      <c r="D82" s="10" t="str">
        <f>IF($A82="","",Job_Master!D82)</f>
        <v/>
      </c>
      <c r="E82" s="48" t="str">
        <f>IF($A82="","",IFERROR(INDEX(Machine_List!$B$8:$B$13,MATCH("*"&amp;$B82&amp;"*",Machine_List!$J$8:$J$13,0)),"NO COMPATIBLE MACHINE"))</f>
        <v/>
      </c>
      <c r="F82" s="106" t="str">
        <f>IF($E82="","",IFERROR(VLOOKUP($E82,Machine_List!$B:$G,6,0),""))</f>
        <v/>
      </c>
      <c r="G82" s="53" t="str">
        <f>IF($E82="","",IFERROR(VLOOKUP($E82,Machine_List!$B:$C,2,0),""))</f>
        <v/>
      </c>
      <c r="H82" s="10" t="str">
        <f>IF($E82="","",IFERROR(VLOOKUP($E82,Machine_List!$B:$D,3,0),""))</f>
        <v/>
      </c>
      <c r="I82" s="54"/>
      <c r="J82" s="55" t="str">
        <f ca="1">IF($A82="","",IF($I82&lt;&gt;"",$I82,MAX(VTL_Plan!$M82,IFERROR(LOOKUP(2,1/($E$3:INDIRECT("E"&amp;(ROW()-1))=$E82),$M$3:INDIRECT("M"&amp;(ROW()-1))),VTL_Plan!$M82))))</f>
        <v/>
      </c>
      <c r="K82" s="10" t="str">
        <f>IF($A82="","",IFERROR(VLOOKUP(B82,CHOOSE(MATCH(C82,Settings!$L$4:$L$10,0),OPR_2P!$A$4:$I$18,SEG_6P!$A$4:$I$18,SOL_4P!$A$4:$I$18,RW_2P!$A$4:$I$18,RW2_4P!$A$4:$I$18,FLAP_4P!$A$4:$I$18,TUBE_4P!$A$4:$I$18),2,0),0))</f>
        <v/>
      </c>
      <c r="L82" s="10" t="str">
        <f t="shared" si="3"/>
        <v/>
      </c>
      <c r="M82" s="55" t="str">
        <f>IF($A82="","",IF(AND(ISNUMBER(G82),G82&gt;=J82,G82&lt;=(J82+(L82/(IF(F82="Contract Workman",Settings!$K$5,Settings!$K$4))))),J82+(L82/(IF(F82="Contract Workman",Settings!$K$5,Settings!$K$4)))+(H82/(IF(F82="Contract Workman",Settings!$K$5,Settings!$K$4))),J82+(L82/(IF(F82="Contract Workman",Settings!$K$5,Settings!$K$4)))))</f>
        <v/>
      </c>
      <c r="N82" s="10" t="str">
        <f t="shared" si="4"/>
        <v/>
      </c>
      <c r="O82" s="51" t="str">
        <f>IF(B82="","", IF(IFERROR(ISNUMBER(SEARCH(B82, VLOOKUP(E82, Machine_List!$B:$J, 9, 0))), FALSE()), "✅ Machine OK", "❌ Sug: " &amp; IFERROR(INDEX(Machine_List!$B$4:$B$50, MATCH("*"&amp;B82&amp;"*", Machine_List!$J$4:$J$50, 0)), "Check Limits")))</f>
        <v/>
      </c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  <c r="AE82" s="52"/>
      <c r="AF82" s="52"/>
      <c r="AG82" s="52"/>
      <c r="AH82" s="52"/>
      <c r="AI82" s="52"/>
      <c r="AJ82" s="52"/>
      <c r="AK82" s="52"/>
      <c r="AL82" s="52"/>
      <c r="AM82" s="52"/>
      <c r="AN82" s="52"/>
      <c r="AO82" s="52"/>
      <c r="AP82" s="52"/>
      <c r="AQ82" s="52"/>
      <c r="AR82" s="52"/>
      <c r="AS82" s="52"/>
      <c r="AT82" s="52"/>
      <c r="AU82" s="52"/>
      <c r="AV82" s="52"/>
      <c r="AW82" s="52"/>
      <c r="AX82" s="52"/>
      <c r="AY82" s="52"/>
      <c r="AZ82" s="52"/>
      <c r="BA82" s="52"/>
      <c r="BB82" s="52"/>
      <c r="BC82" s="52"/>
      <c r="BD82" s="52"/>
      <c r="BE82" s="52"/>
      <c r="BF82" s="52"/>
      <c r="BG82" s="52"/>
      <c r="BH82" s="52"/>
      <c r="BI82" s="52"/>
      <c r="BJ82" s="52"/>
      <c r="BK82" s="52"/>
      <c r="BL82" s="52"/>
      <c r="BM82" s="52"/>
    </row>
    <row r="83" spans="1:65" ht="15" customHeight="1" x14ac:dyDescent="0.3">
      <c r="A83" s="10" t="str">
        <f>IF(Job_Master!A83="","",Job_Master!A83)</f>
        <v/>
      </c>
      <c r="B83" s="10" t="str">
        <f>IF($A83="","",Job_Master!B83)</f>
        <v/>
      </c>
      <c r="C83" s="10" t="str">
        <f>IF($A83="","",Job_Master!C83)</f>
        <v/>
      </c>
      <c r="D83" s="10" t="str">
        <f>IF($A83="","",Job_Master!D83)</f>
        <v/>
      </c>
      <c r="E83" s="48" t="str">
        <f>IF($A83="","",IFERROR(INDEX(Machine_List!$B$8:$B$13,MATCH("*"&amp;$B83&amp;"*",Machine_List!$J$8:$J$13,0)),"NO COMPATIBLE MACHINE"))</f>
        <v/>
      </c>
      <c r="F83" s="106" t="str">
        <f>IF($E83="","",IFERROR(VLOOKUP($E83,Machine_List!$B:$G,6,0),""))</f>
        <v/>
      </c>
      <c r="G83" s="53" t="str">
        <f>IF($E83="","",IFERROR(VLOOKUP($E83,Machine_List!$B:$C,2,0),""))</f>
        <v/>
      </c>
      <c r="H83" s="10" t="str">
        <f>IF($E83="","",IFERROR(VLOOKUP($E83,Machine_List!$B:$D,3,0),""))</f>
        <v/>
      </c>
      <c r="I83" s="54"/>
      <c r="J83" s="55" t="str">
        <f ca="1">IF($A83="","",IF($I83&lt;&gt;"",$I83,MAX(VTL_Plan!$M83,IFERROR(LOOKUP(2,1/($E$3:INDIRECT("E"&amp;(ROW()-1))=$E83),$M$3:INDIRECT("M"&amp;(ROW()-1))),VTL_Plan!$M83))))</f>
        <v/>
      </c>
      <c r="K83" s="10" t="str">
        <f>IF($A83="","",IFERROR(VLOOKUP(B83,CHOOSE(MATCH(C83,Settings!$L$4:$L$10,0),OPR_2P!$A$4:$I$18,SEG_6P!$A$4:$I$18,SOL_4P!$A$4:$I$18,RW_2P!$A$4:$I$18,RW2_4P!$A$4:$I$18,FLAP_4P!$A$4:$I$18,TUBE_4P!$A$4:$I$18),2,0),0))</f>
        <v/>
      </c>
      <c r="L83" s="10" t="str">
        <f t="shared" si="3"/>
        <v/>
      </c>
      <c r="M83" s="55" t="str">
        <f>IF($A83="","",IF(AND(ISNUMBER(G83),G83&gt;=J83,G83&lt;=(J83+(L83/(IF(F83="Contract Workman",Settings!$K$5,Settings!$K$4))))),J83+(L83/(IF(F83="Contract Workman",Settings!$K$5,Settings!$K$4)))+(H83/(IF(F83="Contract Workman",Settings!$K$5,Settings!$K$4))),J83+(L83/(IF(F83="Contract Workman",Settings!$K$5,Settings!$K$4)))))</f>
        <v/>
      </c>
      <c r="N83" s="10" t="str">
        <f t="shared" si="4"/>
        <v/>
      </c>
      <c r="O83" s="51" t="str">
        <f>IF(B83="","", IF(IFERROR(ISNUMBER(SEARCH(B83, VLOOKUP(E83, Machine_List!$B:$J, 9, 0))), FALSE()), "✅ Machine OK", "❌ Sug: " &amp; IFERROR(INDEX(Machine_List!$B$4:$B$50, MATCH("*"&amp;B83&amp;"*", Machine_List!$J$4:$J$50, 0)), "Check Limits")))</f>
        <v/>
      </c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2"/>
      <c r="AE83" s="52"/>
      <c r="AF83" s="52"/>
      <c r="AG83" s="52"/>
      <c r="AH83" s="52"/>
      <c r="AI83" s="52"/>
      <c r="AJ83" s="52"/>
      <c r="AK83" s="52"/>
      <c r="AL83" s="52"/>
      <c r="AM83" s="52"/>
      <c r="AN83" s="52"/>
      <c r="AO83" s="52"/>
      <c r="AP83" s="52"/>
      <c r="AQ83" s="52"/>
      <c r="AR83" s="52"/>
      <c r="AS83" s="52"/>
      <c r="AT83" s="52"/>
      <c r="AU83" s="52"/>
      <c r="AV83" s="52"/>
      <c r="AW83" s="52"/>
      <c r="AX83" s="52"/>
      <c r="AY83" s="52"/>
      <c r="AZ83" s="52"/>
      <c r="BA83" s="52"/>
      <c r="BB83" s="52"/>
      <c r="BC83" s="52"/>
      <c r="BD83" s="52"/>
      <c r="BE83" s="52"/>
      <c r="BF83" s="52"/>
      <c r="BG83" s="52"/>
      <c r="BH83" s="52"/>
      <c r="BI83" s="52"/>
      <c r="BJ83" s="52"/>
      <c r="BK83" s="52"/>
      <c r="BL83" s="52"/>
      <c r="BM83" s="52"/>
    </row>
    <row r="84" spans="1:65" ht="15" customHeight="1" x14ac:dyDescent="0.3">
      <c r="A84" s="10" t="str">
        <f>IF(Job_Master!A84="","",Job_Master!A84)</f>
        <v/>
      </c>
      <c r="B84" s="10" t="str">
        <f>IF($A84="","",Job_Master!B84)</f>
        <v/>
      </c>
      <c r="C84" s="10" t="str">
        <f>IF($A84="","",Job_Master!C84)</f>
        <v/>
      </c>
      <c r="D84" s="10" t="str">
        <f>IF($A84="","",Job_Master!D84)</f>
        <v/>
      </c>
      <c r="E84" s="48" t="str">
        <f>IF($A84="","",IFERROR(INDEX(Machine_List!$B$8:$B$13,MATCH("*"&amp;$B84&amp;"*",Machine_List!$J$8:$J$13,0)),"NO COMPATIBLE MACHINE"))</f>
        <v/>
      </c>
      <c r="F84" s="106" t="str">
        <f>IF($E84="","",IFERROR(VLOOKUP($E84,Machine_List!$B:$G,6,0),""))</f>
        <v/>
      </c>
      <c r="G84" s="53" t="str">
        <f>IF($E84="","",IFERROR(VLOOKUP($E84,Machine_List!$B:$C,2,0),""))</f>
        <v/>
      </c>
      <c r="H84" s="10" t="str">
        <f>IF($E84="","",IFERROR(VLOOKUP($E84,Machine_List!$B:$D,3,0),""))</f>
        <v/>
      </c>
      <c r="I84" s="54"/>
      <c r="J84" s="55" t="str">
        <f ca="1">IF($A84="","",IF($I84&lt;&gt;"",$I84,MAX(VTL_Plan!$M84,IFERROR(LOOKUP(2,1/($E$3:INDIRECT("E"&amp;(ROW()-1))=$E84),$M$3:INDIRECT("M"&amp;(ROW()-1))),VTL_Plan!$M84))))</f>
        <v/>
      </c>
      <c r="K84" s="10" t="str">
        <f>IF($A84="","",IFERROR(VLOOKUP(B84,CHOOSE(MATCH(C84,Settings!$L$4:$L$10,0),OPR_2P!$A$4:$I$18,SEG_6P!$A$4:$I$18,SOL_4P!$A$4:$I$18,RW_2P!$A$4:$I$18,RW2_4P!$A$4:$I$18,FLAP_4P!$A$4:$I$18,TUBE_4P!$A$4:$I$18),2,0),0))</f>
        <v/>
      </c>
      <c r="L84" s="10" t="str">
        <f t="shared" si="3"/>
        <v/>
      </c>
      <c r="M84" s="55" t="str">
        <f>IF($A84="","",IF(AND(ISNUMBER(G84),G84&gt;=J84,G84&lt;=(J84+(L84/(IF(F84="Contract Workman",Settings!$K$5,Settings!$K$4))))),J84+(L84/(IF(F84="Contract Workman",Settings!$K$5,Settings!$K$4)))+(H84/(IF(F84="Contract Workman",Settings!$K$5,Settings!$K$4))),J84+(L84/(IF(F84="Contract Workman",Settings!$K$5,Settings!$K$4)))))</f>
        <v/>
      </c>
      <c r="N84" s="10" t="str">
        <f t="shared" si="4"/>
        <v/>
      </c>
      <c r="O84" s="51" t="str">
        <f>IF(B84="","", IF(IFERROR(ISNUMBER(SEARCH(B84, VLOOKUP(E84, Machine_List!$B:$J, 9, 0))), FALSE()), "✅ Machine OK", "❌ Sug: " &amp; IFERROR(INDEX(Machine_List!$B$4:$B$50, MATCH("*"&amp;B84&amp;"*", Machine_List!$J$4:$J$50, 0)), "Check Limits")))</f>
        <v/>
      </c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52"/>
      <c r="AJ84" s="52"/>
      <c r="AK84" s="52"/>
      <c r="AL84" s="52"/>
      <c r="AM84" s="52"/>
      <c r="AN84" s="52"/>
      <c r="AO84" s="52"/>
      <c r="AP84" s="52"/>
      <c r="AQ84" s="52"/>
      <c r="AR84" s="52"/>
      <c r="AS84" s="52"/>
      <c r="AT84" s="52"/>
      <c r="AU84" s="52"/>
      <c r="AV84" s="52"/>
      <c r="AW84" s="52"/>
      <c r="AX84" s="52"/>
      <c r="AY84" s="52"/>
      <c r="AZ84" s="52"/>
      <c r="BA84" s="52"/>
      <c r="BB84" s="52"/>
      <c r="BC84" s="52"/>
      <c r="BD84" s="52"/>
      <c r="BE84" s="52"/>
      <c r="BF84" s="52"/>
      <c r="BG84" s="52"/>
      <c r="BH84" s="52"/>
      <c r="BI84" s="52"/>
      <c r="BJ84" s="52"/>
      <c r="BK84" s="52"/>
      <c r="BL84" s="52"/>
      <c r="BM84" s="52"/>
    </row>
    <row r="85" spans="1:65" ht="15" customHeight="1" x14ac:dyDescent="0.3">
      <c r="A85" s="10" t="str">
        <f>IF(Job_Master!A85="","",Job_Master!A85)</f>
        <v/>
      </c>
      <c r="B85" s="10" t="str">
        <f>IF($A85="","",Job_Master!B85)</f>
        <v/>
      </c>
      <c r="C85" s="10" t="str">
        <f>IF($A85="","",Job_Master!C85)</f>
        <v/>
      </c>
      <c r="D85" s="10" t="str">
        <f>IF($A85="","",Job_Master!D85)</f>
        <v/>
      </c>
      <c r="E85" s="48" t="str">
        <f>IF($A85="","",IFERROR(INDEX(Machine_List!$B$8:$B$13,MATCH("*"&amp;$B85&amp;"*",Machine_List!$J$8:$J$13,0)),"NO COMPATIBLE MACHINE"))</f>
        <v/>
      </c>
      <c r="F85" s="106" t="str">
        <f>IF($E85="","",IFERROR(VLOOKUP($E85,Machine_List!$B:$G,6,0),""))</f>
        <v/>
      </c>
      <c r="G85" s="53" t="str">
        <f>IF($E85="","",IFERROR(VLOOKUP($E85,Machine_List!$B:$C,2,0),""))</f>
        <v/>
      </c>
      <c r="H85" s="10" t="str">
        <f>IF($E85="","",IFERROR(VLOOKUP($E85,Machine_List!$B:$D,3,0),""))</f>
        <v/>
      </c>
      <c r="I85" s="54"/>
      <c r="J85" s="55" t="str">
        <f ca="1">IF($A85="","",IF($I85&lt;&gt;"",$I85,MAX(VTL_Plan!$M85,IFERROR(LOOKUP(2,1/($E$3:INDIRECT("E"&amp;(ROW()-1))=$E85),$M$3:INDIRECT("M"&amp;(ROW()-1))),VTL_Plan!$M85))))</f>
        <v/>
      </c>
      <c r="K85" s="10" t="str">
        <f>IF($A85="","",IFERROR(VLOOKUP(B85,CHOOSE(MATCH(C85,Settings!$L$4:$L$10,0),OPR_2P!$A$4:$I$18,SEG_6P!$A$4:$I$18,SOL_4P!$A$4:$I$18,RW_2P!$A$4:$I$18,RW2_4P!$A$4:$I$18,FLAP_4P!$A$4:$I$18,TUBE_4P!$A$4:$I$18),2,0),0))</f>
        <v/>
      </c>
      <c r="L85" s="10" t="str">
        <f t="shared" si="3"/>
        <v/>
      </c>
      <c r="M85" s="55" t="str">
        <f>IF($A85="","",IF(AND(ISNUMBER(G85),G85&gt;=J85,G85&lt;=(J85+(L85/(IF(F85="Contract Workman",Settings!$K$5,Settings!$K$4))))),J85+(L85/(IF(F85="Contract Workman",Settings!$K$5,Settings!$K$4)))+(H85/(IF(F85="Contract Workman",Settings!$K$5,Settings!$K$4))),J85+(L85/(IF(F85="Contract Workman",Settings!$K$5,Settings!$K$4)))))</f>
        <v/>
      </c>
      <c r="N85" s="10" t="str">
        <f t="shared" si="4"/>
        <v/>
      </c>
      <c r="O85" s="51" t="str">
        <f>IF(B85="","", IF(IFERROR(ISNUMBER(SEARCH(B85, VLOOKUP(E85, Machine_List!$B:$J, 9, 0))), FALSE()), "✅ Machine OK", "❌ Sug: " &amp; IFERROR(INDEX(Machine_List!$B$4:$B$50, MATCH("*"&amp;B85&amp;"*", Machine_List!$J$4:$J$50, 0)), "Check Limits")))</f>
        <v/>
      </c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52"/>
      <c r="AG85" s="52"/>
      <c r="AH85" s="52"/>
      <c r="AI85" s="52"/>
      <c r="AJ85" s="52"/>
      <c r="AK85" s="52"/>
      <c r="AL85" s="52"/>
      <c r="AM85" s="52"/>
      <c r="AN85" s="52"/>
      <c r="AO85" s="52"/>
      <c r="AP85" s="52"/>
      <c r="AQ85" s="52"/>
      <c r="AR85" s="52"/>
      <c r="AS85" s="52"/>
      <c r="AT85" s="52"/>
      <c r="AU85" s="52"/>
      <c r="AV85" s="52"/>
      <c r="AW85" s="52"/>
      <c r="AX85" s="52"/>
      <c r="AY85" s="52"/>
      <c r="AZ85" s="52"/>
      <c r="BA85" s="52"/>
      <c r="BB85" s="52"/>
      <c r="BC85" s="52"/>
      <c r="BD85" s="52"/>
      <c r="BE85" s="52"/>
      <c r="BF85" s="52"/>
      <c r="BG85" s="52"/>
      <c r="BH85" s="52"/>
      <c r="BI85" s="52"/>
      <c r="BJ85" s="52"/>
      <c r="BK85" s="52"/>
      <c r="BL85" s="52"/>
      <c r="BM85" s="52"/>
    </row>
    <row r="86" spans="1:65" ht="15" customHeight="1" x14ac:dyDescent="0.3">
      <c r="A86" s="10" t="str">
        <f>IF(Job_Master!A86="","",Job_Master!A86)</f>
        <v/>
      </c>
      <c r="B86" s="10" t="str">
        <f>IF($A86="","",Job_Master!B86)</f>
        <v/>
      </c>
      <c r="C86" s="10" t="str">
        <f>IF($A86="","",Job_Master!C86)</f>
        <v/>
      </c>
      <c r="D86" s="10" t="str">
        <f>IF($A86="","",Job_Master!D86)</f>
        <v/>
      </c>
      <c r="E86" s="48" t="str">
        <f>IF($A86="","",IFERROR(INDEX(Machine_List!$B$8:$B$13,MATCH("*"&amp;$B86&amp;"*",Machine_List!$J$8:$J$13,0)),"NO COMPATIBLE MACHINE"))</f>
        <v/>
      </c>
      <c r="F86" s="106" t="str">
        <f>IF($E86="","",IFERROR(VLOOKUP($E86,Machine_List!$B:$G,6,0),""))</f>
        <v/>
      </c>
      <c r="G86" s="53" t="str">
        <f>IF($E86="","",IFERROR(VLOOKUP($E86,Machine_List!$B:$C,2,0),""))</f>
        <v/>
      </c>
      <c r="H86" s="10" t="str">
        <f>IF($E86="","",IFERROR(VLOOKUP($E86,Machine_List!$B:$D,3,0),""))</f>
        <v/>
      </c>
      <c r="I86" s="54"/>
      <c r="J86" s="55" t="str">
        <f ca="1">IF($A86="","",IF($I86&lt;&gt;"",$I86,MAX(VTL_Plan!$M86,IFERROR(LOOKUP(2,1/($E$3:INDIRECT("E"&amp;(ROW()-1))=$E86),$M$3:INDIRECT("M"&amp;(ROW()-1))),VTL_Plan!$M86))))</f>
        <v/>
      </c>
      <c r="K86" s="10" t="str">
        <f>IF($A86="","",IFERROR(VLOOKUP(B86,CHOOSE(MATCH(C86,Settings!$L$4:$L$10,0),OPR_2P!$A$4:$I$18,SEG_6P!$A$4:$I$18,SOL_4P!$A$4:$I$18,RW_2P!$A$4:$I$18,RW2_4P!$A$4:$I$18,FLAP_4P!$A$4:$I$18,TUBE_4P!$A$4:$I$18),2,0),0))</f>
        <v/>
      </c>
      <c r="L86" s="10" t="str">
        <f t="shared" si="3"/>
        <v/>
      </c>
      <c r="M86" s="55" t="str">
        <f>IF($A86="","",IF(AND(ISNUMBER(G86),G86&gt;=J86,G86&lt;=(J86+(L86/(IF(F86="Contract Workman",Settings!$K$5,Settings!$K$4))))),J86+(L86/(IF(F86="Contract Workman",Settings!$K$5,Settings!$K$4)))+(H86/(IF(F86="Contract Workman",Settings!$K$5,Settings!$K$4))),J86+(L86/(IF(F86="Contract Workman",Settings!$K$5,Settings!$K$4)))))</f>
        <v/>
      </c>
      <c r="N86" s="10" t="str">
        <f t="shared" si="4"/>
        <v/>
      </c>
      <c r="O86" s="51" t="str">
        <f>IF(B86="","", IF(IFERROR(ISNUMBER(SEARCH(B86, VLOOKUP(E86, Machine_List!$B:$J, 9, 0))), FALSE()), "✅ Machine OK", "❌ Sug: " &amp; IFERROR(INDEX(Machine_List!$B$4:$B$50, MATCH("*"&amp;B86&amp;"*", Machine_List!$J$4:$J$50, 0)), "Check Limits")))</f>
        <v/>
      </c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2"/>
      <c r="AD86" s="52"/>
      <c r="AE86" s="52"/>
      <c r="AF86" s="52"/>
      <c r="AG86" s="52"/>
      <c r="AH86" s="52"/>
      <c r="AI86" s="52"/>
      <c r="AJ86" s="52"/>
      <c r="AK86" s="52"/>
      <c r="AL86" s="52"/>
      <c r="AM86" s="52"/>
      <c r="AN86" s="52"/>
      <c r="AO86" s="52"/>
      <c r="AP86" s="52"/>
      <c r="AQ86" s="52"/>
      <c r="AR86" s="52"/>
      <c r="AS86" s="52"/>
      <c r="AT86" s="52"/>
      <c r="AU86" s="52"/>
      <c r="AV86" s="52"/>
      <c r="AW86" s="52"/>
      <c r="AX86" s="52"/>
      <c r="AY86" s="52"/>
      <c r="AZ86" s="52"/>
      <c r="BA86" s="52"/>
      <c r="BB86" s="52"/>
      <c r="BC86" s="52"/>
      <c r="BD86" s="52"/>
      <c r="BE86" s="52"/>
      <c r="BF86" s="52"/>
      <c r="BG86" s="52"/>
      <c r="BH86" s="52"/>
      <c r="BI86" s="52"/>
      <c r="BJ86" s="52"/>
      <c r="BK86" s="52"/>
      <c r="BL86" s="52"/>
      <c r="BM86" s="52"/>
    </row>
    <row r="87" spans="1:65" ht="15" customHeight="1" x14ac:dyDescent="0.3">
      <c r="A87" s="10" t="str">
        <f>IF(Job_Master!A87="","",Job_Master!A87)</f>
        <v/>
      </c>
      <c r="B87" s="10" t="str">
        <f>IF($A87="","",Job_Master!B87)</f>
        <v/>
      </c>
      <c r="C87" s="10" t="str">
        <f>IF($A87="","",Job_Master!C87)</f>
        <v/>
      </c>
      <c r="D87" s="10" t="str">
        <f>IF($A87="","",Job_Master!D87)</f>
        <v/>
      </c>
      <c r="E87" s="48" t="str">
        <f>IF($A87="","",IFERROR(INDEX(Machine_List!$B$8:$B$13,MATCH("*"&amp;$B87&amp;"*",Machine_List!$J$8:$J$13,0)),"NO COMPATIBLE MACHINE"))</f>
        <v/>
      </c>
      <c r="F87" s="106" t="str">
        <f>IF($E87="","",IFERROR(VLOOKUP($E87,Machine_List!$B:$G,6,0),""))</f>
        <v/>
      </c>
      <c r="G87" s="53" t="str">
        <f>IF($E87="","",IFERROR(VLOOKUP($E87,Machine_List!$B:$C,2,0),""))</f>
        <v/>
      </c>
      <c r="H87" s="10" t="str">
        <f>IF($E87="","",IFERROR(VLOOKUP($E87,Machine_List!$B:$D,3,0),""))</f>
        <v/>
      </c>
      <c r="I87" s="54"/>
      <c r="J87" s="55" t="str">
        <f ca="1">IF($A87="","",IF($I87&lt;&gt;"",$I87,MAX(VTL_Plan!$M87,IFERROR(LOOKUP(2,1/($E$3:INDIRECT("E"&amp;(ROW()-1))=$E87),$M$3:INDIRECT("M"&amp;(ROW()-1))),VTL_Plan!$M87))))</f>
        <v/>
      </c>
      <c r="K87" s="10" t="str">
        <f>IF($A87="","",IFERROR(VLOOKUP(B87,CHOOSE(MATCH(C87,Settings!$L$4:$L$10,0),OPR_2P!$A$4:$I$18,SEG_6P!$A$4:$I$18,SOL_4P!$A$4:$I$18,RW_2P!$A$4:$I$18,RW2_4P!$A$4:$I$18,FLAP_4P!$A$4:$I$18,TUBE_4P!$A$4:$I$18),2,0),0))</f>
        <v/>
      </c>
      <c r="L87" s="10" t="str">
        <f t="shared" si="3"/>
        <v/>
      </c>
      <c r="M87" s="55" t="str">
        <f>IF($A87="","",IF(AND(ISNUMBER(G87),G87&gt;=J87,G87&lt;=(J87+(L87/(IF(F87="Contract Workman",Settings!$K$5,Settings!$K$4))))),J87+(L87/(IF(F87="Contract Workman",Settings!$K$5,Settings!$K$4)))+(H87/(IF(F87="Contract Workman",Settings!$K$5,Settings!$K$4))),J87+(L87/(IF(F87="Contract Workman",Settings!$K$5,Settings!$K$4)))))</f>
        <v/>
      </c>
      <c r="N87" s="10" t="str">
        <f t="shared" si="4"/>
        <v/>
      </c>
      <c r="O87" s="51" t="str">
        <f>IF(B87="","", IF(IFERROR(ISNUMBER(SEARCH(B87, VLOOKUP(E87, Machine_List!$B:$J, 9, 0))), FALSE()), "✅ Machine OK", "❌ Sug: " &amp; IFERROR(INDEX(Machine_List!$B$4:$B$50, MATCH("*"&amp;B87&amp;"*", Machine_List!$J$4:$J$50, 0)), "Check Limits")))</f>
        <v/>
      </c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  <c r="AE87" s="52"/>
      <c r="AF87" s="52"/>
      <c r="AG87" s="52"/>
      <c r="AH87" s="52"/>
      <c r="AI87" s="52"/>
      <c r="AJ87" s="52"/>
      <c r="AK87" s="52"/>
      <c r="AL87" s="52"/>
      <c r="AM87" s="52"/>
      <c r="AN87" s="52"/>
      <c r="AO87" s="52"/>
      <c r="AP87" s="52"/>
      <c r="AQ87" s="52"/>
      <c r="AR87" s="52"/>
      <c r="AS87" s="52"/>
      <c r="AT87" s="52"/>
      <c r="AU87" s="52"/>
      <c r="AV87" s="52"/>
      <c r="AW87" s="52"/>
      <c r="AX87" s="52"/>
      <c r="AY87" s="52"/>
      <c r="AZ87" s="52"/>
      <c r="BA87" s="52"/>
      <c r="BB87" s="52"/>
      <c r="BC87" s="52"/>
      <c r="BD87" s="52"/>
      <c r="BE87" s="52"/>
      <c r="BF87" s="52"/>
      <c r="BG87" s="52"/>
      <c r="BH87" s="52"/>
      <c r="BI87" s="52"/>
      <c r="BJ87" s="52"/>
      <c r="BK87" s="52"/>
      <c r="BL87" s="52"/>
      <c r="BM87" s="52"/>
    </row>
    <row r="88" spans="1:65" ht="15" customHeight="1" x14ac:dyDescent="0.3">
      <c r="A88" s="10" t="str">
        <f>IF(Job_Master!A88="","",Job_Master!A88)</f>
        <v/>
      </c>
      <c r="B88" s="10" t="str">
        <f>IF($A88="","",Job_Master!B88)</f>
        <v/>
      </c>
      <c r="C88" s="10" t="str">
        <f>IF($A88="","",Job_Master!C88)</f>
        <v/>
      </c>
      <c r="D88" s="10" t="str">
        <f>IF($A88="","",Job_Master!D88)</f>
        <v/>
      </c>
      <c r="E88" s="48" t="str">
        <f>IF($A88="","",IFERROR(INDEX(Machine_List!$B$8:$B$13,MATCH("*"&amp;$B88&amp;"*",Machine_List!$J$8:$J$13,0)),"NO COMPATIBLE MACHINE"))</f>
        <v/>
      </c>
      <c r="F88" s="106" t="str">
        <f>IF($E88="","",IFERROR(VLOOKUP($E88,Machine_List!$B:$G,6,0),""))</f>
        <v/>
      </c>
      <c r="G88" s="53" t="str">
        <f>IF($E88="","",IFERROR(VLOOKUP($E88,Machine_List!$B:$C,2,0),""))</f>
        <v/>
      </c>
      <c r="H88" s="10" t="str">
        <f>IF($E88="","",IFERROR(VLOOKUP($E88,Machine_List!$B:$D,3,0),""))</f>
        <v/>
      </c>
      <c r="I88" s="54"/>
      <c r="J88" s="55" t="str">
        <f ca="1">IF($A88="","",IF($I88&lt;&gt;"",$I88,MAX(VTL_Plan!$M88,IFERROR(LOOKUP(2,1/($E$3:INDIRECT("E"&amp;(ROW()-1))=$E88),$M$3:INDIRECT("M"&amp;(ROW()-1))),VTL_Plan!$M88))))</f>
        <v/>
      </c>
      <c r="K88" s="10" t="str">
        <f>IF($A88="","",IFERROR(VLOOKUP(B88,CHOOSE(MATCH(C88,Settings!$L$4:$L$10,0),OPR_2P!$A$4:$I$18,SEG_6P!$A$4:$I$18,SOL_4P!$A$4:$I$18,RW_2P!$A$4:$I$18,RW2_4P!$A$4:$I$18,FLAP_4P!$A$4:$I$18,TUBE_4P!$A$4:$I$18),2,0),0))</f>
        <v/>
      </c>
      <c r="L88" s="10" t="str">
        <f t="shared" si="3"/>
        <v/>
      </c>
      <c r="M88" s="55" t="str">
        <f>IF($A88="","",IF(AND(ISNUMBER(G88),G88&gt;=J88,G88&lt;=(J88+(L88/(IF(F88="Contract Workman",Settings!$K$5,Settings!$K$4))))),J88+(L88/(IF(F88="Contract Workman",Settings!$K$5,Settings!$K$4)))+(H88/(IF(F88="Contract Workman",Settings!$K$5,Settings!$K$4))),J88+(L88/(IF(F88="Contract Workman",Settings!$K$5,Settings!$K$4)))))</f>
        <v/>
      </c>
      <c r="N88" s="10" t="str">
        <f t="shared" si="4"/>
        <v/>
      </c>
      <c r="O88" s="51" t="str">
        <f>IF(B88="","", IF(IFERROR(ISNUMBER(SEARCH(B88, VLOOKUP(E88, Machine_List!$B:$J, 9, 0))), FALSE()), "✅ Machine OK", "❌ Sug: " &amp; IFERROR(INDEX(Machine_List!$B$4:$B$50, MATCH("*"&amp;B88&amp;"*", Machine_List!$J$4:$J$50, 0)), "Check Limits")))</f>
        <v/>
      </c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2"/>
      <c r="AD88" s="52"/>
      <c r="AE88" s="52"/>
      <c r="AF88" s="52"/>
      <c r="AG88" s="52"/>
      <c r="AH88" s="52"/>
      <c r="AI88" s="52"/>
      <c r="AJ88" s="52"/>
      <c r="AK88" s="52"/>
      <c r="AL88" s="52"/>
      <c r="AM88" s="52"/>
      <c r="AN88" s="52"/>
      <c r="AO88" s="52"/>
      <c r="AP88" s="52"/>
      <c r="AQ88" s="52"/>
      <c r="AR88" s="52"/>
      <c r="AS88" s="52"/>
      <c r="AT88" s="52"/>
      <c r="AU88" s="52"/>
      <c r="AV88" s="52"/>
      <c r="AW88" s="52"/>
      <c r="AX88" s="52"/>
      <c r="AY88" s="52"/>
      <c r="AZ88" s="52"/>
      <c r="BA88" s="52"/>
      <c r="BB88" s="52"/>
      <c r="BC88" s="52"/>
      <c r="BD88" s="52"/>
      <c r="BE88" s="52"/>
      <c r="BF88" s="52"/>
      <c r="BG88" s="52"/>
      <c r="BH88" s="52"/>
      <c r="BI88" s="52"/>
      <c r="BJ88" s="52"/>
      <c r="BK88" s="52"/>
      <c r="BL88" s="52"/>
      <c r="BM88" s="52"/>
    </row>
    <row r="89" spans="1:65" ht="15" customHeight="1" x14ac:dyDescent="0.3">
      <c r="A89" s="10" t="str">
        <f>IF(Job_Master!A89="","",Job_Master!A89)</f>
        <v/>
      </c>
      <c r="B89" s="10" t="str">
        <f>IF($A89="","",Job_Master!B89)</f>
        <v/>
      </c>
      <c r="C89" s="10" t="str">
        <f>IF($A89="","",Job_Master!C89)</f>
        <v/>
      </c>
      <c r="D89" s="10" t="str">
        <f>IF($A89="","",Job_Master!D89)</f>
        <v/>
      </c>
      <c r="E89" s="48" t="str">
        <f>IF($A89="","",IFERROR(INDEX(Machine_List!$B$8:$B$13,MATCH("*"&amp;$B89&amp;"*",Machine_List!$J$8:$J$13,0)),"NO COMPATIBLE MACHINE"))</f>
        <v/>
      </c>
      <c r="F89" s="106" t="str">
        <f>IF($E89="","",IFERROR(VLOOKUP($E89,Machine_List!$B:$G,6,0),""))</f>
        <v/>
      </c>
      <c r="G89" s="53" t="str">
        <f>IF($E89="","",IFERROR(VLOOKUP($E89,Machine_List!$B:$C,2,0),""))</f>
        <v/>
      </c>
      <c r="H89" s="10" t="str">
        <f>IF($E89="","",IFERROR(VLOOKUP($E89,Machine_List!$B:$D,3,0),""))</f>
        <v/>
      </c>
      <c r="I89" s="54"/>
      <c r="J89" s="55" t="str">
        <f ca="1">IF($A89="","",IF($I89&lt;&gt;"",$I89,MAX(VTL_Plan!$M89,IFERROR(LOOKUP(2,1/($E$3:INDIRECT("E"&amp;(ROW()-1))=$E89),$M$3:INDIRECT("M"&amp;(ROW()-1))),VTL_Plan!$M89))))</f>
        <v/>
      </c>
      <c r="K89" s="10" t="str">
        <f>IF($A89="","",IFERROR(VLOOKUP(B89,CHOOSE(MATCH(C89,Settings!$L$4:$L$10,0),OPR_2P!$A$4:$I$18,SEG_6P!$A$4:$I$18,SOL_4P!$A$4:$I$18,RW_2P!$A$4:$I$18,RW2_4P!$A$4:$I$18,FLAP_4P!$A$4:$I$18,TUBE_4P!$A$4:$I$18),2,0),0))</f>
        <v/>
      </c>
      <c r="L89" s="10" t="str">
        <f t="shared" si="3"/>
        <v/>
      </c>
      <c r="M89" s="55" t="str">
        <f>IF($A89="","",IF(AND(ISNUMBER(G89),G89&gt;=J89,G89&lt;=(J89+(L89/(IF(F89="Contract Workman",Settings!$K$5,Settings!$K$4))))),J89+(L89/(IF(F89="Contract Workman",Settings!$K$5,Settings!$K$4)))+(H89/(IF(F89="Contract Workman",Settings!$K$5,Settings!$K$4))),J89+(L89/(IF(F89="Contract Workman",Settings!$K$5,Settings!$K$4)))))</f>
        <v/>
      </c>
      <c r="N89" s="10" t="str">
        <f t="shared" si="4"/>
        <v/>
      </c>
      <c r="O89" s="51" t="str">
        <f>IF(B89="","", IF(IFERROR(ISNUMBER(SEARCH(B89, VLOOKUP(E89, Machine_List!$B:$J, 9, 0))), FALSE()), "✅ Machine OK", "❌ Sug: " &amp; IFERROR(INDEX(Machine_List!$B$4:$B$50, MATCH("*"&amp;B89&amp;"*", Machine_List!$J$4:$J$50, 0)), "Check Limits")))</f>
        <v/>
      </c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  <c r="AE89" s="52"/>
      <c r="AF89" s="52"/>
      <c r="AG89" s="52"/>
      <c r="AH89" s="52"/>
      <c r="AI89" s="52"/>
      <c r="AJ89" s="52"/>
      <c r="AK89" s="52"/>
      <c r="AL89" s="52"/>
      <c r="AM89" s="52"/>
      <c r="AN89" s="52"/>
      <c r="AO89" s="52"/>
      <c r="AP89" s="52"/>
      <c r="AQ89" s="52"/>
      <c r="AR89" s="52"/>
      <c r="AS89" s="52"/>
      <c r="AT89" s="52"/>
      <c r="AU89" s="52"/>
      <c r="AV89" s="52"/>
      <c r="AW89" s="52"/>
      <c r="AX89" s="52"/>
      <c r="AY89" s="52"/>
      <c r="AZ89" s="52"/>
      <c r="BA89" s="52"/>
      <c r="BB89" s="52"/>
      <c r="BC89" s="52"/>
      <c r="BD89" s="52"/>
      <c r="BE89" s="52"/>
      <c r="BF89" s="52"/>
      <c r="BG89" s="52"/>
      <c r="BH89" s="52"/>
      <c r="BI89" s="52"/>
      <c r="BJ89" s="52"/>
      <c r="BK89" s="52"/>
      <c r="BL89" s="52"/>
      <c r="BM89" s="52"/>
    </row>
    <row r="90" spans="1:65" ht="15" customHeight="1" x14ac:dyDescent="0.3">
      <c r="A90" s="10" t="str">
        <f>IF(Job_Master!A90="","",Job_Master!A90)</f>
        <v/>
      </c>
      <c r="B90" s="10" t="str">
        <f>IF($A90="","",Job_Master!B90)</f>
        <v/>
      </c>
      <c r="C90" s="10" t="str">
        <f>IF($A90="","",Job_Master!C90)</f>
        <v/>
      </c>
      <c r="D90" s="10" t="str">
        <f>IF($A90="","",Job_Master!D90)</f>
        <v/>
      </c>
      <c r="E90" s="48" t="str">
        <f>IF($A90="","",IFERROR(INDEX(Machine_List!$B$8:$B$13,MATCH("*"&amp;$B90&amp;"*",Machine_List!$J$8:$J$13,0)),"NO COMPATIBLE MACHINE"))</f>
        <v/>
      </c>
      <c r="F90" s="106" t="str">
        <f>IF($E90="","",IFERROR(VLOOKUP($E90,Machine_List!$B:$G,6,0),""))</f>
        <v/>
      </c>
      <c r="G90" s="53" t="str">
        <f>IF($E90="","",IFERROR(VLOOKUP($E90,Machine_List!$B:$C,2,0),""))</f>
        <v/>
      </c>
      <c r="H90" s="10" t="str">
        <f>IF($E90="","",IFERROR(VLOOKUP($E90,Machine_List!$B:$D,3,0),""))</f>
        <v/>
      </c>
      <c r="I90" s="54"/>
      <c r="J90" s="55" t="str">
        <f ca="1">IF($A90="","",IF($I90&lt;&gt;"",$I90,MAX(VTL_Plan!$M90,IFERROR(LOOKUP(2,1/($E$3:INDIRECT("E"&amp;(ROW()-1))=$E90),$M$3:INDIRECT("M"&amp;(ROW()-1))),VTL_Plan!$M90))))</f>
        <v/>
      </c>
      <c r="K90" s="10" t="str">
        <f>IF($A90="","",IFERROR(VLOOKUP(B90,CHOOSE(MATCH(C90,Settings!$L$4:$L$10,0),OPR_2P!$A$4:$I$18,SEG_6P!$A$4:$I$18,SOL_4P!$A$4:$I$18,RW_2P!$A$4:$I$18,RW2_4P!$A$4:$I$18,FLAP_4P!$A$4:$I$18,TUBE_4P!$A$4:$I$18),2,0),0))</f>
        <v/>
      </c>
      <c r="L90" s="10" t="str">
        <f t="shared" si="3"/>
        <v/>
      </c>
      <c r="M90" s="55" t="str">
        <f>IF($A90="","",IF(AND(ISNUMBER(G90),G90&gt;=J90,G90&lt;=(J90+(L90/(IF(F90="Contract Workman",Settings!$K$5,Settings!$K$4))))),J90+(L90/(IF(F90="Contract Workman",Settings!$K$5,Settings!$K$4)))+(H90/(IF(F90="Contract Workman",Settings!$K$5,Settings!$K$4))),J90+(L90/(IF(F90="Contract Workman",Settings!$K$5,Settings!$K$4)))))</f>
        <v/>
      </c>
      <c r="N90" s="10" t="str">
        <f t="shared" si="4"/>
        <v/>
      </c>
      <c r="O90" s="51" t="str">
        <f>IF(B90="","", IF(IFERROR(ISNUMBER(SEARCH(B90, VLOOKUP(E90, Machine_List!$B:$J, 9, 0))), FALSE()), "✅ Machine OK", "❌ Sug: " &amp; IFERROR(INDEX(Machine_List!$B$4:$B$50, MATCH("*"&amp;B90&amp;"*", Machine_List!$J$4:$J$50, 0)), "Check Limits")))</f>
        <v/>
      </c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  <c r="AE90" s="52"/>
      <c r="AF90" s="52"/>
      <c r="AG90" s="52"/>
      <c r="AH90" s="52"/>
      <c r="AI90" s="52"/>
      <c r="AJ90" s="52"/>
      <c r="AK90" s="52"/>
      <c r="AL90" s="52"/>
      <c r="AM90" s="52"/>
      <c r="AN90" s="52"/>
      <c r="AO90" s="52"/>
      <c r="AP90" s="52"/>
      <c r="AQ90" s="52"/>
      <c r="AR90" s="52"/>
      <c r="AS90" s="52"/>
      <c r="AT90" s="52"/>
      <c r="AU90" s="52"/>
      <c r="AV90" s="52"/>
      <c r="AW90" s="52"/>
      <c r="AX90" s="52"/>
      <c r="AY90" s="52"/>
      <c r="AZ90" s="52"/>
      <c r="BA90" s="52"/>
      <c r="BB90" s="52"/>
      <c r="BC90" s="52"/>
      <c r="BD90" s="52"/>
      <c r="BE90" s="52"/>
      <c r="BF90" s="52"/>
      <c r="BG90" s="52"/>
      <c r="BH90" s="52"/>
      <c r="BI90" s="52"/>
      <c r="BJ90" s="52"/>
      <c r="BK90" s="52"/>
      <c r="BL90" s="52"/>
      <c r="BM90" s="52"/>
    </row>
    <row r="91" spans="1:65" ht="15" customHeight="1" x14ac:dyDescent="0.3">
      <c r="A91" s="10" t="str">
        <f>IF(Job_Master!A91="","",Job_Master!A91)</f>
        <v/>
      </c>
      <c r="B91" s="10" t="str">
        <f>IF($A91="","",Job_Master!B91)</f>
        <v/>
      </c>
      <c r="C91" s="10" t="str">
        <f>IF($A91="","",Job_Master!C91)</f>
        <v/>
      </c>
      <c r="D91" s="10" t="str">
        <f>IF($A91="","",Job_Master!D91)</f>
        <v/>
      </c>
      <c r="E91" s="48" t="str">
        <f>IF($A91="","",IFERROR(INDEX(Machine_List!$B$8:$B$13,MATCH("*"&amp;$B91&amp;"*",Machine_List!$J$8:$J$13,0)),"NO COMPATIBLE MACHINE"))</f>
        <v/>
      </c>
      <c r="F91" s="106" t="str">
        <f>IF($E91="","",IFERROR(VLOOKUP($E91,Machine_List!$B:$G,6,0),""))</f>
        <v/>
      </c>
      <c r="G91" s="53" t="str">
        <f>IF($E91="","",IFERROR(VLOOKUP($E91,Machine_List!$B:$C,2,0),""))</f>
        <v/>
      </c>
      <c r="H91" s="10" t="str">
        <f>IF($E91="","",IFERROR(VLOOKUP($E91,Machine_List!$B:$D,3,0),""))</f>
        <v/>
      </c>
      <c r="I91" s="54"/>
      <c r="J91" s="55" t="str">
        <f ca="1">IF($A91="","",IF($I91&lt;&gt;"",$I91,MAX(VTL_Plan!$M91,IFERROR(LOOKUP(2,1/($E$3:INDIRECT("E"&amp;(ROW()-1))=$E91),$M$3:INDIRECT("M"&amp;(ROW()-1))),VTL_Plan!$M91))))</f>
        <v/>
      </c>
      <c r="K91" s="10" t="str">
        <f>IF($A91="","",IFERROR(VLOOKUP(B91,CHOOSE(MATCH(C91,Settings!$L$4:$L$10,0),OPR_2P!$A$4:$I$18,SEG_6P!$A$4:$I$18,SOL_4P!$A$4:$I$18,RW_2P!$A$4:$I$18,RW2_4P!$A$4:$I$18,FLAP_4P!$A$4:$I$18,TUBE_4P!$A$4:$I$18),2,0),0))</f>
        <v/>
      </c>
      <c r="L91" s="10" t="str">
        <f t="shared" si="3"/>
        <v/>
      </c>
      <c r="M91" s="55" t="str">
        <f>IF($A91="","",IF(AND(ISNUMBER(G91),G91&gt;=J91,G91&lt;=(J91+(L91/(IF(F91="Contract Workman",Settings!$K$5,Settings!$K$4))))),J91+(L91/(IF(F91="Contract Workman",Settings!$K$5,Settings!$K$4)))+(H91/(IF(F91="Contract Workman",Settings!$K$5,Settings!$K$4))),J91+(L91/(IF(F91="Contract Workman",Settings!$K$5,Settings!$K$4)))))</f>
        <v/>
      </c>
      <c r="N91" s="10" t="str">
        <f t="shared" si="4"/>
        <v/>
      </c>
      <c r="O91" s="51" t="str">
        <f>IF(B91="","", IF(IFERROR(ISNUMBER(SEARCH(B91, VLOOKUP(E91, Machine_List!$B:$J, 9, 0))), FALSE()), "✅ Machine OK", "❌ Sug: " &amp; IFERROR(INDEX(Machine_List!$B$4:$B$50, MATCH("*"&amp;B91&amp;"*", Machine_List!$J$4:$J$50, 0)), "Check Limits")))</f>
        <v/>
      </c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  <c r="AX91" s="52"/>
      <c r="AY91" s="52"/>
      <c r="AZ91" s="52"/>
      <c r="BA91" s="52"/>
      <c r="BB91" s="52"/>
      <c r="BC91" s="52"/>
      <c r="BD91" s="52"/>
      <c r="BE91" s="52"/>
      <c r="BF91" s="52"/>
      <c r="BG91" s="52"/>
      <c r="BH91" s="52"/>
      <c r="BI91" s="52"/>
      <c r="BJ91" s="52"/>
      <c r="BK91" s="52"/>
      <c r="BL91" s="52"/>
      <c r="BM91" s="52"/>
    </row>
    <row r="92" spans="1:65" ht="15" customHeight="1" x14ac:dyDescent="0.3">
      <c r="A92" s="10" t="str">
        <f>IF(Job_Master!A92="","",Job_Master!A92)</f>
        <v/>
      </c>
      <c r="B92" s="10" t="str">
        <f>IF($A92="","",Job_Master!B92)</f>
        <v/>
      </c>
      <c r="C92" s="10" t="str">
        <f>IF($A92="","",Job_Master!C92)</f>
        <v/>
      </c>
      <c r="D92" s="10" t="str">
        <f>IF($A92="","",Job_Master!D92)</f>
        <v/>
      </c>
      <c r="E92" s="48" t="str">
        <f>IF($A92="","",IFERROR(INDEX(Machine_List!$B$8:$B$13,MATCH("*"&amp;$B92&amp;"*",Machine_List!$J$8:$J$13,0)),"NO COMPATIBLE MACHINE"))</f>
        <v/>
      </c>
      <c r="F92" s="106" t="str">
        <f>IF($E92="","",IFERROR(VLOOKUP($E92,Machine_List!$B:$G,6,0),""))</f>
        <v/>
      </c>
      <c r="G92" s="53" t="str">
        <f>IF($E92="","",IFERROR(VLOOKUP($E92,Machine_List!$B:$C,2,0),""))</f>
        <v/>
      </c>
      <c r="H92" s="10" t="str">
        <f>IF($E92="","",IFERROR(VLOOKUP($E92,Machine_List!$B:$D,3,0),""))</f>
        <v/>
      </c>
      <c r="I92" s="54"/>
      <c r="J92" s="55" t="str">
        <f ca="1">IF($A92="","",IF($I92&lt;&gt;"",$I92,MAX(VTL_Plan!$M92,IFERROR(LOOKUP(2,1/($E$3:INDIRECT("E"&amp;(ROW()-1))=$E92),$M$3:INDIRECT("M"&amp;(ROW()-1))),VTL_Plan!$M92))))</f>
        <v/>
      </c>
      <c r="K92" s="10" t="str">
        <f>IF($A92="","",IFERROR(VLOOKUP(B92,CHOOSE(MATCH(C92,Settings!$L$4:$L$10,0),OPR_2P!$A$4:$I$18,SEG_6P!$A$4:$I$18,SOL_4P!$A$4:$I$18,RW_2P!$A$4:$I$18,RW2_4P!$A$4:$I$18,FLAP_4P!$A$4:$I$18,TUBE_4P!$A$4:$I$18),2,0),0))</f>
        <v/>
      </c>
      <c r="L92" s="10" t="str">
        <f t="shared" si="3"/>
        <v/>
      </c>
      <c r="M92" s="55" t="str">
        <f>IF($A92="","",IF(AND(ISNUMBER(G92),G92&gt;=J92,G92&lt;=(J92+(L92/(IF(F92="Contract Workman",Settings!$K$5,Settings!$K$4))))),J92+(L92/(IF(F92="Contract Workman",Settings!$K$5,Settings!$K$4)))+(H92/(IF(F92="Contract Workman",Settings!$K$5,Settings!$K$4))),J92+(L92/(IF(F92="Contract Workman",Settings!$K$5,Settings!$K$4)))))</f>
        <v/>
      </c>
      <c r="N92" s="10" t="str">
        <f t="shared" si="4"/>
        <v/>
      </c>
      <c r="O92" s="51" t="str">
        <f>IF(B92="","", IF(IFERROR(ISNUMBER(SEARCH(B92, VLOOKUP(E92, Machine_List!$B:$J, 9, 0))), FALSE()), "✅ Machine OK", "❌ Sug: " &amp; IFERROR(INDEX(Machine_List!$B$4:$B$50, MATCH("*"&amp;B92&amp;"*", Machine_List!$J$4:$J$50, 0)), "Check Limits")))</f>
        <v/>
      </c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  <c r="AX92" s="52"/>
      <c r="AY92" s="52"/>
      <c r="AZ92" s="52"/>
      <c r="BA92" s="52"/>
      <c r="BB92" s="52"/>
      <c r="BC92" s="52"/>
      <c r="BD92" s="52"/>
      <c r="BE92" s="52"/>
      <c r="BF92" s="52"/>
      <c r="BG92" s="52"/>
      <c r="BH92" s="52"/>
      <c r="BI92" s="52"/>
      <c r="BJ92" s="52"/>
      <c r="BK92" s="52"/>
      <c r="BL92" s="52"/>
      <c r="BM92" s="52"/>
    </row>
    <row r="93" spans="1:65" ht="15" customHeight="1" x14ac:dyDescent="0.3">
      <c r="A93" s="10" t="str">
        <f>IF(Job_Master!A93="","",Job_Master!A93)</f>
        <v/>
      </c>
      <c r="B93" s="10" t="str">
        <f>IF($A93="","",Job_Master!B93)</f>
        <v/>
      </c>
      <c r="C93" s="10" t="str">
        <f>IF($A93="","",Job_Master!C93)</f>
        <v/>
      </c>
      <c r="D93" s="10" t="str">
        <f>IF($A93="","",Job_Master!D93)</f>
        <v/>
      </c>
      <c r="E93" s="48" t="str">
        <f>IF($A93="","",IFERROR(INDEX(Machine_List!$B$8:$B$13,MATCH("*"&amp;$B93&amp;"*",Machine_List!$J$8:$J$13,0)),"NO COMPATIBLE MACHINE"))</f>
        <v/>
      </c>
      <c r="F93" s="106" t="str">
        <f>IF($E93="","",IFERROR(VLOOKUP($E93,Machine_List!$B:$G,6,0),""))</f>
        <v/>
      </c>
      <c r="G93" s="53" t="str">
        <f>IF($E93="","",IFERROR(VLOOKUP($E93,Machine_List!$B:$C,2,0),""))</f>
        <v/>
      </c>
      <c r="H93" s="10" t="str">
        <f>IF($E93="","",IFERROR(VLOOKUP($E93,Machine_List!$B:$D,3,0),""))</f>
        <v/>
      </c>
      <c r="I93" s="54"/>
      <c r="J93" s="55" t="str">
        <f ca="1">IF($A93="","",IF($I93&lt;&gt;"",$I93,MAX(VTL_Plan!$M93,IFERROR(LOOKUP(2,1/($E$3:INDIRECT("E"&amp;(ROW()-1))=$E93),$M$3:INDIRECT("M"&amp;(ROW()-1))),VTL_Plan!$M93))))</f>
        <v/>
      </c>
      <c r="K93" s="10" t="str">
        <f>IF($A93="","",IFERROR(VLOOKUP(B93,CHOOSE(MATCH(C93,Settings!$L$4:$L$10,0),OPR_2P!$A$4:$I$18,SEG_6P!$A$4:$I$18,SOL_4P!$A$4:$I$18,RW_2P!$A$4:$I$18,RW2_4P!$A$4:$I$18,FLAP_4P!$A$4:$I$18,TUBE_4P!$A$4:$I$18),2,0),0))</f>
        <v/>
      </c>
      <c r="L93" s="10" t="str">
        <f t="shared" si="3"/>
        <v/>
      </c>
      <c r="M93" s="55" t="str">
        <f>IF($A93="","",IF(AND(ISNUMBER(G93),G93&gt;=J93,G93&lt;=(J93+(L93/(IF(F93="Contract Workman",Settings!$K$5,Settings!$K$4))))),J93+(L93/(IF(F93="Contract Workman",Settings!$K$5,Settings!$K$4)))+(H93/(IF(F93="Contract Workman",Settings!$K$5,Settings!$K$4))),J93+(L93/(IF(F93="Contract Workman",Settings!$K$5,Settings!$K$4)))))</f>
        <v/>
      </c>
      <c r="N93" s="10" t="str">
        <f t="shared" si="4"/>
        <v/>
      </c>
      <c r="O93" s="51" t="str">
        <f>IF(B93="","", IF(IFERROR(ISNUMBER(SEARCH(B93, VLOOKUP(E93, Machine_List!$B:$J, 9, 0))), FALSE()), "✅ Machine OK", "❌ Sug: " &amp; IFERROR(INDEX(Machine_List!$B$4:$B$50, MATCH("*"&amp;B93&amp;"*", Machine_List!$J$4:$J$50, 0)), "Check Limits")))</f>
        <v/>
      </c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  <c r="AC93" s="52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  <c r="AX93" s="52"/>
      <c r="AY93" s="52"/>
      <c r="AZ93" s="52"/>
      <c r="BA93" s="52"/>
      <c r="BB93" s="52"/>
      <c r="BC93" s="52"/>
      <c r="BD93" s="52"/>
      <c r="BE93" s="52"/>
      <c r="BF93" s="52"/>
      <c r="BG93" s="52"/>
      <c r="BH93" s="52"/>
      <c r="BI93" s="52"/>
      <c r="BJ93" s="52"/>
      <c r="BK93" s="52"/>
      <c r="BL93" s="52"/>
      <c r="BM93" s="52"/>
    </row>
    <row r="94" spans="1:65" ht="15" customHeight="1" x14ac:dyDescent="0.3">
      <c r="A94" s="10" t="str">
        <f>IF(Job_Master!A94="","",Job_Master!A94)</f>
        <v/>
      </c>
      <c r="B94" s="10" t="str">
        <f>IF($A94="","",Job_Master!B94)</f>
        <v/>
      </c>
      <c r="C94" s="10" t="str">
        <f>IF($A94="","",Job_Master!C94)</f>
        <v/>
      </c>
      <c r="D94" s="10" t="str">
        <f>IF($A94="","",Job_Master!D94)</f>
        <v/>
      </c>
      <c r="E94" s="48" t="str">
        <f>IF($A94="","",IFERROR(INDEX(Machine_List!$B$8:$B$13,MATCH("*"&amp;$B94&amp;"*",Machine_List!$J$8:$J$13,0)),"NO COMPATIBLE MACHINE"))</f>
        <v/>
      </c>
      <c r="F94" s="106" t="str">
        <f>IF($E94="","",IFERROR(VLOOKUP($E94,Machine_List!$B:$G,6,0),""))</f>
        <v/>
      </c>
      <c r="G94" s="53" t="str">
        <f>IF($E94="","",IFERROR(VLOOKUP($E94,Machine_List!$B:$C,2,0),""))</f>
        <v/>
      </c>
      <c r="H94" s="10" t="str">
        <f>IF($E94="","",IFERROR(VLOOKUP($E94,Machine_List!$B:$D,3,0),""))</f>
        <v/>
      </c>
      <c r="I94" s="54"/>
      <c r="J94" s="55" t="str">
        <f ca="1">IF($A94="","",IF($I94&lt;&gt;"",$I94,MAX(VTL_Plan!$M94,IFERROR(LOOKUP(2,1/($E$3:INDIRECT("E"&amp;(ROW()-1))=$E94),$M$3:INDIRECT("M"&amp;(ROW()-1))),VTL_Plan!$M94))))</f>
        <v/>
      </c>
      <c r="K94" s="10" t="str">
        <f>IF($A94="","",IFERROR(VLOOKUP(B94,CHOOSE(MATCH(C94,Settings!$L$4:$L$10,0),OPR_2P!$A$4:$I$18,SEG_6P!$A$4:$I$18,SOL_4P!$A$4:$I$18,RW_2P!$A$4:$I$18,RW2_4P!$A$4:$I$18,FLAP_4P!$A$4:$I$18,TUBE_4P!$A$4:$I$18),2,0),0))</f>
        <v/>
      </c>
      <c r="L94" s="10" t="str">
        <f t="shared" si="3"/>
        <v/>
      </c>
      <c r="M94" s="55" t="str">
        <f>IF($A94="","",IF(AND(ISNUMBER(G94),G94&gt;=J94,G94&lt;=(J94+(L94/(IF(F94="Contract Workman",Settings!$K$5,Settings!$K$4))))),J94+(L94/(IF(F94="Contract Workman",Settings!$K$5,Settings!$K$4)))+(H94/(IF(F94="Contract Workman",Settings!$K$5,Settings!$K$4))),J94+(L94/(IF(F94="Contract Workman",Settings!$K$5,Settings!$K$4)))))</f>
        <v/>
      </c>
      <c r="N94" s="10" t="str">
        <f t="shared" si="4"/>
        <v/>
      </c>
      <c r="O94" s="51" t="str">
        <f>IF(B94="","", IF(IFERROR(ISNUMBER(SEARCH(B94, VLOOKUP(E94, Machine_List!$B:$J, 9, 0))), FALSE()), "✅ Machine OK", "❌ Sug: " &amp; IFERROR(INDEX(Machine_List!$B$4:$B$50, MATCH("*"&amp;B94&amp;"*", Machine_List!$J$4:$J$50, 0)), "Check Limits")))</f>
        <v/>
      </c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2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  <c r="AX94" s="52"/>
      <c r="AY94" s="52"/>
      <c r="AZ94" s="52"/>
      <c r="BA94" s="52"/>
      <c r="BB94" s="52"/>
      <c r="BC94" s="52"/>
      <c r="BD94" s="52"/>
      <c r="BE94" s="52"/>
      <c r="BF94" s="52"/>
      <c r="BG94" s="52"/>
      <c r="BH94" s="52"/>
      <c r="BI94" s="52"/>
      <c r="BJ94" s="52"/>
      <c r="BK94" s="52"/>
      <c r="BL94" s="52"/>
      <c r="BM94" s="52"/>
    </row>
    <row r="95" spans="1:65" ht="15" customHeight="1" x14ac:dyDescent="0.3">
      <c r="A95" s="10" t="str">
        <f>IF(Job_Master!A95="","",Job_Master!A95)</f>
        <v/>
      </c>
      <c r="B95" s="10" t="str">
        <f>IF($A95="","",Job_Master!B95)</f>
        <v/>
      </c>
      <c r="C95" s="10" t="str">
        <f>IF($A95="","",Job_Master!C95)</f>
        <v/>
      </c>
      <c r="D95" s="10" t="str">
        <f>IF($A95="","",Job_Master!D95)</f>
        <v/>
      </c>
      <c r="E95" s="48" t="str">
        <f>IF($A95="","",IFERROR(INDEX(Machine_List!$B$8:$B$13,MATCH("*"&amp;$B95&amp;"*",Machine_List!$J$8:$J$13,0)),"NO COMPATIBLE MACHINE"))</f>
        <v/>
      </c>
      <c r="F95" s="106" t="str">
        <f>IF($E95="","",IFERROR(VLOOKUP($E95,Machine_List!$B:$G,6,0),""))</f>
        <v/>
      </c>
      <c r="G95" s="53" t="str">
        <f>IF($E95="","",IFERROR(VLOOKUP($E95,Machine_List!$B:$C,2,0),""))</f>
        <v/>
      </c>
      <c r="H95" s="10" t="str">
        <f>IF($E95="","",IFERROR(VLOOKUP($E95,Machine_List!$B:$D,3,0),""))</f>
        <v/>
      </c>
      <c r="I95" s="54"/>
      <c r="J95" s="55" t="str">
        <f ca="1">IF($A95="","",IF($I95&lt;&gt;"",$I95,MAX(VTL_Plan!$M95,IFERROR(LOOKUP(2,1/($E$3:INDIRECT("E"&amp;(ROW()-1))=$E95),$M$3:INDIRECT("M"&amp;(ROW()-1))),VTL_Plan!$M95))))</f>
        <v/>
      </c>
      <c r="K95" s="10" t="str">
        <f>IF($A95="","",IFERROR(VLOOKUP(B95,CHOOSE(MATCH(C95,Settings!$L$4:$L$10,0),OPR_2P!$A$4:$I$18,SEG_6P!$A$4:$I$18,SOL_4P!$A$4:$I$18,RW_2P!$A$4:$I$18,RW2_4P!$A$4:$I$18,FLAP_4P!$A$4:$I$18,TUBE_4P!$A$4:$I$18),2,0),0))</f>
        <v/>
      </c>
      <c r="L95" s="10" t="str">
        <f t="shared" si="3"/>
        <v/>
      </c>
      <c r="M95" s="55" t="str">
        <f>IF($A95="","",IF(AND(ISNUMBER(G95),G95&gt;=J95,G95&lt;=(J95+(L95/(IF(F95="Contract Workman",Settings!$K$5,Settings!$K$4))))),J95+(L95/(IF(F95="Contract Workman",Settings!$K$5,Settings!$K$4)))+(H95/(IF(F95="Contract Workman",Settings!$K$5,Settings!$K$4))),J95+(L95/(IF(F95="Contract Workman",Settings!$K$5,Settings!$K$4)))))</f>
        <v/>
      </c>
      <c r="N95" s="10" t="str">
        <f t="shared" si="4"/>
        <v/>
      </c>
      <c r="O95" s="51" t="str">
        <f>IF(B95="","", IF(IFERROR(ISNUMBER(SEARCH(B95, VLOOKUP(E95, Machine_List!$B:$J, 9, 0))), FALSE()), "✅ Machine OK", "❌ Sug: " &amp; IFERROR(INDEX(Machine_List!$B$4:$B$50, MATCH("*"&amp;B95&amp;"*", Machine_List!$J$4:$J$50, 0)), "Check Limits")))</f>
        <v/>
      </c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  <c r="AC95" s="52"/>
      <c r="AD95" s="52"/>
      <c r="AE95" s="52"/>
      <c r="AF95" s="52"/>
      <c r="AG95" s="52"/>
      <c r="AH95" s="52"/>
      <c r="AI95" s="52"/>
      <c r="AJ95" s="52"/>
      <c r="AK95" s="52"/>
      <c r="AL95" s="52"/>
      <c r="AM95" s="52"/>
      <c r="AN95" s="52"/>
      <c r="AO95" s="52"/>
      <c r="AP95" s="52"/>
      <c r="AQ95" s="52"/>
      <c r="AR95" s="52"/>
      <c r="AS95" s="52"/>
      <c r="AT95" s="52"/>
      <c r="AU95" s="52"/>
      <c r="AV95" s="52"/>
      <c r="AW95" s="52"/>
      <c r="AX95" s="52"/>
      <c r="AY95" s="52"/>
      <c r="AZ95" s="52"/>
      <c r="BA95" s="52"/>
      <c r="BB95" s="52"/>
      <c r="BC95" s="52"/>
      <c r="BD95" s="52"/>
      <c r="BE95" s="52"/>
      <c r="BF95" s="52"/>
      <c r="BG95" s="52"/>
      <c r="BH95" s="52"/>
      <c r="BI95" s="52"/>
      <c r="BJ95" s="52"/>
      <c r="BK95" s="52"/>
      <c r="BL95" s="52"/>
      <c r="BM95" s="52"/>
    </row>
    <row r="96" spans="1:65" ht="15" customHeight="1" x14ac:dyDescent="0.3">
      <c r="A96" s="10" t="str">
        <f>IF(Job_Master!A96="","",Job_Master!A96)</f>
        <v/>
      </c>
      <c r="B96" s="10" t="str">
        <f>IF($A96="","",Job_Master!B96)</f>
        <v/>
      </c>
      <c r="C96" s="10" t="str">
        <f>IF($A96="","",Job_Master!C96)</f>
        <v/>
      </c>
      <c r="D96" s="10" t="str">
        <f>IF($A96="","",Job_Master!D96)</f>
        <v/>
      </c>
      <c r="E96" s="48" t="str">
        <f>IF($A96="","",IFERROR(INDEX(Machine_List!$B$8:$B$13,MATCH("*"&amp;$B96&amp;"*",Machine_List!$J$8:$J$13,0)),"NO COMPATIBLE MACHINE"))</f>
        <v/>
      </c>
      <c r="F96" s="106" t="str">
        <f>IF($E96="","",IFERROR(VLOOKUP($E96,Machine_List!$B:$G,6,0),""))</f>
        <v/>
      </c>
      <c r="G96" s="53" t="str">
        <f>IF($E96="","",IFERROR(VLOOKUP($E96,Machine_List!$B:$C,2,0),""))</f>
        <v/>
      </c>
      <c r="H96" s="10" t="str">
        <f>IF($E96="","",IFERROR(VLOOKUP($E96,Machine_List!$B:$D,3,0),""))</f>
        <v/>
      </c>
      <c r="I96" s="54"/>
      <c r="J96" s="55" t="str">
        <f ca="1">IF($A96="","",IF($I96&lt;&gt;"",$I96,MAX(VTL_Plan!$M96,IFERROR(LOOKUP(2,1/($E$3:INDIRECT("E"&amp;(ROW()-1))=$E96),$M$3:INDIRECT("M"&amp;(ROW()-1))),VTL_Plan!$M96))))</f>
        <v/>
      </c>
      <c r="K96" s="10" t="str">
        <f>IF($A96="","",IFERROR(VLOOKUP(B96,CHOOSE(MATCH(C96,Settings!$L$4:$L$10,0),OPR_2P!$A$4:$I$18,SEG_6P!$A$4:$I$18,SOL_4P!$A$4:$I$18,RW_2P!$A$4:$I$18,RW2_4P!$A$4:$I$18,FLAP_4P!$A$4:$I$18,TUBE_4P!$A$4:$I$18),2,0),0))</f>
        <v/>
      </c>
      <c r="L96" s="10" t="str">
        <f t="shared" si="3"/>
        <v/>
      </c>
      <c r="M96" s="55" t="str">
        <f>IF($A96="","",IF(AND(ISNUMBER(G96),G96&gt;=J96,G96&lt;=(J96+(L96/(IF(F96="Contract Workman",Settings!$K$5,Settings!$K$4))))),J96+(L96/(IF(F96="Contract Workman",Settings!$K$5,Settings!$K$4)))+(H96/(IF(F96="Contract Workman",Settings!$K$5,Settings!$K$4))),J96+(L96/(IF(F96="Contract Workman",Settings!$K$5,Settings!$K$4)))))</f>
        <v/>
      </c>
      <c r="N96" s="10" t="str">
        <f t="shared" si="4"/>
        <v/>
      </c>
      <c r="O96" s="51" t="str">
        <f>IF(B96="","", IF(IFERROR(ISNUMBER(SEARCH(B96, VLOOKUP(E96, Machine_List!$B:$J, 9, 0))), FALSE()), "✅ Machine OK", "❌ Sug: " &amp; IFERROR(INDEX(Machine_List!$B$4:$B$50, MATCH("*"&amp;B96&amp;"*", Machine_List!$J$4:$J$50, 0)), "Check Limits")))</f>
        <v/>
      </c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  <c r="AC96" s="52"/>
      <c r="AD96" s="52"/>
      <c r="AE96" s="52"/>
      <c r="AF96" s="52"/>
      <c r="AG96" s="52"/>
      <c r="AH96" s="52"/>
      <c r="AI96" s="52"/>
      <c r="AJ96" s="52"/>
      <c r="AK96" s="52"/>
      <c r="AL96" s="52"/>
      <c r="AM96" s="52"/>
      <c r="AN96" s="52"/>
      <c r="AO96" s="52"/>
      <c r="AP96" s="52"/>
      <c r="AQ96" s="52"/>
      <c r="AR96" s="52"/>
      <c r="AS96" s="52"/>
      <c r="AT96" s="52"/>
      <c r="AU96" s="52"/>
      <c r="AV96" s="52"/>
      <c r="AW96" s="52"/>
      <c r="AX96" s="52"/>
      <c r="AY96" s="52"/>
      <c r="AZ96" s="52"/>
      <c r="BA96" s="52"/>
      <c r="BB96" s="52"/>
      <c r="BC96" s="52"/>
      <c r="BD96" s="52"/>
      <c r="BE96" s="52"/>
      <c r="BF96" s="52"/>
      <c r="BG96" s="52"/>
      <c r="BH96" s="52"/>
      <c r="BI96" s="52"/>
      <c r="BJ96" s="52"/>
      <c r="BK96" s="52"/>
      <c r="BL96" s="52"/>
      <c r="BM96" s="52"/>
    </row>
    <row r="97" spans="1:65" ht="15" customHeight="1" x14ac:dyDescent="0.3">
      <c r="A97" s="10" t="str">
        <f>IF(Job_Master!A97="","",Job_Master!A97)</f>
        <v/>
      </c>
      <c r="B97" s="10" t="str">
        <f>IF($A97="","",Job_Master!B97)</f>
        <v/>
      </c>
      <c r="C97" s="10" t="str">
        <f>IF($A97="","",Job_Master!C97)</f>
        <v/>
      </c>
      <c r="D97" s="10" t="str">
        <f>IF($A97="","",Job_Master!D97)</f>
        <v/>
      </c>
      <c r="E97" s="48" t="str">
        <f>IF($A97="","",IFERROR(INDEX(Machine_List!$B$8:$B$13,MATCH("*"&amp;$B97&amp;"*",Machine_List!$J$8:$J$13,0)),"NO COMPATIBLE MACHINE"))</f>
        <v/>
      </c>
      <c r="F97" s="106" t="str">
        <f>IF($E97="","",IFERROR(VLOOKUP($E97,Machine_List!$B:$G,6,0),""))</f>
        <v/>
      </c>
      <c r="G97" s="53" t="str">
        <f>IF($E97="","",IFERROR(VLOOKUP($E97,Machine_List!$B:$C,2,0),""))</f>
        <v/>
      </c>
      <c r="H97" s="10" t="str">
        <f>IF($E97="","",IFERROR(VLOOKUP($E97,Machine_List!$B:$D,3,0),""))</f>
        <v/>
      </c>
      <c r="I97" s="54"/>
      <c r="J97" s="55" t="str">
        <f ca="1">IF($A97="","",IF($I97&lt;&gt;"",$I97,MAX(VTL_Plan!$M97,IFERROR(LOOKUP(2,1/($E$3:INDIRECT("E"&amp;(ROW()-1))=$E97),$M$3:INDIRECT("M"&amp;(ROW()-1))),VTL_Plan!$M97))))</f>
        <v/>
      </c>
      <c r="K97" s="10" t="str">
        <f>IF($A97="","",IFERROR(VLOOKUP(B97,CHOOSE(MATCH(C97,Settings!$L$4:$L$10,0),OPR_2P!$A$4:$I$18,SEG_6P!$A$4:$I$18,SOL_4P!$A$4:$I$18,RW_2P!$A$4:$I$18,RW2_4P!$A$4:$I$18,FLAP_4P!$A$4:$I$18,TUBE_4P!$A$4:$I$18),2,0),0))</f>
        <v/>
      </c>
      <c r="L97" s="10" t="str">
        <f t="shared" si="3"/>
        <v/>
      </c>
      <c r="M97" s="55" t="str">
        <f>IF($A97="","",IF(AND(ISNUMBER(G97),G97&gt;=J97,G97&lt;=(J97+(L97/(IF(F97="Contract Workman",Settings!$K$5,Settings!$K$4))))),J97+(L97/(IF(F97="Contract Workman",Settings!$K$5,Settings!$K$4)))+(H97/(IF(F97="Contract Workman",Settings!$K$5,Settings!$K$4))),J97+(L97/(IF(F97="Contract Workman",Settings!$K$5,Settings!$K$4)))))</f>
        <v/>
      </c>
      <c r="N97" s="10" t="str">
        <f t="shared" si="4"/>
        <v/>
      </c>
      <c r="O97" s="51" t="str">
        <f>IF(B97="","", IF(IFERROR(ISNUMBER(SEARCH(B97, VLOOKUP(E97, Machine_List!$B:$J, 9, 0))), FALSE()), "✅ Machine OK", "❌ Sug: " &amp; IFERROR(INDEX(Machine_List!$B$4:$B$50, MATCH("*"&amp;B97&amp;"*", Machine_List!$J$4:$J$50, 0)), "Check Limits")))</f>
        <v/>
      </c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  <c r="AE97" s="52"/>
      <c r="AF97" s="52"/>
      <c r="AG97" s="52"/>
      <c r="AH97" s="52"/>
      <c r="AI97" s="52"/>
      <c r="AJ97" s="52"/>
      <c r="AK97" s="52"/>
      <c r="AL97" s="52"/>
      <c r="AM97" s="52"/>
      <c r="AN97" s="52"/>
      <c r="AO97" s="52"/>
      <c r="AP97" s="52"/>
      <c r="AQ97" s="52"/>
      <c r="AR97" s="52"/>
      <c r="AS97" s="52"/>
      <c r="AT97" s="52"/>
      <c r="AU97" s="52"/>
      <c r="AV97" s="52"/>
      <c r="AW97" s="52"/>
      <c r="AX97" s="52"/>
      <c r="AY97" s="52"/>
      <c r="AZ97" s="52"/>
      <c r="BA97" s="52"/>
      <c r="BB97" s="52"/>
      <c r="BC97" s="52"/>
      <c r="BD97" s="52"/>
      <c r="BE97" s="52"/>
      <c r="BF97" s="52"/>
      <c r="BG97" s="52"/>
      <c r="BH97" s="52"/>
      <c r="BI97" s="52"/>
      <c r="BJ97" s="52"/>
      <c r="BK97" s="52"/>
      <c r="BL97" s="52"/>
      <c r="BM97" s="52"/>
    </row>
    <row r="98" spans="1:65" ht="15" customHeight="1" x14ac:dyDescent="0.3">
      <c r="A98" s="10" t="str">
        <f>IF(Job_Master!A98="","",Job_Master!A98)</f>
        <v/>
      </c>
      <c r="B98" s="10" t="str">
        <f>IF($A98="","",Job_Master!B98)</f>
        <v/>
      </c>
      <c r="C98" s="10" t="str">
        <f>IF($A98="","",Job_Master!C98)</f>
        <v/>
      </c>
      <c r="D98" s="10" t="str">
        <f>IF($A98="","",Job_Master!D98)</f>
        <v/>
      </c>
      <c r="E98" s="48" t="str">
        <f>IF($A98="","",IFERROR(INDEX(Machine_List!$B$8:$B$13,MATCH("*"&amp;$B98&amp;"*",Machine_List!$J$8:$J$13,0)),"NO COMPATIBLE MACHINE"))</f>
        <v/>
      </c>
      <c r="F98" s="106" t="str">
        <f>IF($E98="","",IFERROR(VLOOKUP($E98,Machine_List!$B:$G,6,0),""))</f>
        <v/>
      </c>
      <c r="G98" s="53" t="str">
        <f>IF($E98="","",IFERROR(VLOOKUP($E98,Machine_List!$B:$C,2,0),""))</f>
        <v/>
      </c>
      <c r="H98" s="10" t="str">
        <f>IF($E98="","",IFERROR(VLOOKUP($E98,Machine_List!$B:$D,3,0),""))</f>
        <v/>
      </c>
      <c r="I98" s="54"/>
      <c r="J98" s="55" t="str">
        <f ca="1">IF($A98="","",IF($I98&lt;&gt;"",$I98,MAX(VTL_Plan!$M98,IFERROR(LOOKUP(2,1/($E$3:INDIRECT("E"&amp;(ROW()-1))=$E98),$M$3:INDIRECT("M"&amp;(ROW()-1))),VTL_Plan!$M98))))</f>
        <v/>
      </c>
      <c r="K98" s="10" t="str">
        <f>IF($A98="","",IFERROR(VLOOKUP(B98,CHOOSE(MATCH(C98,Settings!$L$4:$L$10,0),OPR_2P!$A$4:$I$18,SEG_6P!$A$4:$I$18,SOL_4P!$A$4:$I$18,RW_2P!$A$4:$I$18,RW2_4P!$A$4:$I$18,FLAP_4P!$A$4:$I$18,TUBE_4P!$A$4:$I$18),2,0),0))</f>
        <v/>
      </c>
      <c r="L98" s="10" t="str">
        <f t="shared" si="3"/>
        <v/>
      </c>
      <c r="M98" s="55" t="str">
        <f>IF($A98="","",IF(AND(ISNUMBER(G98),G98&gt;=J98,G98&lt;=(J98+(L98/(IF(F98="Contract Workman",Settings!$K$5,Settings!$K$4))))),J98+(L98/(IF(F98="Contract Workman",Settings!$K$5,Settings!$K$4)))+(H98/(IF(F98="Contract Workman",Settings!$K$5,Settings!$K$4))),J98+(L98/(IF(F98="Contract Workman",Settings!$K$5,Settings!$K$4)))))</f>
        <v/>
      </c>
      <c r="N98" s="10" t="str">
        <f t="shared" si="4"/>
        <v/>
      </c>
      <c r="O98" s="51" t="str">
        <f>IF(B98="","", IF(IFERROR(ISNUMBER(SEARCH(B98, VLOOKUP(E98, Machine_List!$B:$J, 9, 0))), FALSE()), "✅ Machine OK", "❌ Sug: " &amp; IFERROR(INDEX(Machine_List!$B$4:$B$50, MATCH("*"&amp;B98&amp;"*", Machine_List!$J$4:$J$50, 0)), "Check Limits")))</f>
        <v/>
      </c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52"/>
      <c r="AN98" s="52"/>
      <c r="AO98" s="52"/>
      <c r="AP98" s="52"/>
      <c r="AQ98" s="52"/>
      <c r="AR98" s="52"/>
      <c r="AS98" s="52"/>
      <c r="AT98" s="52"/>
      <c r="AU98" s="52"/>
      <c r="AV98" s="52"/>
      <c r="AW98" s="52"/>
      <c r="AX98" s="52"/>
      <c r="AY98" s="52"/>
      <c r="AZ98" s="52"/>
      <c r="BA98" s="52"/>
      <c r="BB98" s="52"/>
      <c r="BC98" s="52"/>
      <c r="BD98" s="52"/>
      <c r="BE98" s="52"/>
      <c r="BF98" s="52"/>
      <c r="BG98" s="52"/>
      <c r="BH98" s="52"/>
      <c r="BI98" s="52"/>
      <c r="BJ98" s="52"/>
      <c r="BK98" s="52"/>
      <c r="BL98" s="52"/>
      <c r="BM98" s="52"/>
    </row>
    <row r="99" spans="1:65" ht="15" customHeight="1" x14ac:dyDescent="0.3">
      <c r="A99" s="10" t="str">
        <f>IF(Job_Master!A99="","",Job_Master!A99)</f>
        <v/>
      </c>
      <c r="B99" s="10" t="str">
        <f>IF($A99="","",Job_Master!B99)</f>
        <v/>
      </c>
      <c r="C99" s="10" t="str">
        <f>IF($A99="","",Job_Master!C99)</f>
        <v/>
      </c>
      <c r="D99" s="10" t="str">
        <f>IF($A99="","",Job_Master!D99)</f>
        <v/>
      </c>
      <c r="E99" s="48" t="str">
        <f>IF($A99="","",IFERROR(INDEX(Machine_List!$B$8:$B$13,MATCH("*"&amp;$B99&amp;"*",Machine_List!$J$8:$J$13,0)),"NO COMPATIBLE MACHINE"))</f>
        <v/>
      </c>
      <c r="F99" s="106" t="str">
        <f>IF($E99="","",IFERROR(VLOOKUP($E99,Machine_List!$B:$G,6,0),""))</f>
        <v/>
      </c>
      <c r="G99" s="53" t="str">
        <f>IF($E99="","",IFERROR(VLOOKUP($E99,Machine_List!$B:$C,2,0),""))</f>
        <v/>
      </c>
      <c r="H99" s="10" t="str">
        <f>IF($E99="","",IFERROR(VLOOKUP($E99,Machine_List!$B:$D,3,0),""))</f>
        <v/>
      </c>
      <c r="I99" s="54"/>
      <c r="J99" s="55" t="str">
        <f ca="1">IF($A99="","",IF($I99&lt;&gt;"",$I99,MAX(VTL_Plan!$M99,IFERROR(LOOKUP(2,1/($E$3:INDIRECT("E"&amp;(ROW()-1))=$E99),$M$3:INDIRECT("M"&amp;(ROW()-1))),VTL_Plan!$M99))))</f>
        <v/>
      </c>
      <c r="K99" s="10" t="str">
        <f>IF($A99="","",IFERROR(VLOOKUP(B99,CHOOSE(MATCH(C99,Settings!$L$4:$L$10,0),OPR_2P!$A$4:$I$18,SEG_6P!$A$4:$I$18,SOL_4P!$A$4:$I$18,RW_2P!$A$4:$I$18,RW2_4P!$A$4:$I$18,FLAP_4P!$A$4:$I$18,TUBE_4P!$A$4:$I$18),2,0),0))</f>
        <v/>
      </c>
      <c r="L99" s="10" t="str">
        <f t="shared" si="3"/>
        <v/>
      </c>
      <c r="M99" s="55" t="str">
        <f>IF($A99="","",IF(AND(ISNUMBER(G99),G99&gt;=J99,G99&lt;=(J99+(L99/(IF(F99="Contract Workman",Settings!$K$5,Settings!$K$4))))),J99+(L99/(IF(F99="Contract Workman",Settings!$K$5,Settings!$K$4)))+(H99/(IF(F99="Contract Workman",Settings!$K$5,Settings!$K$4))),J99+(L99/(IF(F99="Contract Workman",Settings!$K$5,Settings!$K$4)))))</f>
        <v/>
      </c>
      <c r="N99" s="10" t="str">
        <f t="shared" si="4"/>
        <v/>
      </c>
      <c r="O99" s="51" t="str">
        <f>IF(B99="","", IF(IFERROR(ISNUMBER(SEARCH(B99, VLOOKUP(E99, Machine_List!$B:$J, 9, 0))), FALSE()), "✅ Machine OK", "❌ Sug: " &amp; IFERROR(INDEX(Machine_List!$B$4:$B$50, MATCH("*"&amp;B99&amp;"*", Machine_List!$J$4:$J$50, 0)), "Check Limits")))</f>
        <v/>
      </c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  <c r="AE99" s="52"/>
      <c r="AF99" s="52"/>
      <c r="AG99" s="52"/>
      <c r="AH99" s="52"/>
      <c r="AI99" s="52"/>
      <c r="AJ99" s="52"/>
      <c r="AK99" s="52"/>
      <c r="AL99" s="52"/>
      <c r="AM99" s="52"/>
      <c r="AN99" s="52"/>
      <c r="AO99" s="52"/>
      <c r="AP99" s="52"/>
      <c r="AQ99" s="52"/>
      <c r="AR99" s="52"/>
      <c r="AS99" s="52"/>
      <c r="AT99" s="52"/>
      <c r="AU99" s="52"/>
      <c r="AV99" s="52"/>
      <c r="AW99" s="52"/>
      <c r="AX99" s="52"/>
      <c r="AY99" s="52"/>
      <c r="AZ99" s="52"/>
      <c r="BA99" s="52"/>
      <c r="BB99" s="52"/>
      <c r="BC99" s="52"/>
      <c r="BD99" s="52"/>
      <c r="BE99" s="52"/>
      <c r="BF99" s="52"/>
      <c r="BG99" s="52"/>
      <c r="BH99" s="52"/>
      <c r="BI99" s="52"/>
      <c r="BJ99" s="52"/>
      <c r="BK99" s="52"/>
      <c r="BL99" s="52"/>
      <c r="BM99" s="52"/>
    </row>
    <row r="100" spans="1:65" ht="15" customHeight="1" x14ac:dyDescent="0.3">
      <c r="A100" s="10" t="str">
        <f>IF(Job_Master!A100="","",Job_Master!A100)</f>
        <v/>
      </c>
      <c r="B100" s="10" t="str">
        <f>IF($A100="","",Job_Master!B100)</f>
        <v/>
      </c>
      <c r="C100" s="10" t="str">
        <f>IF($A100="","",Job_Master!C100)</f>
        <v/>
      </c>
      <c r="D100" s="10" t="str">
        <f>IF($A100="","",Job_Master!D100)</f>
        <v/>
      </c>
      <c r="E100" s="48" t="str">
        <f>IF($A100="","",IFERROR(INDEX(Machine_List!$B$8:$B$13,MATCH("*"&amp;$B100&amp;"*",Machine_List!$J$8:$J$13,0)),"NO COMPATIBLE MACHINE"))</f>
        <v/>
      </c>
      <c r="F100" s="106" t="str">
        <f>IF($E100="","",IFERROR(VLOOKUP($E100,Machine_List!$B:$G,6,0),""))</f>
        <v/>
      </c>
      <c r="G100" s="53" t="str">
        <f>IF($E100="","",IFERROR(VLOOKUP($E100,Machine_List!$B:$C,2,0),""))</f>
        <v/>
      </c>
      <c r="H100" s="10" t="str">
        <f>IF($E100="","",IFERROR(VLOOKUP($E100,Machine_List!$B:$D,3,0),""))</f>
        <v/>
      </c>
      <c r="I100" s="58"/>
      <c r="J100" s="55" t="str">
        <f ca="1">IF($A100="","",IF($I100&lt;&gt;"",$I100,MAX(VTL_Plan!$M100,IFERROR(LOOKUP(2,1/($E$3:INDIRECT("E"&amp;(ROW()-1))=$E100),$M$3:INDIRECT("M"&amp;(ROW()-1))),VTL_Plan!$M100))))</f>
        <v/>
      </c>
      <c r="K100" s="10" t="str">
        <f>IF($A100="","",IFERROR(VLOOKUP(B100,CHOOSE(MATCH(C100,Settings!$L$4:$L$10,0),OPR_2P!$A$4:$I$18,SEG_6P!$A$4:$I$18,SOL_4P!$A$4:$I$18,RW_2P!$A$4:$I$18,RW2_4P!$A$4:$I$18,FLAP_4P!$A$4:$I$18,TUBE_4P!$A$4:$I$18),2,0),0))</f>
        <v/>
      </c>
      <c r="L100" s="10" t="str">
        <f t="shared" si="3"/>
        <v/>
      </c>
      <c r="M100" s="55" t="str">
        <f>IF($A100="","",IF(AND(ISNUMBER(G100),G100&gt;=J100,G100&lt;=(J100+(L100/(IF(F100="Contract Workman",Settings!$K$5,Settings!$K$4))))),J100+(L100/(IF(F100="Contract Workman",Settings!$K$5,Settings!$K$4)))+(H100/(IF(F100="Contract Workman",Settings!$K$5,Settings!$K$4))),J100+(L100/(IF(F100="Contract Workman",Settings!$K$5,Settings!$K$4)))))</f>
        <v/>
      </c>
      <c r="N100" s="10" t="str">
        <f t="shared" ref="N100:N131" si="5">IF($A100="","",IF(F100="Contract Workman",IF(AND(MOD(M100,1)&gt;=8/24,MOD(M100,1)&lt;20/24),"Shift S1","Shift S2"),IF(AND(MOD(M100,1)&gt;=7/24,MOD(M100,1)&lt;15/24),"Shift A",IF(AND(MOD(M100,1)&gt;=15/24,MOD(M100,1)&lt;23/24),"Shift B","Shift C"))))</f>
        <v/>
      </c>
      <c r="O100" s="51" t="str">
        <f>IF(B100="","", IF(IFERROR(ISNUMBER(SEARCH(B100, VLOOKUP(E100, Machine_List!$B:$J, 9, 0))), FALSE()), "✅ Machine OK", "❌ Sug: " &amp; IFERROR(INDEX(Machine_List!$B$4:$B$50, MATCH("*"&amp;B100&amp;"*", Machine_List!$J$4:$J$50, 0)), "Check Limits")))</f>
        <v/>
      </c>
    </row>
    <row r="101" spans="1:65" ht="15" customHeight="1" x14ac:dyDescent="0.3">
      <c r="A101" s="10" t="str">
        <f>IF(Job_Master!A101="","",Job_Master!A101)</f>
        <v/>
      </c>
      <c r="B101" s="10" t="str">
        <f>IF($A101="","",Job_Master!B101)</f>
        <v/>
      </c>
      <c r="C101" s="10" t="str">
        <f>IF($A101="","",Job_Master!C101)</f>
        <v/>
      </c>
      <c r="D101" s="10" t="str">
        <f>IF($A101="","",Job_Master!D101)</f>
        <v/>
      </c>
      <c r="E101" s="48" t="str">
        <f>IF($A101="","",IFERROR(INDEX(Machine_List!$B$8:$B$13,MATCH("*"&amp;$B101&amp;"*",Machine_List!$J$8:$J$13,0)),"NO COMPATIBLE MACHINE"))</f>
        <v/>
      </c>
      <c r="F101" s="106" t="str">
        <f>IF($E101="","",IFERROR(VLOOKUP($E101,Machine_List!$B:$G,6,0),""))</f>
        <v/>
      </c>
      <c r="G101" s="53" t="str">
        <f>IF($E101="","",IFERROR(VLOOKUP($E101,Machine_List!$B:$C,2,0),""))</f>
        <v/>
      </c>
      <c r="H101" s="10" t="str">
        <f>IF($E101="","",IFERROR(VLOOKUP($E101,Machine_List!$B:$D,3,0),""))</f>
        <v/>
      </c>
      <c r="J101" s="55" t="str">
        <f ca="1">IF($A101="","",IF($I101&lt;&gt;"",$I101,MAX(VTL_Plan!$M101,IFERROR(LOOKUP(2,1/($E$3:INDIRECT("E"&amp;(ROW()-1))=$E101),$M$3:INDIRECT("M"&amp;(ROW()-1))),VTL_Plan!$M101))))</f>
        <v/>
      </c>
      <c r="K101" s="10" t="str">
        <f>IF($A101="","",IFERROR(VLOOKUP(B101,CHOOSE(MATCH(C101,Settings!$L$4:$L$10,0),OPR_2P!$A$4:$I$18,SEG_6P!$A$4:$I$18,SOL_4P!$A$4:$I$18,RW_2P!$A$4:$I$18,RW2_4P!$A$4:$I$18,FLAP_4P!$A$4:$I$18,TUBE_4P!$A$4:$I$18),2,0),0))</f>
        <v/>
      </c>
      <c r="L101" s="10" t="str">
        <f t="shared" si="3"/>
        <v/>
      </c>
      <c r="M101" s="55" t="str">
        <f>IF($A101="","",IF(AND(ISNUMBER(G101),G101&gt;=J101,G101&lt;=(J101+(L101/(IF(F101="Contract Workman",Settings!$K$5,Settings!$K$4))))),J101+(L101/(IF(F101="Contract Workman",Settings!$K$5,Settings!$K$4)))+(H101/(IF(F101="Contract Workman",Settings!$K$5,Settings!$K$4))),J101+(L101/(IF(F101="Contract Workman",Settings!$K$5,Settings!$K$4)))))</f>
        <v/>
      </c>
      <c r="N101" s="10" t="str">
        <f t="shared" si="5"/>
        <v/>
      </c>
      <c r="O101" s="51"/>
    </row>
    <row r="102" spans="1:65" ht="15" customHeight="1" x14ac:dyDescent="0.3">
      <c r="A102" s="10" t="str">
        <f>IF(Job_Master!A102="","",Job_Master!A102)</f>
        <v/>
      </c>
      <c r="B102" s="10" t="str">
        <f>IF($A102="","",Job_Master!B102)</f>
        <v/>
      </c>
      <c r="C102" s="10" t="str">
        <f>IF($A102="","",Job_Master!C102)</f>
        <v/>
      </c>
      <c r="D102" s="10" t="str">
        <f>IF($A102="","",Job_Master!D102)</f>
        <v/>
      </c>
      <c r="E102" s="48" t="str">
        <f>IF($A102="","",IFERROR(INDEX(Machine_List!$B$8:$B$13,MATCH("*"&amp;$B102&amp;"*",Machine_List!$J$8:$J$13,0)),"NO COMPATIBLE MACHINE"))</f>
        <v/>
      </c>
      <c r="F102" s="106" t="str">
        <f>IF($E102="","",IFERROR(VLOOKUP($E102,Machine_List!$B:$G,6,0),""))</f>
        <v/>
      </c>
      <c r="G102" s="53" t="str">
        <f>IF($E102="","",IFERROR(VLOOKUP($E102,Machine_List!$B:$C,2,0),""))</f>
        <v/>
      </c>
      <c r="H102" s="10" t="str">
        <f>IF($E102="","",IFERROR(VLOOKUP($E102,Machine_List!$B:$D,3,0),""))</f>
        <v/>
      </c>
      <c r="J102" s="55" t="str">
        <f ca="1">IF($A102="","",IF($I102&lt;&gt;"",$I102,MAX(VTL_Plan!$M102,IFERROR(LOOKUP(2,1/($E$3:INDIRECT("E"&amp;(ROW()-1))=$E102),$M$3:INDIRECT("M"&amp;(ROW()-1))),VTL_Plan!$M102))))</f>
        <v/>
      </c>
      <c r="K102" s="10" t="str">
        <f>IF($A102="","",IFERROR(VLOOKUP(B102,CHOOSE(MATCH(C102,Settings!$L$4:$L$10,0),OPR_2P!$A$4:$I$18,SEG_6P!$A$4:$I$18,SOL_4P!$A$4:$I$18,RW_2P!$A$4:$I$18,RW2_4P!$A$4:$I$18,FLAP_4P!$A$4:$I$18,TUBE_4P!$A$4:$I$18),2,0),0))</f>
        <v/>
      </c>
      <c r="L102" s="10" t="str">
        <f t="shared" si="3"/>
        <v/>
      </c>
      <c r="M102" s="55" t="str">
        <f>IF($A102="","",IF(AND(ISNUMBER(G102),G102&gt;=J102,G102&lt;=(J102+(L102/(IF(F102="Contract Workman",Settings!$K$5,Settings!$K$4))))),J102+(L102/(IF(F102="Contract Workman",Settings!$K$5,Settings!$K$4)))+(H102/(IF(F102="Contract Workman",Settings!$K$5,Settings!$K$4))),J102+(L102/(IF(F102="Contract Workman",Settings!$K$5,Settings!$K$4)))))</f>
        <v/>
      </c>
      <c r="N102" s="10" t="str">
        <f t="shared" si="5"/>
        <v/>
      </c>
      <c r="O102" s="51"/>
    </row>
    <row r="103" spans="1:65" ht="15" customHeight="1" x14ac:dyDescent="0.3">
      <c r="A103" s="10" t="str">
        <f>IF(Job_Master!A103="","",Job_Master!A103)</f>
        <v/>
      </c>
      <c r="B103" s="10" t="str">
        <f>IF($A103="","",Job_Master!B103)</f>
        <v/>
      </c>
      <c r="C103" s="10" t="str">
        <f>IF($A103="","",Job_Master!C103)</f>
        <v/>
      </c>
      <c r="D103" s="10" t="str">
        <f>IF($A103="","",Job_Master!D103)</f>
        <v/>
      </c>
      <c r="E103" s="48" t="str">
        <f>IF($A103="","",IFERROR(INDEX(Machine_List!$B$8:$B$13,MATCH("*"&amp;$B103&amp;"*",Machine_List!$J$8:$J$13,0)),"NO COMPATIBLE MACHINE"))</f>
        <v/>
      </c>
      <c r="F103" s="106" t="str">
        <f>IF($E103="","",IFERROR(VLOOKUP($E103,Machine_List!$B:$G,6,0),""))</f>
        <v/>
      </c>
      <c r="G103" s="53" t="str">
        <f>IF($E103="","",IFERROR(VLOOKUP($E103,Machine_List!$B:$C,2,0),""))</f>
        <v/>
      </c>
      <c r="H103" s="10" t="str">
        <f>IF($E103="","",IFERROR(VLOOKUP($E103,Machine_List!$B:$D,3,0),""))</f>
        <v/>
      </c>
      <c r="J103" s="55" t="str">
        <f ca="1">IF($A103="","",IF($I103&lt;&gt;"",$I103,MAX(VTL_Plan!$M103,IFERROR(LOOKUP(2,1/($E$3:INDIRECT("E"&amp;(ROW()-1))=$E103),$M$3:INDIRECT("M"&amp;(ROW()-1))),VTL_Plan!$M103))))</f>
        <v/>
      </c>
      <c r="K103" s="10" t="str">
        <f>IF($A103="","",IFERROR(VLOOKUP(B103,CHOOSE(MATCH(C103,Settings!$L$4:$L$10,0),OPR_2P!$A$4:$I$18,SEG_6P!$A$4:$I$18,SOL_4P!$A$4:$I$18,RW_2P!$A$4:$I$18,RW2_4P!$A$4:$I$18,FLAP_4P!$A$4:$I$18,TUBE_4P!$A$4:$I$18),2,0),0))</f>
        <v/>
      </c>
      <c r="L103" s="10" t="str">
        <f t="shared" si="3"/>
        <v/>
      </c>
      <c r="M103" s="55" t="str">
        <f>IF($A103="","",IF(AND(ISNUMBER(G103),G103&gt;=J103,G103&lt;=(J103+(L103/(IF(F103="Contract Workman",Settings!$K$5,Settings!$K$4))))),J103+(L103/(IF(F103="Contract Workman",Settings!$K$5,Settings!$K$4)))+(H103/(IF(F103="Contract Workman",Settings!$K$5,Settings!$K$4))),J103+(L103/(IF(F103="Contract Workman",Settings!$K$5,Settings!$K$4)))))</f>
        <v/>
      </c>
      <c r="N103" s="10" t="str">
        <f t="shared" si="5"/>
        <v/>
      </c>
      <c r="O103" s="51"/>
    </row>
    <row r="104" spans="1:65" ht="15" customHeight="1" x14ac:dyDescent="0.3">
      <c r="L104" t="str">
        <f t="shared" si="3"/>
        <v/>
      </c>
      <c r="O104" s="51"/>
    </row>
    <row r="105" spans="1:65" ht="15" customHeight="1" x14ac:dyDescent="0.3">
      <c r="L105" t="str">
        <f t="shared" si="3"/>
        <v/>
      </c>
      <c r="O105" s="51"/>
    </row>
    <row r="106" spans="1:65" ht="15" customHeight="1" x14ac:dyDescent="0.3">
      <c r="L106" t="str">
        <f t="shared" si="3"/>
        <v/>
      </c>
      <c r="O106" s="51"/>
    </row>
    <row r="107" spans="1:65" ht="15" customHeight="1" x14ac:dyDescent="0.3">
      <c r="L107" t="str">
        <f t="shared" si="3"/>
        <v/>
      </c>
      <c r="O107" s="51"/>
    </row>
    <row r="108" spans="1:65" ht="15" customHeight="1" x14ac:dyDescent="0.3">
      <c r="L108" t="str">
        <f t="shared" si="3"/>
        <v/>
      </c>
      <c r="O108" s="51"/>
    </row>
    <row r="109" spans="1:65" ht="15" customHeight="1" x14ac:dyDescent="0.3">
      <c r="L109" t="str">
        <f t="shared" si="3"/>
        <v/>
      </c>
      <c r="O109" s="51"/>
    </row>
    <row r="110" spans="1:65" ht="15" customHeight="1" x14ac:dyDescent="0.3">
      <c r="L110" t="str">
        <f t="shared" si="3"/>
        <v/>
      </c>
      <c r="O110" s="51"/>
    </row>
    <row r="111" spans="1:65" ht="15" customHeight="1" x14ac:dyDescent="0.3">
      <c r="L111" t="str">
        <f t="shared" si="3"/>
        <v/>
      </c>
      <c r="O111" s="51"/>
    </row>
    <row r="112" spans="1:65" ht="15" customHeight="1" x14ac:dyDescent="0.3">
      <c r="L112" t="str">
        <f t="shared" si="3"/>
        <v/>
      </c>
      <c r="O112" s="51"/>
    </row>
    <row r="113" spans="12:15" ht="15" customHeight="1" x14ac:dyDescent="0.3">
      <c r="L113" t="str">
        <f t="shared" si="3"/>
        <v/>
      </c>
      <c r="O113" s="51"/>
    </row>
    <row r="114" spans="12:15" ht="15" customHeight="1" x14ac:dyDescent="0.3">
      <c r="L114" t="str">
        <f t="shared" si="3"/>
        <v/>
      </c>
      <c r="O114" s="51"/>
    </row>
    <row r="115" spans="12:15" ht="15" customHeight="1" x14ac:dyDescent="0.3">
      <c r="L115" t="str">
        <f t="shared" si="3"/>
        <v/>
      </c>
      <c r="O115" s="51"/>
    </row>
    <row r="116" spans="12:15" ht="15" customHeight="1" x14ac:dyDescent="0.3">
      <c r="L116" t="str">
        <f t="shared" si="3"/>
        <v/>
      </c>
      <c r="O116" s="51"/>
    </row>
    <row r="117" spans="12:15" ht="15" customHeight="1" x14ac:dyDescent="0.3">
      <c r="L117" t="str">
        <f t="shared" si="3"/>
        <v/>
      </c>
      <c r="O117" s="51"/>
    </row>
    <row r="118" spans="12:15" ht="15" customHeight="1" x14ac:dyDescent="0.3">
      <c r="L118" t="str">
        <f t="shared" si="3"/>
        <v/>
      </c>
      <c r="O118" s="51"/>
    </row>
    <row r="119" spans="12:15" ht="15" customHeight="1" x14ac:dyDescent="0.3">
      <c r="L119" t="str">
        <f t="shared" si="3"/>
        <v/>
      </c>
      <c r="O119" s="51"/>
    </row>
    <row r="120" spans="12:15" ht="15" customHeight="1" x14ac:dyDescent="0.3">
      <c r="L120" t="str">
        <f t="shared" si="3"/>
        <v/>
      </c>
      <c r="O120" s="51"/>
    </row>
    <row r="121" spans="12:15" ht="15" customHeight="1" x14ac:dyDescent="0.3">
      <c r="L121" t="str">
        <f t="shared" si="3"/>
        <v/>
      </c>
      <c r="O121" s="51"/>
    </row>
    <row r="122" spans="12:15" ht="15" customHeight="1" x14ac:dyDescent="0.3">
      <c r="L122" t="str">
        <f t="shared" si="3"/>
        <v/>
      </c>
      <c r="O122" s="51"/>
    </row>
    <row r="123" spans="12:15" ht="15" customHeight="1" x14ac:dyDescent="0.3">
      <c r="L123" t="str">
        <f t="shared" si="3"/>
        <v/>
      </c>
      <c r="O123" s="51"/>
    </row>
    <row r="124" spans="12:15" ht="15" customHeight="1" x14ac:dyDescent="0.3">
      <c r="L124" t="str">
        <f t="shared" si="3"/>
        <v/>
      </c>
      <c r="O124" s="51"/>
    </row>
    <row r="125" spans="12:15" ht="15" customHeight="1" x14ac:dyDescent="0.3">
      <c r="L125" t="str">
        <f t="shared" si="3"/>
        <v/>
      </c>
      <c r="O125" s="51"/>
    </row>
    <row r="126" spans="12:15" ht="15" customHeight="1" x14ac:dyDescent="0.3">
      <c r="L126" t="str">
        <f t="shared" si="3"/>
        <v/>
      </c>
      <c r="O126" s="51"/>
    </row>
    <row r="127" spans="12:15" ht="15" customHeight="1" x14ac:dyDescent="0.3">
      <c r="L127" t="str">
        <f t="shared" si="3"/>
        <v/>
      </c>
      <c r="O127" s="51"/>
    </row>
    <row r="128" spans="12:15" ht="15" customHeight="1" x14ac:dyDescent="0.3">
      <c r="L128" t="str">
        <f t="shared" si="3"/>
        <v/>
      </c>
      <c r="O128" s="51"/>
    </row>
    <row r="129" spans="12:15" ht="15" customHeight="1" x14ac:dyDescent="0.3">
      <c r="L129" t="str">
        <f t="shared" si="3"/>
        <v/>
      </c>
      <c r="O129" s="51"/>
    </row>
    <row r="130" spans="12:15" ht="15" customHeight="1" x14ac:dyDescent="0.3">
      <c r="L130" t="str">
        <f t="shared" si="3"/>
        <v/>
      </c>
      <c r="O130" s="51"/>
    </row>
    <row r="131" spans="12:15" ht="15" customHeight="1" x14ac:dyDescent="0.3">
      <c r="L131" t="str">
        <f t="shared" si="3"/>
        <v/>
      </c>
      <c r="O131" s="51"/>
    </row>
    <row r="132" spans="12:15" ht="15" customHeight="1" x14ac:dyDescent="0.3">
      <c r="L132" t="str">
        <f t="shared" ref="L132:L195" si="6">IF($A132="","",K132*D132)</f>
        <v/>
      </c>
      <c r="O132" s="51"/>
    </row>
    <row r="133" spans="12:15" ht="15" customHeight="1" x14ac:dyDescent="0.3">
      <c r="L133" t="str">
        <f t="shared" si="6"/>
        <v/>
      </c>
      <c r="O133" s="51"/>
    </row>
    <row r="134" spans="12:15" ht="15" customHeight="1" x14ac:dyDescent="0.3">
      <c r="L134" t="str">
        <f t="shared" si="6"/>
        <v/>
      </c>
      <c r="O134" s="51"/>
    </row>
    <row r="135" spans="12:15" ht="15" customHeight="1" x14ac:dyDescent="0.3">
      <c r="L135" t="str">
        <f t="shared" si="6"/>
        <v/>
      </c>
      <c r="O135" s="51"/>
    </row>
    <row r="136" spans="12:15" ht="15" customHeight="1" x14ac:dyDescent="0.3">
      <c r="L136" t="str">
        <f t="shared" si="6"/>
        <v/>
      </c>
      <c r="O136" s="51"/>
    </row>
    <row r="137" spans="12:15" ht="15" customHeight="1" x14ac:dyDescent="0.3">
      <c r="L137" t="str">
        <f t="shared" si="6"/>
        <v/>
      </c>
      <c r="O137" s="51"/>
    </row>
    <row r="138" spans="12:15" ht="15" customHeight="1" x14ac:dyDescent="0.3">
      <c r="L138" t="str">
        <f t="shared" si="6"/>
        <v/>
      </c>
      <c r="O138" s="51"/>
    </row>
    <row r="139" spans="12:15" ht="15" customHeight="1" x14ac:dyDescent="0.3">
      <c r="L139" t="str">
        <f t="shared" si="6"/>
        <v/>
      </c>
      <c r="O139" s="51"/>
    </row>
    <row r="140" spans="12:15" ht="15" customHeight="1" x14ac:dyDescent="0.3">
      <c r="L140" t="str">
        <f t="shared" si="6"/>
        <v/>
      </c>
      <c r="O140" s="51"/>
    </row>
    <row r="141" spans="12:15" ht="15" customHeight="1" x14ac:dyDescent="0.3">
      <c r="L141" t="str">
        <f t="shared" si="6"/>
        <v/>
      </c>
      <c r="O141" s="51"/>
    </row>
    <row r="142" spans="12:15" ht="15" customHeight="1" x14ac:dyDescent="0.3">
      <c r="L142" t="str">
        <f t="shared" si="6"/>
        <v/>
      </c>
      <c r="O142" s="51"/>
    </row>
    <row r="143" spans="12:15" ht="15" customHeight="1" x14ac:dyDescent="0.3">
      <c r="L143" t="str">
        <f t="shared" si="6"/>
        <v/>
      </c>
      <c r="O143" s="51"/>
    </row>
    <row r="144" spans="12:15" ht="15" customHeight="1" x14ac:dyDescent="0.3">
      <c r="L144" t="str">
        <f t="shared" si="6"/>
        <v/>
      </c>
      <c r="O144" s="51"/>
    </row>
    <row r="145" spans="12:15" ht="15" customHeight="1" x14ac:dyDescent="0.3">
      <c r="L145" t="str">
        <f t="shared" si="6"/>
        <v/>
      </c>
      <c r="O145" s="51"/>
    </row>
    <row r="146" spans="12:15" ht="15" customHeight="1" x14ac:dyDescent="0.3">
      <c r="L146" t="str">
        <f t="shared" si="6"/>
        <v/>
      </c>
      <c r="O146" s="51"/>
    </row>
    <row r="147" spans="12:15" ht="15" customHeight="1" x14ac:dyDescent="0.3">
      <c r="L147" t="str">
        <f t="shared" si="6"/>
        <v/>
      </c>
      <c r="O147" s="51"/>
    </row>
    <row r="148" spans="12:15" ht="15" customHeight="1" x14ac:dyDescent="0.3">
      <c r="L148" t="str">
        <f t="shared" si="6"/>
        <v/>
      </c>
      <c r="O148" s="51"/>
    </row>
    <row r="149" spans="12:15" ht="15" customHeight="1" x14ac:dyDescent="0.3">
      <c r="L149" t="str">
        <f t="shared" si="6"/>
        <v/>
      </c>
      <c r="O149" s="51"/>
    </row>
    <row r="150" spans="12:15" ht="15" customHeight="1" x14ac:dyDescent="0.3">
      <c r="L150" t="str">
        <f t="shared" si="6"/>
        <v/>
      </c>
      <c r="O150" s="51"/>
    </row>
    <row r="151" spans="12:15" ht="15" customHeight="1" x14ac:dyDescent="0.3">
      <c r="L151" t="str">
        <f t="shared" si="6"/>
        <v/>
      </c>
      <c r="O151" s="51"/>
    </row>
    <row r="152" spans="12:15" ht="15" customHeight="1" x14ac:dyDescent="0.3">
      <c r="L152" t="str">
        <f t="shared" si="6"/>
        <v/>
      </c>
      <c r="O152" s="51"/>
    </row>
    <row r="153" spans="12:15" ht="15" customHeight="1" x14ac:dyDescent="0.3">
      <c r="L153" t="str">
        <f t="shared" si="6"/>
        <v/>
      </c>
      <c r="O153" s="51"/>
    </row>
    <row r="154" spans="12:15" ht="15" customHeight="1" x14ac:dyDescent="0.3">
      <c r="L154" t="str">
        <f t="shared" si="6"/>
        <v/>
      </c>
      <c r="O154" s="51"/>
    </row>
    <row r="155" spans="12:15" ht="15" customHeight="1" x14ac:dyDescent="0.3">
      <c r="L155" t="str">
        <f t="shared" si="6"/>
        <v/>
      </c>
      <c r="O155" s="51"/>
    </row>
    <row r="156" spans="12:15" ht="15" customHeight="1" x14ac:dyDescent="0.3">
      <c r="L156" t="str">
        <f t="shared" si="6"/>
        <v/>
      </c>
      <c r="O156" s="51"/>
    </row>
    <row r="157" spans="12:15" ht="15" customHeight="1" x14ac:dyDescent="0.3">
      <c r="L157" t="str">
        <f t="shared" si="6"/>
        <v/>
      </c>
      <c r="O157" s="51"/>
    </row>
    <row r="158" spans="12:15" ht="15" customHeight="1" x14ac:dyDescent="0.3">
      <c r="L158" t="str">
        <f t="shared" si="6"/>
        <v/>
      </c>
      <c r="O158" s="51"/>
    </row>
    <row r="159" spans="12:15" ht="15" customHeight="1" x14ac:dyDescent="0.3">
      <c r="L159" t="str">
        <f t="shared" si="6"/>
        <v/>
      </c>
      <c r="O159" s="51"/>
    </row>
    <row r="160" spans="12:15" ht="15" customHeight="1" x14ac:dyDescent="0.3">
      <c r="L160" t="str">
        <f t="shared" si="6"/>
        <v/>
      </c>
      <c r="O160" s="51"/>
    </row>
    <row r="161" spans="12:15" ht="15" customHeight="1" x14ac:dyDescent="0.3">
      <c r="L161" t="str">
        <f t="shared" si="6"/>
        <v/>
      </c>
      <c r="O161" s="51"/>
    </row>
    <row r="162" spans="12:15" ht="15" customHeight="1" x14ac:dyDescent="0.3">
      <c r="L162" t="str">
        <f t="shared" si="6"/>
        <v/>
      </c>
      <c r="O162" s="51"/>
    </row>
    <row r="163" spans="12:15" ht="15" customHeight="1" x14ac:dyDescent="0.3">
      <c r="L163" t="str">
        <f t="shared" si="6"/>
        <v/>
      </c>
      <c r="O163" s="51"/>
    </row>
    <row r="164" spans="12:15" ht="15" customHeight="1" x14ac:dyDescent="0.3">
      <c r="L164" t="str">
        <f t="shared" si="6"/>
        <v/>
      </c>
      <c r="O164" s="51"/>
    </row>
    <row r="165" spans="12:15" ht="15" customHeight="1" x14ac:dyDescent="0.3">
      <c r="L165" t="str">
        <f t="shared" si="6"/>
        <v/>
      </c>
      <c r="O165" s="51"/>
    </row>
    <row r="166" spans="12:15" ht="15" customHeight="1" x14ac:dyDescent="0.3">
      <c r="L166" t="str">
        <f t="shared" si="6"/>
        <v/>
      </c>
      <c r="O166" s="51"/>
    </row>
    <row r="167" spans="12:15" ht="15" customHeight="1" x14ac:dyDescent="0.3">
      <c r="L167" t="str">
        <f t="shared" si="6"/>
        <v/>
      </c>
      <c r="O167" s="51"/>
    </row>
    <row r="168" spans="12:15" ht="15" customHeight="1" x14ac:dyDescent="0.3">
      <c r="L168" t="str">
        <f t="shared" si="6"/>
        <v/>
      </c>
      <c r="O168" s="51"/>
    </row>
    <row r="169" spans="12:15" ht="15" customHeight="1" x14ac:dyDescent="0.3">
      <c r="L169" t="str">
        <f t="shared" si="6"/>
        <v/>
      </c>
      <c r="O169" s="51"/>
    </row>
    <row r="170" spans="12:15" ht="15" customHeight="1" x14ac:dyDescent="0.3">
      <c r="L170" t="str">
        <f t="shared" si="6"/>
        <v/>
      </c>
      <c r="O170" s="51"/>
    </row>
    <row r="171" spans="12:15" ht="15" customHeight="1" x14ac:dyDescent="0.3">
      <c r="L171" t="str">
        <f t="shared" si="6"/>
        <v/>
      </c>
      <c r="O171" s="51"/>
    </row>
    <row r="172" spans="12:15" ht="15" customHeight="1" x14ac:dyDescent="0.3">
      <c r="L172" t="str">
        <f t="shared" si="6"/>
        <v/>
      </c>
      <c r="O172" s="51"/>
    </row>
    <row r="173" spans="12:15" ht="15" customHeight="1" x14ac:dyDescent="0.3">
      <c r="L173" t="str">
        <f t="shared" si="6"/>
        <v/>
      </c>
      <c r="O173" s="51"/>
    </row>
    <row r="174" spans="12:15" ht="15" customHeight="1" x14ac:dyDescent="0.3">
      <c r="L174" t="str">
        <f t="shared" si="6"/>
        <v/>
      </c>
      <c r="O174" s="51"/>
    </row>
    <row r="175" spans="12:15" ht="15" customHeight="1" x14ac:dyDescent="0.3">
      <c r="L175" t="str">
        <f t="shared" si="6"/>
        <v/>
      </c>
      <c r="O175" s="51"/>
    </row>
    <row r="176" spans="12:15" ht="15" customHeight="1" x14ac:dyDescent="0.3">
      <c r="L176" t="str">
        <f t="shared" si="6"/>
        <v/>
      </c>
      <c r="O176" s="51"/>
    </row>
    <row r="177" spans="12:15" ht="15" customHeight="1" x14ac:dyDescent="0.3">
      <c r="L177" t="str">
        <f t="shared" si="6"/>
        <v/>
      </c>
      <c r="O177" s="51"/>
    </row>
    <row r="178" spans="12:15" ht="15" customHeight="1" x14ac:dyDescent="0.3">
      <c r="L178" t="str">
        <f t="shared" si="6"/>
        <v/>
      </c>
      <c r="O178" s="51"/>
    </row>
    <row r="179" spans="12:15" ht="15" customHeight="1" x14ac:dyDescent="0.3">
      <c r="L179" t="str">
        <f t="shared" si="6"/>
        <v/>
      </c>
      <c r="O179" s="51"/>
    </row>
    <row r="180" spans="12:15" ht="15" customHeight="1" x14ac:dyDescent="0.3">
      <c r="L180" t="str">
        <f t="shared" si="6"/>
        <v/>
      </c>
      <c r="O180" s="51"/>
    </row>
    <row r="181" spans="12:15" ht="15" customHeight="1" x14ac:dyDescent="0.3">
      <c r="L181" t="str">
        <f t="shared" si="6"/>
        <v/>
      </c>
      <c r="O181" s="51"/>
    </row>
    <row r="182" spans="12:15" ht="15" customHeight="1" x14ac:dyDescent="0.3">
      <c r="L182" t="str">
        <f t="shared" si="6"/>
        <v/>
      </c>
      <c r="O182" s="51"/>
    </row>
    <row r="183" spans="12:15" ht="15" customHeight="1" x14ac:dyDescent="0.3">
      <c r="L183" t="str">
        <f t="shared" si="6"/>
        <v/>
      </c>
      <c r="O183" s="51"/>
    </row>
    <row r="184" spans="12:15" ht="15" customHeight="1" x14ac:dyDescent="0.3">
      <c r="L184" t="str">
        <f t="shared" si="6"/>
        <v/>
      </c>
      <c r="O184" s="51"/>
    </row>
    <row r="185" spans="12:15" ht="15" customHeight="1" x14ac:dyDescent="0.3">
      <c r="L185" t="str">
        <f t="shared" si="6"/>
        <v/>
      </c>
      <c r="O185" s="51"/>
    </row>
    <row r="186" spans="12:15" ht="15" customHeight="1" x14ac:dyDescent="0.3">
      <c r="L186" t="str">
        <f t="shared" si="6"/>
        <v/>
      </c>
      <c r="O186" s="51"/>
    </row>
    <row r="187" spans="12:15" ht="15" customHeight="1" x14ac:dyDescent="0.3">
      <c r="L187" t="str">
        <f t="shared" si="6"/>
        <v/>
      </c>
      <c r="O187" s="51"/>
    </row>
    <row r="188" spans="12:15" ht="15" customHeight="1" x14ac:dyDescent="0.3">
      <c r="L188" t="str">
        <f t="shared" si="6"/>
        <v/>
      </c>
      <c r="O188" s="51"/>
    </row>
    <row r="189" spans="12:15" ht="15" customHeight="1" x14ac:dyDescent="0.3">
      <c r="L189" t="str">
        <f t="shared" si="6"/>
        <v/>
      </c>
      <c r="O189" s="51"/>
    </row>
    <row r="190" spans="12:15" ht="15" customHeight="1" x14ac:dyDescent="0.3">
      <c r="L190" t="str">
        <f t="shared" si="6"/>
        <v/>
      </c>
      <c r="O190" s="51"/>
    </row>
    <row r="191" spans="12:15" ht="15" customHeight="1" x14ac:dyDescent="0.3">
      <c r="L191" t="str">
        <f t="shared" si="6"/>
        <v/>
      </c>
      <c r="O191" s="51"/>
    </row>
    <row r="192" spans="12:15" ht="15" customHeight="1" x14ac:dyDescent="0.3">
      <c r="L192" t="str">
        <f t="shared" si="6"/>
        <v/>
      </c>
      <c r="O192" s="51"/>
    </row>
    <row r="193" spans="12:15" ht="15" customHeight="1" x14ac:dyDescent="0.3">
      <c r="L193" t="str">
        <f t="shared" si="6"/>
        <v/>
      </c>
      <c r="O193" s="51"/>
    </row>
    <row r="194" spans="12:15" ht="15" customHeight="1" x14ac:dyDescent="0.3">
      <c r="L194" t="str">
        <f t="shared" si="6"/>
        <v/>
      </c>
      <c r="O194" s="51"/>
    </row>
    <row r="195" spans="12:15" ht="15" customHeight="1" x14ac:dyDescent="0.3">
      <c r="L195" t="str">
        <f t="shared" si="6"/>
        <v/>
      </c>
      <c r="O195" s="51"/>
    </row>
    <row r="196" spans="12:15" ht="15" customHeight="1" x14ac:dyDescent="0.3">
      <c r="L196" t="str">
        <f t="shared" ref="L196:L259" si="7">IF($A196="","",K196*D196)</f>
        <v/>
      </c>
      <c r="O196" s="51"/>
    </row>
    <row r="197" spans="12:15" ht="15" customHeight="1" x14ac:dyDescent="0.3">
      <c r="L197" t="str">
        <f t="shared" si="7"/>
        <v/>
      </c>
      <c r="O197" s="51"/>
    </row>
    <row r="198" spans="12:15" ht="15" customHeight="1" x14ac:dyDescent="0.3">
      <c r="L198" t="str">
        <f t="shared" si="7"/>
        <v/>
      </c>
      <c r="O198" s="51"/>
    </row>
    <row r="199" spans="12:15" ht="15" customHeight="1" x14ac:dyDescent="0.3">
      <c r="L199" t="str">
        <f t="shared" si="7"/>
        <v/>
      </c>
      <c r="O199" s="51"/>
    </row>
    <row r="200" spans="12:15" ht="15" customHeight="1" x14ac:dyDescent="0.3">
      <c r="L200" t="str">
        <f t="shared" si="7"/>
        <v/>
      </c>
      <c r="O200" s="51"/>
    </row>
    <row r="201" spans="12:15" ht="15" customHeight="1" x14ac:dyDescent="0.3">
      <c r="L201" t="str">
        <f t="shared" si="7"/>
        <v/>
      </c>
      <c r="O201" s="51"/>
    </row>
    <row r="202" spans="12:15" ht="15" customHeight="1" x14ac:dyDescent="0.3">
      <c r="L202" t="str">
        <f t="shared" si="7"/>
        <v/>
      </c>
      <c r="O202" s="51"/>
    </row>
    <row r="203" spans="12:15" ht="15" customHeight="1" x14ac:dyDescent="0.3">
      <c r="L203" t="str">
        <f t="shared" si="7"/>
        <v/>
      </c>
      <c r="O203" s="51"/>
    </row>
    <row r="204" spans="12:15" ht="15" customHeight="1" x14ac:dyDescent="0.3">
      <c r="L204" t="str">
        <f t="shared" si="7"/>
        <v/>
      </c>
      <c r="O204" s="51"/>
    </row>
    <row r="205" spans="12:15" ht="15" customHeight="1" x14ac:dyDescent="0.3">
      <c r="L205" t="str">
        <f t="shared" si="7"/>
        <v/>
      </c>
      <c r="O205" s="51"/>
    </row>
    <row r="206" spans="12:15" ht="15" customHeight="1" x14ac:dyDescent="0.3">
      <c r="L206" t="str">
        <f t="shared" si="7"/>
        <v/>
      </c>
      <c r="O206" s="51"/>
    </row>
    <row r="207" spans="12:15" ht="15" customHeight="1" x14ac:dyDescent="0.3">
      <c r="L207" t="str">
        <f t="shared" si="7"/>
        <v/>
      </c>
      <c r="O207" s="51"/>
    </row>
    <row r="208" spans="12:15" ht="15" customHeight="1" x14ac:dyDescent="0.3">
      <c r="L208" t="str">
        <f t="shared" si="7"/>
        <v/>
      </c>
      <c r="O208" s="51"/>
    </row>
    <row r="209" spans="12:15" ht="15" customHeight="1" x14ac:dyDescent="0.3">
      <c r="L209" t="str">
        <f t="shared" si="7"/>
        <v/>
      </c>
      <c r="O209" s="51"/>
    </row>
    <row r="210" spans="12:15" ht="15" customHeight="1" x14ac:dyDescent="0.3">
      <c r="L210" t="str">
        <f t="shared" si="7"/>
        <v/>
      </c>
      <c r="O210" s="51"/>
    </row>
    <row r="211" spans="12:15" ht="15" customHeight="1" x14ac:dyDescent="0.3">
      <c r="L211" t="str">
        <f t="shared" si="7"/>
        <v/>
      </c>
      <c r="O211" s="51"/>
    </row>
    <row r="212" spans="12:15" ht="15" customHeight="1" x14ac:dyDescent="0.3">
      <c r="L212" t="str">
        <f t="shared" si="7"/>
        <v/>
      </c>
      <c r="O212" s="51"/>
    </row>
    <row r="213" spans="12:15" ht="15" customHeight="1" x14ac:dyDescent="0.3">
      <c r="L213" t="str">
        <f t="shared" si="7"/>
        <v/>
      </c>
      <c r="O213" s="51"/>
    </row>
    <row r="214" spans="12:15" ht="15" customHeight="1" x14ac:dyDescent="0.3">
      <c r="L214" t="str">
        <f t="shared" si="7"/>
        <v/>
      </c>
      <c r="O214" s="51"/>
    </row>
    <row r="215" spans="12:15" ht="15" customHeight="1" x14ac:dyDescent="0.3">
      <c r="L215" t="str">
        <f t="shared" si="7"/>
        <v/>
      </c>
      <c r="O215" s="51"/>
    </row>
    <row r="216" spans="12:15" ht="15" customHeight="1" x14ac:dyDescent="0.3">
      <c r="L216" t="str">
        <f t="shared" si="7"/>
        <v/>
      </c>
      <c r="O216" s="51"/>
    </row>
    <row r="217" spans="12:15" ht="15" customHeight="1" x14ac:dyDescent="0.3">
      <c r="L217" t="str">
        <f t="shared" si="7"/>
        <v/>
      </c>
      <c r="O217" s="51"/>
    </row>
    <row r="218" spans="12:15" ht="15" customHeight="1" x14ac:dyDescent="0.3">
      <c r="L218" t="str">
        <f t="shared" si="7"/>
        <v/>
      </c>
      <c r="O218" s="51"/>
    </row>
    <row r="219" spans="12:15" ht="15" customHeight="1" x14ac:dyDescent="0.3">
      <c r="L219" t="str">
        <f t="shared" si="7"/>
        <v/>
      </c>
      <c r="O219" s="51"/>
    </row>
    <row r="220" spans="12:15" ht="15" customHeight="1" x14ac:dyDescent="0.3">
      <c r="L220" t="str">
        <f t="shared" si="7"/>
        <v/>
      </c>
      <c r="O220" s="51"/>
    </row>
    <row r="221" spans="12:15" ht="15" customHeight="1" x14ac:dyDescent="0.3">
      <c r="L221" t="str">
        <f t="shared" si="7"/>
        <v/>
      </c>
      <c r="O221" s="51"/>
    </row>
    <row r="222" spans="12:15" ht="15" customHeight="1" x14ac:dyDescent="0.3">
      <c r="L222" t="str">
        <f t="shared" si="7"/>
        <v/>
      </c>
      <c r="O222" s="51"/>
    </row>
    <row r="223" spans="12:15" ht="15" customHeight="1" x14ac:dyDescent="0.3">
      <c r="L223" t="str">
        <f t="shared" si="7"/>
        <v/>
      </c>
      <c r="O223" s="51"/>
    </row>
    <row r="224" spans="12:15" ht="15" customHeight="1" x14ac:dyDescent="0.3">
      <c r="L224" t="str">
        <f t="shared" si="7"/>
        <v/>
      </c>
      <c r="O224" s="51"/>
    </row>
    <row r="225" spans="12:15" ht="15" customHeight="1" x14ac:dyDescent="0.3">
      <c r="L225" t="str">
        <f t="shared" si="7"/>
        <v/>
      </c>
      <c r="O225" s="51"/>
    </row>
    <row r="226" spans="12:15" ht="15" customHeight="1" x14ac:dyDescent="0.3">
      <c r="L226" t="str">
        <f t="shared" si="7"/>
        <v/>
      </c>
      <c r="O226" s="51"/>
    </row>
    <row r="227" spans="12:15" ht="15" customHeight="1" x14ac:dyDescent="0.3">
      <c r="L227" t="str">
        <f t="shared" si="7"/>
        <v/>
      </c>
      <c r="O227" s="51"/>
    </row>
    <row r="228" spans="12:15" ht="15" customHeight="1" x14ac:dyDescent="0.3">
      <c r="L228" t="str">
        <f t="shared" si="7"/>
        <v/>
      </c>
      <c r="O228" s="51"/>
    </row>
    <row r="229" spans="12:15" ht="15" customHeight="1" x14ac:dyDescent="0.3">
      <c r="L229" t="str">
        <f t="shared" si="7"/>
        <v/>
      </c>
      <c r="O229" s="51"/>
    </row>
    <row r="230" spans="12:15" ht="15" customHeight="1" x14ac:dyDescent="0.3">
      <c r="L230" t="str">
        <f t="shared" si="7"/>
        <v/>
      </c>
      <c r="O230" s="51"/>
    </row>
    <row r="231" spans="12:15" ht="15" customHeight="1" x14ac:dyDescent="0.3">
      <c r="L231" t="str">
        <f t="shared" si="7"/>
        <v/>
      </c>
      <c r="O231" s="51"/>
    </row>
    <row r="232" spans="12:15" ht="15" customHeight="1" x14ac:dyDescent="0.3">
      <c r="L232" t="str">
        <f t="shared" si="7"/>
        <v/>
      </c>
      <c r="O232" s="51"/>
    </row>
    <row r="233" spans="12:15" ht="15" customHeight="1" x14ac:dyDescent="0.3">
      <c r="L233" t="str">
        <f t="shared" si="7"/>
        <v/>
      </c>
      <c r="O233" s="51"/>
    </row>
    <row r="234" spans="12:15" ht="15" customHeight="1" x14ac:dyDescent="0.3">
      <c r="L234" t="str">
        <f t="shared" si="7"/>
        <v/>
      </c>
      <c r="O234" s="51"/>
    </row>
    <row r="235" spans="12:15" ht="15" customHeight="1" x14ac:dyDescent="0.3">
      <c r="L235" t="str">
        <f t="shared" si="7"/>
        <v/>
      </c>
      <c r="O235" s="51"/>
    </row>
    <row r="236" spans="12:15" ht="15" customHeight="1" x14ac:dyDescent="0.3">
      <c r="L236" t="str">
        <f t="shared" si="7"/>
        <v/>
      </c>
      <c r="O236" s="51"/>
    </row>
    <row r="237" spans="12:15" ht="15" customHeight="1" x14ac:dyDescent="0.3">
      <c r="L237" t="str">
        <f t="shared" si="7"/>
        <v/>
      </c>
      <c r="O237" s="51"/>
    </row>
    <row r="238" spans="12:15" ht="15" customHeight="1" x14ac:dyDescent="0.3">
      <c r="L238" t="str">
        <f t="shared" si="7"/>
        <v/>
      </c>
      <c r="O238" s="51"/>
    </row>
    <row r="239" spans="12:15" ht="15" customHeight="1" x14ac:dyDescent="0.3">
      <c r="L239" t="str">
        <f t="shared" si="7"/>
        <v/>
      </c>
      <c r="O239" s="51"/>
    </row>
    <row r="240" spans="12:15" ht="15" customHeight="1" x14ac:dyDescent="0.3">
      <c r="L240" t="str">
        <f t="shared" si="7"/>
        <v/>
      </c>
      <c r="O240" s="51"/>
    </row>
    <row r="241" spans="12:15" ht="15" customHeight="1" x14ac:dyDescent="0.3">
      <c r="L241" t="str">
        <f t="shared" si="7"/>
        <v/>
      </c>
      <c r="O241" s="51"/>
    </row>
    <row r="242" spans="12:15" ht="15" customHeight="1" x14ac:dyDescent="0.3">
      <c r="L242" t="str">
        <f t="shared" si="7"/>
        <v/>
      </c>
      <c r="O242" s="51"/>
    </row>
    <row r="243" spans="12:15" ht="15" customHeight="1" x14ac:dyDescent="0.3">
      <c r="L243" t="str">
        <f t="shared" si="7"/>
        <v/>
      </c>
      <c r="O243" s="51"/>
    </row>
    <row r="244" spans="12:15" ht="15" customHeight="1" x14ac:dyDescent="0.3">
      <c r="L244" t="str">
        <f t="shared" si="7"/>
        <v/>
      </c>
      <c r="O244" s="51"/>
    </row>
    <row r="245" spans="12:15" ht="15" customHeight="1" x14ac:dyDescent="0.3">
      <c r="L245" t="str">
        <f t="shared" si="7"/>
        <v/>
      </c>
      <c r="O245" s="51"/>
    </row>
    <row r="246" spans="12:15" ht="15" customHeight="1" x14ac:dyDescent="0.3">
      <c r="L246" t="str">
        <f t="shared" si="7"/>
        <v/>
      </c>
      <c r="O246" s="51"/>
    </row>
    <row r="247" spans="12:15" ht="15" customHeight="1" x14ac:dyDescent="0.3">
      <c r="L247" t="str">
        <f t="shared" si="7"/>
        <v/>
      </c>
      <c r="O247" s="51"/>
    </row>
    <row r="248" spans="12:15" ht="15" customHeight="1" x14ac:dyDescent="0.3">
      <c r="L248" t="str">
        <f t="shared" si="7"/>
        <v/>
      </c>
      <c r="O248" s="51"/>
    </row>
    <row r="249" spans="12:15" ht="15" customHeight="1" x14ac:dyDescent="0.3">
      <c r="L249" t="str">
        <f t="shared" si="7"/>
        <v/>
      </c>
      <c r="O249" s="51"/>
    </row>
    <row r="250" spans="12:15" ht="15" customHeight="1" x14ac:dyDescent="0.3">
      <c r="L250" t="str">
        <f t="shared" si="7"/>
        <v/>
      </c>
      <c r="O250" s="51"/>
    </row>
    <row r="251" spans="12:15" ht="15" customHeight="1" x14ac:dyDescent="0.3">
      <c r="L251" t="str">
        <f t="shared" si="7"/>
        <v/>
      </c>
      <c r="O251" s="51"/>
    </row>
    <row r="252" spans="12:15" ht="15" customHeight="1" x14ac:dyDescent="0.3">
      <c r="L252" t="str">
        <f t="shared" si="7"/>
        <v/>
      </c>
      <c r="O252" s="51"/>
    </row>
    <row r="253" spans="12:15" ht="15" customHeight="1" x14ac:dyDescent="0.3">
      <c r="L253" t="str">
        <f t="shared" si="7"/>
        <v/>
      </c>
      <c r="O253" s="51"/>
    </row>
    <row r="254" spans="12:15" ht="15" customHeight="1" x14ac:dyDescent="0.3">
      <c r="L254" t="str">
        <f t="shared" si="7"/>
        <v/>
      </c>
      <c r="O254" s="51"/>
    </row>
    <row r="255" spans="12:15" ht="15" customHeight="1" x14ac:dyDescent="0.3">
      <c r="L255" t="str">
        <f t="shared" si="7"/>
        <v/>
      </c>
      <c r="O255" s="51"/>
    </row>
    <row r="256" spans="12:15" ht="15" customHeight="1" x14ac:dyDescent="0.3">
      <c r="L256" t="str">
        <f t="shared" si="7"/>
        <v/>
      </c>
      <c r="O256" s="51"/>
    </row>
    <row r="257" spans="12:15" ht="15" customHeight="1" x14ac:dyDescent="0.3">
      <c r="L257" t="str">
        <f t="shared" si="7"/>
        <v/>
      </c>
      <c r="O257" s="51"/>
    </row>
    <row r="258" spans="12:15" ht="15" customHeight="1" x14ac:dyDescent="0.3">
      <c r="L258" t="str">
        <f t="shared" si="7"/>
        <v/>
      </c>
      <c r="O258" s="51"/>
    </row>
    <row r="259" spans="12:15" ht="15" customHeight="1" x14ac:dyDescent="0.3">
      <c r="L259" t="str">
        <f t="shared" si="7"/>
        <v/>
      </c>
      <c r="O259" s="51"/>
    </row>
    <row r="260" spans="12:15" ht="15" customHeight="1" x14ac:dyDescent="0.3">
      <c r="L260" t="str">
        <f t="shared" ref="L260:L323" si="8">IF($A260="","",K260*D260)</f>
        <v/>
      </c>
      <c r="O260" s="51"/>
    </row>
    <row r="261" spans="12:15" ht="15" customHeight="1" x14ac:dyDescent="0.3">
      <c r="L261" t="str">
        <f t="shared" si="8"/>
        <v/>
      </c>
      <c r="O261" s="51"/>
    </row>
    <row r="262" spans="12:15" ht="15" customHeight="1" x14ac:dyDescent="0.3">
      <c r="L262" t="str">
        <f t="shared" si="8"/>
        <v/>
      </c>
      <c r="O262" s="51"/>
    </row>
    <row r="263" spans="12:15" ht="15" customHeight="1" x14ac:dyDescent="0.3">
      <c r="L263" t="str">
        <f t="shared" si="8"/>
        <v/>
      </c>
      <c r="O263" s="51"/>
    </row>
    <row r="264" spans="12:15" ht="15" customHeight="1" x14ac:dyDescent="0.3">
      <c r="L264" t="str">
        <f t="shared" si="8"/>
        <v/>
      </c>
      <c r="O264" s="51"/>
    </row>
    <row r="265" spans="12:15" ht="15" customHeight="1" x14ac:dyDescent="0.3">
      <c r="L265" t="str">
        <f t="shared" si="8"/>
        <v/>
      </c>
      <c r="O265" s="51"/>
    </row>
    <row r="266" spans="12:15" ht="15" customHeight="1" x14ac:dyDescent="0.3">
      <c r="L266" t="str">
        <f t="shared" si="8"/>
        <v/>
      </c>
      <c r="O266" s="51"/>
    </row>
    <row r="267" spans="12:15" ht="15" customHeight="1" x14ac:dyDescent="0.3">
      <c r="L267" t="str">
        <f t="shared" si="8"/>
        <v/>
      </c>
      <c r="O267" s="51"/>
    </row>
    <row r="268" spans="12:15" ht="15" customHeight="1" x14ac:dyDescent="0.3">
      <c r="L268" t="str">
        <f t="shared" si="8"/>
        <v/>
      </c>
      <c r="O268" s="51"/>
    </row>
    <row r="269" spans="12:15" ht="15" customHeight="1" x14ac:dyDescent="0.3">
      <c r="L269" t="str">
        <f t="shared" si="8"/>
        <v/>
      </c>
      <c r="O269" s="51"/>
    </row>
    <row r="270" spans="12:15" ht="15" customHeight="1" x14ac:dyDescent="0.3">
      <c r="L270" t="str">
        <f t="shared" si="8"/>
        <v/>
      </c>
      <c r="O270" s="51"/>
    </row>
    <row r="271" spans="12:15" ht="15" customHeight="1" x14ac:dyDescent="0.3">
      <c r="L271" t="str">
        <f t="shared" si="8"/>
        <v/>
      </c>
      <c r="O271" s="51"/>
    </row>
    <row r="272" spans="12:15" ht="15" customHeight="1" x14ac:dyDescent="0.3">
      <c r="L272" t="str">
        <f t="shared" si="8"/>
        <v/>
      </c>
      <c r="O272" s="51"/>
    </row>
    <row r="273" spans="12:15" ht="15" customHeight="1" x14ac:dyDescent="0.3">
      <c r="L273" t="str">
        <f t="shared" si="8"/>
        <v/>
      </c>
      <c r="O273" s="51"/>
    </row>
    <row r="274" spans="12:15" ht="15" customHeight="1" x14ac:dyDescent="0.3">
      <c r="L274" t="str">
        <f t="shared" si="8"/>
        <v/>
      </c>
      <c r="O274" s="51"/>
    </row>
    <row r="275" spans="12:15" ht="15" customHeight="1" x14ac:dyDescent="0.3">
      <c r="L275" t="str">
        <f t="shared" si="8"/>
        <v/>
      </c>
      <c r="O275" s="51"/>
    </row>
    <row r="276" spans="12:15" ht="15" customHeight="1" x14ac:dyDescent="0.3">
      <c r="L276" t="str">
        <f t="shared" si="8"/>
        <v/>
      </c>
      <c r="O276" s="51"/>
    </row>
    <row r="277" spans="12:15" ht="15" customHeight="1" x14ac:dyDescent="0.3">
      <c r="L277" t="str">
        <f t="shared" si="8"/>
        <v/>
      </c>
      <c r="O277" s="51"/>
    </row>
    <row r="278" spans="12:15" ht="15" customHeight="1" x14ac:dyDescent="0.3">
      <c r="L278" t="str">
        <f t="shared" si="8"/>
        <v/>
      </c>
      <c r="O278" s="51"/>
    </row>
    <row r="279" spans="12:15" ht="15" customHeight="1" x14ac:dyDescent="0.3">
      <c r="L279" t="str">
        <f t="shared" si="8"/>
        <v/>
      </c>
      <c r="O279" s="51"/>
    </row>
    <row r="280" spans="12:15" ht="15" customHeight="1" x14ac:dyDescent="0.3">
      <c r="L280" t="str">
        <f t="shared" si="8"/>
        <v/>
      </c>
      <c r="O280" s="51"/>
    </row>
    <row r="281" spans="12:15" ht="15" customHeight="1" x14ac:dyDescent="0.3">
      <c r="L281" t="str">
        <f t="shared" si="8"/>
        <v/>
      </c>
      <c r="O281" s="51"/>
    </row>
    <row r="282" spans="12:15" ht="15" customHeight="1" x14ac:dyDescent="0.3">
      <c r="L282" t="str">
        <f t="shared" si="8"/>
        <v/>
      </c>
      <c r="O282" s="51"/>
    </row>
    <row r="283" spans="12:15" ht="15" customHeight="1" x14ac:dyDescent="0.3">
      <c r="L283" t="str">
        <f t="shared" si="8"/>
        <v/>
      </c>
      <c r="O283" s="51"/>
    </row>
    <row r="284" spans="12:15" ht="15" customHeight="1" x14ac:dyDescent="0.3">
      <c r="L284" t="str">
        <f t="shared" si="8"/>
        <v/>
      </c>
      <c r="O284" s="51"/>
    </row>
    <row r="285" spans="12:15" ht="15" customHeight="1" x14ac:dyDescent="0.3">
      <c r="L285" t="str">
        <f t="shared" si="8"/>
        <v/>
      </c>
      <c r="O285" s="51"/>
    </row>
    <row r="286" spans="12:15" ht="15" customHeight="1" x14ac:dyDescent="0.3">
      <c r="L286" t="str">
        <f t="shared" si="8"/>
        <v/>
      </c>
      <c r="O286" s="51"/>
    </row>
    <row r="287" spans="12:15" ht="15" customHeight="1" x14ac:dyDescent="0.3">
      <c r="L287" t="str">
        <f t="shared" si="8"/>
        <v/>
      </c>
      <c r="O287" s="51"/>
    </row>
    <row r="288" spans="12:15" ht="15" customHeight="1" x14ac:dyDescent="0.3">
      <c r="L288" t="str">
        <f t="shared" si="8"/>
        <v/>
      </c>
      <c r="O288" s="51"/>
    </row>
    <row r="289" spans="12:15" ht="15" customHeight="1" x14ac:dyDescent="0.3">
      <c r="L289" t="str">
        <f t="shared" si="8"/>
        <v/>
      </c>
      <c r="O289" s="51"/>
    </row>
    <row r="290" spans="12:15" ht="15" customHeight="1" x14ac:dyDescent="0.3">
      <c r="L290" t="str">
        <f t="shared" si="8"/>
        <v/>
      </c>
      <c r="O290" s="51"/>
    </row>
    <row r="291" spans="12:15" ht="15" customHeight="1" x14ac:dyDescent="0.3">
      <c r="L291" t="str">
        <f t="shared" si="8"/>
        <v/>
      </c>
      <c r="O291" s="51"/>
    </row>
    <row r="292" spans="12:15" ht="15" customHeight="1" x14ac:dyDescent="0.3">
      <c r="L292" t="str">
        <f t="shared" si="8"/>
        <v/>
      </c>
      <c r="O292" s="51"/>
    </row>
    <row r="293" spans="12:15" ht="15" customHeight="1" x14ac:dyDescent="0.3">
      <c r="L293" t="str">
        <f t="shared" si="8"/>
        <v/>
      </c>
      <c r="O293" s="51"/>
    </row>
    <row r="294" spans="12:15" ht="15" customHeight="1" x14ac:dyDescent="0.3">
      <c r="L294" t="str">
        <f t="shared" si="8"/>
        <v/>
      </c>
      <c r="O294" s="51"/>
    </row>
    <row r="295" spans="12:15" ht="15" customHeight="1" x14ac:dyDescent="0.3">
      <c r="L295" t="str">
        <f t="shared" si="8"/>
        <v/>
      </c>
      <c r="O295" s="51"/>
    </row>
    <row r="296" spans="12:15" ht="15" customHeight="1" x14ac:dyDescent="0.3">
      <c r="L296" t="str">
        <f t="shared" si="8"/>
        <v/>
      </c>
      <c r="O296" s="51"/>
    </row>
    <row r="297" spans="12:15" ht="15" customHeight="1" x14ac:dyDescent="0.3">
      <c r="L297" t="str">
        <f t="shared" si="8"/>
        <v/>
      </c>
      <c r="O297" s="51"/>
    </row>
    <row r="298" spans="12:15" ht="15" customHeight="1" x14ac:dyDescent="0.3">
      <c r="L298" t="str">
        <f t="shared" si="8"/>
        <v/>
      </c>
      <c r="O298" s="51"/>
    </row>
    <row r="299" spans="12:15" ht="15" customHeight="1" x14ac:dyDescent="0.3">
      <c r="L299" t="str">
        <f t="shared" si="8"/>
        <v/>
      </c>
      <c r="O299" s="51"/>
    </row>
    <row r="300" spans="12:15" ht="15" customHeight="1" x14ac:dyDescent="0.3">
      <c r="L300" t="str">
        <f t="shared" si="8"/>
        <v/>
      </c>
      <c r="O300" s="51"/>
    </row>
    <row r="301" spans="12:15" ht="15" customHeight="1" x14ac:dyDescent="0.3">
      <c r="L301" t="str">
        <f t="shared" si="8"/>
        <v/>
      </c>
      <c r="O301" s="51"/>
    </row>
    <row r="302" spans="12:15" ht="15" customHeight="1" x14ac:dyDescent="0.3">
      <c r="L302" t="str">
        <f t="shared" si="8"/>
        <v/>
      </c>
      <c r="O302" s="51"/>
    </row>
    <row r="303" spans="12:15" ht="15" customHeight="1" x14ac:dyDescent="0.3">
      <c r="L303" t="str">
        <f t="shared" si="8"/>
        <v/>
      </c>
      <c r="O303" s="51"/>
    </row>
    <row r="304" spans="12:15" ht="15" customHeight="1" x14ac:dyDescent="0.3">
      <c r="L304" t="str">
        <f t="shared" si="8"/>
        <v/>
      </c>
      <c r="O304" s="51"/>
    </row>
    <row r="305" spans="12:15" ht="15" customHeight="1" x14ac:dyDescent="0.3">
      <c r="L305" t="str">
        <f t="shared" si="8"/>
        <v/>
      </c>
      <c r="O305" s="51"/>
    </row>
    <row r="306" spans="12:15" ht="15" customHeight="1" x14ac:dyDescent="0.3">
      <c r="L306" t="str">
        <f t="shared" si="8"/>
        <v/>
      </c>
      <c r="O306" s="51"/>
    </row>
    <row r="307" spans="12:15" ht="15" customHeight="1" x14ac:dyDescent="0.3">
      <c r="L307" t="str">
        <f t="shared" si="8"/>
        <v/>
      </c>
      <c r="O307" s="51"/>
    </row>
    <row r="308" spans="12:15" ht="15" customHeight="1" x14ac:dyDescent="0.3">
      <c r="L308" t="str">
        <f t="shared" si="8"/>
        <v/>
      </c>
      <c r="O308" s="51"/>
    </row>
    <row r="309" spans="12:15" ht="15" customHeight="1" x14ac:dyDescent="0.3">
      <c r="L309" t="str">
        <f t="shared" si="8"/>
        <v/>
      </c>
      <c r="O309" s="51"/>
    </row>
    <row r="310" spans="12:15" ht="15" customHeight="1" x14ac:dyDescent="0.3">
      <c r="L310" t="str">
        <f t="shared" si="8"/>
        <v/>
      </c>
      <c r="O310" s="51"/>
    </row>
    <row r="311" spans="12:15" ht="15" customHeight="1" x14ac:dyDescent="0.3">
      <c r="L311" t="str">
        <f t="shared" si="8"/>
        <v/>
      </c>
      <c r="O311" s="51"/>
    </row>
    <row r="312" spans="12:15" ht="15" customHeight="1" x14ac:dyDescent="0.3">
      <c r="L312" t="str">
        <f t="shared" si="8"/>
        <v/>
      </c>
      <c r="O312" s="51"/>
    </row>
    <row r="313" spans="12:15" ht="15" customHeight="1" x14ac:dyDescent="0.3">
      <c r="L313" t="str">
        <f t="shared" si="8"/>
        <v/>
      </c>
      <c r="O313" s="51"/>
    </row>
    <row r="314" spans="12:15" ht="15" customHeight="1" x14ac:dyDescent="0.3">
      <c r="L314" t="str">
        <f t="shared" si="8"/>
        <v/>
      </c>
      <c r="O314" s="51"/>
    </row>
    <row r="315" spans="12:15" ht="15" customHeight="1" x14ac:dyDescent="0.3">
      <c r="L315" t="str">
        <f t="shared" si="8"/>
        <v/>
      </c>
      <c r="O315" s="51"/>
    </row>
    <row r="316" spans="12:15" ht="15" customHeight="1" x14ac:dyDescent="0.3">
      <c r="L316" t="str">
        <f t="shared" si="8"/>
        <v/>
      </c>
      <c r="O316" s="51"/>
    </row>
    <row r="317" spans="12:15" ht="15" customHeight="1" x14ac:dyDescent="0.3">
      <c r="L317" t="str">
        <f t="shared" si="8"/>
        <v/>
      </c>
      <c r="O317" s="51"/>
    </row>
    <row r="318" spans="12:15" ht="15" customHeight="1" x14ac:dyDescent="0.3">
      <c r="L318" t="str">
        <f t="shared" si="8"/>
        <v/>
      </c>
      <c r="O318" s="51"/>
    </row>
    <row r="319" spans="12:15" ht="15" customHeight="1" x14ac:dyDescent="0.3">
      <c r="L319" t="str">
        <f t="shared" si="8"/>
        <v/>
      </c>
      <c r="O319" s="51"/>
    </row>
    <row r="320" spans="12:15" ht="15" customHeight="1" x14ac:dyDescent="0.3">
      <c r="L320" t="str">
        <f t="shared" si="8"/>
        <v/>
      </c>
      <c r="O320" s="51"/>
    </row>
    <row r="321" spans="12:15" ht="15" customHeight="1" x14ac:dyDescent="0.3">
      <c r="L321" t="str">
        <f t="shared" si="8"/>
        <v/>
      </c>
      <c r="O321" s="51"/>
    </row>
    <row r="322" spans="12:15" ht="15" customHeight="1" x14ac:dyDescent="0.3">
      <c r="L322" t="str">
        <f t="shared" si="8"/>
        <v/>
      </c>
      <c r="O322" s="51"/>
    </row>
    <row r="323" spans="12:15" ht="15" customHeight="1" x14ac:dyDescent="0.3">
      <c r="L323" t="str">
        <f t="shared" si="8"/>
        <v/>
      </c>
      <c r="O323" s="51"/>
    </row>
    <row r="324" spans="12:15" ht="15" customHeight="1" x14ac:dyDescent="0.3">
      <c r="L324" t="str">
        <f t="shared" ref="L324:L387" si="9">IF($A324="","",K324*D324)</f>
        <v/>
      </c>
      <c r="O324" s="51"/>
    </row>
    <row r="325" spans="12:15" ht="15" customHeight="1" x14ac:dyDescent="0.3">
      <c r="L325" t="str">
        <f t="shared" si="9"/>
        <v/>
      </c>
      <c r="O325" s="51"/>
    </row>
    <row r="326" spans="12:15" ht="15" customHeight="1" x14ac:dyDescent="0.3">
      <c r="L326" t="str">
        <f t="shared" si="9"/>
        <v/>
      </c>
      <c r="O326" s="51"/>
    </row>
    <row r="327" spans="12:15" ht="15" customHeight="1" x14ac:dyDescent="0.3">
      <c r="L327" t="str">
        <f t="shared" si="9"/>
        <v/>
      </c>
      <c r="O327" s="51"/>
    </row>
    <row r="328" spans="12:15" ht="15" customHeight="1" x14ac:dyDescent="0.3">
      <c r="L328" t="str">
        <f t="shared" si="9"/>
        <v/>
      </c>
      <c r="O328" s="51"/>
    </row>
    <row r="329" spans="12:15" ht="15" customHeight="1" x14ac:dyDescent="0.3">
      <c r="L329" t="str">
        <f t="shared" si="9"/>
        <v/>
      </c>
      <c r="O329" s="51"/>
    </row>
    <row r="330" spans="12:15" ht="15" customHeight="1" x14ac:dyDescent="0.3">
      <c r="L330" t="str">
        <f t="shared" si="9"/>
        <v/>
      </c>
      <c r="O330" s="51"/>
    </row>
    <row r="331" spans="12:15" ht="15" customHeight="1" x14ac:dyDescent="0.3">
      <c r="L331" t="str">
        <f t="shared" si="9"/>
        <v/>
      </c>
      <c r="O331" s="51"/>
    </row>
    <row r="332" spans="12:15" ht="15" customHeight="1" x14ac:dyDescent="0.3">
      <c r="L332" t="str">
        <f t="shared" si="9"/>
        <v/>
      </c>
      <c r="O332" s="51"/>
    </row>
    <row r="333" spans="12:15" ht="15" customHeight="1" x14ac:dyDescent="0.3">
      <c r="L333" t="str">
        <f t="shared" si="9"/>
        <v/>
      </c>
      <c r="O333" s="51"/>
    </row>
    <row r="334" spans="12:15" ht="15" customHeight="1" x14ac:dyDescent="0.3">
      <c r="L334" t="str">
        <f t="shared" si="9"/>
        <v/>
      </c>
      <c r="O334" s="51"/>
    </row>
    <row r="335" spans="12:15" ht="15" customHeight="1" x14ac:dyDescent="0.3">
      <c r="L335" t="str">
        <f t="shared" si="9"/>
        <v/>
      </c>
      <c r="O335" s="51"/>
    </row>
    <row r="336" spans="12:15" ht="15" customHeight="1" x14ac:dyDescent="0.3">
      <c r="L336" t="str">
        <f t="shared" si="9"/>
        <v/>
      </c>
      <c r="O336" s="51"/>
    </row>
    <row r="337" spans="12:15" ht="15" customHeight="1" x14ac:dyDescent="0.3">
      <c r="L337" t="str">
        <f t="shared" si="9"/>
        <v/>
      </c>
      <c r="O337" s="51"/>
    </row>
    <row r="338" spans="12:15" ht="15" customHeight="1" x14ac:dyDescent="0.3">
      <c r="L338" t="str">
        <f t="shared" si="9"/>
        <v/>
      </c>
      <c r="O338" s="51"/>
    </row>
    <row r="339" spans="12:15" ht="15" customHeight="1" x14ac:dyDescent="0.3">
      <c r="L339" t="str">
        <f t="shared" si="9"/>
        <v/>
      </c>
      <c r="O339" s="51"/>
    </row>
    <row r="340" spans="12:15" ht="15" customHeight="1" x14ac:dyDescent="0.3">
      <c r="L340" t="str">
        <f t="shared" si="9"/>
        <v/>
      </c>
      <c r="O340" s="51"/>
    </row>
    <row r="341" spans="12:15" ht="15" customHeight="1" x14ac:dyDescent="0.3">
      <c r="L341" t="str">
        <f t="shared" si="9"/>
        <v/>
      </c>
      <c r="O341" s="51"/>
    </row>
    <row r="342" spans="12:15" ht="15" customHeight="1" x14ac:dyDescent="0.3">
      <c r="L342" t="str">
        <f t="shared" si="9"/>
        <v/>
      </c>
      <c r="O342" s="51"/>
    </row>
    <row r="343" spans="12:15" ht="15" customHeight="1" x14ac:dyDescent="0.3">
      <c r="L343" t="str">
        <f t="shared" si="9"/>
        <v/>
      </c>
      <c r="O343" s="51"/>
    </row>
    <row r="344" spans="12:15" ht="15" customHeight="1" x14ac:dyDescent="0.3">
      <c r="L344" t="str">
        <f t="shared" si="9"/>
        <v/>
      </c>
      <c r="O344" s="51"/>
    </row>
    <row r="345" spans="12:15" ht="15" customHeight="1" x14ac:dyDescent="0.3">
      <c r="L345" t="str">
        <f t="shared" si="9"/>
        <v/>
      </c>
      <c r="O345" s="51"/>
    </row>
    <row r="346" spans="12:15" ht="15" customHeight="1" x14ac:dyDescent="0.3">
      <c r="L346" t="str">
        <f t="shared" si="9"/>
        <v/>
      </c>
      <c r="O346" s="51"/>
    </row>
    <row r="347" spans="12:15" ht="15" customHeight="1" x14ac:dyDescent="0.3">
      <c r="L347" t="str">
        <f t="shared" si="9"/>
        <v/>
      </c>
      <c r="O347" s="51"/>
    </row>
    <row r="348" spans="12:15" ht="15" customHeight="1" x14ac:dyDescent="0.3">
      <c r="L348" t="str">
        <f t="shared" si="9"/>
        <v/>
      </c>
      <c r="O348" s="51"/>
    </row>
    <row r="349" spans="12:15" ht="15" customHeight="1" x14ac:dyDescent="0.3">
      <c r="L349" t="str">
        <f t="shared" si="9"/>
        <v/>
      </c>
      <c r="O349" s="51"/>
    </row>
    <row r="350" spans="12:15" ht="15" customHeight="1" x14ac:dyDescent="0.3">
      <c r="L350" t="str">
        <f t="shared" si="9"/>
        <v/>
      </c>
      <c r="O350" s="51"/>
    </row>
    <row r="351" spans="12:15" ht="15" customHeight="1" x14ac:dyDescent="0.3">
      <c r="L351" t="str">
        <f t="shared" si="9"/>
        <v/>
      </c>
      <c r="O351" s="51"/>
    </row>
    <row r="352" spans="12:15" ht="15" customHeight="1" x14ac:dyDescent="0.3">
      <c r="L352" t="str">
        <f t="shared" si="9"/>
        <v/>
      </c>
      <c r="O352" s="51"/>
    </row>
    <row r="353" spans="12:15" ht="15" customHeight="1" x14ac:dyDescent="0.3">
      <c r="L353" t="str">
        <f t="shared" si="9"/>
        <v/>
      </c>
      <c r="O353" s="51"/>
    </row>
    <row r="354" spans="12:15" ht="15" customHeight="1" x14ac:dyDescent="0.3">
      <c r="L354" t="str">
        <f t="shared" si="9"/>
        <v/>
      </c>
      <c r="O354" s="51"/>
    </row>
    <row r="355" spans="12:15" ht="15" customHeight="1" x14ac:dyDescent="0.3">
      <c r="L355" t="str">
        <f t="shared" si="9"/>
        <v/>
      </c>
      <c r="O355" s="51"/>
    </row>
    <row r="356" spans="12:15" ht="15" customHeight="1" x14ac:dyDescent="0.3">
      <c r="L356" t="str">
        <f t="shared" si="9"/>
        <v/>
      </c>
      <c r="O356" s="51"/>
    </row>
    <row r="357" spans="12:15" ht="15" customHeight="1" x14ac:dyDescent="0.3">
      <c r="L357" t="str">
        <f t="shared" si="9"/>
        <v/>
      </c>
      <c r="O357" s="51"/>
    </row>
    <row r="358" spans="12:15" ht="15" customHeight="1" x14ac:dyDescent="0.3">
      <c r="L358" t="str">
        <f t="shared" si="9"/>
        <v/>
      </c>
      <c r="O358" s="51"/>
    </row>
    <row r="359" spans="12:15" ht="15" customHeight="1" x14ac:dyDescent="0.3">
      <c r="L359" t="str">
        <f t="shared" si="9"/>
        <v/>
      </c>
      <c r="O359" s="51"/>
    </row>
    <row r="360" spans="12:15" ht="15" customHeight="1" x14ac:dyDescent="0.3">
      <c r="L360" t="str">
        <f t="shared" si="9"/>
        <v/>
      </c>
      <c r="O360" s="51"/>
    </row>
    <row r="361" spans="12:15" ht="15" customHeight="1" x14ac:dyDescent="0.3">
      <c r="L361" t="str">
        <f t="shared" si="9"/>
        <v/>
      </c>
      <c r="O361" s="51"/>
    </row>
    <row r="362" spans="12:15" ht="15" customHeight="1" x14ac:dyDescent="0.3">
      <c r="L362" t="str">
        <f t="shared" si="9"/>
        <v/>
      </c>
      <c r="O362" s="51"/>
    </row>
    <row r="363" spans="12:15" ht="15" customHeight="1" x14ac:dyDescent="0.3">
      <c r="L363" t="str">
        <f t="shared" si="9"/>
        <v/>
      </c>
      <c r="O363" s="51"/>
    </row>
    <row r="364" spans="12:15" ht="15" customHeight="1" x14ac:dyDescent="0.3">
      <c r="L364" t="str">
        <f t="shared" si="9"/>
        <v/>
      </c>
      <c r="O364" s="51"/>
    </row>
    <row r="365" spans="12:15" ht="15" customHeight="1" x14ac:dyDescent="0.3">
      <c r="L365" t="str">
        <f t="shared" si="9"/>
        <v/>
      </c>
      <c r="O365" s="51"/>
    </row>
    <row r="366" spans="12:15" ht="15" customHeight="1" x14ac:dyDescent="0.3">
      <c r="L366" t="str">
        <f t="shared" si="9"/>
        <v/>
      </c>
      <c r="O366" s="51"/>
    </row>
    <row r="367" spans="12:15" ht="15" customHeight="1" x14ac:dyDescent="0.3">
      <c r="L367" t="str">
        <f t="shared" si="9"/>
        <v/>
      </c>
      <c r="O367" s="51"/>
    </row>
    <row r="368" spans="12:15" ht="15" customHeight="1" x14ac:dyDescent="0.3">
      <c r="L368" t="str">
        <f t="shared" si="9"/>
        <v/>
      </c>
      <c r="O368" s="51"/>
    </row>
    <row r="369" spans="12:15" ht="15" customHeight="1" x14ac:dyDescent="0.3">
      <c r="L369" t="str">
        <f t="shared" si="9"/>
        <v/>
      </c>
      <c r="O369" s="51"/>
    </row>
    <row r="370" spans="12:15" ht="15" customHeight="1" x14ac:dyDescent="0.3">
      <c r="L370" t="str">
        <f t="shared" si="9"/>
        <v/>
      </c>
      <c r="O370" s="51"/>
    </row>
    <row r="371" spans="12:15" ht="15" customHeight="1" x14ac:dyDescent="0.3">
      <c r="L371" t="str">
        <f t="shared" si="9"/>
        <v/>
      </c>
      <c r="O371" s="51"/>
    </row>
    <row r="372" spans="12:15" ht="15" customHeight="1" x14ac:dyDescent="0.3">
      <c r="L372" t="str">
        <f t="shared" si="9"/>
        <v/>
      </c>
      <c r="O372" s="51"/>
    </row>
    <row r="373" spans="12:15" ht="15" customHeight="1" x14ac:dyDescent="0.3">
      <c r="L373" t="str">
        <f t="shared" si="9"/>
        <v/>
      </c>
      <c r="O373" s="51"/>
    </row>
    <row r="374" spans="12:15" ht="15" customHeight="1" x14ac:dyDescent="0.3">
      <c r="L374" t="str">
        <f t="shared" si="9"/>
        <v/>
      </c>
      <c r="O374" s="51"/>
    </row>
    <row r="375" spans="12:15" ht="15" customHeight="1" x14ac:dyDescent="0.3">
      <c r="L375" t="str">
        <f t="shared" si="9"/>
        <v/>
      </c>
      <c r="O375" s="51"/>
    </row>
    <row r="376" spans="12:15" ht="15" customHeight="1" x14ac:dyDescent="0.3">
      <c r="L376" t="str">
        <f t="shared" si="9"/>
        <v/>
      </c>
      <c r="O376" s="51"/>
    </row>
    <row r="377" spans="12:15" ht="15" customHeight="1" x14ac:dyDescent="0.3">
      <c r="L377" t="str">
        <f t="shared" si="9"/>
        <v/>
      </c>
      <c r="O377" s="51"/>
    </row>
    <row r="378" spans="12:15" ht="15" customHeight="1" x14ac:dyDescent="0.3">
      <c r="L378" t="str">
        <f t="shared" si="9"/>
        <v/>
      </c>
      <c r="O378" s="51"/>
    </row>
    <row r="379" spans="12:15" ht="15" customHeight="1" x14ac:dyDescent="0.3">
      <c r="L379" t="str">
        <f t="shared" si="9"/>
        <v/>
      </c>
      <c r="O379" s="51"/>
    </row>
    <row r="380" spans="12:15" ht="15" customHeight="1" x14ac:dyDescent="0.3">
      <c r="L380" t="str">
        <f t="shared" si="9"/>
        <v/>
      </c>
      <c r="O380" s="51"/>
    </row>
    <row r="381" spans="12:15" ht="15" customHeight="1" x14ac:dyDescent="0.3">
      <c r="L381" t="str">
        <f t="shared" si="9"/>
        <v/>
      </c>
      <c r="O381" s="51"/>
    </row>
    <row r="382" spans="12:15" ht="15" customHeight="1" x14ac:dyDescent="0.3">
      <c r="L382" t="str">
        <f t="shared" si="9"/>
        <v/>
      </c>
      <c r="O382" s="51"/>
    </row>
    <row r="383" spans="12:15" ht="15" customHeight="1" x14ac:dyDescent="0.3">
      <c r="L383" t="str">
        <f t="shared" si="9"/>
        <v/>
      </c>
      <c r="O383" s="51"/>
    </row>
    <row r="384" spans="12:15" ht="15" customHeight="1" x14ac:dyDescent="0.3">
      <c r="L384" t="str">
        <f t="shared" si="9"/>
        <v/>
      </c>
      <c r="O384" s="51"/>
    </row>
    <row r="385" spans="12:15" ht="15" customHeight="1" x14ac:dyDescent="0.3">
      <c r="L385" t="str">
        <f t="shared" si="9"/>
        <v/>
      </c>
      <c r="O385" s="51"/>
    </row>
    <row r="386" spans="12:15" ht="15" customHeight="1" x14ac:dyDescent="0.3">
      <c r="L386" t="str">
        <f t="shared" si="9"/>
        <v/>
      </c>
      <c r="O386" s="51"/>
    </row>
    <row r="387" spans="12:15" ht="15" customHeight="1" x14ac:dyDescent="0.3">
      <c r="L387" t="str">
        <f t="shared" si="9"/>
        <v/>
      </c>
      <c r="O387" s="51"/>
    </row>
    <row r="388" spans="12:15" ht="15" customHeight="1" x14ac:dyDescent="0.3">
      <c r="L388" t="str">
        <f t="shared" ref="L388:L451" si="10">IF($A388="","",K388*D388)</f>
        <v/>
      </c>
      <c r="O388" s="51"/>
    </row>
    <row r="389" spans="12:15" ht="15" customHeight="1" x14ac:dyDescent="0.3">
      <c r="L389" t="str">
        <f t="shared" si="10"/>
        <v/>
      </c>
      <c r="O389" s="51"/>
    </row>
    <row r="390" spans="12:15" ht="15" customHeight="1" x14ac:dyDescent="0.3">
      <c r="L390" t="str">
        <f t="shared" si="10"/>
        <v/>
      </c>
      <c r="O390" s="51"/>
    </row>
    <row r="391" spans="12:15" ht="15" customHeight="1" x14ac:dyDescent="0.3">
      <c r="L391" t="str">
        <f t="shared" si="10"/>
        <v/>
      </c>
      <c r="O391" s="51"/>
    </row>
    <row r="392" spans="12:15" ht="15" customHeight="1" x14ac:dyDescent="0.3">
      <c r="L392" t="str">
        <f t="shared" si="10"/>
        <v/>
      </c>
      <c r="O392" s="51"/>
    </row>
    <row r="393" spans="12:15" ht="15" customHeight="1" x14ac:dyDescent="0.3">
      <c r="L393" t="str">
        <f t="shared" si="10"/>
        <v/>
      </c>
      <c r="O393" s="51"/>
    </row>
    <row r="394" spans="12:15" ht="15" customHeight="1" x14ac:dyDescent="0.3">
      <c r="L394" t="str">
        <f t="shared" si="10"/>
        <v/>
      </c>
      <c r="O394" s="51"/>
    </row>
    <row r="395" spans="12:15" ht="15" customHeight="1" x14ac:dyDescent="0.3">
      <c r="L395" t="str">
        <f t="shared" si="10"/>
        <v/>
      </c>
      <c r="O395" s="51"/>
    </row>
    <row r="396" spans="12:15" ht="15" customHeight="1" x14ac:dyDescent="0.3">
      <c r="L396" t="str">
        <f t="shared" si="10"/>
        <v/>
      </c>
      <c r="O396" s="51"/>
    </row>
    <row r="397" spans="12:15" ht="15" customHeight="1" x14ac:dyDescent="0.3">
      <c r="L397" t="str">
        <f t="shared" si="10"/>
        <v/>
      </c>
      <c r="O397" s="51"/>
    </row>
    <row r="398" spans="12:15" ht="15" customHeight="1" x14ac:dyDescent="0.3">
      <c r="L398" t="str">
        <f t="shared" si="10"/>
        <v/>
      </c>
      <c r="O398" s="51"/>
    </row>
    <row r="399" spans="12:15" ht="15" customHeight="1" x14ac:dyDescent="0.3">
      <c r="L399" t="str">
        <f t="shared" si="10"/>
        <v/>
      </c>
      <c r="O399" s="51"/>
    </row>
    <row r="400" spans="12:15" ht="15" customHeight="1" x14ac:dyDescent="0.3">
      <c r="L400" t="str">
        <f t="shared" si="10"/>
        <v/>
      </c>
      <c r="O400" s="51"/>
    </row>
    <row r="401" spans="12:15" ht="15" customHeight="1" x14ac:dyDescent="0.3">
      <c r="L401" t="str">
        <f t="shared" si="10"/>
        <v/>
      </c>
      <c r="O401" s="51"/>
    </row>
    <row r="402" spans="12:15" ht="15" customHeight="1" x14ac:dyDescent="0.3">
      <c r="L402" t="str">
        <f t="shared" si="10"/>
        <v/>
      </c>
      <c r="O402" s="51"/>
    </row>
    <row r="403" spans="12:15" ht="15" customHeight="1" x14ac:dyDescent="0.3">
      <c r="L403" t="str">
        <f t="shared" si="10"/>
        <v/>
      </c>
      <c r="O403" s="51"/>
    </row>
    <row r="404" spans="12:15" ht="15" customHeight="1" x14ac:dyDescent="0.3">
      <c r="L404" t="str">
        <f t="shared" si="10"/>
        <v/>
      </c>
      <c r="O404" s="51"/>
    </row>
    <row r="405" spans="12:15" ht="15" customHeight="1" x14ac:dyDescent="0.3">
      <c r="L405" t="str">
        <f t="shared" si="10"/>
        <v/>
      </c>
      <c r="O405" s="51"/>
    </row>
    <row r="406" spans="12:15" ht="15" customHeight="1" x14ac:dyDescent="0.3">
      <c r="L406" t="str">
        <f t="shared" si="10"/>
        <v/>
      </c>
      <c r="O406" s="51"/>
    </row>
    <row r="407" spans="12:15" ht="15" customHeight="1" x14ac:dyDescent="0.3">
      <c r="L407" t="str">
        <f t="shared" si="10"/>
        <v/>
      </c>
      <c r="O407" s="51"/>
    </row>
    <row r="408" spans="12:15" ht="15" customHeight="1" x14ac:dyDescent="0.3">
      <c r="L408" t="str">
        <f t="shared" si="10"/>
        <v/>
      </c>
      <c r="O408" s="51"/>
    </row>
    <row r="409" spans="12:15" ht="15" customHeight="1" x14ac:dyDescent="0.3">
      <c r="L409" t="str">
        <f t="shared" si="10"/>
        <v/>
      </c>
      <c r="O409" s="51"/>
    </row>
    <row r="410" spans="12:15" ht="15" customHeight="1" x14ac:dyDescent="0.3">
      <c r="L410" t="str">
        <f t="shared" si="10"/>
        <v/>
      </c>
      <c r="O410" s="51"/>
    </row>
    <row r="411" spans="12:15" ht="15" customHeight="1" x14ac:dyDescent="0.3">
      <c r="L411" t="str">
        <f t="shared" si="10"/>
        <v/>
      </c>
      <c r="O411" s="51"/>
    </row>
    <row r="412" spans="12:15" ht="15" customHeight="1" x14ac:dyDescent="0.3">
      <c r="L412" t="str">
        <f t="shared" si="10"/>
        <v/>
      </c>
      <c r="O412" s="51"/>
    </row>
    <row r="413" spans="12:15" ht="15" customHeight="1" x14ac:dyDescent="0.3">
      <c r="L413" t="str">
        <f t="shared" si="10"/>
        <v/>
      </c>
      <c r="O413" s="51"/>
    </row>
    <row r="414" spans="12:15" ht="15" customHeight="1" x14ac:dyDescent="0.3">
      <c r="L414" t="str">
        <f t="shared" si="10"/>
        <v/>
      </c>
      <c r="O414" s="51"/>
    </row>
    <row r="415" spans="12:15" ht="15" customHeight="1" x14ac:dyDescent="0.3">
      <c r="L415" t="str">
        <f t="shared" si="10"/>
        <v/>
      </c>
      <c r="O415" s="51"/>
    </row>
    <row r="416" spans="12:15" ht="15" customHeight="1" x14ac:dyDescent="0.3">
      <c r="L416" t="str">
        <f t="shared" si="10"/>
        <v/>
      </c>
      <c r="O416" s="51"/>
    </row>
    <row r="417" spans="12:15" ht="15" customHeight="1" x14ac:dyDescent="0.3">
      <c r="L417" t="str">
        <f t="shared" si="10"/>
        <v/>
      </c>
      <c r="O417" s="51"/>
    </row>
    <row r="418" spans="12:15" ht="15" customHeight="1" x14ac:dyDescent="0.3">
      <c r="L418" t="str">
        <f t="shared" si="10"/>
        <v/>
      </c>
      <c r="O418" s="51"/>
    </row>
    <row r="419" spans="12:15" ht="15" customHeight="1" x14ac:dyDescent="0.3">
      <c r="L419" t="str">
        <f t="shared" si="10"/>
        <v/>
      </c>
      <c r="O419" s="51"/>
    </row>
    <row r="420" spans="12:15" ht="15" customHeight="1" x14ac:dyDescent="0.3">
      <c r="L420" t="str">
        <f t="shared" si="10"/>
        <v/>
      </c>
      <c r="O420" s="51"/>
    </row>
    <row r="421" spans="12:15" ht="15" customHeight="1" x14ac:dyDescent="0.3">
      <c r="L421" t="str">
        <f t="shared" si="10"/>
        <v/>
      </c>
      <c r="O421" s="51"/>
    </row>
    <row r="422" spans="12:15" ht="15" customHeight="1" x14ac:dyDescent="0.3">
      <c r="L422" t="str">
        <f t="shared" si="10"/>
        <v/>
      </c>
      <c r="O422" s="51"/>
    </row>
    <row r="423" spans="12:15" ht="15" customHeight="1" x14ac:dyDescent="0.3">
      <c r="L423" t="str">
        <f t="shared" si="10"/>
        <v/>
      </c>
      <c r="O423" s="51"/>
    </row>
    <row r="424" spans="12:15" ht="15" customHeight="1" x14ac:dyDescent="0.3">
      <c r="L424" t="str">
        <f t="shared" si="10"/>
        <v/>
      </c>
      <c r="O424" s="51"/>
    </row>
    <row r="425" spans="12:15" ht="15" customHeight="1" x14ac:dyDescent="0.3">
      <c r="L425" t="str">
        <f t="shared" si="10"/>
        <v/>
      </c>
      <c r="O425" s="51"/>
    </row>
    <row r="426" spans="12:15" ht="15" customHeight="1" x14ac:dyDescent="0.3">
      <c r="L426" t="str">
        <f t="shared" si="10"/>
        <v/>
      </c>
      <c r="O426" s="51"/>
    </row>
    <row r="427" spans="12:15" ht="15" customHeight="1" x14ac:dyDescent="0.3">
      <c r="L427" t="str">
        <f t="shared" si="10"/>
        <v/>
      </c>
      <c r="O427" s="51"/>
    </row>
    <row r="428" spans="12:15" ht="15" customHeight="1" x14ac:dyDescent="0.3">
      <c r="L428" t="str">
        <f t="shared" si="10"/>
        <v/>
      </c>
      <c r="O428" s="51"/>
    </row>
    <row r="429" spans="12:15" ht="15" customHeight="1" x14ac:dyDescent="0.3">
      <c r="L429" t="str">
        <f t="shared" si="10"/>
        <v/>
      </c>
      <c r="O429" s="51"/>
    </row>
    <row r="430" spans="12:15" ht="15" customHeight="1" x14ac:dyDescent="0.3">
      <c r="L430" t="str">
        <f t="shared" si="10"/>
        <v/>
      </c>
      <c r="O430" s="51"/>
    </row>
    <row r="431" spans="12:15" ht="15" customHeight="1" x14ac:dyDescent="0.3">
      <c r="L431" t="str">
        <f t="shared" si="10"/>
        <v/>
      </c>
      <c r="O431" s="51"/>
    </row>
    <row r="432" spans="12:15" ht="15" customHeight="1" x14ac:dyDescent="0.3">
      <c r="L432" t="str">
        <f t="shared" si="10"/>
        <v/>
      </c>
      <c r="O432" s="51"/>
    </row>
    <row r="433" spans="12:15" ht="15" customHeight="1" x14ac:dyDescent="0.3">
      <c r="L433" t="str">
        <f t="shared" si="10"/>
        <v/>
      </c>
      <c r="O433" s="51"/>
    </row>
    <row r="434" spans="12:15" ht="15" customHeight="1" x14ac:dyDescent="0.3">
      <c r="L434" t="str">
        <f t="shared" si="10"/>
        <v/>
      </c>
      <c r="O434" s="51"/>
    </row>
    <row r="435" spans="12:15" ht="15" customHeight="1" x14ac:dyDescent="0.3">
      <c r="L435" t="str">
        <f t="shared" si="10"/>
        <v/>
      </c>
      <c r="O435" s="51"/>
    </row>
    <row r="436" spans="12:15" ht="15" customHeight="1" x14ac:dyDescent="0.3">
      <c r="L436" t="str">
        <f t="shared" si="10"/>
        <v/>
      </c>
      <c r="O436" s="51"/>
    </row>
    <row r="437" spans="12:15" ht="15" customHeight="1" x14ac:dyDescent="0.3">
      <c r="L437" t="str">
        <f t="shared" si="10"/>
        <v/>
      </c>
      <c r="O437" s="51"/>
    </row>
    <row r="438" spans="12:15" ht="15" customHeight="1" x14ac:dyDescent="0.3">
      <c r="L438" t="str">
        <f t="shared" si="10"/>
        <v/>
      </c>
      <c r="O438" s="51"/>
    </row>
    <row r="439" spans="12:15" ht="15" customHeight="1" x14ac:dyDescent="0.3">
      <c r="L439" t="str">
        <f t="shared" si="10"/>
        <v/>
      </c>
      <c r="O439" s="51"/>
    </row>
    <row r="440" spans="12:15" ht="15" customHeight="1" x14ac:dyDescent="0.3">
      <c r="L440" t="str">
        <f t="shared" si="10"/>
        <v/>
      </c>
      <c r="O440" s="51"/>
    </row>
    <row r="441" spans="12:15" ht="15" customHeight="1" x14ac:dyDescent="0.3">
      <c r="L441" t="str">
        <f t="shared" si="10"/>
        <v/>
      </c>
      <c r="O441" s="51"/>
    </row>
    <row r="442" spans="12:15" ht="15" customHeight="1" x14ac:dyDescent="0.3">
      <c r="L442" t="str">
        <f t="shared" si="10"/>
        <v/>
      </c>
      <c r="O442" s="51"/>
    </row>
    <row r="443" spans="12:15" ht="15" customHeight="1" x14ac:dyDescent="0.3">
      <c r="L443" t="str">
        <f t="shared" si="10"/>
        <v/>
      </c>
      <c r="O443" s="51"/>
    </row>
    <row r="444" spans="12:15" ht="15" customHeight="1" x14ac:dyDescent="0.3">
      <c r="L444" t="str">
        <f t="shared" si="10"/>
        <v/>
      </c>
      <c r="O444" s="51"/>
    </row>
    <row r="445" spans="12:15" ht="15" customHeight="1" x14ac:dyDescent="0.3">
      <c r="L445" t="str">
        <f t="shared" si="10"/>
        <v/>
      </c>
      <c r="O445" s="51"/>
    </row>
    <row r="446" spans="12:15" ht="15" customHeight="1" x14ac:dyDescent="0.3">
      <c r="L446" t="str">
        <f t="shared" si="10"/>
        <v/>
      </c>
      <c r="O446" s="51"/>
    </row>
    <row r="447" spans="12:15" ht="15" customHeight="1" x14ac:dyDescent="0.3">
      <c r="L447" t="str">
        <f t="shared" si="10"/>
        <v/>
      </c>
      <c r="O447" s="51"/>
    </row>
    <row r="448" spans="12:15" ht="15" customHeight="1" x14ac:dyDescent="0.3">
      <c r="L448" t="str">
        <f t="shared" si="10"/>
        <v/>
      </c>
      <c r="O448" s="51"/>
    </row>
    <row r="449" spans="12:15" ht="15" customHeight="1" x14ac:dyDescent="0.3">
      <c r="L449" t="str">
        <f t="shared" si="10"/>
        <v/>
      </c>
      <c r="O449" s="51"/>
    </row>
    <row r="450" spans="12:15" ht="15" customHeight="1" x14ac:dyDescent="0.3">
      <c r="L450" t="str">
        <f t="shared" si="10"/>
        <v/>
      </c>
      <c r="O450" s="51"/>
    </row>
    <row r="451" spans="12:15" ht="15" customHeight="1" x14ac:dyDescent="0.3">
      <c r="L451" t="str">
        <f t="shared" si="10"/>
        <v/>
      </c>
      <c r="O451" s="51"/>
    </row>
    <row r="452" spans="12:15" ht="15" customHeight="1" x14ac:dyDescent="0.3">
      <c r="L452" t="str">
        <f t="shared" ref="L452:L515" si="11">IF($A452="","",K452*D452)</f>
        <v/>
      </c>
      <c r="O452" s="51"/>
    </row>
    <row r="453" spans="12:15" ht="15" customHeight="1" x14ac:dyDescent="0.3">
      <c r="L453" t="str">
        <f t="shared" si="11"/>
        <v/>
      </c>
      <c r="O453" s="51"/>
    </row>
    <row r="454" spans="12:15" ht="15" customHeight="1" x14ac:dyDescent="0.3">
      <c r="L454" t="str">
        <f t="shared" si="11"/>
        <v/>
      </c>
      <c r="O454" s="51"/>
    </row>
    <row r="455" spans="12:15" ht="15" customHeight="1" x14ac:dyDescent="0.3">
      <c r="L455" t="str">
        <f t="shared" si="11"/>
        <v/>
      </c>
      <c r="O455" s="51"/>
    </row>
    <row r="456" spans="12:15" ht="15" customHeight="1" x14ac:dyDescent="0.3">
      <c r="L456" t="str">
        <f t="shared" si="11"/>
        <v/>
      </c>
      <c r="O456" s="51"/>
    </row>
    <row r="457" spans="12:15" ht="15" customHeight="1" x14ac:dyDescent="0.3">
      <c r="L457" t="str">
        <f t="shared" si="11"/>
        <v/>
      </c>
      <c r="O457" s="51"/>
    </row>
    <row r="458" spans="12:15" ht="15" customHeight="1" x14ac:dyDescent="0.3">
      <c r="L458" t="str">
        <f t="shared" si="11"/>
        <v/>
      </c>
      <c r="O458" s="51"/>
    </row>
    <row r="459" spans="12:15" ht="15" customHeight="1" x14ac:dyDescent="0.3">
      <c r="L459" t="str">
        <f t="shared" si="11"/>
        <v/>
      </c>
      <c r="O459" s="51"/>
    </row>
    <row r="460" spans="12:15" ht="15" customHeight="1" x14ac:dyDescent="0.3">
      <c r="L460" t="str">
        <f t="shared" si="11"/>
        <v/>
      </c>
      <c r="O460" s="51"/>
    </row>
    <row r="461" spans="12:15" ht="15" customHeight="1" x14ac:dyDescent="0.3">
      <c r="L461" t="str">
        <f t="shared" si="11"/>
        <v/>
      </c>
      <c r="O461" s="51"/>
    </row>
    <row r="462" spans="12:15" ht="15" customHeight="1" x14ac:dyDescent="0.3">
      <c r="L462" t="str">
        <f t="shared" si="11"/>
        <v/>
      </c>
      <c r="O462" s="51"/>
    </row>
    <row r="463" spans="12:15" ht="15" customHeight="1" x14ac:dyDescent="0.3">
      <c r="L463" t="str">
        <f t="shared" si="11"/>
        <v/>
      </c>
      <c r="O463" s="51"/>
    </row>
    <row r="464" spans="12:15" ht="15" customHeight="1" x14ac:dyDescent="0.3">
      <c r="L464" t="str">
        <f t="shared" si="11"/>
        <v/>
      </c>
      <c r="O464" s="51"/>
    </row>
    <row r="465" spans="12:15" ht="15" customHeight="1" x14ac:dyDescent="0.3">
      <c r="L465" t="str">
        <f t="shared" si="11"/>
        <v/>
      </c>
      <c r="O465" s="51"/>
    </row>
    <row r="466" spans="12:15" ht="15" customHeight="1" x14ac:dyDescent="0.3">
      <c r="L466" t="str">
        <f t="shared" si="11"/>
        <v/>
      </c>
      <c r="O466" s="51"/>
    </row>
    <row r="467" spans="12:15" ht="15" customHeight="1" x14ac:dyDescent="0.3">
      <c r="L467" t="str">
        <f t="shared" si="11"/>
        <v/>
      </c>
      <c r="O467" s="51"/>
    </row>
    <row r="468" spans="12:15" ht="15" customHeight="1" x14ac:dyDescent="0.3">
      <c r="L468" t="str">
        <f t="shared" si="11"/>
        <v/>
      </c>
      <c r="O468" s="51"/>
    </row>
    <row r="469" spans="12:15" ht="15" customHeight="1" x14ac:dyDescent="0.3">
      <c r="L469" t="str">
        <f t="shared" si="11"/>
        <v/>
      </c>
      <c r="O469" s="51"/>
    </row>
    <row r="470" spans="12:15" ht="15" customHeight="1" x14ac:dyDescent="0.3">
      <c r="L470" t="str">
        <f t="shared" si="11"/>
        <v/>
      </c>
      <c r="O470" s="51"/>
    </row>
    <row r="471" spans="12:15" ht="15" customHeight="1" x14ac:dyDescent="0.3">
      <c r="L471" t="str">
        <f t="shared" si="11"/>
        <v/>
      </c>
      <c r="O471" s="51"/>
    </row>
    <row r="472" spans="12:15" ht="15" customHeight="1" x14ac:dyDescent="0.3">
      <c r="L472" t="str">
        <f t="shared" si="11"/>
        <v/>
      </c>
      <c r="O472" s="51"/>
    </row>
    <row r="473" spans="12:15" ht="15" customHeight="1" x14ac:dyDescent="0.3">
      <c r="L473" t="str">
        <f t="shared" si="11"/>
        <v/>
      </c>
      <c r="O473" s="51"/>
    </row>
    <row r="474" spans="12:15" ht="15" customHeight="1" x14ac:dyDescent="0.3">
      <c r="L474" t="str">
        <f t="shared" si="11"/>
        <v/>
      </c>
      <c r="O474" s="51"/>
    </row>
    <row r="475" spans="12:15" ht="15" customHeight="1" x14ac:dyDescent="0.3">
      <c r="L475" t="str">
        <f t="shared" si="11"/>
        <v/>
      </c>
      <c r="O475" s="51"/>
    </row>
    <row r="476" spans="12:15" ht="15" customHeight="1" x14ac:dyDescent="0.3">
      <c r="L476" t="str">
        <f t="shared" si="11"/>
        <v/>
      </c>
      <c r="O476" s="51"/>
    </row>
    <row r="477" spans="12:15" ht="15" customHeight="1" x14ac:dyDescent="0.3">
      <c r="L477" t="str">
        <f t="shared" si="11"/>
        <v/>
      </c>
      <c r="O477" s="51"/>
    </row>
    <row r="478" spans="12:15" ht="15" customHeight="1" x14ac:dyDescent="0.3">
      <c r="L478" t="str">
        <f t="shared" si="11"/>
        <v/>
      </c>
      <c r="O478" s="51"/>
    </row>
    <row r="479" spans="12:15" ht="15" customHeight="1" x14ac:dyDescent="0.3">
      <c r="L479" t="str">
        <f t="shared" si="11"/>
        <v/>
      </c>
      <c r="O479" s="51"/>
    </row>
    <row r="480" spans="12:15" ht="15" customHeight="1" x14ac:dyDescent="0.3">
      <c r="L480" t="str">
        <f t="shared" si="11"/>
        <v/>
      </c>
      <c r="O480" s="51"/>
    </row>
    <row r="481" spans="12:15" ht="15" customHeight="1" x14ac:dyDescent="0.3">
      <c r="L481" t="str">
        <f t="shared" si="11"/>
        <v/>
      </c>
      <c r="O481" s="51"/>
    </row>
    <row r="482" spans="12:15" ht="15" customHeight="1" x14ac:dyDescent="0.3">
      <c r="L482" t="str">
        <f t="shared" si="11"/>
        <v/>
      </c>
      <c r="O482" s="51"/>
    </row>
    <row r="483" spans="12:15" ht="15" customHeight="1" x14ac:dyDescent="0.3">
      <c r="L483" t="str">
        <f t="shared" si="11"/>
        <v/>
      </c>
      <c r="O483" s="51"/>
    </row>
    <row r="484" spans="12:15" ht="15" customHeight="1" x14ac:dyDescent="0.3">
      <c r="L484" t="str">
        <f t="shared" si="11"/>
        <v/>
      </c>
      <c r="O484" s="51"/>
    </row>
    <row r="485" spans="12:15" ht="15" customHeight="1" x14ac:dyDescent="0.3">
      <c r="L485" t="str">
        <f t="shared" si="11"/>
        <v/>
      </c>
      <c r="O485" s="51"/>
    </row>
    <row r="486" spans="12:15" ht="15" customHeight="1" x14ac:dyDescent="0.3">
      <c r="L486" t="str">
        <f t="shared" si="11"/>
        <v/>
      </c>
      <c r="O486" s="51"/>
    </row>
    <row r="487" spans="12:15" ht="15" customHeight="1" x14ac:dyDescent="0.3">
      <c r="L487" t="str">
        <f t="shared" si="11"/>
        <v/>
      </c>
      <c r="O487" s="51"/>
    </row>
    <row r="488" spans="12:15" ht="15" customHeight="1" x14ac:dyDescent="0.3">
      <c r="L488" t="str">
        <f t="shared" si="11"/>
        <v/>
      </c>
      <c r="O488" s="51"/>
    </row>
    <row r="489" spans="12:15" ht="15" customHeight="1" x14ac:dyDescent="0.3">
      <c r="L489" t="str">
        <f t="shared" si="11"/>
        <v/>
      </c>
      <c r="O489" s="51"/>
    </row>
    <row r="490" spans="12:15" ht="15" customHeight="1" x14ac:dyDescent="0.3">
      <c r="L490" t="str">
        <f t="shared" si="11"/>
        <v/>
      </c>
      <c r="O490" s="51"/>
    </row>
    <row r="491" spans="12:15" ht="15" customHeight="1" x14ac:dyDescent="0.3">
      <c r="L491" t="str">
        <f t="shared" si="11"/>
        <v/>
      </c>
      <c r="O491" s="51"/>
    </row>
    <row r="492" spans="12:15" ht="15" customHeight="1" x14ac:dyDescent="0.3">
      <c r="L492" t="str">
        <f t="shared" si="11"/>
        <v/>
      </c>
      <c r="O492" s="51"/>
    </row>
    <row r="493" spans="12:15" ht="15" customHeight="1" x14ac:dyDescent="0.3">
      <c r="L493" t="str">
        <f t="shared" si="11"/>
        <v/>
      </c>
      <c r="O493" s="51"/>
    </row>
    <row r="494" spans="12:15" ht="15" customHeight="1" x14ac:dyDescent="0.3">
      <c r="L494" t="str">
        <f t="shared" si="11"/>
        <v/>
      </c>
      <c r="O494" s="51"/>
    </row>
    <row r="495" spans="12:15" ht="15" customHeight="1" x14ac:dyDescent="0.3">
      <c r="L495" t="str">
        <f t="shared" si="11"/>
        <v/>
      </c>
      <c r="O495" s="51"/>
    </row>
    <row r="496" spans="12:15" ht="15" customHeight="1" x14ac:dyDescent="0.3">
      <c r="L496" t="str">
        <f t="shared" si="11"/>
        <v/>
      </c>
      <c r="O496" s="51"/>
    </row>
    <row r="497" spans="12:15" ht="15" customHeight="1" x14ac:dyDescent="0.3">
      <c r="L497" t="str">
        <f t="shared" si="11"/>
        <v/>
      </c>
      <c r="O497" s="51"/>
    </row>
    <row r="498" spans="12:15" ht="15" customHeight="1" x14ac:dyDescent="0.3">
      <c r="L498" t="str">
        <f t="shared" si="11"/>
        <v/>
      </c>
      <c r="O498" s="51"/>
    </row>
    <row r="499" spans="12:15" ht="15" customHeight="1" x14ac:dyDescent="0.3">
      <c r="L499" t="str">
        <f t="shared" si="11"/>
        <v/>
      </c>
      <c r="O499" s="51"/>
    </row>
    <row r="500" spans="12:15" ht="15" customHeight="1" x14ac:dyDescent="0.3">
      <c r="L500" t="str">
        <f t="shared" si="11"/>
        <v/>
      </c>
      <c r="O500" s="51"/>
    </row>
  </sheetData>
  <conditionalFormatting sqref="P4:BV103">
    <cfRule type="expression" dxfId="42" priority="2">
      <formula>AND($A4&lt;&gt;"",P$3&gt;=INT($J4),P$3&lt;=INT($M4))</formula>
    </cfRule>
  </conditionalFormatting>
  <printOptions horizontalCentered="1"/>
  <pageMargins left="0.7" right="0.7" top="0.75" bottom="0.75" header="0.511811023622047" footer="0.511811023622047"/>
  <pageSetup fitToHeight="0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CG500"/>
  <sheetViews>
    <sheetView zoomScale="85" zoomScaleNormal="85" workbookViewId="0">
      <selection activeCell="J6" sqref="J6"/>
    </sheetView>
  </sheetViews>
  <sheetFormatPr defaultColWidth="8.6640625" defaultRowHeight="14.4" x14ac:dyDescent="0.3"/>
  <cols>
    <col min="1" max="1" width="6.5546875" bestFit="1" customWidth="1"/>
    <col min="2" max="2" width="4.33203125" bestFit="1" customWidth="1"/>
    <col min="3" max="3" width="5.21875" bestFit="1" customWidth="1"/>
    <col min="4" max="4" width="5.109375" bestFit="1" customWidth="1"/>
    <col min="5" max="5" width="16.33203125" bestFit="1" customWidth="1"/>
    <col min="6" max="6" width="17.88671875" style="107" bestFit="1" customWidth="1"/>
    <col min="7" max="7" width="12.44140625" bestFit="1" customWidth="1"/>
    <col min="8" max="8" width="6.5546875" bestFit="1" customWidth="1"/>
    <col min="9" max="9" width="8" bestFit="1" customWidth="1"/>
    <col min="10" max="10" width="16.44140625" bestFit="1" customWidth="1"/>
    <col min="11" max="11" width="6.6640625" bestFit="1" customWidth="1"/>
    <col min="12" max="12" width="9.21875" bestFit="1" customWidth="1"/>
    <col min="13" max="13" width="16.44140625" bestFit="1" customWidth="1"/>
    <col min="14" max="14" width="9.88671875" bestFit="1" customWidth="1"/>
    <col min="15" max="15" width="21.88671875" bestFit="1" customWidth="1"/>
    <col min="16" max="24" width="4.5546875" bestFit="1" customWidth="1"/>
    <col min="25" max="45" width="5.44140625" bestFit="1" customWidth="1"/>
    <col min="46" max="54" width="4.88671875" bestFit="1" customWidth="1"/>
    <col min="55" max="74" width="5.77734375" bestFit="1" customWidth="1"/>
    <col min="75" max="75" width="12" bestFit="1" customWidth="1"/>
    <col min="76" max="76" width="34.33203125" bestFit="1" customWidth="1"/>
    <col min="77" max="77" width="8.77734375" bestFit="1" customWidth="1"/>
    <col min="78" max="78" width="8.109375" bestFit="1" customWidth="1"/>
    <col min="79" max="79" width="7.6640625" bestFit="1" customWidth="1"/>
    <col min="80" max="80" width="8.5546875" bestFit="1" customWidth="1"/>
    <col min="81" max="81" width="8.33203125" bestFit="1" customWidth="1"/>
    <col min="82" max="82" width="8" bestFit="1" customWidth="1"/>
    <col min="83" max="83" width="8.5546875" bestFit="1" customWidth="1"/>
    <col min="84" max="84" width="8.44140625" bestFit="1" customWidth="1"/>
    <col min="85" max="85" width="8" bestFit="1" customWidth="1"/>
    <col min="86" max="86" width="12.88671875" customWidth="1"/>
    <col min="87" max="100" width="13" customWidth="1"/>
  </cols>
  <sheetData>
    <row r="1" spans="1:85" ht="15" customHeight="1" x14ac:dyDescent="0.3">
      <c r="D1" s="31"/>
      <c r="E1" s="32"/>
      <c r="F1" s="103"/>
      <c r="G1" s="31"/>
      <c r="H1" s="31"/>
      <c r="I1" s="31"/>
      <c r="J1" s="31"/>
      <c r="K1" s="31"/>
      <c r="L1" s="31"/>
      <c r="M1" s="31"/>
      <c r="N1" s="31"/>
      <c r="BW1" s="31"/>
      <c r="BX1" s="33" t="s">
        <v>251</v>
      </c>
      <c r="BY1" s="31"/>
      <c r="BZ1" s="31"/>
      <c r="CA1" s="31"/>
      <c r="CB1" s="31"/>
      <c r="CC1" s="31"/>
      <c r="CD1" s="31"/>
      <c r="CE1" s="31"/>
      <c r="CF1" s="31"/>
      <c r="CG1" s="31"/>
    </row>
    <row r="2" spans="1:85" ht="15" customHeight="1" x14ac:dyDescent="0.3">
      <c r="D2" s="31"/>
      <c r="E2" s="34"/>
      <c r="F2" s="104"/>
      <c r="G2" s="34"/>
      <c r="H2" s="34"/>
      <c r="I2" s="34"/>
      <c r="J2" s="34"/>
      <c r="K2" s="34"/>
      <c r="L2" s="34"/>
      <c r="M2" s="34"/>
      <c r="N2" s="34"/>
      <c r="Q2" s="35"/>
      <c r="BW2" s="31"/>
      <c r="BX2" s="36" t="s">
        <v>226</v>
      </c>
      <c r="BY2" s="36" t="s">
        <v>227</v>
      </c>
      <c r="BZ2" s="36" t="s">
        <v>228</v>
      </c>
      <c r="CA2" s="36" t="s">
        <v>229</v>
      </c>
      <c r="CB2" s="36" t="s">
        <v>230</v>
      </c>
      <c r="CC2" s="36" t="s">
        <v>231</v>
      </c>
      <c r="CD2" s="36" t="s">
        <v>232</v>
      </c>
      <c r="CE2" s="36" t="s">
        <v>233</v>
      </c>
      <c r="CF2" s="36" t="s">
        <v>234</v>
      </c>
      <c r="CG2" s="36" t="s">
        <v>235</v>
      </c>
    </row>
    <row r="3" spans="1:85" x14ac:dyDescent="0.3">
      <c r="A3" s="101" t="s">
        <v>2</v>
      </c>
      <c r="B3" s="101" t="s">
        <v>3</v>
      </c>
      <c r="C3" s="101" t="s">
        <v>4</v>
      </c>
      <c r="D3" s="37" t="s">
        <v>236</v>
      </c>
      <c r="E3" s="38" t="s">
        <v>237</v>
      </c>
      <c r="F3" s="39" t="s">
        <v>238</v>
      </c>
      <c r="G3" s="38" t="s">
        <v>239</v>
      </c>
      <c r="H3" s="38" t="s">
        <v>240</v>
      </c>
      <c r="I3" s="40" t="s">
        <v>241</v>
      </c>
      <c r="J3" s="41" t="s">
        <v>242</v>
      </c>
      <c r="K3" s="41" t="s">
        <v>243</v>
      </c>
      <c r="L3" s="41" t="s">
        <v>244</v>
      </c>
      <c r="M3" s="41" t="s">
        <v>245</v>
      </c>
      <c r="N3" s="42" t="s">
        <v>246</v>
      </c>
      <c r="O3" s="102" t="s">
        <v>247</v>
      </c>
      <c r="P3" s="100">
        <v>46113</v>
      </c>
      <c r="Q3" s="100">
        <v>46114</v>
      </c>
      <c r="R3" s="100">
        <v>46115</v>
      </c>
      <c r="S3" s="100">
        <v>46116</v>
      </c>
      <c r="T3" s="100">
        <v>46117</v>
      </c>
      <c r="U3" s="100">
        <v>46118</v>
      </c>
      <c r="V3" s="100">
        <v>46119</v>
      </c>
      <c r="W3" s="100">
        <v>46120</v>
      </c>
      <c r="X3" s="100">
        <v>46121</v>
      </c>
      <c r="Y3" s="100">
        <v>46122</v>
      </c>
      <c r="Z3" s="100">
        <v>46123</v>
      </c>
      <c r="AA3" s="100">
        <v>46124</v>
      </c>
      <c r="AB3" s="100">
        <v>46125</v>
      </c>
      <c r="AC3" s="100">
        <v>46126</v>
      </c>
      <c r="AD3" s="100">
        <v>46127</v>
      </c>
      <c r="AE3" s="100">
        <v>46128</v>
      </c>
      <c r="AF3" s="100">
        <v>46129</v>
      </c>
      <c r="AG3" s="100">
        <v>46130</v>
      </c>
      <c r="AH3" s="100">
        <v>46131</v>
      </c>
      <c r="AI3" s="100">
        <v>46132</v>
      </c>
      <c r="AJ3" s="100">
        <v>46133</v>
      </c>
      <c r="AK3" s="100">
        <v>46134</v>
      </c>
      <c r="AL3" s="100">
        <v>46135</v>
      </c>
      <c r="AM3" s="100">
        <v>46136</v>
      </c>
      <c r="AN3" s="100">
        <v>46137</v>
      </c>
      <c r="AO3" s="100">
        <v>46138</v>
      </c>
      <c r="AP3" s="100">
        <v>46139</v>
      </c>
      <c r="AQ3" s="100">
        <v>46140</v>
      </c>
      <c r="AR3" s="100">
        <v>46141</v>
      </c>
      <c r="AS3" s="100">
        <v>46142</v>
      </c>
      <c r="AT3" s="100">
        <v>46143</v>
      </c>
      <c r="AU3" s="100">
        <v>46144</v>
      </c>
      <c r="AV3" s="100">
        <v>46145</v>
      </c>
      <c r="AW3" s="100">
        <v>46146</v>
      </c>
      <c r="AX3" s="100">
        <v>46147</v>
      </c>
      <c r="AY3" s="100">
        <v>46148</v>
      </c>
      <c r="AZ3" s="100">
        <v>46149</v>
      </c>
      <c r="BA3" s="100">
        <v>46150</v>
      </c>
      <c r="BB3" s="100">
        <v>46151</v>
      </c>
      <c r="BC3" s="100">
        <v>46152</v>
      </c>
      <c r="BD3" s="100">
        <v>46153</v>
      </c>
      <c r="BE3" s="100">
        <v>46154</v>
      </c>
      <c r="BF3" s="100">
        <v>46155</v>
      </c>
      <c r="BG3" s="100">
        <v>46156</v>
      </c>
      <c r="BH3" s="100">
        <v>46157</v>
      </c>
      <c r="BI3" s="100">
        <v>46158</v>
      </c>
      <c r="BJ3" s="100">
        <v>46159</v>
      </c>
      <c r="BK3" s="100">
        <v>46160</v>
      </c>
      <c r="BL3" s="100">
        <v>46161</v>
      </c>
      <c r="BM3" s="100">
        <v>46162</v>
      </c>
      <c r="BN3" s="100">
        <v>46163</v>
      </c>
      <c r="BO3" s="100">
        <v>46164</v>
      </c>
      <c r="BP3" s="100">
        <v>46165</v>
      </c>
      <c r="BQ3" s="100">
        <v>46166</v>
      </c>
      <c r="BR3" s="100">
        <v>46167</v>
      </c>
      <c r="BS3" s="100">
        <v>46168</v>
      </c>
      <c r="BT3" s="100">
        <v>46169</v>
      </c>
      <c r="BU3" s="100">
        <v>46170</v>
      </c>
      <c r="BV3" s="100">
        <v>46171</v>
      </c>
      <c r="BW3" s="45" t="s">
        <v>248</v>
      </c>
      <c r="BX3" s="46">
        <v>4672</v>
      </c>
      <c r="BY3" s="46">
        <v>2978</v>
      </c>
      <c r="BZ3" s="46">
        <v>972</v>
      </c>
      <c r="CA3" s="46">
        <v>0</v>
      </c>
      <c r="CB3" s="46">
        <v>0</v>
      </c>
      <c r="CC3" s="46">
        <v>0</v>
      </c>
      <c r="CD3" s="46">
        <v>0</v>
      </c>
      <c r="CE3" s="46">
        <v>0</v>
      </c>
      <c r="CF3" s="46">
        <v>0</v>
      </c>
      <c r="CG3" s="46">
        <v>0</v>
      </c>
    </row>
    <row r="4" spans="1:85" ht="27.6" customHeight="1" x14ac:dyDescent="0.3">
      <c r="A4" s="10" t="str">
        <f>IF(Job_Master!A4="","",Job_Master!A4)</f>
        <v>BJ-104</v>
      </c>
      <c r="B4" s="10">
        <f>IF($A4="","",Job_Master!B4)</f>
        <v>28</v>
      </c>
      <c r="C4" s="10" t="str">
        <f>IF($A4="","",Job_Master!C4)</f>
        <v>2P</v>
      </c>
      <c r="D4" s="47">
        <f>IF($A4="","",Job_Master!D4)</f>
        <v>2</v>
      </c>
      <c r="E4" s="48" t="str">
        <f>IF($A4="","","CARVING-MC-01")</f>
        <v>CARVING-MC-01</v>
      </c>
      <c r="F4" s="105" t="str">
        <f>IF($E4="","",IFERROR(VLOOKUP($E4,Machine_List!$B:$G,6,0),""))</f>
        <v>General Workman</v>
      </c>
      <c r="G4" s="49">
        <f>IF($E4="","",IFERROR(VLOOKUP($E4,Machine_List!$B:$C,2,0),""))</f>
        <v>46418</v>
      </c>
      <c r="H4" s="48">
        <f>IF($E4="","",IFERROR(VLOOKUP($E4,Machine_List!$B:$D,3,0),""))</f>
        <v>6</v>
      </c>
      <c r="I4" s="46"/>
      <c r="J4" s="50">
        <f ca="1">IF($A4="","",IF($I4&lt;&gt;"",$I4,MAX(GlobalStartDate,IFERROR(LOOKUP(2,1/($E$3:INDIRECT("E"&amp;(ROW()-1))=$E4),$M$3:INDIRECT("M"&amp;(ROW()-1))),GlobalStartDate))))</f>
        <v>46113.291666666657</v>
      </c>
      <c r="K4" s="48">
        <f>IF($A4="","",IFERROR(VLOOKUP(B4,CHOOSE(MATCH(C4,Settings!$L$4:$L$10,0),OPR_2P!$A$4:$I$18,SEG_6P!$A$4:$I$18,SOL_4P!$A$4:$I$18,RW_2P!$A$4:$I$18,RW2_4P!$A$4:$I$18,FLAP_4P!$A$4:$I$18,TUBE_4P!$A$4:$I$18),3,0),0))</f>
        <v>30</v>
      </c>
      <c r="L4" s="48">
        <f t="shared" ref="L4:L67" si="0">IF($A4="","",K4*D4)</f>
        <v>60</v>
      </c>
      <c r="M4" s="50">
        <f ca="1">IF($A4="","",IF(AND(ISNUMBER(G4),G4&gt;=J4,G4&lt;=(J4+(L4/(IF(F4="Contract Workman",Settings!$K$5,Settings!$K$4))))),J4+(L4/(IF(F4="Contract Workman",Settings!$K$5,Settings!$K$4)))+(H4/(IF(F4="Contract Workman",Settings!$K$5,Settings!$K$4))),J4+(L4/(IF(F4="Contract Workman",Settings!$K$5,Settings!$K$4)))))</f>
        <v>46116.069444444438</v>
      </c>
      <c r="N4" s="48" t="str">
        <f t="shared" ref="N4:N35" ca="1" si="1">IF($A4="","",IF(F4="Contract Workman",IF(AND(MOD(M4,1)&gt;=8/24,MOD(M4,1)&lt;20/24),"Shift S1","Shift S2"),IF(AND(MOD(M4,1)&gt;=7/24,MOD(M4,1)&lt;15/24),"Shift A",IF(AND(MOD(M4,1)&gt;=15/24,MOD(M4,1)&lt;23/24),"Shift B","Shift C"))))</f>
        <v>Shift C</v>
      </c>
      <c r="O4" s="51" t="str">
        <f>IF(B4="","", IF(IFERROR(ISNUMBER(SEARCH(B4, VLOOKUP(E4, Machine_List!$B:$J, 9, 0))), FALSE()), "✅ Machine OK", "❌ Sug: " &amp; IFERROR(INDEX(Machine_List!$B$4:$B$50, MATCH("*"&amp;B4&amp;"*", Machine_List!$J$4:$J$50, 0)), "Check Limits")))</f>
        <v>✅ Machine OK</v>
      </c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2"/>
      <c r="BK4" s="52"/>
      <c r="BL4" s="52"/>
      <c r="BM4" s="52"/>
      <c r="BW4" s="45" t="s">
        <v>249</v>
      </c>
      <c r="BX4" s="46">
        <v>3888</v>
      </c>
      <c r="BY4" s="46">
        <v>4017.6</v>
      </c>
      <c r="BZ4" s="46">
        <v>3888</v>
      </c>
      <c r="CA4" s="46">
        <v>4017.6</v>
      </c>
      <c r="CB4" s="46">
        <v>4017.6</v>
      </c>
      <c r="CC4" s="46">
        <v>3888</v>
      </c>
      <c r="CD4" s="46">
        <v>4017.6</v>
      </c>
      <c r="CE4" s="46">
        <v>3888</v>
      </c>
      <c r="CF4" s="46">
        <v>4017.6</v>
      </c>
      <c r="CG4" s="46">
        <v>4017.6</v>
      </c>
    </row>
    <row r="5" spans="1:85" ht="28.8" customHeight="1" x14ac:dyDescent="0.3">
      <c r="A5" s="10" t="str">
        <f>IF(Job_Master!A5="","",Job_Master!A5)</f>
        <v>BJ-101</v>
      </c>
      <c r="B5" s="10">
        <f>IF($A5="","",Job_Master!B5)</f>
        <v>42</v>
      </c>
      <c r="C5" s="10" t="str">
        <f>IF($A5="","",Job_Master!C5)</f>
        <v>SOL</v>
      </c>
      <c r="D5" s="10">
        <f>IF($A5="","",Job_Master!D5)</f>
        <v>4</v>
      </c>
      <c r="E5" s="48" t="str">
        <f>IF($A5="","","CARVING-MC-02")</f>
        <v>CARVING-MC-02</v>
      </c>
      <c r="F5" s="106" t="str">
        <f>IF($E5="","",IFERROR(VLOOKUP($E5,Machine_List!$B:$G,6,0),""))</f>
        <v>General Workman</v>
      </c>
      <c r="G5" s="53">
        <f>IF($E5="","",IFERROR(VLOOKUP($E5,Machine_List!$B:$C,2,0),""))</f>
        <v>46282</v>
      </c>
      <c r="H5" s="10">
        <f>IF($E5="","",IFERROR(VLOOKUP($E5,Machine_List!$B:$D,3,0),""))</f>
        <v>6</v>
      </c>
      <c r="I5" s="54"/>
      <c r="J5" s="55">
        <f ca="1">IF($A5="","",IF($I5&lt;&gt;"",$I5,MAX(GlobalStartDate,IFERROR(LOOKUP(2,1/($E$3:INDIRECT("E"&amp;(ROW()-1))=$E5),$M$3:INDIRECT("M"&amp;(ROW()-1))),GlobalStartDate))))</f>
        <v>46113.291666666657</v>
      </c>
      <c r="K5" s="10">
        <f>IF($A5="","",IFERROR(VLOOKUP(B5,CHOOSE(MATCH(C5,Settings!$L$4:$L$10,0),OPR_2P!$A$4:$I$18,SEG_6P!$A$4:$I$18,SOL_4P!$A$4:$I$18,RW_2P!$A$4:$I$18,RW2_4P!$A$4:$I$18,FLAP_4P!$A$4:$I$18,TUBE_4P!$A$4:$I$18),3,0),0))</f>
        <v>43</v>
      </c>
      <c r="L5" s="10">
        <f t="shared" si="0"/>
        <v>172</v>
      </c>
      <c r="M5" s="55">
        <f ca="1">IF($A5="","",IF(AND(ISNUMBER(G5),G5&gt;=J5,G5&lt;=(J5+(L5/(IF(F5="Contract Workman",Settings!$K$5,Settings!$K$4))))),J5+(L5/(IF(F5="Contract Workman",Settings!$K$5,Settings!$K$4)))+(H5/(IF(F5="Contract Workman",Settings!$K$5,Settings!$K$4))),J5+(L5/(IF(F5="Contract Workman",Settings!$K$5,Settings!$K$4)))))</f>
        <v>46121.25462962962</v>
      </c>
      <c r="N5" s="10" t="str">
        <f t="shared" ca="1" si="1"/>
        <v>Shift C</v>
      </c>
      <c r="O5" s="51" t="str">
        <f>IF(B5="","", IF(IFERROR(ISNUMBER(SEARCH(B5, VLOOKUP(E5, Machine_List!$B:$J, 9, 0))), FALSE()), "✅ Machine OK", "❌ Sug: " &amp; IFERROR(INDEX(Machine_List!$B$4:$B$50, MATCH("*"&amp;B5&amp;"*", Machine_List!$J$4:$J$50, 0)), "Check Limits")))</f>
        <v>✅ Machine OK</v>
      </c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  <c r="BD5" s="52"/>
      <c r="BE5" s="52"/>
      <c r="BF5" s="52"/>
      <c r="BG5" s="52"/>
      <c r="BH5" s="52"/>
      <c r="BI5" s="52"/>
      <c r="BJ5" s="52"/>
      <c r="BK5" s="52"/>
      <c r="BL5" s="52"/>
      <c r="BM5" s="52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</row>
    <row r="6" spans="1:85" ht="28.8" customHeight="1" x14ac:dyDescent="0.3">
      <c r="A6" s="10" t="str">
        <f>IF(Job_Master!A6="","",Job_Master!A6)</f>
        <v>BJ-105</v>
      </c>
      <c r="B6" s="10">
        <f>IF($A6="","",Job_Master!B6)</f>
        <v>28</v>
      </c>
      <c r="C6" s="10" t="str">
        <f>IF($A6="","",Job_Master!C6)</f>
        <v>RW</v>
      </c>
      <c r="D6" s="10">
        <f>IF($A6="","",Job_Master!D6)</f>
        <v>2</v>
      </c>
      <c r="E6" s="48" t="str">
        <f>IF($A6="","","CARVING-MC-03")</f>
        <v>CARVING-MC-03</v>
      </c>
      <c r="F6" s="106" t="str">
        <f>IF($E6="","",IFERROR(VLOOKUP($E6,Machine_List!$B:$G,6,0),""))</f>
        <v>General Workman</v>
      </c>
      <c r="G6" s="53">
        <f>IF($E6="","",IFERROR(VLOOKUP($E6,Machine_List!$B:$C,2,0),""))</f>
        <v>46296</v>
      </c>
      <c r="H6" s="10">
        <f>IF($E6="","",IFERROR(VLOOKUP($E6,Machine_List!$B:$D,3,0),""))</f>
        <v>6</v>
      </c>
      <c r="I6" s="54"/>
      <c r="J6" s="55">
        <f ca="1">IF($A6="","",IF($I6&lt;&gt;"",$I6,MAX(GlobalStartDate,IFERROR(LOOKUP(2,1/($E$3:INDIRECT("E"&amp;(ROW()-1))=$E6),$M$3:INDIRECT("M"&amp;(ROW()-1))),GlobalStartDate))))</f>
        <v>46113.291666666657</v>
      </c>
      <c r="K6" s="10">
        <f>IF($A6="","",IFERROR(VLOOKUP(B6,CHOOSE(MATCH(C6,Settings!$L$4:$L$10,0),OPR_2P!$A$4:$I$18,SEG_6P!$A$4:$I$18,SOL_4P!$A$4:$I$18,RW_2P!$A$4:$I$18,RW2_4P!$A$4:$I$18,FLAP_4P!$A$4:$I$18,TUBE_4P!$A$4:$I$18),3,0),0))</f>
        <v>36</v>
      </c>
      <c r="L6" s="10">
        <f t="shared" si="0"/>
        <v>72</v>
      </c>
      <c r="M6" s="55">
        <f ca="1">IF($A6="","",IF(AND(ISNUMBER(G6),G6&gt;=J6,G6&lt;=(J6+(L6/(IF(F6="Contract Workman",Settings!$K$5,Settings!$K$4))))),J6+(L6/(IF(F6="Contract Workman",Settings!$K$5,Settings!$K$4)))+(H6/(IF(F6="Contract Workman",Settings!$K$5,Settings!$K$4))),J6+(L6/(IF(F6="Contract Workman",Settings!$K$5,Settings!$K$4)))))</f>
        <v>46116.624999999993</v>
      </c>
      <c r="N6" s="10" t="str">
        <f t="shared" ca="1" si="1"/>
        <v>Shift A</v>
      </c>
      <c r="O6" s="51" t="str">
        <f>IF(B6="","", IF(IFERROR(ISNUMBER(SEARCH(B6, VLOOKUP(E6, Machine_List!$B:$J, 9, 0))), FALSE()), "✅ Machine OK", "❌ Sug: " &amp; IFERROR(INDEX(Machine_List!$B$4:$B$50, MATCH("*"&amp;B6&amp;"*", Machine_List!$J$4:$J$50, 0)), "Check Limits")))</f>
        <v>✅ Machine OK</v>
      </c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52"/>
      <c r="BJ6" s="52"/>
      <c r="BK6" s="52"/>
      <c r="BL6" s="52"/>
      <c r="BM6" s="52"/>
    </row>
    <row r="7" spans="1:85" ht="28.8" customHeight="1" x14ac:dyDescent="0.3">
      <c r="A7" s="10" t="str">
        <f>IF(Job_Master!A7="","",Job_Master!A7)</f>
        <v>BJ-100</v>
      </c>
      <c r="B7" s="10">
        <f>IF($A7="","",Job_Master!B7)</f>
        <v>25</v>
      </c>
      <c r="C7" s="10" t="str">
        <f>IF($A7="","",Job_Master!C7)</f>
        <v>SEG</v>
      </c>
      <c r="D7" s="10">
        <f>IF($A7="","",Job_Master!D7)</f>
        <v>6</v>
      </c>
      <c r="E7" s="48" t="str">
        <f>IF($A7="","","CARVING-MC-04")</f>
        <v>CARVING-MC-04</v>
      </c>
      <c r="F7" s="106" t="str">
        <f>IF($E7="","",IFERROR(VLOOKUP($E7,Machine_List!$B:$G,6,0),""))</f>
        <v>General Workman</v>
      </c>
      <c r="G7" s="53">
        <f>IF($E7="","",IFERROR(VLOOKUP($E7,Machine_List!$B:$C,2,0),""))</f>
        <v>46237</v>
      </c>
      <c r="H7" s="10">
        <f>IF($E7="","",IFERROR(VLOOKUP($E7,Machine_List!$B:$D,3,0),""))</f>
        <v>6</v>
      </c>
      <c r="I7" s="54"/>
      <c r="J7" s="55">
        <f ca="1">IF($A7="","",IF($I7&lt;&gt;"",$I7,MAX(GlobalStartDate,IFERROR(LOOKUP(2,1/($E$3:INDIRECT("E"&amp;(ROW()-1))=$E7),$M$3:INDIRECT("M"&amp;(ROW()-1))),GlobalStartDate))))</f>
        <v>46113.291666666657</v>
      </c>
      <c r="K7" s="10">
        <f>IF($A7="","",IFERROR(VLOOKUP(B7,CHOOSE(MATCH(C7,Settings!$L$4:$L$10,0),OPR_2P!$A$4:$I$18,SEG_6P!$A$4:$I$18,SOL_4P!$A$4:$I$18,RW_2P!$A$4:$I$18,RW2_4P!$A$4:$I$18,FLAP_4P!$A$4:$I$18,TUBE_4P!$A$4:$I$18),3,0),0))</f>
        <v>27</v>
      </c>
      <c r="L7" s="10">
        <f t="shared" si="0"/>
        <v>162</v>
      </c>
      <c r="M7" s="55">
        <f ca="1">IF($A7="","",IF(AND(ISNUMBER(G7),G7&gt;=J7,G7&lt;=(J7+(L7/(IF(F7="Contract Workman",Settings!$K$5,Settings!$K$4))))),J7+(L7/(IF(F7="Contract Workman",Settings!$K$5,Settings!$K$4)))+(H7/(IF(F7="Contract Workman",Settings!$K$5,Settings!$K$4))),J7+(L7/(IF(F7="Contract Workman",Settings!$K$5,Settings!$K$4)))))</f>
        <v>46120.791666666657</v>
      </c>
      <c r="N7" s="10" t="str">
        <f t="shared" ca="1" si="1"/>
        <v>Shift B</v>
      </c>
      <c r="O7" s="51" t="str">
        <f>IF(B7="","", IF(IFERROR(ISNUMBER(SEARCH(B7, VLOOKUP(E7, Machine_List!$B:$J, 9, 0))), FALSE()), "✅ Machine OK", "❌ Sug: " &amp; IFERROR(INDEX(Machine_List!$B$4:$B$50, MATCH("*"&amp;B7&amp;"*", Machine_List!$J$4:$J$50, 0)), "Check Limits")))</f>
        <v>✅ Machine OK</v>
      </c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52"/>
      <c r="BJ7" s="52"/>
      <c r="BK7" s="52"/>
      <c r="BL7" s="52"/>
      <c r="BM7" s="52"/>
    </row>
    <row r="8" spans="1:85" ht="28.8" customHeight="1" x14ac:dyDescent="0.3">
      <c r="A8" s="10" t="str">
        <f>IF(Job_Master!A8="","",Job_Master!A8)</f>
        <v>BJ-102</v>
      </c>
      <c r="B8" s="10">
        <f>IF($A8="","",Job_Master!B8)</f>
        <v>34</v>
      </c>
      <c r="C8" s="10" t="str">
        <f>IF($A8="","",Job_Master!C8)</f>
        <v>SEG</v>
      </c>
      <c r="D8" s="10">
        <f>IF($A8="","",Job_Master!D8)</f>
        <v>6</v>
      </c>
      <c r="E8" s="48" t="str">
        <f>IF($A8="","","CARVING-MC-05")</f>
        <v>CARVING-MC-05</v>
      </c>
      <c r="F8" s="106" t="str">
        <f>IF($E8="","",IFERROR(VLOOKUP($E8,Machine_List!$B:$G,6,0),""))</f>
        <v>General Workman</v>
      </c>
      <c r="G8" s="53">
        <f>IF($E8="","",IFERROR(VLOOKUP($E8,Machine_List!$B:$C,2,0),""))</f>
        <v>46238</v>
      </c>
      <c r="H8" s="10">
        <f>IF($E8="","",IFERROR(VLOOKUP($E8,Machine_List!$B:$D,3,0),""))</f>
        <v>6</v>
      </c>
      <c r="I8" s="54"/>
      <c r="J8" s="55">
        <f ca="1">IF($A8="","",IF($I8&lt;&gt;"",$I8,MAX(GlobalStartDate,IFERROR(LOOKUP(2,1/($E$3:INDIRECT("E"&amp;(ROW()-1))=$E8),$M$3:INDIRECT("M"&amp;(ROW()-1))),GlobalStartDate))))</f>
        <v>46113.291666666657</v>
      </c>
      <c r="K8" s="10">
        <f>IF($A8="","",IFERROR(VLOOKUP(B8,CHOOSE(MATCH(C8,Settings!$L$4:$L$10,0),OPR_2P!$A$4:$I$18,SEG_6P!$A$4:$I$18,SOL_4P!$A$4:$I$18,RW_2P!$A$4:$I$18,RW2_4P!$A$4:$I$18,FLAP_4P!$A$4:$I$18,TUBE_4P!$A$4:$I$18),3,0),0))</f>
        <v>39</v>
      </c>
      <c r="L8" s="10">
        <f t="shared" si="0"/>
        <v>234</v>
      </c>
      <c r="M8" s="55">
        <f ca="1">IF($A8="","",IF(AND(ISNUMBER(G8),G8&gt;=J8,G8&lt;=(J8+(L8/(IF(F8="Contract Workman",Settings!$K$5,Settings!$K$4))))),J8+(L8/(IF(F8="Contract Workman",Settings!$K$5,Settings!$K$4)))+(H8/(IF(F8="Contract Workman",Settings!$K$5,Settings!$K$4))),J8+(L8/(IF(F8="Contract Workman",Settings!$K$5,Settings!$K$4)))))</f>
        <v>46124.124999999993</v>
      </c>
      <c r="N8" s="10" t="str">
        <f t="shared" ca="1" si="1"/>
        <v>Shift C</v>
      </c>
      <c r="O8" s="51" t="str">
        <f>IF(B8="","", IF(IFERROR(ISNUMBER(SEARCH(B8, VLOOKUP(E8, Machine_List!$B:$J, 9, 0))), FALSE()), "✅ Machine OK", "❌ Sug: " &amp; IFERROR(INDEX(Machine_List!$B$4:$B$50, MATCH("*"&amp;B8&amp;"*", Machine_List!$J$4:$J$50, 0)), "Check Limits")))</f>
        <v>✅ Machine OK</v>
      </c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52"/>
      <c r="BL8" s="52"/>
      <c r="BM8" s="52"/>
    </row>
    <row r="9" spans="1:85" ht="28.8" customHeight="1" x14ac:dyDescent="0.3">
      <c r="A9" s="10" t="str">
        <f>IF(Job_Master!A9="","",Job_Master!A9)</f>
        <v>BJ-103</v>
      </c>
      <c r="B9" s="10">
        <f>IF($A9="","",Job_Master!B9)</f>
        <v>20</v>
      </c>
      <c r="C9" s="10" t="str">
        <f>IF($A9="","",Job_Master!C9)</f>
        <v>RW</v>
      </c>
      <c r="D9" s="10">
        <f>IF($A9="","",Job_Master!D9)</f>
        <v>2</v>
      </c>
      <c r="E9" s="48" t="str">
        <f>IF($A9="","","CARVING-MC-06")</f>
        <v>CARVING-MC-06</v>
      </c>
      <c r="F9" s="106" t="str">
        <f>IF($E9="","",IFERROR(VLOOKUP($E9,Machine_List!$B:$G,6,0),""))</f>
        <v>General Workman</v>
      </c>
      <c r="G9" s="53">
        <f>IF($E9="","",IFERROR(VLOOKUP($E9,Machine_List!$B:$C,2,0),""))</f>
        <v>46397</v>
      </c>
      <c r="H9" s="10">
        <f>IF($E9="","",IFERROR(VLOOKUP($E9,Machine_List!$B:$D,3,0),""))</f>
        <v>6</v>
      </c>
      <c r="I9" s="54"/>
      <c r="J9" s="55">
        <f ca="1">IF($A9="","",IF($I9&lt;&gt;"",$I9,MAX(GlobalStartDate,IFERROR(LOOKUP(2,1/($E$3:INDIRECT("E"&amp;(ROW()-1))=$E9),$M$3:INDIRECT("M"&amp;(ROW()-1))),GlobalStartDate))))</f>
        <v>46113.291666666657</v>
      </c>
      <c r="K9" s="10">
        <f>IF($A9="","",IFERROR(VLOOKUP(B9,CHOOSE(MATCH(C9,Settings!$L$4:$L$10,0),OPR_2P!$A$4:$I$18,SEG_6P!$A$4:$I$18,SOL_4P!$A$4:$I$18,RW_2P!$A$4:$I$18,RW2_4P!$A$4:$I$18,FLAP_4P!$A$4:$I$18,TUBE_4P!$A$4:$I$18),3,0),0))</f>
        <v>18</v>
      </c>
      <c r="L9" s="10">
        <f t="shared" si="0"/>
        <v>36</v>
      </c>
      <c r="M9" s="55">
        <f ca="1">IF($A9="","",IF(AND(ISNUMBER(G9),G9&gt;=J9,G9&lt;=(J9+(L9/(IF(F9="Contract Workman",Settings!$K$5,Settings!$K$4))))),J9+(L9/(IF(F9="Contract Workman",Settings!$K$5,Settings!$K$4)))+(H9/(IF(F9="Contract Workman",Settings!$K$5,Settings!$K$4))),J9+(L9/(IF(F9="Contract Workman",Settings!$K$5,Settings!$K$4)))))</f>
        <v>46114.958333333321</v>
      </c>
      <c r="N9" s="10" t="str">
        <f t="shared" ca="1" si="1"/>
        <v>Shift B</v>
      </c>
      <c r="O9" s="51" t="str">
        <f>IF(B9="","", IF(IFERROR(ISNUMBER(SEARCH(B9, VLOOKUP(E9, Machine_List!$B:$J, 9, 0))), FALSE()), "✅ Machine OK", "❌ Sug: " &amp; IFERROR(INDEX(Machine_List!$B$4:$B$50, MATCH("*"&amp;B9&amp;"*", Machine_List!$J$4:$J$50, 0)), "Check Limits")))</f>
        <v>✅ Machine OK</v>
      </c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2"/>
      <c r="AQ9" s="52"/>
      <c r="AR9" s="52"/>
      <c r="AS9" s="52"/>
      <c r="AT9" s="52"/>
      <c r="AU9" s="52"/>
      <c r="AV9" s="52"/>
      <c r="AW9" s="52"/>
      <c r="AX9" s="52"/>
      <c r="AY9" s="52"/>
      <c r="AZ9" s="52"/>
      <c r="BA9" s="52"/>
      <c r="BB9" s="52"/>
      <c r="BC9" s="52"/>
      <c r="BD9" s="52"/>
      <c r="BE9" s="52"/>
      <c r="BF9" s="52"/>
      <c r="BG9" s="52"/>
      <c r="BH9" s="52"/>
      <c r="BI9" s="52"/>
      <c r="BJ9" s="52"/>
      <c r="BK9" s="52"/>
      <c r="BL9" s="52"/>
      <c r="BM9" s="52"/>
    </row>
    <row r="10" spans="1:85" ht="28.8" customHeight="1" x14ac:dyDescent="0.3">
      <c r="A10" s="10" t="str">
        <f>IF(Job_Master!A10="","",Job_Master!A10)</f>
        <v>BJ-108</v>
      </c>
      <c r="B10" s="10">
        <f>IF($A10="","",Job_Master!B10)</f>
        <v>70</v>
      </c>
      <c r="C10" s="10" t="str">
        <f>IF($A10="","",Job_Master!C10)</f>
        <v>RW</v>
      </c>
      <c r="D10" s="10">
        <f>IF($A10="","",Job_Master!D10)</f>
        <v>2</v>
      </c>
      <c r="E10" s="48" t="str">
        <f>IF($A10="","","CARVING-MC-06")</f>
        <v>CARVING-MC-06</v>
      </c>
      <c r="F10" s="106" t="str">
        <f>IF($E10="","",IFERROR(VLOOKUP($E10,Machine_List!$B:$G,6,0),""))</f>
        <v>General Workman</v>
      </c>
      <c r="G10" s="53">
        <f>IF($E10="","",IFERROR(VLOOKUP($E10,Machine_List!$B:$C,2,0),""))</f>
        <v>46397</v>
      </c>
      <c r="H10" s="10">
        <f>IF($E10="","",IFERROR(VLOOKUP($E10,Machine_List!$B:$D,3,0),""))</f>
        <v>6</v>
      </c>
      <c r="I10" s="54"/>
      <c r="J10" s="55">
        <f ca="1">IF($A10="","",IF($I10&lt;&gt;"",$I10,MAX(GlobalStartDate,IFERROR(LOOKUP(2,1/($E$3:INDIRECT("E"&amp;(ROW()-1))=$E10),$M$3:INDIRECT("M"&amp;(ROW()-1))),GlobalStartDate))))</f>
        <v>46114.958333333321</v>
      </c>
      <c r="K10" s="10">
        <f>IF($A10="","",IFERROR(VLOOKUP(B10,CHOOSE(MATCH(C10,Settings!$L$4:$L$10,0),OPR_2P!$A$4:$I$18,SEG_6P!$A$4:$I$18,SOL_4P!$A$4:$I$18,RW_2P!$A$4:$I$18,RW2_4P!$A$4:$I$18,FLAP_4P!$A$4:$I$18,TUBE_4P!$A$4:$I$18),3,0),0))</f>
        <v>96</v>
      </c>
      <c r="L10" s="10">
        <f t="shared" si="0"/>
        <v>192</v>
      </c>
      <c r="M10" s="55">
        <f ca="1">IF($A10="","",IF(AND(ISNUMBER(G10),G10&gt;=J10,G10&lt;=(J10+(L10/(IF(F10="Contract Workman",Settings!$K$5,Settings!$K$4))))),J10+(L10/(IF(F10="Contract Workman",Settings!$K$5,Settings!$K$4)))+(H10/(IF(F10="Contract Workman",Settings!$K$5,Settings!$K$4))),J10+(L10/(IF(F10="Contract Workman",Settings!$K$5,Settings!$K$4)))))</f>
        <v>46123.847222222212</v>
      </c>
      <c r="N10" s="10" t="str">
        <f t="shared" ca="1" si="1"/>
        <v>Shift B</v>
      </c>
      <c r="O10" s="51" t="str">
        <f>IF(B10="","", IF(IFERROR(ISNUMBER(SEARCH(B10, VLOOKUP(E10, Machine_List!$B:$J, 9, 0))), FALSE()), "✅ Machine OK", "❌ Sug: " &amp; IFERROR(INDEX(Machine_List!$B$4:$B$50, MATCH("*"&amp;B10&amp;"*", Machine_List!$J$4:$J$50, 0)), "Check Limits")))</f>
        <v>✅ Machine OK</v>
      </c>
      <c r="P10" s="56"/>
      <c r="Q10" s="57"/>
      <c r="R10" s="57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2"/>
      <c r="BM10" s="52"/>
    </row>
    <row r="11" spans="1:85" ht="28.8" customHeight="1" x14ac:dyDescent="0.3">
      <c r="A11" s="10" t="str">
        <f>IF(Job_Master!A11="","",Job_Master!A11)</f>
        <v>BJ-106</v>
      </c>
      <c r="B11" s="10">
        <f>IF($A11="","",Job_Master!B11)</f>
        <v>15</v>
      </c>
      <c r="C11" s="10" t="str">
        <f>IF($A11="","",Job_Master!C11)</f>
        <v>RW</v>
      </c>
      <c r="D11" s="10">
        <f>IF($A11="","",Job_Master!D11)</f>
        <v>2</v>
      </c>
      <c r="E11" s="48" t="str">
        <f>IF($A11="","","CARVING-MC-01")</f>
        <v>CARVING-MC-01</v>
      </c>
      <c r="F11" s="106" t="str">
        <f>IF($E11="","",IFERROR(VLOOKUP($E11,Machine_List!$B:$G,6,0),""))</f>
        <v>General Workman</v>
      </c>
      <c r="G11" s="53">
        <f>IF($E11="","",IFERROR(VLOOKUP($E11,Machine_List!$B:$C,2,0),""))</f>
        <v>46418</v>
      </c>
      <c r="H11" s="10">
        <f>IF($E11="","",IFERROR(VLOOKUP($E11,Machine_List!$B:$D,3,0),""))</f>
        <v>6</v>
      </c>
      <c r="I11" s="54"/>
      <c r="J11" s="55">
        <f ca="1">IF($A11="","",IF($I11&lt;&gt;"",$I11,MAX(GlobalStartDate,IFERROR(LOOKUP(2,1/($E$3:INDIRECT("E"&amp;(ROW()-1))=$E11),$M$3:INDIRECT("M"&amp;(ROW()-1))),GlobalStartDate))))</f>
        <v>46116.069444444438</v>
      </c>
      <c r="K11" s="10">
        <f>IF($A11="","",IFERROR(VLOOKUP(B11,CHOOSE(MATCH(C11,Settings!$L$4:$L$10,0),OPR_2P!$A$4:$I$18,SEG_6P!$A$4:$I$18,SOL_4P!$A$4:$I$18,RW_2P!$A$4:$I$18,RW2_4P!$A$4:$I$18,FLAP_4P!$A$4:$I$18,TUBE_4P!$A$4:$I$18),3,0),0))</f>
        <v>11</v>
      </c>
      <c r="L11" s="10">
        <f t="shared" si="0"/>
        <v>22</v>
      </c>
      <c r="M11" s="55">
        <f ca="1">IF($A11="","",IF(AND(ISNUMBER(G11),G11&gt;=J11,G11&lt;=(J11+(L11/(IF(F11="Contract Workman",Settings!$K$5,Settings!$K$4))))),J11+(L11/(IF(F11="Contract Workman",Settings!$K$5,Settings!$K$4)))+(H11/(IF(F11="Contract Workman",Settings!$K$5,Settings!$K$4))),J11+(L11/(IF(F11="Contract Workman",Settings!$K$5,Settings!$K$4)))))</f>
        <v>46117.087962962956</v>
      </c>
      <c r="N11" s="10" t="str">
        <f t="shared" ca="1" si="1"/>
        <v>Shift C</v>
      </c>
      <c r="O11" s="51" t="str">
        <f>IF(B11="","", IF(IFERROR(ISNUMBER(SEARCH(B11, VLOOKUP(E11, Machine_List!$B:$J, 9, 0))), FALSE()), "✅ Machine OK", "❌ Sug: " &amp; IFERROR(INDEX(Machine_List!$B$4:$B$50, MATCH("*"&amp;B11&amp;"*", Machine_List!$J$4:$J$50, 0)), "Check Limits")))</f>
        <v>✅ Machine OK</v>
      </c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  <c r="BM11" s="52"/>
    </row>
    <row r="12" spans="1:85" ht="28.8" customHeight="1" x14ac:dyDescent="0.3">
      <c r="A12" s="10" t="str">
        <f>IF(Job_Master!A12="","",Job_Master!A12)</f>
        <v>BJ-109</v>
      </c>
      <c r="B12" s="10">
        <f>IF($A12="","",Job_Master!B12)</f>
        <v>30</v>
      </c>
      <c r="C12" s="10" t="str">
        <f>IF($A12="","",Job_Master!C12)</f>
        <v>RW</v>
      </c>
      <c r="D12" s="10">
        <f>IF($A12="","",Job_Master!D12)</f>
        <v>2</v>
      </c>
      <c r="E12" s="48" t="str">
        <f>IF($A12="","","CARVING-MC-03")</f>
        <v>CARVING-MC-03</v>
      </c>
      <c r="F12" s="106" t="str">
        <f>IF($E12="","",IFERROR(VLOOKUP($E12,Machine_List!$B:$G,6,0),""))</f>
        <v>General Workman</v>
      </c>
      <c r="G12" s="53">
        <f>IF($E12="","",IFERROR(VLOOKUP($E12,Machine_List!$B:$C,2,0),""))</f>
        <v>46296</v>
      </c>
      <c r="H12" s="10">
        <f>IF($E12="","",IFERROR(VLOOKUP($E12,Machine_List!$B:$D,3,0),""))</f>
        <v>6</v>
      </c>
      <c r="I12" s="54"/>
      <c r="J12" s="55">
        <f ca="1">IF($A12="","",IF($I12&lt;&gt;"",$I12,MAX(GlobalStartDate,IFERROR(LOOKUP(2,1/($E$3:INDIRECT("E"&amp;(ROW()-1))=$E12),$M$3:INDIRECT("M"&amp;(ROW()-1))),GlobalStartDate))))</f>
        <v>46116.624999999993</v>
      </c>
      <c r="K12" s="10">
        <f>IF($A12="","",IFERROR(VLOOKUP(B12,CHOOSE(MATCH(C12,Settings!$L$4:$L$10,0),OPR_2P!$A$4:$I$18,SEG_6P!$A$4:$I$18,SOL_4P!$A$4:$I$18,RW_2P!$A$4:$I$18,RW2_4P!$A$4:$I$18,FLAP_4P!$A$4:$I$18,TUBE_4P!$A$4:$I$18),3,0),0))</f>
        <v>41</v>
      </c>
      <c r="L12" s="10">
        <f t="shared" si="0"/>
        <v>82</v>
      </c>
      <c r="M12" s="55">
        <f ca="1">IF($A12="","",IF(AND(ISNUMBER(G12),G12&gt;=J12,G12&lt;=(J12+(L12/(IF(F12="Contract Workman",Settings!$K$5,Settings!$K$4))))),J12+(L12/(IF(F12="Contract Workman",Settings!$K$5,Settings!$K$4)))+(H12/(IF(F12="Contract Workman",Settings!$K$5,Settings!$K$4))),J12+(L12/(IF(F12="Contract Workman",Settings!$K$5,Settings!$K$4)))))</f>
        <v>46120.421296296292</v>
      </c>
      <c r="N12" s="10" t="str">
        <f t="shared" ca="1" si="1"/>
        <v>Shift A</v>
      </c>
      <c r="O12" s="51" t="str">
        <f>IF(B12="","", IF(IFERROR(ISNUMBER(SEARCH(B12, VLOOKUP(E12, Machine_List!$B:$J, 9, 0))), FALSE()), "✅ Machine OK", "❌ Sug: " &amp; IFERROR(INDEX(Machine_List!$B$4:$B$50, MATCH("*"&amp;B12&amp;"*", Machine_List!$J$4:$J$50, 0)), "Check Limits")))</f>
        <v>✅ Machine OK</v>
      </c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2"/>
      <c r="BD12" s="52"/>
      <c r="BE12" s="52"/>
      <c r="BF12" s="52"/>
      <c r="BG12" s="52"/>
      <c r="BH12" s="52"/>
      <c r="BI12" s="52"/>
      <c r="BJ12" s="52"/>
      <c r="BK12" s="52"/>
      <c r="BL12" s="52"/>
      <c r="BM12" s="52"/>
    </row>
    <row r="13" spans="1:85" ht="28.8" customHeight="1" x14ac:dyDescent="0.3">
      <c r="A13" s="10" t="str">
        <f>IF(Job_Master!A13="","",Job_Master!A13)</f>
        <v>BJ-110</v>
      </c>
      <c r="B13" s="10">
        <f>IF($A13="","",Job_Master!B13)</f>
        <v>17</v>
      </c>
      <c r="C13" s="10" t="str">
        <f>IF($A13="","",Job_Master!C13)</f>
        <v>2P</v>
      </c>
      <c r="D13" s="10">
        <f>IF($A13="","",Job_Master!D13)</f>
        <v>2</v>
      </c>
      <c r="E13" s="48" t="str">
        <f>IF($A13="","","CARVING-MC-01")</f>
        <v>CARVING-MC-01</v>
      </c>
      <c r="F13" s="106" t="str">
        <f>IF($E13="","",IFERROR(VLOOKUP($E13,Machine_List!$B:$G,6,0),""))</f>
        <v>General Workman</v>
      </c>
      <c r="G13" s="53">
        <f>IF($E13="","",IFERROR(VLOOKUP($E13,Machine_List!$B:$C,2,0),""))</f>
        <v>46418</v>
      </c>
      <c r="H13" s="10">
        <f>IF($E13="","",IFERROR(VLOOKUP($E13,Machine_List!$B:$D,3,0),""))</f>
        <v>6</v>
      </c>
      <c r="I13" s="54"/>
      <c r="J13" s="55">
        <f ca="1">IF($A13="","",IF($I13&lt;&gt;"",$I13,MAX(GlobalStartDate,IFERROR(LOOKUP(2,1/($E$3:INDIRECT("E"&amp;(ROW()-1))=$E13),$M$3:INDIRECT("M"&amp;(ROW()-1))),GlobalStartDate))))</f>
        <v>46117.087962962956</v>
      </c>
      <c r="K13" s="10">
        <f>IF($A13="","",IFERROR(VLOOKUP(B13,CHOOSE(MATCH(C13,Settings!$L$4:$L$10,0),OPR_2P!$A$4:$I$18,SEG_6P!$A$4:$I$18,SOL_4P!$A$4:$I$18,RW_2P!$A$4:$I$18,RW2_4P!$A$4:$I$18,FLAP_4P!$A$4:$I$18,TUBE_4P!$A$4:$I$18),3,0),0))</f>
        <v>14</v>
      </c>
      <c r="L13" s="10">
        <f t="shared" si="0"/>
        <v>28</v>
      </c>
      <c r="M13" s="55">
        <f ca="1">IF($A13="","",IF(AND(ISNUMBER(G13),G13&gt;=J13,G13&lt;=(J13+(L13/(IF(F13="Contract Workman",Settings!$K$5,Settings!$K$4))))),J13+(L13/(IF(F13="Contract Workman",Settings!$K$5,Settings!$K$4)))+(H13/(IF(F13="Contract Workman",Settings!$K$5,Settings!$K$4))),J13+(L13/(IF(F13="Contract Workman",Settings!$K$5,Settings!$K$4)))))</f>
        <v>46118.384259259255</v>
      </c>
      <c r="N13" s="10" t="str">
        <f t="shared" ca="1" si="1"/>
        <v>Shift A</v>
      </c>
      <c r="O13" s="51" t="str">
        <f>IF(B13="","", IF(IFERROR(ISNUMBER(SEARCH(B13, VLOOKUP(E13, Machine_List!$B:$J, 9, 0))), FALSE()), "✅ Machine OK", "❌ Sug: " &amp; IFERROR(INDEX(Machine_List!$B$4:$B$50, MATCH("*"&amp;B13&amp;"*", Machine_List!$J$4:$J$50, 0)), "Check Limits")))</f>
        <v>✅ Machine OK</v>
      </c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2"/>
      <c r="BD13" s="52"/>
      <c r="BE13" s="52"/>
      <c r="BF13" s="52"/>
      <c r="BG13" s="52"/>
      <c r="BH13" s="52"/>
      <c r="BI13" s="52"/>
      <c r="BJ13" s="52"/>
      <c r="BK13" s="52"/>
      <c r="BL13" s="52"/>
      <c r="BM13" s="52"/>
    </row>
    <row r="14" spans="1:85" ht="28.8" customHeight="1" x14ac:dyDescent="0.3">
      <c r="A14" s="10" t="str">
        <f>IF(Job_Master!A14="","",Job_Master!A14)</f>
        <v>BJ-111</v>
      </c>
      <c r="B14" s="10">
        <f>IF($A14="","",Job_Master!B14)</f>
        <v>25</v>
      </c>
      <c r="C14" s="10" t="str">
        <f>IF($A14="","",Job_Master!C14)</f>
        <v>RW</v>
      </c>
      <c r="D14" s="10">
        <f>IF($A14="","",Job_Master!D14)</f>
        <v>2</v>
      </c>
      <c r="E14" s="48" t="str">
        <f>IF($A14="","","CARVING-MC-01")</f>
        <v>CARVING-MC-01</v>
      </c>
      <c r="F14" s="106" t="str">
        <f>IF($E14="","",IFERROR(VLOOKUP($E14,Machine_List!$B:$G,6,0),""))</f>
        <v>General Workman</v>
      </c>
      <c r="G14" s="53">
        <f>IF($E14="","",IFERROR(VLOOKUP($E14,Machine_List!$B:$C,2,0),""))</f>
        <v>46418</v>
      </c>
      <c r="H14" s="10">
        <f>IF($E14="","",IFERROR(VLOOKUP($E14,Machine_List!$B:$D,3,0),""))</f>
        <v>6</v>
      </c>
      <c r="I14" s="54"/>
      <c r="J14" s="55">
        <f ca="1">IF($A14="","",IF($I14&lt;&gt;"",$I14,MAX(GlobalStartDate,IFERROR(LOOKUP(2,1/($E$3:INDIRECT("E"&amp;(ROW()-1))=$E14),$M$3:INDIRECT("M"&amp;(ROW()-1))),GlobalStartDate))))</f>
        <v>46118.384259259255</v>
      </c>
      <c r="K14" s="10">
        <f>IF($A14="","",IFERROR(VLOOKUP(B14,CHOOSE(MATCH(C14,Settings!$L$4:$L$10,0),OPR_2P!$A$4:$I$18,SEG_6P!$A$4:$I$18,SOL_4P!$A$4:$I$18,RW_2P!$A$4:$I$18,RW2_4P!$A$4:$I$18,FLAP_4P!$A$4:$I$18,TUBE_4P!$A$4:$I$18),3,0),0))</f>
        <v>30</v>
      </c>
      <c r="L14" s="10">
        <f t="shared" si="0"/>
        <v>60</v>
      </c>
      <c r="M14" s="55">
        <f ca="1">IF($A14="","",IF(AND(ISNUMBER(G14),G14&gt;=J14,G14&lt;=(J14+(L14/(IF(F14="Contract Workman",Settings!$K$5,Settings!$K$4))))),J14+(L14/(IF(F14="Contract Workman",Settings!$K$5,Settings!$K$4)))+(H14/(IF(F14="Contract Workman",Settings!$K$5,Settings!$K$4))),J14+(L14/(IF(F14="Contract Workman",Settings!$K$5,Settings!$K$4)))))</f>
        <v>46121.162037037036</v>
      </c>
      <c r="N14" s="10" t="str">
        <f t="shared" ca="1" si="1"/>
        <v>Shift C</v>
      </c>
      <c r="O14" s="51" t="str">
        <f>IF(B14="","", IF(IFERROR(ISNUMBER(SEARCH(B14, VLOOKUP(E14, Machine_List!$B:$J, 9, 0))), FALSE()), "✅ Machine OK", "❌ Sug: " &amp; IFERROR(INDEX(Machine_List!$B$4:$B$50, MATCH("*"&amp;B14&amp;"*", Machine_List!$J$4:$J$50, 0)), "Check Limits")))</f>
        <v>✅ Machine OK</v>
      </c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2"/>
      <c r="AQ14" s="52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2"/>
      <c r="BD14" s="52"/>
      <c r="BE14" s="52"/>
      <c r="BF14" s="52"/>
      <c r="BG14" s="52"/>
      <c r="BH14" s="52"/>
      <c r="BI14" s="52"/>
      <c r="BJ14" s="52"/>
      <c r="BK14" s="52"/>
      <c r="BL14" s="52"/>
      <c r="BM14" s="52"/>
    </row>
    <row r="15" spans="1:85" ht="28.8" customHeight="1" x14ac:dyDescent="0.3">
      <c r="A15" s="10" t="str">
        <f>IF(Job_Master!A15="","",Job_Master!A15)</f>
        <v>BJ-107</v>
      </c>
      <c r="B15" s="10">
        <f>IF($A15="","",Job_Master!B15)</f>
        <v>20</v>
      </c>
      <c r="C15" s="10" t="str">
        <f>IF($A15="","",Job_Master!C15)</f>
        <v>SEG</v>
      </c>
      <c r="D15" s="10">
        <f>IF($A15="","",Job_Master!D15)</f>
        <v>6</v>
      </c>
      <c r="E15" s="48" t="str">
        <f>IF($A15="","","CARVING-MC-03")</f>
        <v>CARVING-MC-03</v>
      </c>
      <c r="F15" s="106" t="str">
        <f>IF($E15="","",IFERROR(VLOOKUP($E15,Machine_List!$B:$G,6,0),""))</f>
        <v>General Workman</v>
      </c>
      <c r="G15" s="53">
        <f>IF($E15="","",IFERROR(VLOOKUP($E15,Machine_List!$B:$C,2,0),""))</f>
        <v>46296</v>
      </c>
      <c r="H15" s="10">
        <f>IF($E15="","",IFERROR(VLOOKUP($E15,Machine_List!$B:$D,3,0),""))</f>
        <v>6</v>
      </c>
      <c r="I15" s="54"/>
      <c r="J15" s="55">
        <f ca="1">IF($A15="","",IF($I15&lt;&gt;"",$I15,MAX(GlobalStartDate,IFERROR(LOOKUP(2,1/($E$3:INDIRECT("E"&amp;(ROW()-1))=$E15),$M$3:INDIRECT("M"&amp;(ROW()-1))),GlobalStartDate))))</f>
        <v>46120.421296296292</v>
      </c>
      <c r="K15" s="10">
        <f>IF($A15="","",IFERROR(VLOOKUP(B15,CHOOSE(MATCH(C15,Settings!$L$4:$L$10,0),OPR_2P!$A$4:$I$18,SEG_6P!$A$4:$I$18,SOL_4P!$A$4:$I$18,RW_2P!$A$4:$I$18,RW2_4P!$A$4:$I$18,FLAP_4P!$A$4:$I$18,TUBE_4P!$A$4:$I$18),3,0),0))</f>
        <v>29</v>
      </c>
      <c r="L15" s="10">
        <f t="shared" si="0"/>
        <v>174</v>
      </c>
      <c r="M15" s="55">
        <f ca="1">IF($A15="","",IF(AND(ISNUMBER(G15),G15&gt;=J15,G15&lt;=(J15+(L15/(IF(F15="Contract Workman",Settings!$K$5,Settings!$K$4))))),J15+(L15/(IF(F15="Contract Workman",Settings!$K$5,Settings!$K$4)))+(H15/(IF(F15="Contract Workman",Settings!$K$5,Settings!$K$4))),J15+(L15/(IF(F15="Contract Workman",Settings!$K$5,Settings!$K$4)))))</f>
        <v>46128.476851851847</v>
      </c>
      <c r="N15" s="10" t="str">
        <f t="shared" ca="1" si="1"/>
        <v>Shift A</v>
      </c>
      <c r="O15" s="51" t="str">
        <f>IF(B15="","", IF(IFERROR(ISNUMBER(SEARCH(B15, VLOOKUP(E15, Machine_List!$B:$J, 9, 0))), FALSE()), "✅ Machine OK", "❌ Sug: " &amp; IFERROR(INDEX(Machine_List!$B$4:$B$50, MATCH("*"&amp;B15&amp;"*", Machine_List!$J$4:$J$50, 0)), "Check Limits")))</f>
        <v>✅ Machine OK</v>
      </c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2"/>
      <c r="BC15" s="52"/>
      <c r="BD15" s="52"/>
      <c r="BE15" s="52"/>
      <c r="BF15" s="52"/>
      <c r="BG15" s="52"/>
      <c r="BH15" s="52"/>
      <c r="BI15" s="52"/>
      <c r="BJ15" s="52"/>
      <c r="BK15" s="52"/>
      <c r="BL15" s="52"/>
      <c r="BM15" s="52"/>
    </row>
    <row r="16" spans="1:85" ht="28.8" customHeight="1" x14ac:dyDescent="0.3">
      <c r="A16" s="10" t="str">
        <f>IF(Job_Master!A16="","",Job_Master!A16)</f>
        <v>BJ-112</v>
      </c>
      <c r="B16" s="10">
        <f>IF($A16="","",Job_Master!B16)</f>
        <v>17</v>
      </c>
      <c r="C16" s="10" t="str">
        <f>IF($A16="","",Job_Master!C16)</f>
        <v>2P</v>
      </c>
      <c r="D16" s="10">
        <f>IF($A16="","",Job_Master!D16)</f>
        <v>2</v>
      </c>
      <c r="E16" s="48" t="str">
        <f>IF($A16="","","CARVING-MC-04")</f>
        <v>CARVING-MC-04</v>
      </c>
      <c r="F16" s="106" t="str">
        <f>IF($E16="","",IFERROR(VLOOKUP($E16,Machine_List!$B:$G,6,0),""))</f>
        <v>General Workman</v>
      </c>
      <c r="G16" s="53">
        <f>IF($E16="","",IFERROR(VLOOKUP($E16,Machine_List!$B:$C,2,0),""))</f>
        <v>46237</v>
      </c>
      <c r="H16" s="10">
        <f>IF($E16="","",IFERROR(VLOOKUP($E16,Machine_List!$B:$D,3,0),""))</f>
        <v>6</v>
      </c>
      <c r="I16" s="54"/>
      <c r="J16" s="55">
        <f ca="1">IF($A16="","",IF($I16&lt;&gt;"",$I16,MAX(GlobalStartDate,IFERROR(LOOKUP(2,1/($E$3:INDIRECT("E"&amp;(ROW()-1))=$E16),$M$3:INDIRECT("M"&amp;(ROW()-1))),GlobalStartDate))))</f>
        <v>46120.791666666657</v>
      </c>
      <c r="K16" s="10">
        <f>IF($A16="","",IFERROR(VLOOKUP(B16,CHOOSE(MATCH(C16,Settings!$L$4:$L$10,0),OPR_2P!$A$4:$I$18,SEG_6P!$A$4:$I$18,SOL_4P!$A$4:$I$18,RW_2P!$A$4:$I$18,RW2_4P!$A$4:$I$18,FLAP_4P!$A$4:$I$18,TUBE_4P!$A$4:$I$18),3,0),0))</f>
        <v>14</v>
      </c>
      <c r="L16" s="10">
        <f t="shared" si="0"/>
        <v>28</v>
      </c>
      <c r="M16" s="55">
        <f ca="1">IF($A16="","",IF(AND(ISNUMBER(G16),G16&gt;=J16,G16&lt;=(J16+(L16/(IF(F16="Contract Workman",Settings!$K$5,Settings!$K$4))))),J16+(L16/(IF(F16="Contract Workman",Settings!$K$5,Settings!$K$4)))+(H16/(IF(F16="Contract Workman",Settings!$K$5,Settings!$K$4))),J16+(L16/(IF(F16="Contract Workman",Settings!$K$5,Settings!$K$4)))))</f>
        <v>46122.087962962956</v>
      </c>
      <c r="N16" s="10" t="str">
        <f t="shared" ca="1" si="1"/>
        <v>Shift C</v>
      </c>
      <c r="O16" s="51" t="str">
        <f>IF(B16="","", IF(IFERROR(ISNUMBER(SEARCH(B16, VLOOKUP(E16, Machine_List!$B:$J, 9, 0))), FALSE()), "✅ Machine OK", "❌ Sug: " &amp; IFERROR(INDEX(Machine_List!$B$4:$B$50, MATCH("*"&amp;B16&amp;"*", Machine_List!$J$4:$J$50, 0)), "Check Limits")))</f>
        <v>✅ Machine OK</v>
      </c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  <c r="BD16" s="52"/>
      <c r="BE16" s="52"/>
      <c r="BF16" s="52"/>
      <c r="BG16" s="52"/>
      <c r="BH16" s="52"/>
      <c r="BI16" s="52"/>
      <c r="BJ16" s="52"/>
      <c r="BK16" s="52"/>
      <c r="BL16" s="52"/>
      <c r="BM16" s="52"/>
    </row>
    <row r="17" spans="1:65" ht="28.8" customHeight="1" x14ac:dyDescent="0.3">
      <c r="A17" s="10" t="str">
        <f>IF(Job_Master!A17="","",Job_Master!A17)</f>
        <v>BJ-114</v>
      </c>
      <c r="B17" s="10">
        <f>IF($A17="","",Job_Master!B17)</f>
        <v>50</v>
      </c>
      <c r="C17" s="10" t="str">
        <f>IF($A17="","",Job_Master!C17)</f>
        <v>SEG</v>
      </c>
      <c r="D17" s="10">
        <f>IF($A17="","",Job_Master!D17)</f>
        <v>6</v>
      </c>
      <c r="E17" s="48" t="str">
        <f>IF($A17="","","CARVING-MC-04")</f>
        <v>CARVING-MC-04</v>
      </c>
      <c r="F17" s="106" t="str">
        <f>IF($E17="","",IFERROR(VLOOKUP($E17,Machine_List!$B:$G,6,0),""))</f>
        <v>General Workman</v>
      </c>
      <c r="G17" s="53">
        <f>IF($E17="","",IFERROR(VLOOKUP($E17,Machine_List!$B:$C,2,0),""))</f>
        <v>46237</v>
      </c>
      <c r="H17" s="10">
        <f>IF($E17="","",IFERROR(VLOOKUP($E17,Machine_List!$B:$D,3,0),""))</f>
        <v>6</v>
      </c>
      <c r="I17" s="54"/>
      <c r="J17" s="55">
        <f ca="1">IF($A17="","",IF($I17&lt;&gt;"",$I17,MAX(GlobalStartDate,IFERROR(LOOKUP(2,1/($E$3:INDIRECT("E"&amp;(ROW()-1))=$E17),$M$3:INDIRECT("M"&amp;(ROW()-1))),GlobalStartDate))))</f>
        <v>46122.087962962956</v>
      </c>
      <c r="K17" s="10">
        <f>IF($A17="","",IFERROR(VLOOKUP(B17,CHOOSE(MATCH(C17,Settings!$L$4:$L$10,0),OPR_2P!$A$4:$I$18,SEG_6P!$A$4:$I$18,SOL_4P!$A$4:$I$18,RW_2P!$A$4:$I$18,RW2_4P!$A$4:$I$18,FLAP_4P!$A$4:$I$18,TUBE_4P!$A$4:$I$18),3,0),0))</f>
        <v>70</v>
      </c>
      <c r="L17" s="10">
        <f t="shared" si="0"/>
        <v>420</v>
      </c>
      <c r="M17" s="55">
        <f ca="1">IF($A17="","",IF(AND(ISNUMBER(G17),G17&gt;=J17,G17&lt;=(J17+(L17/(IF(F17="Contract Workman",Settings!$K$5,Settings!$K$4))))),J17+(L17/(IF(F17="Contract Workman",Settings!$K$5,Settings!$K$4)))+(H17/(IF(F17="Contract Workman",Settings!$K$5,Settings!$K$4))),J17+(L17/(IF(F17="Contract Workman",Settings!$K$5,Settings!$K$4)))))</f>
        <v>46141.532407407401</v>
      </c>
      <c r="N17" s="10" t="str">
        <f t="shared" ca="1" si="1"/>
        <v>Shift A</v>
      </c>
      <c r="O17" s="51" t="str">
        <f>IF(B17="","", IF(IFERROR(ISNUMBER(SEARCH(B17, VLOOKUP(E17, Machine_List!$B:$J, 9, 0))), FALSE()), "✅ Machine OK", "❌ Sug: " &amp; IFERROR(INDEX(Machine_List!$B$4:$B$50, MATCH("*"&amp;B17&amp;"*", Machine_List!$J$4:$J$50, 0)), "Check Limits")))</f>
        <v>✅ Machine OK</v>
      </c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2"/>
      <c r="BF17" s="52"/>
      <c r="BG17" s="52"/>
      <c r="BH17" s="52"/>
      <c r="BI17" s="52"/>
      <c r="BJ17" s="52"/>
      <c r="BK17" s="52"/>
      <c r="BL17" s="52"/>
      <c r="BM17" s="52"/>
    </row>
    <row r="18" spans="1:65" ht="28.8" customHeight="1" x14ac:dyDescent="0.3">
      <c r="A18" s="10" t="str">
        <f>IF(Job_Master!A18="","",Job_Master!A18)</f>
        <v>BJ-115</v>
      </c>
      <c r="B18" s="10">
        <f>IF($A18="","",Job_Master!B18)</f>
        <v>46</v>
      </c>
      <c r="C18" s="10" t="str">
        <f>IF($A18="","",Job_Master!C18)</f>
        <v>2P</v>
      </c>
      <c r="D18" s="10">
        <f>IF($A18="","",Job_Master!D18)</f>
        <v>2</v>
      </c>
      <c r="E18" s="48" t="str">
        <f>IF($A18="","","CARVING-MC-01")</f>
        <v>CARVING-MC-01</v>
      </c>
      <c r="F18" s="106" t="str">
        <f>IF($E18="","",IFERROR(VLOOKUP($E18,Machine_List!$B:$G,6,0),""))</f>
        <v>General Workman</v>
      </c>
      <c r="G18" s="53">
        <f>IF($E18="","",IFERROR(VLOOKUP($E18,Machine_List!$B:$C,2,0),""))</f>
        <v>46418</v>
      </c>
      <c r="H18" s="10">
        <f>IF($E18="","",IFERROR(VLOOKUP($E18,Machine_List!$B:$D,3,0),""))</f>
        <v>6</v>
      </c>
      <c r="I18" s="54"/>
      <c r="J18" s="55">
        <f ca="1">IF($A18="","",IF($I18&lt;&gt;"",$I18,MAX(GlobalStartDate,IFERROR(LOOKUP(2,1/($E$3:INDIRECT("E"&amp;(ROW()-1))=$E18),$M$3:INDIRECT("M"&amp;(ROW()-1))),GlobalStartDate))))</f>
        <v>46121.162037037036</v>
      </c>
      <c r="K18" s="10">
        <f>IF($A18="","",IFERROR(VLOOKUP(B18,CHOOSE(MATCH(C18,Settings!$L$4:$L$10,0),OPR_2P!$A$4:$I$18,SEG_6P!$A$4:$I$18,SOL_4P!$A$4:$I$18,RW_2P!$A$4:$I$18,RW2_4P!$A$4:$I$18,FLAP_4P!$A$4:$I$18,TUBE_4P!$A$4:$I$18),3,0),0))</f>
        <v>74</v>
      </c>
      <c r="L18" s="10">
        <f t="shared" si="0"/>
        <v>148</v>
      </c>
      <c r="M18" s="55">
        <f ca="1">IF($A18="","",IF(AND(ISNUMBER(G18),G18&gt;=J18,G18&lt;=(J18+(L18/(IF(F18="Contract Workman",Settings!$K$5,Settings!$K$4))))),J18+(L18/(IF(F18="Contract Workman",Settings!$K$5,Settings!$K$4)))+(H18/(IF(F18="Contract Workman",Settings!$K$5,Settings!$K$4))),J18+(L18/(IF(F18="Contract Workman",Settings!$K$5,Settings!$K$4)))))</f>
        <v>46128.013888888891</v>
      </c>
      <c r="N18" s="10" t="str">
        <f t="shared" ca="1" si="1"/>
        <v>Shift C</v>
      </c>
      <c r="O18" s="51" t="str">
        <f>IF(B18="","", IF(IFERROR(ISNUMBER(SEARCH(B18, VLOOKUP(E18, Machine_List!$B:$J, 9, 0))), FALSE()), "✅ Machine OK", "❌ Sug: " &amp; IFERROR(INDEX(Machine_List!$B$4:$B$50, MATCH("*"&amp;B18&amp;"*", Machine_List!$J$4:$J$50, 0)), "Check Limits")))</f>
        <v>✅ Machine OK</v>
      </c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52"/>
      <c r="BE18" s="52"/>
      <c r="BF18" s="52"/>
      <c r="BG18" s="52"/>
      <c r="BH18" s="52"/>
      <c r="BI18" s="52"/>
      <c r="BJ18" s="52"/>
      <c r="BK18" s="52"/>
      <c r="BL18" s="52"/>
      <c r="BM18" s="52"/>
    </row>
    <row r="19" spans="1:65" ht="28.8" customHeight="1" x14ac:dyDescent="0.3">
      <c r="A19" s="10" t="str">
        <f>IF(Job_Master!A19="","",Job_Master!A19)</f>
        <v>BJ-116</v>
      </c>
      <c r="B19" s="10">
        <f>IF($A19="","",Job_Master!B19)</f>
        <v>54</v>
      </c>
      <c r="C19" s="10" t="str">
        <f>IF($A19="","",Job_Master!C19)</f>
        <v>2P</v>
      </c>
      <c r="D19" s="10">
        <f>IF($A19="","",Job_Master!D19)</f>
        <v>2</v>
      </c>
      <c r="E19" s="48" t="str">
        <f>IF($A19="","","CARVING-MC-03")</f>
        <v>CARVING-MC-03</v>
      </c>
      <c r="F19" s="106" t="str">
        <f>IF($E19="","",IFERROR(VLOOKUP($E19,Machine_List!$B:$G,6,0),""))</f>
        <v>General Workman</v>
      </c>
      <c r="G19" s="53">
        <f>IF($E19="","",IFERROR(VLOOKUP($E19,Machine_List!$B:$C,2,0),""))</f>
        <v>46296</v>
      </c>
      <c r="H19" s="10">
        <f>IF($E19="","",IFERROR(VLOOKUP($E19,Machine_List!$B:$D,3,0),""))</f>
        <v>6</v>
      </c>
      <c r="I19" s="54"/>
      <c r="J19" s="55">
        <f ca="1">IF($A19="","",IF($I19&lt;&gt;"",$I19,MAX(GlobalStartDate,IFERROR(LOOKUP(2,1/($E$3:INDIRECT("E"&amp;(ROW()-1))=$E19),$M$3:INDIRECT("M"&amp;(ROW()-1))),GlobalStartDate))))</f>
        <v>46128.476851851847</v>
      </c>
      <c r="K19" s="10">
        <f>IF($A19="","",IFERROR(VLOOKUP(B19,CHOOSE(MATCH(C19,Settings!$L$4:$L$10,0),OPR_2P!$A$4:$I$18,SEG_6P!$A$4:$I$18,SOL_4P!$A$4:$I$18,RW_2P!$A$4:$I$18,RW2_4P!$A$4:$I$18,FLAP_4P!$A$4:$I$18,TUBE_4P!$A$4:$I$18),3,0),0))</f>
        <v>60</v>
      </c>
      <c r="L19" s="10">
        <f t="shared" si="0"/>
        <v>120</v>
      </c>
      <c r="M19" s="55">
        <f ca="1">IF($A19="","",IF(AND(ISNUMBER(G19),G19&gt;=J19,G19&lt;=(J19+(L19/(IF(F19="Contract Workman",Settings!$K$5,Settings!$K$4))))),J19+(L19/(IF(F19="Contract Workman",Settings!$K$5,Settings!$K$4)))+(H19/(IF(F19="Contract Workman",Settings!$K$5,Settings!$K$4))),J19+(L19/(IF(F19="Contract Workman",Settings!$K$5,Settings!$K$4)))))</f>
        <v>46134.032407407401</v>
      </c>
      <c r="N19" s="10" t="str">
        <f t="shared" ca="1" si="1"/>
        <v>Shift C</v>
      </c>
      <c r="O19" s="51" t="str">
        <f>IF(B19="","", IF(IFERROR(ISNUMBER(SEARCH(B19, VLOOKUP(E19, Machine_List!$B:$J, 9, 0))), FALSE()), "✅ Machine OK", "❌ Sug: " &amp; IFERROR(INDEX(Machine_List!$B$4:$B$50, MATCH("*"&amp;B19&amp;"*", Machine_List!$J$4:$J$50, 0)), "Check Limits")))</f>
        <v>✅ Machine OK</v>
      </c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2"/>
      <c r="AQ19" s="52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2"/>
      <c r="BD19" s="52"/>
      <c r="BE19" s="52"/>
      <c r="BF19" s="52"/>
      <c r="BG19" s="52"/>
      <c r="BH19" s="52"/>
      <c r="BI19" s="52"/>
      <c r="BJ19" s="52"/>
      <c r="BK19" s="52"/>
      <c r="BL19" s="52"/>
      <c r="BM19" s="52"/>
    </row>
    <row r="20" spans="1:65" ht="28.8" customHeight="1" x14ac:dyDescent="0.3">
      <c r="A20" s="10" t="str">
        <f>IF(Job_Master!A20="","",Job_Master!A20)</f>
        <v>BJ-118</v>
      </c>
      <c r="B20" s="10">
        <f>IF($A20="","",Job_Master!B20)</f>
        <v>28</v>
      </c>
      <c r="C20" s="10" t="str">
        <f>IF($A20="","",Job_Master!C20)</f>
        <v>SOL</v>
      </c>
      <c r="D20" s="10">
        <f>IF($A20="","",Job_Master!D20)</f>
        <v>4</v>
      </c>
      <c r="E20" s="48" t="str">
        <f>IF($A20="","","CARVING-MC-02")</f>
        <v>CARVING-MC-02</v>
      </c>
      <c r="F20" s="106" t="str">
        <f>IF($E20="","",IFERROR(VLOOKUP($E20,Machine_List!$B:$G,6,0),""))</f>
        <v>General Workman</v>
      </c>
      <c r="G20" s="53">
        <f>IF($E20="","",IFERROR(VLOOKUP($E20,Machine_List!$B:$C,2,0),""))</f>
        <v>46282</v>
      </c>
      <c r="H20" s="10">
        <f>IF($E20="","",IFERROR(VLOOKUP($E20,Machine_List!$B:$D,3,0),""))</f>
        <v>6</v>
      </c>
      <c r="I20" s="54"/>
      <c r="J20" s="55">
        <f ca="1">IF($A20="","",IF($I20&lt;&gt;"",$I20,MAX(GlobalStartDate,IFERROR(LOOKUP(2,1/($E$3:INDIRECT("E"&amp;(ROW()-1))=$E20),$M$3:INDIRECT("M"&amp;(ROW()-1))),GlobalStartDate))))</f>
        <v>46121.25462962962</v>
      </c>
      <c r="K20" s="10">
        <f>IF($A20="","",IFERROR(VLOOKUP(B20,CHOOSE(MATCH(C20,Settings!$L$4:$L$10,0),OPR_2P!$A$4:$I$18,SEG_6P!$A$4:$I$18,SOL_4P!$A$4:$I$18,RW_2P!$A$4:$I$18,RW2_4P!$A$4:$I$18,FLAP_4P!$A$4:$I$18,TUBE_4P!$A$4:$I$18),3,0),0))</f>
        <v>46</v>
      </c>
      <c r="L20" s="10">
        <f t="shared" si="0"/>
        <v>184</v>
      </c>
      <c r="M20" s="55">
        <f ca="1">IF($A20="","",IF(AND(ISNUMBER(G20),G20&gt;=J20,G20&lt;=(J20+(L20/(IF(F20="Contract Workman",Settings!$K$5,Settings!$K$4))))),J20+(L20/(IF(F20="Contract Workman",Settings!$K$5,Settings!$K$4)))+(H20/(IF(F20="Contract Workman",Settings!$K$5,Settings!$K$4))),J20+(L20/(IF(F20="Contract Workman",Settings!$K$5,Settings!$K$4)))))</f>
        <v>46129.773148148139</v>
      </c>
      <c r="N20" s="10" t="str">
        <f t="shared" ca="1" si="1"/>
        <v>Shift B</v>
      </c>
      <c r="O20" s="51" t="str">
        <f>IF(B20="","", IF(IFERROR(ISNUMBER(SEARCH(B20, VLOOKUP(E20, Machine_List!$B:$J, 9, 0))), FALSE()), "✅ Machine OK", "❌ Sug: " &amp; IFERROR(INDEX(Machine_List!$B$4:$B$50, MATCH("*"&amp;B20&amp;"*", Machine_List!$J$4:$J$50, 0)), "Check Limits")))</f>
        <v>✅ Machine OK</v>
      </c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2"/>
      <c r="AQ20" s="52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2"/>
      <c r="BC20" s="52"/>
      <c r="BD20" s="52"/>
      <c r="BE20" s="52"/>
      <c r="BF20" s="52"/>
      <c r="BG20" s="52"/>
      <c r="BH20" s="52"/>
      <c r="BI20" s="52"/>
      <c r="BJ20" s="52"/>
      <c r="BK20" s="52"/>
      <c r="BL20" s="52"/>
      <c r="BM20" s="52"/>
    </row>
    <row r="21" spans="1:65" ht="28.8" customHeight="1" x14ac:dyDescent="0.3">
      <c r="A21" s="10" t="str">
        <f>IF(Job_Master!A21="","",Job_Master!A21)</f>
        <v>BJ-119</v>
      </c>
      <c r="B21" s="10">
        <f>IF($A21="","",Job_Master!B21)</f>
        <v>63</v>
      </c>
      <c r="C21" s="10" t="str">
        <f>IF($A21="","",Job_Master!C21)</f>
        <v>SOL</v>
      </c>
      <c r="D21" s="10">
        <f>IF($A21="","",Job_Master!D21)</f>
        <v>4</v>
      </c>
      <c r="E21" s="48" t="str">
        <f>IF($A21="","","CARVING-MC-06")</f>
        <v>CARVING-MC-06</v>
      </c>
      <c r="F21" s="106" t="str">
        <f>IF($E21="","",IFERROR(VLOOKUP($E21,Machine_List!$B:$G,6,0),""))</f>
        <v>General Workman</v>
      </c>
      <c r="G21" s="53">
        <f>IF($E21="","",IFERROR(VLOOKUP($E21,Machine_List!$B:$C,2,0),""))</f>
        <v>46397</v>
      </c>
      <c r="H21" s="10">
        <f>IF($E21="","",IFERROR(VLOOKUP($E21,Machine_List!$B:$D,3,0),""))</f>
        <v>6</v>
      </c>
      <c r="I21" s="54"/>
      <c r="J21" s="55">
        <f ca="1">IF($A21="","",IF($I21&lt;&gt;"",$I21,MAX(GlobalStartDate,IFERROR(LOOKUP(2,1/($E$3:INDIRECT("E"&amp;(ROW()-1))=$E21),$M$3:INDIRECT("M"&amp;(ROW()-1))),GlobalStartDate))))</f>
        <v>46123.847222222212</v>
      </c>
      <c r="K21" s="10">
        <f>IF($A21="","",IFERROR(VLOOKUP(B21,CHOOSE(MATCH(C21,Settings!$L$4:$L$10,0),OPR_2P!$A$4:$I$18,SEG_6P!$A$4:$I$18,SOL_4P!$A$4:$I$18,RW_2P!$A$4:$I$18,RW2_4P!$A$4:$I$18,FLAP_4P!$A$4:$I$18,TUBE_4P!$A$4:$I$18),3,0),0))</f>
        <v>95</v>
      </c>
      <c r="L21" s="10">
        <f t="shared" si="0"/>
        <v>380</v>
      </c>
      <c r="M21" s="55">
        <f ca="1">IF($A21="","",IF(AND(ISNUMBER(G21),G21&gt;=J21,G21&lt;=(J21+(L21/(IF(F21="Contract Workman",Settings!$K$5,Settings!$K$4))))),J21+(L21/(IF(F21="Contract Workman",Settings!$K$5,Settings!$K$4)))+(H21/(IF(F21="Contract Workman",Settings!$K$5,Settings!$K$4))),J21+(L21/(IF(F21="Contract Workman",Settings!$K$5,Settings!$K$4)))))</f>
        <v>46141.439814814803</v>
      </c>
      <c r="N21" s="10" t="str">
        <f t="shared" ca="1" si="1"/>
        <v>Shift A</v>
      </c>
      <c r="O21" s="51" t="str">
        <f>IF(B21="","", IF(IFERROR(ISNUMBER(SEARCH(B21, VLOOKUP(E21, Machine_List!$B:$J, 9, 0))), FALSE()), "✅ Machine OK", "❌ Sug: " &amp; IFERROR(INDEX(Machine_List!$B$4:$B$50, MATCH("*"&amp;B21&amp;"*", Machine_List!$J$4:$J$50, 0)), "Check Limits")))</f>
        <v>✅ Machine OK</v>
      </c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2"/>
      <c r="AQ21" s="52"/>
      <c r="AR21" s="52"/>
      <c r="AS21" s="52"/>
      <c r="AT21" s="52"/>
      <c r="AU21" s="52"/>
      <c r="AV21" s="52"/>
      <c r="AW21" s="52"/>
      <c r="AX21" s="52"/>
      <c r="AY21" s="52"/>
      <c r="AZ21" s="52"/>
      <c r="BA21" s="52"/>
      <c r="BB21" s="52"/>
      <c r="BC21" s="52"/>
      <c r="BD21" s="52"/>
      <c r="BE21" s="52"/>
      <c r="BF21" s="52"/>
      <c r="BG21" s="52"/>
      <c r="BH21" s="52"/>
      <c r="BI21" s="52"/>
      <c r="BJ21" s="52"/>
      <c r="BK21" s="52"/>
      <c r="BL21" s="52"/>
      <c r="BM21" s="52"/>
    </row>
    <row r="22" spans="1:65" ht="28.8" customHeight="1" x14ac:dyDescent="0.3">
      <c r="A22" s="10" t="str">
        <f>IF(Job_Master!A22="","",Job_Master!A22)</f>
        <v>BJ-120</v>
      </c>
      <c r="B22" s="10">
        <f>IF($A22="","",Job_Master!B22)</f>
        <v>46</v>
      </c>
      <c r="C22" s="10" t="str">
        <f>IF($A22="","",Job_Master!C22)</f>
        <v>2P</v>
      </c>
      <c r="D22" s="10">
        <f>IF($A22="","",Job_Master!D22)</f>
        <v>2</v>
      </c>
      <c r="E22" s="48" t="str">
        <f>IF($A22="","","CARVING-MC-05")</f>
        <v>CARVING-MC-05</v>
      </c>
      <c r="F22" s="106" t="str">
        <f>IF($E22="","",IFERROR(VLOOKUP($E22,Machine_List!$B:$G,6,0),""))</f>
        <v>General Workman</v>
      </c>
      <c r="G22" s="53">
        <f>IF($E22="","",IFERROR(VLOOKUP($E22,Machine_List!$B:$C,2,0),""))</f>
        <v>46238</v>
      </c>
      <c r="H22" s="10">
        <f>IF($E22="","",IFERROR(VLOOKUP($E22,Machine_List!$B:$D,3,0),""))</f>
        <v>6</v>
      </c>
      <c r="I22" s="54"/>
      <c r="J22" s="55">
        <f ca="1">IF($A22="","",IF($I22&lt;&gt;"",$I22,MAX(GlobalStartDate,IFERROR(LOOKUP(2,1/($E$3:INDIRECT("E"&amp;(ROW()-1))=$E22),$M$3:INDIRECT("M"&amp;(ROW()-1))),GlobalStartDate))))</f>
        <v>46124.124999999993</v>
      </c>
      <c r="K22" s="10">
        <f>IF($A22="","",IFERROR(VLOOKUP(B22,CHOOSE(MATCH(C22,Settings!$L$4:$L$10,0),OPR_2P!$A$4:$I$18,SEG_6P!$A$4:$I$18,SOL_4P!$A$4:$I$18,RW_2P!$A$4:$I$18,RW2_4P!$A$4:$I$18,FLAP_4P!$A$4:$I$18,TUBE_4P!$A$4:$I$18),3,0),0))</f>
        <v>74</v>
      </c>
      <c r="L22" s="10">
        <f t="shared" si="0"/>
        <v>148</v>
      </c>
      <c r="M22" s="55">
        <f ca="1">IF($A22="","",IF(AND(ISNUMBER(G22),G22&gt;=J22,G22&lt;=(J22+(L22/(IF(F22="Contract Workman",Settings!$K$5,Settings!$K$4))))),J22+(L22/(IF(F22="Contract Workman",Settings!$K$5,Settings!$K$4)))+(H22/(IF(F22="Contract Workman",Settings!$K$5,Settings!$K$4))),J22+(L22/(IF(F22="Contract Workman",Settings!$K$5,Settings!$K$4)))))</f>
        <v>46130.976851851847</v>
      </c>
      <c r="N22" s="10" t="str">
        <f t="shared" ca="1" si="1"/>
        <v>Shift C</v>
      </c>
      <c r="O22" s="51" t="str">
        <f>IF(B22="","", IF(IFERROR(ISNUMBER(SEARCH(B22, VLOOKUP(E22, Machine_List!$B:$J, 9, 0))), FALSE()), "✅ Machine OK", "❌ Sug: " &amp; IFERROR(INDEX(Machine_List!$B$4:$B$50, MATCH("*"&amp;B22&amp;"*", Machine_List!$J$4:$J$50, 0)), "Check Limits")))</f>
        <v>✅ Machine OK</v>
      </c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2"/>
      <c r="AP22" s="52"/>
      <c r="AQ22" s="52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52"/>
      <c r="BC22" s="52"/>
      <c r="BD22" s="52"/>
      <c r="BE22" s="52"/>
      <c r="BF22" s="52"/>
      <c r="BG22" s="52"/>
      <c r="BH22" s="52"/>
      <c r="BI22" s="52"/>
      <c r="BJ22" s="52"/>
      <c r="BK22" s="52"/>
      <c r="BL22" s="52"/>
      <c r="BM22" s="52"/>
    </row>
    <row r="23" spans="1:65" ht="28.8" customHeight="1" x14ac:dyDescent="0.3">
      <c r="A23" s="10" t="str">
        <f>IF(Job_Master!A23="","",Job_Master!A23)</f>
        <v>BJ-113</v>
      </c>
      <c r="B23" s="10">
        <f>IF($A23="","",Job_Master!B23)</f>
        <v>9</v>
      </c>
      <c r="C23" s="10" t="str">
        <f>IF($A23="","",Job_Master!C23)</f>
        <v>SEG</v>
      </c>
      <c r="D23" s="10">
        <f>IF($A23="","",Job_Master!D23)</f>
        <v>6</v>
      </c>
      <c r="E23" s="48" t="str">
        <f>IF($A23="","","CARVING-MC-01")</f>
        <v>CARVING-MC-01</v>
      </c>
      <c r="F23" s="106" t="str">
        <f>IF($E23="","",IFERROR(VLOOKUP($E23,Machine_List!$B:$G,6,0),""))</f>
        <v>General Workman</v>
      </c>
      <c r="G23" s="53">
        <f>IF($E23="","",IFERROR(VLOOKUP($E23,Machine_List!$B:$C,2,0),""))</f>
        <v>46418</v>
      </c>
      <c r="H23" s="10">
        <f>IF($E23="","",IFERROR(VLOOKUP($E23,Machine_List!$B:$D,3,0),""))</f>
        <v>6</v>
      </c>
      <c r="I23" s="54"/>
      <c r="J23" s="55">
        <f ca="1">IF($A23="","",IF($I23&lt;&gt;"",$I23,MAX(GlobalStartDate,IFERROR(LOOKUP(2,1/($E$3:INDIRECT("E"&amp;(ROW()-1))=$E23),$M$3:INDIRECT("M"&amp;(ROW()-1))),GlobalStartDate))))</f>
        <v>46128.013888888891</v>
      </c>
      <c r="K23" s="10">
        <f>IF($A23="","",IFERROR(VLOOKUP(B23,CHOOSE(MATCH(C23,Settings!$L$4:$L$10,0),OPR_2P!$A$4:$I$18,SEG_6P!$A$4:$I$18,SOL_4P!$A$4:$I$18,RW_2P!$A$4:$I$18,RW2_4P!$A$4:$I$18,FLAP_4P!$A$4:$I$18,TUBE_4P!$A$4:$I$18),3,0),0))</f>
        <v>5</v>
      </c>
      <c r="L23" s="10">
        <f t="shared" si="0"/>
        <v>30</v>
      </c>
      <c r="M23" s="55">
        <f ca="1">IF($A23="","",IF(AND(ISNUMBER(G23),G23&gt;=J23,G23&lt;=(J23+(L23/(IF(F23="Contract Workman",Settings!$K$5,Settings!$K$4))))),J23+(L23/(IF(F23="Contract Workman",Settings!$K$5,Settings!$K$4)))+(H23/(IF(F23="Contract Workman",Settings!$K$5,Settings!$K$4))),J23+(L23/(IF(F23="Contract Workman",Settings!$K$5,Settings!$K$4)))))</f>
        <v>46129.402777777781</v>
      </c>
      <c r="N23" s="10" t="str">
        <f t="shared" ca="1" si="1"/>
        <v>Shift A</v>
      </c>
      <c r="O23" s="51" t="str">
        <f>IF(B23="","", IF(IFERROR(ISNUMBER(SEARCH(B23, VLOOKUP(E23, Machine_List!$B:$J, 9, 0))), FALSE()), "✅ Machine OK", "❌ Sug: " &amp; IFERROR(INDEX(Machine_List!$B$4:$B$50, MATCH("*"&amp;B23&amp;"*", Machine_List!$J$4:$J$50, 0)), "Check Limits")))</f>
        <v>✅ Machine OK</v>
      </c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2"/>
      <c r="AQ23" s="52"/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 s="52"/>
      <c r="BC23" s="52"/>
      <c r="BD23" s="52"/>
      <c r="BE23" s="52"/>
      <c r="BF23" s="52"/>
      <c r="BG23" s="52"/>
      <c r="BH23" s="52"/>
      <c r="BI23" s="52"/>
      <c r="BJ23" s="52"/>
      <c r="BK23" s="52"/>
      <c r="BL23" s="52"/>
      <c r="BM23" s="52"/>
    </row>
    <row r="24" spans="1:65" ht="28.8" customHeight="1" x14ac:dyDescent="0.3">
      <c r="A24" s="10" t="str">
        <f>IF(Job_Master!A24="","",Job_Master!A24)</f>
        <v>BJ-121</v>
      </c>
      <c r="B24" s="10">
        <f>IF($A24="","",Job_Master!B24)</f>
        <v>57</v>
      </c>
      <c r="C24" s="10" t="str">
        <f>IF($A24="","",Job_Master!C24)</f>
        <v>RW</v>
      </c>
      <c r="D24" s="10">
        <f>IF($A24="","",Job_Master!D24)</f>
        <v>2</v>
      </c>
      <c r="E24" s="48" t="str">
        <f>IF($A24="","","CARVING-MC-02")</f>
        <v>CARVING-MC-02</v>
      </c>
      <c r="F24" s="106" t="str">
        <f>IF($E24="","",IFERROR(VLOOKUP($E24,Machine_List!$B:$G,6,0),""))</f>
        <v>General Workman</v>
      </c>
      <c r="G24" s="53">
        <f>IF($E24="","",IFERROR(VLOOKUP($E24,Machine_List!$B:$C,2,0),""))</f>
        <v>46282</v>
      </c>
      <c r="H24" s="10">
        <f>IF($E24="","",IFERROR(VLOOKUP($E24,Machine_List!$B:$D,3,0),""))</f>
        <v>6</v>
      </c>
      <c r="I24" s="54"/>
      <c r="J24" s="55">
        <f ca="1">IF($A24="","",IF($I24&lt;&gt;"",$I24,MAX(GlobalStartDate,IFERROR(LOOKUP(2,1/($E$3:INDIRECT("E"&amp;(ROW()-1))=$E24),$M$3:INDIRECT("M"&amp;(ROW()-1))),GlobalStartDate))))</f>
        <v>46129.773148148139</v>
      </c>
      <c r="K24" s="10">
        <f>IF($A24="","",IFERROR(VLOOKUP(B24,CHOOSE(MATCH(C24,Settings!$L$4:$L$10,0),OPR_2P!$A$4:$I$18,SEG_6P!$A$4:$I$18,SOL_4P!$A$4:$I$18,RW_2P!$A$4:$I$18,RW2_4P!$A$4:$I$18,FLAP_4P!$A$4:$I$18,TUBE_4P!$A$4:$I$18),3,0),0))</f>
        <v>99</v>
      </c>
      <c r="L24" s="10">
        <f t="shared" si="0"/>
        <v>198</v>
      </c>
      <c r="M24" s="55">
        <f ca="1">IF($A24="","",IF(AND(ISNUMBER(G24),G24&gt;=J24,G24&lt;=(J24+(L24/(IF(F24="Contract Workman",Settings!$K$5,Settings!$K$4))))),J24+(L24/(IF(F24="Contract Workman",Settings!$K$5,Settings!$K$4)))+(H24/(IF(F24="Contract Workman",Settings!$K$5,Settings!$K$4))),J24+(L24/(IF(F24="Contract Workman",Settings!$K$5,Settings!$K$4)))))</f>
        <v>46138.939814814803</v>
      </c>
      <c r="N24" s="10" t="str">
        <f t="shared" ca="1" si="1"/>
        <v>Shift B</v>
      </c>
      <c r="O24" s="51" t="str">
        <f>IF(B24="","", IF(IFERROR(ISNUMBER(SEARCH(B24, VLOOKUP(E24, Machine_List!$B:$J, 9, 0))), FALSE()), "✅ Machine OK", "❌ Sug: " &amp; IFERROR(INDEX(Machine_List!$B$4:$B$50, MATCH("*"&amp;B24&amp;"*", Machine_List!$J$4:$J$50, 0)), "Check Limits")))</f>
        <v>✅ Machine OK</v>
      </c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2"/>
      <c r="AP24" s="52"/>
      <c r="AQ24" s="52"/>
      <c r="AR24" s="52"/>
      <c r="AS24" s="52"/>
      <c r="AT24" s="52"/>
      <c r="AU24" s="52"/>
      <c r="AV24" s="52"/>
      <c r="AW24" s="52"/>
      <c r="AX24" s="52"/>
      <c r="AY24" s="52"/>
      <c r="AZ24" s="52"/>
      <c r="BA24" s="52"/>
      <c r="BB24" s="52"/>
      <c r="BC24" s="52"/>
      <c r="BD24" s="52"/>
      <c r="BE24" s="52"/>
      <c r="BF24" s="52"/>
      <c r="BG24" s="52"/>
      <c r="BH24" s="52"/>
      <c r="BI24" s="52"/>
      <c r="BJ24" s="52"/>
      <c r="BK24" s="52"/>
      <c r="BL24" s="52"/>
      <c r="BM24" s="52"/>
    </row>
    <row r="25" spans="1:65" ht="28.8" customHeight="1" x14ac:dyDescent="0.3">
      <c r="A25" s="10" t="str">
        <f>IF(Job_Master!A25="","",Job_Master!A25)</f>
        <v>BJ-123</v>
      </c>
      <c r="B25" s="10">
        <f>IF($A25="","",Job_Master!B25)</f>
        <v>46</v>
      </c>
      <c r="C25" s="10" t="str">
        <f>IF($A25="","",Job_Master!C25)</f>
        <v>RW</v>
      </c>
      <c r="D25" s="10">
        <f>IF($A25="","",Job_Master!D25)</f>
        <v>2</v>
      </c>
      <c r="E25" s="48" t="str">
        <f>IF($A25="","","CARVING-MC-01")</f>
        <v>CARVING-MC-01</v>
      </c>
      <c r="F25" s="106" t="str">
        <f>IF($E25="","",IFERROR(VLOOKUP($E25,Machine_List!$B:$G,6,0),""))</f>
        <v>General Workman</v>
      </c>
      <c r="G25" s="53">
        <f>IF($E25="","",IFERROR(VLOOKUP($E25,Machine_List!$B:$C,2,0),""))</f>
        <v>46418</v>
      </c>
      <c r="H25" s="10">
        <f>IF($E25="","",IFERROR(VLOOKUP($E25,Machine_List!$B:$D,3,0),""))</f>
        <v>6</v>
      </c>
      <c r="I25" s="54"/>
      <c r="J25" s="55">
        <f ca="1">IF($A25="","",IF($I25&lt;&gt;"",$I25,MAX(GlobalStartDate,IFERROR(LOOKUP(2,1/($E$3:INDIRECT("E"&amp;(ROW()-1))=$E25),$M$3:INDIRECT("M"&amp;(ROW()-1))),GlobalStartDate))))</f>
        <v>46129.402777777781</v>
      </c>
      <c r="K25" s="10">
        <f>IF($A25="","",IFERROR(VLOOKUP(B25,CHOOSE(MATCH(C25,Settings!$L$4:$L$10,0),OPR_2P!$A$4:$I$18,SEG_6P!$A$4:$I$18,SOL_4P!$A$4:$I$18,RW_2P!$A$4:$I$18,RW2_4P!$A$4:$I$18,FLAP_4P!$A$4:$I$18,TUBE_4P!$A$4:$I$18),3,0),0))</f>
        <v>52</v>
      </c>
      <c r="L25" s="10">
        <f t="shared" si="0"/>
        <v>104</v>
      </c>
      <c r="M25" s="55">
        <f ca="1">IF($A25="","",IF(AND(ISNUMBER(G25),G25&gt;=J25,G25&lt;=(J25+(L25/(IF(F25="Contract Workman",Settings!$K$5,Settings!$K$4))))),J25+(L25/(IF(F25="Contract Workman",Settings!$K$5,Settings!$K$4)))+(H25/(IF(F25="Contract Workman",Settings!$K$5,Settings!$K$4))),J25+(L25/(IF(F25="Contract Workman",Settings!$K$5,Settings!$K$4)))))</f>
        <v>46134.217592592599</v>
      </c>
      <c r="N25" s="10" t="str">
        <f t="shared" ca="1" si="1"/>
        <v>Shift C</v>
      </c>
      <c r="O25" s="51" t="str">
        <f>IF(B25="","", IF(IFERROR(ISNUMBER(SEARCH(B25, VLOOKUP(E25, Machine_List!$B:$J, 9, 0))), FALSE()), "✅ Machine OK", "❌ Sug: " &amp; IFERROR(INDEX(Machine_List!$B$4:$B$50, MATCH("*"&amp;B25&amp;"*", Machine_List!$J$4:$J$50, 0)), "Check Limits")))</f>
        <v>✅ Machine OK</v>
      </c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52"/>
      <c r="BC25" s="52"/>
      <c r="BD25" s="52"/>
      <c r="BE25" s="52"/>
      <c r="BF25" s="52"/>
      <c r="BG25" s="52"/>
      <c r="BH25" s="52"/>
      <c r="BI25" s="52"/>
      <c r="BJ25" s="52"/>
      <c r="BK25" s="52"/>
      <c r="BL25" s="52"/>
      <c r="BM25" s="52"/>
    </row>
    <row r="26" spans="1:65" ht="28.8" customHeight="1" x14ac:dyDescent="0.3">
      <c r="A26" s="10" t="str">
        <f>IF(Job_Master!A26="","",Job_Master!A26)</f>
        <v>BJ-117</v>
      </c>
      <c r="B26" s="10">
        <f>IF($A26="","",Job_Master!B26)</f>
        <v>15</v>
      </c>
      <c r="C26" s="10" t="str">
        <f>IF($A26="","",Job_Master!C26)</f>
        <v>RW</v>
      </c>
      <c r="D26" s="10">
        <f>IF($A26="","",Job_Master!D26)</f>
        <v>2</v>
      </c>
      <c r="E26" s="48" t="str">
        <f>IF($A26="","","CARVING-MC-03")</f>
        <v>CARVING-MC-03</v>
      </c>
      <c r="F26" s="106" t="str">
        <f>IF($E26="","",IFERROR(VLOOKUP($E26,Machine_List!$B:$G,6,0),""))</f>
        <v>General Workman</v>
      </c>
      <c r="G26" s="53">
        <f>IF($E26="","",IFERROR(VLOOKUP($E26,Machine_List!$B:$C,2,0),""))</f>
        <v>46296</v>
      </c>
      <c r="H26" s="10">
        <f>IF($E26="","",IFERROR(VLOOKUP($E26,Machine_List!$B:$D,3,0),""))</f>
        <v>6</v>
      </c>
      <c r="I26" s="54"/>
      <c r="J26" s="55">
        <f ca="1">IF($A26="","",IF($I26&lt;&gt;"",$I26,MAX(GlobalStartDate,IFERROR(LOOKUP(2,1/($E$3:INDIRECT("E"&amp;(ROW()-1))=$E26),$M$3:INDIRECT("M"&amp;(ROW()-1))),GlobalStartDate))))</f>
        <v>46134.032407407401</v>
      </c>
      <c r="K26" s="10">
        <f>IF($A26="","",IFERROR(VLOOKUP(B26,CHOOSE(MATCH(C26,Settings!$L$4:$L$10,0),OPR_2P!$A$4:$I$18,SEG_6P!$A$4:$I$18,SOL_4P!$A$4:$I$18,RW_2P!$A$4:$I$18,RW2_4P!$A$4:$I$18,FLAP_4P!$A$4:$I$18,TUBE_4P!$A$4:$I$18),3,0),0))</f>
        <v>11</v>
      </c>
      <c r="L26" s="10">
        <f t="shared" si="0"/>
        <v>22</v>
      </c>
      <c r="M26" s="55">
        <f ca="1">IF($A26="","",IF(AND(ISNUMBER(G26),G26&gt;=J26,G26&lt;=(J26+(L26/(IF(F26="Contract Workman",Settings!$K$5,Settings!$K$4))))),J26+(L26/(IF(F26="Contract Workman",Settings!$K$5,Settings!$K$4)))+(H26/(IF(F26="Contract Workman",Settings!$K$5,Settings!$K$4))),J26+(L26/(IF(F26="Contract Workman",Settings!$K$5,Settings!$K$4)))))</f>
        <v>46135.05092592592</v>
      </c>
      <c r="N26" s="10" t="str">
        <f t="shared" ca="1" si="1"/>
        <v>Shift C</v>
      </c>
      <c r="O26" s="51" t="str">
        <f>IF(B26="","", IF(IFERROR(ISNUMBER(SEARCH(B26, VLOOKUP(E26, Machine_List!$B:$J, 9, 0))), FALSE()), "✅ Machine OK", "❌ Sug: " &amp; IFERROR(INDEX(Machine_List!$B$4:$B$50, MATCH("*"&amp;B26&amp;"*", Machine_List!$J$4:$J$50, 0)), "Check Limits")))</f>
        <v>✅ Machine OK</v>
      </c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2"/>
      <c r="BF26" s="52"/>
      <c r="BG26" s="52"/>
      <c r="BH26" s="52"/>
      <c r="BI26" s="52"/>
      <c r="BJ26" s="52"/>
      <c r="BK26" s="52"/>
      <c r="BL26" s="52"/>
      <c r="BM26" s="52"/>
    </row>
    <row r="27" spans="1:65" ht="28.8" customHeight="1" x14ac:dyDescent="0.3">
      <c r="A27" s="10" t="str">
        <f>IF(Job_Master!A27="","",Job_Master!A27)</f>
        <v>BJ-122</v>
      </c>
      <c r="B27" s="10">
        <f>IF($A27="","",Job_Master!B27)</f>
        <v>54</v>
      </c>
      <c r="C27" s="10" t="str">
        <f>IF($A27="","",Job_Master!C27)</f>
        <v>SOL</v>
      </c>
      <c r="D27" s="10">
        <f>IF($A27="","",Job_Master!D27)</f>
        <v>4</v>
      </c>
      <c r="E27" s="48" t="str">
        <f>IF($A27="","","CARVING-MC-05")</f>
        <v>CARVING-MC-05</v>
      </c>
      <c r="F27" s="106" t="str">
        <f>IF($E27="","",IFERROR(VLOOKUP($E27,Machine_List!$B:$G,6,0),""))</f>
        <v>General Workman</v>
      </c>
      <c r="G27" s="53">
        <f>IF($E27="","",IFERROR(VLOOKUP($E27,Machine_List!$B:$C,2,0),""))</f>
        <v>46238</v>
      </c>
      <c r="H27" s="10">
        <f>IF($E27="","",IFERROR(VLOOKUP($E27,Machine_List!$B:$D,3,0),""))</f>
        <v>6</v>
      </c>
      <c r="I27" s="54"/>
      <c r="J27" s="55">
        <f ca="1">IF($A27="","",IF($I27&lt;&gt;"",$I27,MAX(GlobalStartDate,IFERROR(LOOKUP(2,1/($E$3:INDIRECT("E"&amp;(ROW()-1))=$E27),$M$3:INDIRECT("M"&amp;(ROW()-1))),GlobalStartDate))))</f>
        <v>46130.976851851847</v>
      </c>
      <c r="K27" s="10">
        <f>IF($A27="","",IFERROR(VLOOKUP(B27,CHOOSE(MATCH(C27,Settings!$L$4:$L$10,0),OPR_2P!$A$4:$I$18,SEG_6P!$A$4:$I$18,SOL_4P!$A$4:$I$18,RW_2P!$A$4:$I$18,RW2_4P!$A$4:$I$18,FLAP_4P!$A$4:$I$18,TUBE_4P!$A$4:$I$18),3,0),0))</f>
        <v>54</v>
      </c>
      <c r="L27" s="10">
        <f t="shared" si="0"/>
        <v>216</v>
      </c>
      <c r="M27" s="55">
        <f ca="1">IF($A27="","",IF(AND(ISNUMBER(G27),G27&gt;=J27,G27&lt;=(J27+(L27/(IF(F27="Contract Workman",Settings!$K$5,Settings!$K$4))))),J27+(L27/(IF(F27="Contract Workman",Settings!$K$5,Settings!$K$4)))+(H27/(IF(F27="Contract Workman",Settings!$K$5,Settings!$K$4))),J27+(L27/(IF(F27="Contract Workman",Settings!$K$5,Settings!$K$4)))))</f>
        <v>46140.976851851847</v>
      </c>
      <c r="N27" s="10" t="str">
        <f t="shared" ca="1" si="1"/>
        <v>Shift C</v>
      </c>
      <c r="O27" s="51" t="str">
        <f>IF(B27="","", IF(IFERROR(ISNUMBER(SEARCH(B27, VLOOKUP(E27, Machine_List!$B:$J, 9, 0))), FALSE()), "✅ Machine OK", "❌ Sug: " &amp; IFERROR(INDEX(Machine_List!$B$4:$B$50, MATCH("*"&amp;B27&amp;"*", Machine_List!$J$4:$J$50, 0)), "Check Limits")))</f>
        <v>✅ Machine OK</v>
      </c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2"/>
      <c r="AQ27" s="52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52"/>
      <c r="BC27" s="52"/>
      <c r="BD27" s="52"/>
      <c r="BE27" s="52"/>
      <c r="BF27" s="52"/>
      <c r="BG27" s="52"/>
      <c r="BH27" s="52"/>
      <c r="BI27" s="52"/>
      <c r="BJ27" s="52"/>
      <c r="BK27" s="52"/>
      <c r="BL27" s="52"/>
      <c r="BM27" s="52"/>
    </row>
    <row r="28" spans="1:65" ht="28.8" customHeight="1" x14ac:dyDescent="0.3">
      <c r="A28" s="10" t="str">
        <f>IF(Job_Master!A28="","",Job_Master!A28)</f>
        <v>BJ-124</v>
      </c>
      <c r="B28" s="10">
        <f>IF($A28="","",Job_Master!B28)</f>
        <v>42</v>
      </c>
      <c r="C28" s="10" t="str">
        <f>IF($A28="","",Job_Master!C28)</f>
        <v>2P</v>
      </c>
      <c r="D28" s="10">
        <f>IF($A28="","",Job_Master!D28)</f>
        <v>2</v>
      </c>
      <c r="E28" s="48" t="str">
        <f>IF($A28="","","CARVING-MC-03")</f>
        <v>CARVING-MC-03</v>
      </c>
      <c r="F28" s="106" t="str">
        <f>IF($E28="","",IFERROR(VLOOKUP($E28,Machine_List!$B:$G,6,0),""))</f>
        <v>General Workman</v>
      </c>
      <c r="G28" s="53">
        <f>IF($E28="","",IFERROR(VLOOKUP($E28,Machine_List!$B:$C,2,0),""))</f>
        <v>46296</v>
      </c>
      <c r="H28" s="10">
        <f>IF($E28="","",IFERROR(VLOOKUP($E28,Machine_List!$B:$D,3,0),""))</f>
        <v>6</v>
      </c>
      <c r="I28" s="54"/>
      <c r="J28" s="55">
        <f ca="1">IF($A28="","",IF($I28&lt;&gt;"",$I28,MAX(GlobalStartDate,IFERROR(LOOKUP(2,1/($E$3:INDIRECT("E"&amp;(ROW()-1))=$E28),$M$3:INDIRECT("M"&amp;(ROW()-1))),GlobalStartDate))))</f>
        <v>46135.05092592592</v>
      </c>
      <c r="K28" s="10">
        <f>IF($A28="","",IFERROR(VLOOKUP(B28,CHOOSE(MATCH(C28,Settings!$L$4:$L$10,0),OPR_2P!$A$4:$I$18,SEG_6P!$A$4:$I$18,SOL_4P!$A$4:$I$18,RW_2P!$A$4:$I$18,RW2_4P!$A$4:$I$18,FLAP_4P!$A$4:$I$18,TUBE_4P!$A$4:$I$18),3,0),0))</f>
        <v>48</v>
      </c>
      <c r="L28" s="10">
        <f t="shared" si="0"/>
        <v>96</v>
      </c>
      <c r="M28" s="55">
        <f ca="1">IF($A28="","",IF(AND(ISNUMBER(G28),G28&gt;=J28,G28&lt;=(J28+(L28/(IF(F28="Contract Workman",Settings!$K$5,Settings!$K$4))))),J28+(L28/(IF(F28="Contract Workman",Settings!$K$5,Settings!$K$4)))+(H28/(IF(F28="Contract Workman",Settings!$K$5,Settings!$K$4))),J28+(L28/(IF(F28="Contract Workman",Settings!$K$5,Settings!$K$4)))))</f>
        <v>46139.495370370365</v>
      </c>
      <c r="N28" s="10" t="str">
        <f t="shared" ca="1" si="1"/>
        <v>Shift A</v>
      </c>
      <c r="O28" s="51" t="str">
        <f>IF(B28="","", IF(IFERROR(ISNUMBER(SEARCH(B28, VLOOKUP(E28, Machine_List!$B:$J, 9, 0))), FALSE()), "✅ Machine OK", "❌ Sug: " &amp; IFERROR(INDEX(Machine_List!$B$4:$B$50, MATCH("*"&amp;B28&amp;"*", Machine_List!$J$4:$J$50, 0)), "Check Limits")))</f>
        <v>✅ Machine OK</v>
      </c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2"/>
      <c r="AO28" s="52"/>
      <c r="AP28" s="52"/>
      <c r="AQ28" s="52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52"/>
      <c r="BC28" s="52"/>
      <c r="BD28" s="52"/>
      <c r="BE28" s="52"/>
      <c r="BF28" s="52"/>
      <c r="BG28" s="52"/>
      <c r="BH28" s="52"/>
      <c r="BI28" s="52"/>
      <c r="BJ28" s="52"/>
      <c r="BK28" s="52"/>
      <c r="BL28" s="52"/>
      <c r="BM28" s="52"/>
    </row>
    <row r="29" spans="1:65" ht="28.8" customHeight="1" x14ac:dyDescent="0.3">
      <c r="A29" s="10" t="str">
        <f>IF(Job_Master!A29="","",Job_Master!A29)</f>
        <v>BJ-126</v>
      </c>
      <c r="B29" s="10">
        <f>IF($A29="","",Job_Master!B29)</f>
        <v>42</v>
      </c>
      <c r="C29" s="10" t="str">
        <f>IF($A29="","",Job_Master!C29)</f>
        <v>2P</v>
      </c>
      <c r="D29" s="10">
        <f>IF($A29="","",Job_Master!D29)</f>
        <v>2</v>
      </c>
      <c r="E29" s="48" t="str">
        <f>IF($A29="","","CARVING-MC-02")</f>
        <v>CARVING-MC-02</v>
      </c>
      <c r="F29" s="106" t="str">
        <f>IF($E29="","",IFERROR(VLOOKUP($E29,Machine_List!$B:$G,6,0),""))</f>
        <v>General Workman</v>
      </c>
      <c r="G29" s="53">
        <f>IF($E29="","",IFERROR(VLOOKUP($E29,Machine_List!$B:$C,2,0),""))</f>
        <v>46282</v>
      </c>
      <c r="H29" s="10">
        <f>IF($E29="","",IFERROR(VLOOKUP($E29,Machine_List!$B:$D,3,0),""))</f>
        <v>6</v>
      </c>
      <c r="I29" s="54"/>
      <c r="J29" s="55">
        <f ca="1">IF($A29="","",IF($I29&lt;&gt;"",$I29,MAX(GlobalStartDate,IFERROR(LOOKUP(2,1/($E$3:INDIRECT("E"&amp;(ROW()-1))=$E29),$M$3:INDIRECT("M"&amp;(ROW()-1))),GlobalStartDate))))</f>
        <v>46138.939814814803</v>
      </c>
      <c r="K29" s="10">
        <f>IF($A29="","",IFERROR(VLOOKUP(B29,CHOOSE(MATCH(C29,Settings!$L$4:$L$10,0),OPR_2P!$A$4:$I$18,SEG_6P!$A$4:$I$18,SOL_4P!$A$4:$I$18,RW_2P!$A$4:$I$18,RW2_4P!$A$4:$I$18,FLAP_4P!$A$4:$I$18,TUBE_4P!$A$4:$I$18),3,0),0))</f>
        <v>48</v>
      </c>
      <c r="L29" s="10">
        <f t="shared" si="0"/>
        <v>96</v>
      </c>
      <c r="M29" s="55">
        <f ca="1">IF($A29="","",IF(AND(ISNUMBER(G29),G29&gt;=J29,G29&lt;=(J29+(L29/(IF(F29="Contract Workman",Settings!$K$5,Settings!$K$4))))),J29+(L29/(IF(F29="Contract Workman",Settings!$K$5,Settings!$K$4)))+(H29/(IF(F29="Contract Workman",Settings!$K$5,Settings!$K$4))),J29+(L29/(IF(F29="Contract Workman",Settings!$K$5,Settings!$K$4)))))</f>
        <v>46143.384259259248</v>
      </c>
      <c r="N29" s="10" t="str">
        <f t="shared" ca="1" si="1"/>
        <v>Shift A</v>
      </c>
      <c r="O29" s="51" t="str">
        <f>IF(B29="","", IF(IFERROR(ISNUMBER(SEARCH(B29, VLOOKUP(E29, Machine_List!$B:$J, 9, 0))), FALSE()), "✅ Machine OK", "❌ Sug: " &amp; IFERROR(INDEX(Machine_List!$B$4:$B$50, MATCH("*"&amp;B29&amp;"*", Machine_List!$J$4:$J$50, 0)), "Check Limits")))</f>
        <v>✅ Machine OK</v>
      </c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2"/>
      <c r="AQ29" s="52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52"/>
      <c r="BC29" s="52"/>
      <c r="BD29" s="52"/>
      <c r="BE29" s="52"/>
      <c r="BF29" s="52"/>
      <c r="BG29" s="52"/>
      <c r="BH29" s="52"/>
      <c r="BI29" s="52"/>
      <c r="BJ29" s="52"/>
      <c r="BK29" s="52"/>
      <c r="BL29" s="52"/>
      <c r="BM29" s="52"/>
    </row>
    <row r="30" spans="1:65" ht="28.8" customHeight="1" x14ac:dyDescent="0.3">
      <c r="A30" s="10" t="str">
        <f>IF(Job_Master!A30="","",Job_Master!A30)</f>
        <v>BJ-127</v>
      </c>
      <c r="B30" s="10">
        <f>IF($A30="","",Job_Master!B30)</f>
        <v>15</v>
      </c>
      <c r="C30" s="10" t="str">
        <f>IF($A30="","",Job_Master!C30)</f>
        <v>RW</v>
      </c>
      <c r="D30" s="10">
        <f>IF($A30="","",Job_Master!D30)</f>
        <v>2</v>
      </c>
      <c r="E30" s="48" t="str">
        <f>IF($A30="","","CARVING-MC-01")</f>
        <v>CARVING-MC-01</v>
      </c>
      <c r="F30" s="106" t="str">
        <f>IF($E30="","",IFERROR(VLOOKUP($E30,Machine_List!$B:$G,6,0),""))</f>
        <v>General Workman</v>
      </c>
      <c r="G30" s="53">
        <f>IF($E30="","",IFERROR(VLOOKUP($E30,Machine_List!$B:$C,2,0),""))</f>
        <v>46418</v>
      </c>
      <c r="H30" s="10">
        <f>IF($E30="","",IFERROR(VLOOKUP($E30,Machine_List!$B:$D,3,0),""))</f>
        <v>6</v>
      </c>
      <c r="I30" s="54"/>
      <c r="J30" s="55">
        <f ca="1">IF($A30="","",IF($I30&lt;&gt;"",$I30,MAX(GlobalStartDate,IFERROR(LOOKUP(2,1/($E$3:INDIRECT("E"&amp;(ROW()-1))=$E30),$M$3:INDIRECT("M"&amp;(ROW()-1))),GlobalStartDate))))</f>
        <v>46134.217592592599</v>
      </c>
      <c r="K30" s="10">
        <f>IF($A30="","",IFERROR(VLOOKUP(B30,CHOOSE(MATCH(C30,Settings!$L$4:$L$10,0),OPR_2P!$A$4:$I$18,SEG_6P!$A$4:$I$18,SOL_4P!$A$4:$I$18,RW_2P!$A$4:$I$18,RW2_4P!$A$4:$I$18,FLAP_4P!$A$4:$I$18,TUBE_4P!$A$4:$I$18),3,0),0))</f>
        <v>11</v>
      </c>
      <c r="L30" s="10">
        <f t="shared" si="0"/>
        <v>22</v>
      </c>
      <c r="M30" s="55">
        <f ca="1">IF($A30="","",IF(AND(ISNUMBER(G30),G30&gt;=J30,G30&lt;=(J30+(L30/(IF(F30="Contract Workman",Settings!$K$5,Settings!$K$4))))),J30+(L30/(IF(F30="Contract Workman",Settings!$K$5,Settings!$K$4)))+(H30/(IF(F30="Contract Workman",Settings!$K$5,Settings!$K$4))),J30+(L30/(IF(F30="Contract Workman",Settings!$K$5,Settings!$K$4)))))</f>
        <v>46135.236111111117</v>
      </c>
      <c r="N30" s="10" t="str">
        <f t="shared" ca="1" si="1"/>
        <v>Shift C</v>
      </c>
      <c r="O30" s="51" t="str">
        <f>IF(B30="","", IF(IFERROR(ISNUMBER(SEARCH(B30, VLOOKUP(E30, Machine_List!$B:$J, 9, 0))), FALSE()), "✅ Machine OK", "❌ Sug: " &amp; IFERROR(INDEX(Machine_List!$B$4:$B$50, MATCH("*"&amp;B30&amp;"*", Machine_List!$J$4:$J$50, 0)), "Check Limits")))</f>
        <v>✅ Machine OK</v>
      </c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P30" s="52"/>
      <c r="AQ30" s="52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52"/>
      <c r="BC30" s="52"/>
      <c r="BD30" s="52"/>
      <c r="BE30" s="52"/>
      <c r="BF30" s="52"/>
      <c r="BG30" s="52"/>
      <c r="BH30" s="52"/>
      <c r="BI30" s="52"/>
      <c r="BJ30" s="52"/>
      <c r="BK30" s="52"/>
      <c r="BL30" s="52"/>
      <c r="BM30" s="52"/>
    </row>
    <row r="31" spans="1:65" ht="28.8" customHeight="1" x14ac:dyDescent="0.3">
      <c r="A31" s="10" t="str">
        <f>IF(Job_Master!A31="","",Job_Master!A31)</f>
        <v>BJ-128</v>
      </c>
      <c r="B31" s="10">
        <f>IF($A31="","",Job_Master!B31)</f>
        <v>46</v>
      </c>
      <c r="C31" s="10" t="str">
        <f>IF($A31="","",Job_Master!C31)</f>
        <v>2P</v>
      </c>
      <c r="D31" s="10">
        <f>IF($A31="","",Job_Master!D31)</f>
        <v>2</v>
      </c>
      <c r="E31" s="48" t="str">
        <f>IF($A31="","","CARVING-MC-01")</f>
        <v>CARVING-MC-01</v>
      </c>
      <c r="F31" s="106" t="str">
        <f>IF($E31="","",IFERROR(VLOOKUP($E31,Machine_List!$B:$G,6,0),""))</f>
        <v>General Workman</v>
      </c>
      <c r="G31" s="53">
        <f>IF($E31="","",IFERROR(VLOOKUP($E31,Machine_List!$B:$C,2,0),""))</f>
        <v>46418</v>
      </c>
      <c r="H31" s="10">
        <f>IF($E31="","",IFERROR(VLOOKUP($E31,Machine_List!$B:$D,3,0),""))</f>
        <v>6</v>
      </c>
      <c r="I31" s="54"/>
      <c r="J31" s="55">
        <f ca="1">IF($A31="","",IF($I31&lt;&gt;"",$I31,MAX(GlobalStartDate,IFERROR(LOOKUP(2,1/($E$3:INDIRECT("E"&amp;(ROW()-1))=$E31),$M$3:INDIRECT("M"&amp;(ROW()-1))),GlobalStartDate))))</f>
        <v>46135.236111111117</v>
      </c>
      <c r="K31" s="10">
        <f>IF($A31="","",IFERROR(VLOOKUP(B31,CHOOSE(MATCH(C31,Settings!$L$4:$L$10,0),OPR_2P!$A$4:$I$18,SEG_6P!$A$4:$I$18,SOL_4P!$A$4:$I$18,RW_2P!$A$4:$I$18,RW2_4P!$A$4:$I$18,FLAP_4P!$A$4:$I$18,TUBE_4P!$A$4:$I$18),3,0),0))</f>
        <v>74</v>
      </c>
      <c r="L31" s="10">
        <f t="shared" si="0"/>
        <v>148</v>
      </c>
      <c r="M31" s="55">
        <f ca="1">IF($A31="","",IF(AND(ISNUMBER(G31),G31&gt;=J31,G31&lt;=(J31+(L31/(IF(F31="Contract Workman",Settings!$K$5,Settings!$K$4))))),J31+(L31/(IF(F31="Contract Workman",Settings!$K$5,Settings!$K$4)))+(H31/(IF(F31="Contract Workman",Settings!$K$5,Settings!$K$4))),J31+(L31/(IF(F31="Contract Workman",Settings!$K$5,Settings!$K$4)))))</f>
        <v>46142.087962962971</v>
      </c>
      <c r="N31" s="10" t="str">
        <f t="shared" ca="1" si="1"/>
        <v>Shift C</v>
      </c>
      <c r="O31" s="51" t="str">
        <f>IF(B31="","", IF(IFERROR(ISNUMBER(SEARCH(B31, VLOOKUP(E31, Machine_List!$B:$J, 9, 0))), FALSE()), "✅ Machine OK", "❌ Sug: " &amp; IFERROR(INDEX(Machine_List!$B$4:$B$50, MATCH("*"&amp;B31&amp;"*", Machine_List!$J$4:$J$50, 0)), "Check Limits")))</f>
        <v>✅ Machine OK</v>
      </c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2"/>
      <c r="BC31" s="52"/>
      <c r="BD31" s="52"/>
      <c r="BE31" s="52"/>
      <c r="BF31" s="52"/>
      <c r="BG31" s="52"/>
      <c r="BH31" s="52"/>
      <c r="BI31" s="52"/>
      <c r="BJ31" s="52"/>
      <c r="BK31" s="52"/>
      <c r="BL31" s="52"/>
      <c r="BM31" s="52"/>
    </row>
    <row r="32" spans="1:65" ht="28.8" customHeight="1" x14ac:dyDescent="0.3">
      <c r="A32" s="10" t="str">
        <f>IF(Job_Master!A32="","",Job_Master!A32)</f>
        <v>BJ-125</v>
      </c>
      <c r="B32" s="10">
        <f>IF($A32="","",Job_Master!B32)</f>
        <v>25</v>
      </c>
      <c r="C32" s="10" t="str">
        <f>IF($A32="","",Job_Master!C32)</f>
        <v>SEG</v>
      </c>
      <c r="D32" s="10">
        <f>IF($A32="","",Job_Master!D32)</f>
        <v>6</v>
      </c>
      <c r="E32" s="48" t="str">
        <f>IF($A32="","","CARVING-MC-03")</f>
        <v>CARVING-MC-03</v>
      </c>
      <c r="F32" s="106" t="str">
        <f>IF($E32="","",IFERROR(VLOOKUP($E32,Machine_List!$B:$G,6,0),""))</f>
        <v>General Workman</v>
      </c>
      <c r="G32" s="53">
        <f>IF($E32="","",IFERROR(VLOOKUP($E32,Machine_List!$B:$C,2,0),""))</f>
        <v>46296</v>
      </c>
      <c r="H32" s="10">
        <f>IF($E32="","",IFERROR(VLOOKUP($E32,Machine_List!$B:$D,3,0),""))</f>
        <v>6</v>
      </c>
      <c r="I32" s="54"/>
      <c r="J32" s="55">
        <f ca="1">IF($A32="","",IF($I32&lt;&gt;"",$I32,MAX(GlobalStartDate,IFERROR(LOOKUP(2,1/($E$3:INDIRECT("E"&amp;(ROW()-1))=$E32),$M$3:INDIRECT("M"&amp;(ROW()-1))),GlobalStartDate))))</f>
        <v>46139.495370370365</v>
      </c>
      <c r="K32" s="10">
        <f>IF($A32="","",IFERROR(VLOOKUP(B32,CHOOSE(MATCH(C32,Settings!$L$4:$L$10,0),OPR_2P!$A$4:$I$18,SEG_6P!$A$4:$I$18,SOL_4P!$A$4:$I$18,RW_2P!$A$4:$I$18,RW2_4P!$A$4:$I$18,FLAP_4P!$A$4:$I$18,TUBE_4P!$A$4:$I$18),3,0),0))</f>
        <v>27</v>
      </c>
      <c r="L32" s="10">
        <f t="shared" si="0"/>
        <v>162</v>
      </c>
      <c r="M32" s="55">
        <f ca="1">IF($A32="","",IF(AND(ISNUMBER(G32),G32&gt;=J32,G32&lt;=(J32+(L32/(IF(F32="Contract Workman",Settings!$K$5,Settings!$K$4))))),J32+(L32/(IF(F32="Contract Workman",Settings!$K$5,Settings!$K$4)))+(H32/(IF(F32="Contract Workman",Settings!$K$5,Settings!$K$4))),J32+(L32/(IF(F32="Contract Workman",Settings!$K$5,Settings!$K$4)))))</f>
        <v>46146.995370370365</v>
      </c>
      <c r="N32" s="10" t="str">
        <f t="shared" ca="1" si="1"/>
        <v>Shift C</v>
      </c>
      <c r="O32" s="51" t="str">
        <f>IF(B32="","", IF(IFERROR(ISNUMBER(SEARCH(B32, VLOOKUP(E32, Machine_List!$B:$J, 9, 0))), FALSE()), "✅ Machine OK", "❌ Sug: " &amp; IFERROR(INDEX(Machine_List!$B$4:$B$50, MATCH("*"&amp;B32&amp;"*", Machine_List!$J$4:$J$50, 0)), "Check Limits")))</f>
        <v>✅ Machine OK</v>
      </c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2"/>
      <c r="AO32" s="52"/>
      <c r="AP32" s="52"/>
      <c r="AQ32" s="52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52"/>
      <c r="BC32" s="52"/>
      <c r="BD32" s="52"/>
      <c r="BE32" s="52"/>
      <c r="BF32" s="52"/>
      <c r="BG32" s="52"/>
      <c r="BH32" s="52"/>
      <c r="BI32" s="52"/>
      <c r="BJ32" s="52"/>
      <c r="BK32" s="52"/>
      <c r="BL32" s="52"/>
      <c r="BM32" s="52"/>
    </row>
    <row r="33" spans="1:65" ht="28.8" customHeight="1" x14ac:dyDescent="0.3">
      <c r="A33" s="10" t="str">
        <f>IF(Job_Master!A33="","",Job_Master!A33)</f>
        <v>BJ-129</v>
      </c>
      <c r="B33" s="10">
        <f>IF($A33="","",Job_Master!B33)</f>
        <v>9</v>
      </c>
      <c r="C33" s="10" t="str">
        <f>IF($A33="","",Job_Master!C33)</f>
        <v>RW</v>
      </c>
      <c r="D33" s="10">
        <f>IF($A33="","",Job_Master!D33)</f>
        <v>2</v>
      </c>
      <c r="E33" s="48" t="str">
        <f>IF($A33="","","CARVING-MC-04")</f>
        <v>CARVING-MC-04</v>
      </c>
      <c r="F33" s="106" t="str">
        <f>IF($E33="","",IFERROR(VLOOKUP($E33,Machine_List!$B:$G,6,0),""))</f>
        <v>General Workman</v>
      </c>
      <c r="G33" s="53">
        <f>IF($E33="","",IFERROR(VLOOKUP($E33,Machine_List!$B:$C,2,0),""))</f>
        <v>46237</v>
      </c>
      <c r="H33" s="10">
        <f>IF($E33="","",IFERROR(VLOOKUP($E33,Machine_List!$B:$D,3,0),""))</f>
        <v>6</v>
      </c>
      <c r="I33" s="54"/>
      <c r="J33" s="55">
        <f ca="1">IF($A33="","",IF($I33&lt;&gt;"",$I33,MAX(GlobalStartDate,IFERROR(LOOKUP(2,1/($E$3:INDIRECT("E"&amp;(ROW()-1))=$E33),$M$3:INDIRECT("M"&amp;(ROW()-1))),GlobalStartDate))))</f>
        <v>46141.532407407401</v>
      </c>
      <c r="K33" s="10">
        <f>IF($A33="","",IFERROR(VLOOKUP(B33,CHOOSE(MATCH(C33,Settings!$L$4:$L$10,0),OPR_2P!$A$4:$I$18,SEG_6P!$A$4:$I$18,SOL_4P!$A$4:$I$18,RW_2P!$A$4:$I$18,RW2_4P!$A$4:$I$18,FLAP_4P!$A$4:$I$18,TUBE_4P!$A$4:$I$18),3,0),0))</f>
        <v>5</v>
      </c>
      <c r="L33" s="10">
        <f t="shared" si="0"/>
        <v>10</v>
      </c>
      <c r="M33" s="55">
        <f ca="1">IF($A33="","",IF(AND(ISNUMBER(G33),G33&gt;=J33,G33&lt;=(J33+(L33/(IF(F33="Contract Workman",Settings!$K$5,Settings!$K$4))))),J33+(L33/(IF(F33="Contract Workman",Settings!$K$5,Settings!$K$4)))+(H33/(IF(F33="Contract Workman",Settings!$K$5,Settings!$K$4))),J33+(L33/(IF(F33="Contract Workman",Settings!$K$5,Settings!$K$4)))))</f>
        <v>46141.995370370365</v>
      </c>
      <c r="N33" s="10" t="str">
        <f t="shared" ca="1" si="1"/>
        <v>Shift C</v>
      </c>
      <c r="O33" s="51" t="str">
        <f>IF(B33="","", IF(IFERROR(ISNUMBER(SEARCH(B33, VLOOKUP(E33, Machine_List!$B:$J, 9, 0))), FALSE()), "✅ Machine OK", "❌ Sug: " &amp; IFERROR(INDEX(Machine_List!$B$4:$B$50, MATCH("*"&amp;B33&amp;"*", Machine_List!$J$4:$J$50, 0)), "Check Limits")))</f>
        <v>✅ Machine OK</v>
      </c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2"/>
      <c r="AQ33" s="52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/>
      <c r="BD33" s="52"/>
      <c r="BE33" s="52"/>
      <c r="BF33" s="52"/>
      <c r="BG33" s="52"/>
      <c r="BH33" s="52"/>
      <c r="BI33" s="52"/>
      <c r="BJ33" s="52"/>
      <c r="BK33" s="52"/>
      <c r="BL33" s="52"/>
      <c r="BM33" s="52"/>
    </row>
    <row r="34" spans="1:65" ht="28.8" customHeight="1" x14ac:dyDescent="0.3">
      <c r="A34" s="10" t="str">
        <f>IF(Job_Master!A34="","",Job_Master!A34)</f>
        <v>BJ-130</v>
      </c>
      <c r="B34" s="10">
        <f>IF($A34="","",Job_Master!B34)</f>
        <v>57</v>
      </c>
      <c r="C34" s="10" t="str">
        <f>IF($A34="","",Job_Master!C34)</f>
        <v>RW</v>
      </c>
      <c r="D34" s="10">
        <f>IF($A34="","",Job_Master!D34)</f>
        <v>2</v>
      </c>
      <c r="E34" s="48" t="str">
        <f>IF($A34="","","CARVING-MC-04")</f>
        <v>CARVING-MC-04</v>
      </c>
      <c r="F34" s="106" t="str">
        <f>IF($E34="","",IFERROR(VLOOKUP($E34,Machine_List!$B:$G,6,0),""))</f>
        <v>General Workman</v>
      </c>
      <c r="G34" s="53">
        <f>IF($E34="","",IFERROR(VLOOKUP($E34,Machine_List!$B:$C,2,0),""))</f>
        <v>46237</v>
      </c>
      <c r="H34" s="10">
        <f>IF($E34="","",IFERROR(VLOOKUP($E34,Machine_List!$B:$D,3,0),""))</f>
        <v>6</v>
      </c>
      <c r="I34" s="54"/>
      <c r="J34" s="55">
        <f ca="1">IF($A34="","",IF($I34&lt;&gt;"",$I34,MAX(GlobalStartDate,IFERROR(LOOKUP(2,1/($E$3:INDIRECT("E"&amp;(ROW()-1))=$E34),$M$3:INDIRECT("M"&amp;(ROW()-1))),GlobalStartDate))))</f>
        <v>46141.995370370365</v>
      </c>
      <c r="K34" s="10">
        <f>IF($A34="","",IFERROR(VLOOKUP(B34,CHOOSE(MATCH(C34,Settings!$L$4:$L$10,0),OPR_2P!$A$4:$I$18,SEG_6P!$A$4:$I$18,SOL_4P!$A$4:$I$18,RW_2P!$A$4:$I$18,RW2_4P!$A$4:$I$18,FLAP_4P!$A$4:$I$18,TUBE_4P!$A$4:$I$18),3,0),0))</f>
        <v>99</v>
      </c>
      <c r="L34" s="10">
        <f t="shared" si="0"/>
        <v>198</v>
      </c>
      <c r="M34" s="55">
        <f ca="1">IF($A34="","",IF(AND(ISNUMBER(G34),G34&gt;=J34,G34&lt;=(J34+(L34/(IF(F34="Contract Workman",Settings!$K$5,Settings!$K$4))))),J34+(L34/(IF(F34="Contract Workman",Settings!$K$5,Settings!$K$4)))+(H34/(IF(F34="Contract Workman",Settings!$K$5,Settings!$K$4))),J34+(L34/(IF(F34="Contract Workman",Settings!$K$5,Settings!$K$4)))))</f>
        <v>46151.162037037029</v>
      </c>
      <c r="N34" s="10" t="str">
        <f t="shared" ca="1" si="1"/>
        <v>Shift C</v>
      </c>
      <c r="O34" s="51" t="str">
        <f>IF(B34="","", IF(IFERROR(ISNUMBER(SEARCH(B34, VLOOKUP(E34, Machine_List!$B:$J, 9, 0))), FALSE()), "✅ Machine OK", "❌ Sug: " &amp; IFERROR(INDEX(Machine_List!$B$4:$B$50, MATCH("*"&amp;B34&amp;"*", Machine_List!$J$4:$J$50, 0)), "Check Limits")))</f>
        <v>✅ Machine OK</v>
      </c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2"/>
      <c r="AO34" s="52"/>
      <c r="AP34" s="52"/>
      <c r="AQ34" s="52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52"/>
      <c r="BC34" s="52"/>
      <c r="BD34" s="52"/>
      <c r="BE34" s="52"/>
      <c r="BF34" s="52"/>
      <c r="BG34" s="52"/>
      <c r="BH34" s="52"/>
      <c r="BI34" s="52"/>
      <c r="BJ34" s="52"/>
      <c r="BK34" s="52"/>
      <c r="BL34" s="52"/>
      <c r="BM34" s="52"/>
    </row>
    <row r="35" spans="1:65" ht="28.8" customHeight="1" x14ac:dyDescent="0.3">
      <c r="A35" s="10" t="str">
        <f>IF(Job_Master!A35="","",Job_Master!A35)</f>
        <v>BJ-133</v>
      </c>
      <c r="B35" s="10">
        <f>IF($A35="","",Job_Master!B35)</f>
        <v>25</v>
      </c>
      <c r="C35" s="10" t="str">
        <f>IF($A35="","",Job_Master!C35)</f>
        <v>RW</v>
      </c>
      <c r="D35" s="10">
        <f>IF($A35="","",Job_Master!D35)</f>
        <v>2</v>
      </c>
      <c r="E35" s="48" t="str">
        <f>IF($A35="","","CARVING-MC-02")</f>
        <v>CARVING-MC-02</v>
      </c>
      <c r="F35" s="106" t="str">
        <f>IF($E35="","",IFERROR(VLOOKUP($E35,Machine_List!$B:$G,6,0),""))</f>
        <v>General Workman</v>
      </c>
      <c r="G35" s="53">
        <f>IF($E35="","",IFERROR(VLOOKUP($E35,Machine_List!$B:$C,2,0),""))</f>
        <v>46282</v>
      </c>
      <c r="H35" s="10">
        <f>IF($E35="","",IFERROR(VLOOKUP($E35,Machine_List!$B:$D,3,0),""))</f>
        <v>6</v>
      </c>
      <c r="I35" s="54"/>
      <c r="J35" s="55">
        <f ca="1">IF($A35="","",IF($I35&lt;&gt;"",$I35,MAX(GlobalStartDate,IFERROR(LOOKUP(2,1/($E$3:INDIRECT("E"&amp;(ROW()-1))=$E35),$M$3:INDIRECT("M"&amp;(ROW()-1))),GlobalStartDate))))</f>
        <v>46143.384259259248</v>
      </c>
      <c r="K35" s="10">
        <f>IF($A35="","",IFERROR(VLOOKUP(B35,CHOOSE(MATCH(C35,Settings!$L$4:$L$10,0),OPR_2P!$A$4:$I$18,SEG_6P!$A$4:$I$18,SOL_4P!$A$4:$I$18,RW_2P!$A$4:$I$18,RW2_4P!$A$4:$I$18,FLAP_4P!$A$4:$I$18,TUBE_4P!$A$4:$I$18),3,0),0))</f>
        <v>30</v>
      </c>
      <c r="L35" s="10">
        <f t="shared" si="0"/>
        <v>60</v>
      </c>
      <c r="M35" s="55">
        <f ca="1">IF($A35="","",IF(AND(ISNUMBER(G35),G35&gt;=J35,G35&lt;=(J35+(L35/(IF(F35="Contract Workman",Settings!$K$5,Settings!$K$4))))),J35+(L35/(IF(F35="Contract Workman",Settings!$K$5,Settings!$K$4)))+(H35/(IF(F35="Contract Workman",Settings!$K$5,Settings!$K$4))),J35+(L35/(IF(F35="Contract Workman",Settings!$K$5,Settings!$K$4)))))</f>
        <v>46146.162037037029</v>
      </c>
      <c r="N35" s="10" t="str">
        <f t="shared" ca="1" si="1"/>
        <v>Shift C</v>
      </c>
      <c r="O35" s="51" t="str">
        <f>IF(B35="","", IF(IFERROR(ISNUMBER(SEARCH(B35, VLOOKUP(E35, Machine_List!$B:$J, 9, 0))), FALSE()), "✅ Machine OK", "❌ Sug: " &amp; IFERROR(INDEX(Machine_List!$B$4:$B$50, MATCH("*"&amp;B35&amp;"*", Machine_List!$J$4:$J$50, 0)), "Check Limits")))</f>
        <v>✅ Machine OK</v>
      </c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2"/>
      <c r="BF35" s="52"/>
      <c r="BG35" s="52"/>
      <c r="BH35" s="52"/>
      <c r="BI35" s="52"/>
      <c r="BJ35" s="52"/>
      <c r="BK35" s="52"/>
      <c r="BL35" s="52"/>
      <c r="BM35" s="52"/>
    </row>
    <row r="36" spans="1:65" ht="28.8" customHeight="1" x14ac:dyDescent="0.3">
      <c r="A36" s="10" t="str">
        <f>IF(Job_Master!A36="","",Job_Master!A36)</f>
        <v>BJ-131</v>
      </c>
      <c r="B36" s="10">
        <f>IF($A36="","",Job_Master!B36)</f>
        <v>70</v>
      </c>
      <c r="C36" s="10" t="str">
        <f>IF($A36="","",Job_Master!C36)</f>
        <v>2P</v>
      </c>
      <c r="D36" s="10">
        <f>IF($A36="","",Job_Master!D36)</f>
        <v>2</v>
      </c>
      <c r="E36" s="48" t="str">
        <f>IF($A36="","","CARVING-MC-06")</f>
        <v>CARVING-MC-06</v>
      </c>
      <c r="F36" s="106" t="str">
        <f>IF($E36="","",IFERROR(VLOOKUP($E36,Machine_List!$B:$G,6,0),""))</f>
        <v>General Workman</v>
      </c>
      <c r="G36" s="53">
        <f>IF($E36="","",IFERROR(VLOOKUP($E36,Machine_List!$B:$C,2,0),""))</f>
        <v>46397</v>
      </c>
      <c r="H36" s="10">
        <f>IF($E36="","",IFERROR(VLOOKUP($E36,Machine_List!$B:$D,3,0),""))</f>
        <v>6</v>
      </c>
      <c r="I36" s="54"/>
      <c r="J36" s="55">
        <f ca="1">IF($A36="","",IF($I36&lt;&gt;"",$I36,MAX(GlobalStartDate,IFERROR(LOOKUP(2,1/($E$3:INDIRECT("E"&amp;(ROW()-1))=$E36),$M$3:INDIRECT("M"&amp;(ROW()-1))),GlobalStartDate))))</f>
        <v>46141.439814814803</v>
      </c>
      <c r="K36" s="10">
        <f>IF($A36="","",IFERROR(VLOOKUP(B36,CHOOSE(MATCH(C36,Settings!$L$4:$L$10,0),OPR_2P!$A$4:$I$18,SEG_6P!$A$4:$I$18,SOL_4P!$A$4:$I$18,RW_2P!$A$4:$I$18,RW2_4P!$A$4:$I$18,FLAP_4P!$A$4:$I$18,TUBE_4P!$A$4:$I$18),3,0),0))</f>
        <v>129</v>
      </c>
      <c r="L36" s="10">
        <f t="shared" si="0"/>
        <v>258</v>
      </c>
      <c r="M36" s="55">
        <f ca="1">IF($A36="","",IF(AND(ISNUMBER(G36),G36&gt;=J36,G36&lt;=(J36+(L36/(IF(F36="Contract Workman",Settings!$K$5,Settings!$K$4))))),J36+(L36/(IF(F36="Contract Workman",Settings!$K$5,Settings!$K$4)))+(H36/(IF(F36="Contract Workman",Settings!$K$5,Settings!$K$4))),J36+(L36/(IF(F36="Contract Workman",Settings!$K$5,Settings!$K$4)))))</f>
        <v>46153.384259259248</v>
      </c>
      <c r="N36" s="10" t="str">
        <f t="shared" ref="N36:N67" ca="1" si="2">IF($A36="","",IF(F36="Contract Workman",IF(AND(MOD(M36,1)&gt;=8/24,MOD(M36,1)&lt;20/24),"Shift S1","Shift S2"),IF(AND(MOD(M36,1)&gt;=7/24,MOD(M36,1)&lt;15/24),"Shift A",IF(AND(MOD(M36,1)&gt;=15/24,MOD(M36,1)&lt;23/24),"Shift B","Shift C"))))</f>
        <v>Shift A</v>
      </c>
      <c r="O36" s="51" t="str">
        <f>IF(B36="","", IF(IFERROR(ISNUMBER(SEARCH(B36, VLOOKUP(E36, Machine_List!$B:$J, 9, 0))), FALSE()), "✅ Machine OK", "❌ Sug: " &amp; IFERROR(INDEX(Machine_List!$B$4:$B$50, MATCH("*"&amp;B36&amp;"*", Machine_List!$J$4:$J$50, 0)), "Check Limits")))</f>
        <v>✅ Machine OK</v>
      </c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2"/>
      <c r="AN36" s="52"/>
      <c r="AO36" s="52"/>
      <c r="AP36" s="52"/>
      <c r="AQ36" s="52"/>
      <c r="AR36" s="52"/>
      <c r="AS36" s="52"/>
      <c r="AT36" s="52"/>
      <c r="AU36" s="52"/>
      <c r="AV36" s="52"/>
      <c r="AW36" s="52"/>
      <c r="AX36" s="52"/>
      <c r="AY36" s="52"/>
      <c r="AZ36" s="52"/>
      <c r="BA36" s="52"/>
      <c r="BB36" s="52"/>
      <c r="BC36" s="52"/>
      <c r="BD36" s="52"/>
      <c r="BE36" s="52"/>
      <c r="BF36" s="52"/>
      <c r="BG36" s="52"/>
      <c r="BH36" s="52"/>
      <c r="BI36" s="52"/>
      <c r="BJ36" s="52"/>
      <c r="BK36" s="52"/>
      <c r="BL36" s="52"/>
      <c r="BM36" s="52"/>
    </row>
    <row r="37" spans="1:65" ht="28.8" customHeight="1" x14ac:dyDescent="0.3">
      <c r="A37" s="10" t="str">
        <f>IF(Job_Master!A37="","",Job_Master!A37)</f>
        <v>BJ-134</v>
      </c>
      <c r="B37" s="10">
        <f>IF($A37="","",Job_Master!B37)</f>
        <v>15</v>
      </c>
      <c r="C37" s="10" t="str">
        <f>IF($A37="","",Job_Master!C37)</f>
        <v>RW</v>
      </c>
      <c r="D37" s="10">
        <f>IF($A37="","",Job_Master!D37)</f>
        <v>2</v>
      </c>
      <c r="E37" s="48" t="str">
        <f>IF($A37="","","CARVING-MC-02")</f>
        <v>CARVING-MC-02</v>
      </c>
      <c r="F37" s="106" t="str">
        <f>IF($E37="","",IFERROR(VLOOKUP($E37,Machine_List!$B:$G,6,0),""))</f>
        <v>General Workman</v>
      </c>
      <c r="G37" s="53">
        <f>IF($E37="","",IFERROR(VLOOKUP($E37,Machine_List!$B:$C,2,0),""))</f>
        <v>46282</v>
      </c>
      <c r="H37" s="10">
        <f>IF($E37="","",IFERROR(VLOOKUP($E37,Machine_List!$B:$D,3,0),""))</f>
        <v>6</v>
      </c>
      <c r="I37" s="54"/>
      <c r="J37" s="55">
        <f ca="1">IF($A37="","",IF($I37&lt;&gt;"",$I37,MAX(GlobalStartDate,IFERROR(LOOKUP(2,1/($E$3:INDIRECT("E"&amp;(ROW()-1))=$E37),$M$3:INDIRECT("M"&amp;(ROW()-1))),GlobalStartDate))))</f>
        <v>46146.162037037029</v>
      </c>
      <c r="K37" s="10">
        <f>IF($A37="","",IFERROR(VLOOKUP(B37,CHOOSE(MATCH(C37,Settings!$L$4:$L$10,0),OPR_2P!$A$4:$I$18,SEG_6P!$A$4:$I$18,SOL_4P!$A$4:$I$18,RW_2P!$A$4:$I$18,RW2_4P!$A$4:$I$18,FLAP_4P!$A$4:$I$18,TUBE_4P!$A$4:$I$18),3,0),0))</f>
        <v>11</v>
      </c>
      <c r="L37" s="10">
        <f t="shared" si="0"/>
        <v>22</v>
      </c>
      <c r="M37" s="55">
        <f ca="1">IF($A37="","",IF(AND(ISNUMBER(G37),G37&gt;=J37,G37&lt;=(J37+(L37/(IF(F37="Contract Workman",Settings!$K$5,Settings!$K$4))))),J37+(L37/(IF(F37="Contract Workman",Settings!$K$5,Settings!$K$4)))+(H37/(IF(F37="Contract Workman",Settings!$K$5,Settings!$K$4))),J37+(L37/(IF(F37="Contract Workman",Settings!$K$5,Settings!$K$4)))))</f>
        <v>46147.180555555547</v>
      </c>
      <c r="N37" s="10" t="str">
        <f t="shared" ca="1" si="2"/>
        <v>Shift C</v>
      </c>
      <c r="O37" s="51" t="str">
        <f>IF(B37="","", IF(IFERROR(ISNUMBER(SEARCH(B37, VLOOKUP(E37, Machine_List!$B:$J, 9, 0))), FALSE()), "✅ Machine OK", "❌ Sug: " &amp; IFERROR(INDEX(Machine_List!$B$4:$B$50, MATCH("*"&amp;B37&amp;"*", Machine_List!$J$4:$J$50, 0)), "Check Limits")))</f>
        <v>✅ Machine OK</v>
      </c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2"/>
      <c r="AN37" s="52"/>
      <c r="AO37" s="52"/>
      <c r="AP37" s="52"/>
      <c r="AQ37" s="52"/>
      <c r="AR37" s="52"/>
      <c r="AS37" s="52"/>
      <c r="AT37" s="52"/>
      <c r="AU37" s="52"/>
      <c r="AV37" s="52"/>
      <c r="AW37" s="52"/>
      <c r="AX37" s="52"/>
      <c r="AY37" s="52"/>
      <c r="AZ37" s="52"/>
      <c r="BA37" s="52"/>
      <c r="BB37" s="52"/>
      <c r="BC37" s="52"/>
      <c r="BD37" s="52"/>
      <c r="BE37" s="52"/>
      <c r="BF37" s="52"/>
      <c r="BG37" s="52"/>
      <c r="BH37" s="52"/>
      <c r="BI37" s="52"/>
      <c r="BJ37" s="52"/>
      <c r="BK37" s="52"/>
      <c r="BL37" s="52"/>
      <c r="BM37" s="52"/>
    </row>
    <row r="38" spans="1:65" ht="28.8" customHeight="1" x14ac:dyDescent="0.3">
      <c r="A38" s="10" t="str">
        <f>IF(Job_Master!A38="","",Job_Master!A38)</f>
        <v>BJ-135</v>
      </c>
      <c r="B38" s="10">
        <f>IF($A38="","",Job_Master!B38)</f>
        <v>28</v>
      </c>
      <c r="C38" s="10" t="str">
        <f>IF($A38="","",Job_Master!C38)</f>
        <v>2P</v>
      </c>
      <c r="D38" s="10">
        <f>IF($A38="","",Job_Master!D38)</f>
        <v>2</v>
      </c>
      <c r="E38" s="48" t="str">
        <f>IF($A38="","","CARVING-MC-01")</f>
        <v>CARVING-MC-01</v>
      </c>
      <c r="F38" s="106" t="str">
        <f>IF($E38="","",IFERROR(VLOOKUP($E38,Machine_List!$B:$G,6,0),""))</f>
        <v>General Workman</v>
      </c>
      <c r="G38" s="53">
        <f>IF($E38="","",IFERROR(VLOOKUP($E38,Machine_List!$B:$C,2,0),""))</f>
        <v>46418</v>
      </c>
      <c r="H38" s="10">
        <f>IF($E38="","",IFERROR(VLOOKUP($E38,Machine_List!$B:$D,3,0),""))</f>
        <v>6</v>
      </c>
      <c r="I38" s="54"/>
      <c r="J38" s="55">
        <f ca="1">IF($A38="","",IF($I38&lt;&gt;"",$I38,MAX(GlobalStartDate,IFERROR(LOOKUP(2,1/($E$3:INDIRECT("E"&amp;(ROW()-1))=$E38),$M$3:INDIRECT("M"&amp;(ROW()-1))),GlobalStartDate))))</f>
        <v>46142.087962962971</v>
      </c>
      <c r="K38" s="10">
        <f>IF($A38="","",IFERROR(VLOOKUP(B38,CHOOSE(MATCH(C38,Settings!$L$4:$L$10,0),OPR_2P!$A$4:$I$18,SEG_6P!$A$4:$I$18,SOL_4P!$A$4:$I$18,RW_2P!$A$4:$I$18,RW2_4P!$A$4:$I$18,FLAP_4P!$A$4:$I$18,TUBE_4P!$A$4:$I$18),3,0),0))</f>
        <v>30</v>
      </c>
      <c r="L38" s="10">
        <f t="shared" si="0"/>
        <v>60</v>
      </c>
      <c r="M38" s="55">
        <f ca="1">IF($A38="","",IF(AND(ISNUMBER(G38),G38&gt;=J38,G38&lt;=(J38+(L38/(IF(F38="Contract Workman",Settings!$K$5,Settings!$K$4))))),J38+(L38/(IF(F38="Contract Workman",Settings!$K$5,Settings!$K$4)))+(H38/(IF(F38="Contract Workman",Settings!$K$5,Settings!$K$4))),J38+(L38/(IF(F38="Contract Workman",Settings!$K$5,Settings!$K$4)))))</f>
        <v>46144.865740740752</v>
      </c>
      <c r="N38" s="10" t="str">
        <f t="shared" ca="1" si="2"/>
        <v>Shift B</v>
      </c>
      <c r="O38" s="51" t="str">
        <f>IF(B38="","", IF(IFERROR(ISNUMBER(SEARCH(B38, VLOOKUP(E38, Machine_List!$B:$J, 9, 0))), FALSE()), "✅ Machine OK", "❌ Sug: " &amp; IFERROR(INDEX(Machine_List!$B$4:$B$50, MATCH("*"&amp;B38&amp;"*", Machine_List!$J$4:$J$50, 0)), "Check Limits")))</f>
        <v>✅ Machine OK</v>
      </c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2"/>
      <c r="AN38" s="52"/>
      <c r="AO38" s="52"/>
      <c r="AP38" s="52"/>
      <c r="AQ38" s="52"/>
      <c r="AR38" s="52"/>
      <c r="AS38" s="52"/>
      <c r="AT38" s="52"/>
      <c r="AU38" s="52"/>
      <c r="AV38" s="52"/>
      <c r="AW38" s="52"/>
      <c r="AX38" s="52"/>
      <c r="AY38" s="52"/>
      <c r="AZ38" s="52"/>
      <c r="BA38" s="52"/>
      <c r="BB38" s="52"/>
      <c r="BC38" s="52"/>
      <c r="BD38" s="52"/>
      <c r="BE38" s="52"/>
      <c r="BF38" s="52"/>
      <c r="BG38" s="52"/>
      <c r="BH38" s="52"/>
      <c r="BI38" s="52"/>
      <c r="BJ38" s="52"/>
      <c r="BK38" s="52"/>
      <c r="BL38" s="52"/>
      <c r="BM38" s="52"/>
    </row>
    <row r="39" spans="1:65" ht="28.8" customHeight="1" x14ac:dyDescent="0.3">
      <c r="A39" s="10" t="str">
        <f>IF(Job_Master!A39="","",Job_Master!A39)</f>
        <v>BJ-132</v>
      </c>
      <c r="B39" s="10">
        <f>IF($A39="","",Job_Master!B39)</f>
        <v>57</v>
      </c>
      <c r="C39" s="10" t="str">
        <f>IF($A39="","",Job_Master!C39)</f>
        <v>SOL</v>
      </c>
      <c r="D39" s="10">
        <f>IF($A39="","",Job_Master!D39)</f>
        <v>4</v>
      </c>
      <c r="E39" s="48" t="str">
        <f>IF($A39="","","CARVING-MC-02")</f>
        <v>CARVING-MC-02</v>
      </c>
      <c r="F39" s="106" t="str">
        <f>IF($E39="","",IFERROR(VLOOKUP($E39,Machine_List!$B:$G,6,0),""))</f>
        <v>General Workman</v>
      </c>
      <c r="G39" s="53">
        <f>IF($E39="","",IFERROR(VLOOKUP($E39,Machine_List!$B:$C,2,0),""))</f>
        <v>46282</v>
      </c>
      <c r="H39" s="10">
        <f>IF($E39="","",IFERROR(VLOOKUP($E39,Machine_List!$B:$D,3,0),""))</f>
        <v>6</v>
      </c>
      <c r="I39" s="54"/>
      <c r="J39" s="55">
        <f ca="1">IF($A39="","",IF($I39&lt;&gt;"",$I39,MAX(GlobalStartDate,IFERROR(LOOKUP(2,1/($E$3:INDIRECT("E"&amp;(ROW()-1))=$E39),$M$3:INDIRECT("M"&amp;(ROW()-1))),GlobalStartDate))))</f>
        <v>46147.180555555547</v>
      </c>
      <c r="K39" s="10">
        <f>IF($A39="","",IFERROR(VLOOKUP(B39,CHOOSE(MATCH(C39,Settings!$L$4:$L$10,0),OPR_2P!$A$4:$I$18,SEG_6P!$A$4:$I$18,SOL_4P!$A$4:$I$18,RW_2P!$A$4:$I$18,RW2_4P!$A$4:$I$18,FLAP_4P!$A$4:$I$18,TUBE_4P!$A$4:$I$18),3,0),0))</f>
        <v>60</v>
      </c>
      <c r="L39" s="10">
        <f t="shared" si="0"/>
        <v>240</v>
      </c>
      <c r="M39" s="55">
        <f ca="1">IF($A39="","",IF(AND(ISNUMBER(G39),G39&gt;=J39,G39&lt;=(J39+(L39/(IF(F39="Contract Workman",Settings!$K$5,Settings!$K$4))))),J39+(L39/(IF(F39="Contract Workman",Settings!$K$5,Settings!$K$4)))+(H39/(IF(F39="Contract Workman",Settings!$K$5,Settings!$K$4))),J39+(L39/(IF(F39="Contract Workman",Settings!$K$5,Settings!$K$4)))))</f>
        <v>46158.291666666657</v>
      </c>
      <c r="N39" s="10" t="str">
        <f t="shared" ca="1" si="2"/>
        <v>Shift C</v>
      </c>
      <c r="O39" s="51" t="str">
        <f>IF(B39="","", IF(IFERROR(ISNUMBER(SEARCH(B39, VLOOKUP(E39, Machine_List!$B:$J, 9, 0))), FALSE()), "✅ Machine OK", "❌ Sug: " &amp; IFERROR(INDEX(Machine_List!$B$4:$B$50, MATCH("*"&amp;B39&amp;"*", Machine_List!$J$4:$J$50, 0)), "Check Limits")))</f>
        <v>✅ Machine OK</v>
      </c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2"/>
      <c r="AN39" s="52"/>
      <c r="AO39" s="52"/>
      <c r="AP39" s="52"/>
      <c r="AQ39" s="52"/>
      <c r="AR39" s="52"/>
      <c r="AS39" s="52"/>
      <c r="AT39" s="52"/>
      <c r="AU39" s="52"/>
      <c r="AV39" s="52"/>
      <c r="AW39" s="52"/>
      <c r="AX39" s="52"/>
      <c r="AY39" s="52"/>
      <c r="AZ39" s="52"/>
      <c r="BA39" s="52"/>
      <c r="BB39" s="52"/>
      <c r="BC39" s="52"/>
      <c r="BD39" s="52"/>
      <c r="BE39" s="52"/>
      <c r="BF39" s="52"/>
      <c r="BG39" s="52"/>
      <c r="BH39" s="52"/>
      <c r="BI39" s="52"/>
      <c r="BJ39" s="52"/>
      <c r="BK39" s="52"/>
      <c r="BL39" s="52"/>
      <c r="BM39" s="52"/>
    </row>
    <row r="40" spans="1:65" ht="28.8" customHeight="1" x14ac:dyDescent="0.3">
      <c r="A40" s="10" t="str">
        <f>IF(Job_Master!A40="","",Job_Master!A40)</f>
        <v>BJ-136</v>
      </c>
      <c r="B40" s="10">
        <f>IF($A40="","",Job_Master!B40)</f>
        <v>20</v>
      </c>
      <c r="C40" s="10" t="str">
        <f>IF($A40="","",Job_Master!C40)</f>
        <v>RW</v>
      </c>
      <c r="D40" s="10">
        <f>IF($A40="","",Job_Master!D40)</f>
        <v>2</v>
      </c>
      <c r="E40" s="48" t="str">
        <f>IF($A40="","","CARVING-MC-04")</f>
        <v>CARVING-MC-04</v>
      </c>
      <c r="F40" s="106" t="str">
        <f>IF($E40="","",IFERROR(VLOOKUP($E40,Machine_List!$B:$G,6,0),""))</f>
        <v>General Workman</v>
      </c>
      <c r="G40" s="53">
        <f>IF($E40="","",IFERROR(VLOOKUP($E40,Machine_List!$B:$C,2,0),""))</f>
        <v>46237</v>
      </c>
      <c r="H40" s="10">
        <f>IF($E40="","",IFERROR(VLOOKUP($E40,Machine_List!$B:$D,3,0),""))</f>
        <v>6</v>
      </c>
      <c r="I40" s="54"/>
      <c r="J40" s="55">
        <f ca="1">IF($A40="","",IF($I40&lt;&gt;"",$I40,MAX(GlobalStartDate,IFERROR(LOOKUP(2,1/($E$3:INDIRECT("E"&amp;(ROW()-1))=$E40),$M$3:INDIRECT("M"&amp;(ROW()-1))),GlobalStartDate))))</f>
        <v>46151.162037037029</v>
      </c>
      <c r="K40" s="10">
        <f>IF($A40="","",IFERROR(VLOOKUP(B40,CHOOSE(MATCH(C40,Settings!$L$4:$L$10,0),OPR_2P!$A$4:$I$18,SEG_6P!$A$4:$I$18,SOL_4P!$A$4:$I$18,RW_2P!$A$4:$I$18,RW2_4P!$A$4:$I$18,FLAP_4P!$A$4:$I$18,TUBE_4P!$A$4:$I$18),3,0),0))</f>
        <v>18</v>
      </c>
      <c r="L40" s="10">
        <f t="shared" si="0"/>
        <v>36</v>
      </c>
      <c r="M40" s="55">
        <f ca="1">IF($A40="","",IF(AND(ISNUMBER(G40),G40&gt;=J40,G40&lt;=(J40+(L40/(IF(F40="Contract Workman",Settings!$K$5,Settings!$K$4))))),J40+(L40/(IF(F40="Contract Workman",Settings!$K$5,Settings!$K$4)))+(H40/(IF(F40="Contract Workman",Settings!$K$5,Settings!$K$4))),J40+(L40/(IF(F40="Contract Workman",Settings!$K$5,Settings!$K$4)))))</f>
        <v>46152.828703703693</v>
      </c>
      <c r="N40" s="10" t="str">
        <f t="shared" ca="1" si="2"/>
        <v>Shift B</v>
      </c>
      <c r="O40" s="51" t="str">
        <f>IF(B40="","", IF(IFERROR(ISNUMBER(SEARCH(B40, VLOOKUP(E40, Machine_List!$B:$J, 9, 0))), FALSE()), "✅ Machine OK", "❌ Sug: " &amp; IFERROR(INDEX(Machine_List!$B$4:$B$50, MATCH("*"&amp;B40&amp;"*", Machine_List!$J$4:$J$50, 0)), "Check Limits")))</f>
        <v>✅ Machine OK</v>
      </c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2"/>
      <c r="AN40" s="52"/>
      <c r="AO40" s="52"/>
      <c r="AP40" s="52"/>
      <c r="AQ40" s="52"/>
      <c r="AR40" s="52"/>
      <c r="AS40" s="52"/>
      <c r="AT40" s="52"/>
      <c r="AU40" s="52"/>
      <c r="AV40" s="52"/>
      <c r="AW40" s="52"/>
      <c r="AX40" s="52"/>
      <c r="AY40" s="52"/>
      <c r="AZ40" s="52"/>
      <c r="BA40" s="52"/>
      <c r="BB40" s="52"/>
      <c r="BC40" s="52"/>
      <c r="BD40" s="52"/>
      <c r="BE40" s="52"/>
      <c r="BF40" s="52"/>
      <c r="BG40" s="52"/>
      <c r="BH40" s="52"/>
      <c r="BI40" s="52"/>
      <c r="BJ40" s="52"/>
      <c r="BK40" s="52"/>
      <c r="BL40" s="52"/>
      <c r="BM40" s="52"/>
    </row>
    <row r="41" spans="1:65" ht="28.8" customHeight="1" x14ac:dyDescent="0.3">
      <c r="A41" s="10" t="str">
        <f>IF(Job_Master!A41="","",Job_Master!A41)</f>
        <v>BJ-137</v>
      </c>
      <c r="B41" s="10">
        <f>IF($A41="","",Job_Master!B41)</f>
        <v>34</v>
      </c>
      <c r="C41" s="10" t="str">
        <f>IF($A41="","",Job_Master!C41)</f>
        <v>RW</v>
      </c>
      <c r="D41" s="10">
        <f>IF($A41="","",Job_Master!D41)</f>
        <v>2</v>
      </c>
      <c r="E41" s="48" t="str">
        <f>IF($A41="","","CARVING-MC-03")</f>
        <v>CARVING-MC-03</v>
      </c>
      <c r="F41" s="106" t="str">
        <f>IF($E41="","",IFERROR(VLOOKUP($E41,Machine_List!$B:$G,6,0),""))</f>
        <v>General Workman</v>
      </c>
      <c r="G41" s="53">
        <f>IF($E41="","",IFERROR(VLOOKUP($E41,Machine_List!$B:$C,2,0),""))</f>
        <v>46296</v>
      </c>
      <c r="H41" s="10">
        <f>IF($E41="","",IFERROR(VLOOKUP($E41,Machine_List!$B:$D,3,0),""))</f>
        <v>6</v>
      </c>
      <c r="I41" s="54"/>
      <c r="J41" s="55">
        <f ca="1">IF($A41="","",IF($I41&lt;&gt;"",$I41,MAX(GlobalStartDate,IFERROR(LOOKUP(2,1/($E$3:INDIRECT("E"&amp;(ROW()-1))=$E41),$M$3:INDIRECT("M"&amp;(ROW()-1))),GlobalStartDate))))</f>
        <v>46146.995370370365</v>
      </c>
      <c r="K41" s="10">
        <f>IF($A41="","",IFERROR(VLOOKUP(B41,CHOOSE(MATCH(C41,Settings!$L$4:$L$10,0),OPR_2P!$A$4:$I$18,SEG_6P!$A$4:$I$18,SOL_4P!$A$4:$I$18,RW_2P!$A$4:$I$18,RW2_4P!$A$4:$I$18,FLAP_4P!$A$4:$I$18,TUBE_4P!$A$4:$I$18),3,0),0))</f>
        <v>51</v>
      </c>
      <c r="L41" s="10">
        <f t="shared" si="0"/>
        <v>102</v>
      </c>
      <c r="M41" s="55">
        <f ca="1">IF($A41="","",IF(AND(ISNUMBER(G41),G41&gt;=J41,G41&lt;=(J41+(L41/(IF(F41="Contract Workman",Settings!$K$5,Settings!$K$4))))),J41+(L41/(IF(F41="Contract Workman",Settings!$K$5,Settings!$K$4)))+(H41/(IF(F41="Contract Workman",Settings!$K$5,Settings!$K$4))),J41+(L41/(IF(F41="Contract Workman",Settings!$K$5,Settings!$K$4)))))</f>
        <v>46151.717592592584</v>
      </c>
      <c r="N41" s="10" t="str">
        <f t="shared" ca="1" si="2"/>
        <v>Shift B</v>
      </c>
      <c r="O41" s="51" t="str">
        <f>IF(B41="","", IF(IFERROR(ISNUMBER(SEARCH(B41, VLOOKUP(E41, Machine_List!$B:$J, 9, 0))), FALSE()), "✅ Machine OK", "❌ Sug: " &amp; IFERROR(INDEX(Machine_List!$B$4:$B$50, MATCH("*"&amp;B41&amp;"*", Machine_List!$J$4:$J$50, 0)), "Check Limits")))</f>
        <v>✅ Machine OK</v>
      </c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2"/>
      <c r="AN41" s="52"/>
      <c r="AO41" s="52"/>
      <c r="AP41" s="52"/>
      <c r="AQ41" s="52"/>
      <c r="AR41" s="52"/>
      <c r="AS41" s="52"/>
      <c r="AT41" s="52"/>
      <c r="AU41" s="52"/>
      <c r="AV41" s="52"/>
      <c r="AW41" s="52"/>
      <c r="AX41" s="52"/>
      <c r="AY41" s="52"/>
      <c r="AZ41" s="52"/>
      <c r="BA41" s="52"/>
      <c r="BB41" s="52"/>
      <c r="BC41" s="52"/>
      <c r="BD41" s="52"/>
      <c r="BE41" s="52"/>
      <c r="BF41" s="52"/>
      <c r="BG41" s="52"/>
      <c r="BH41" s="52"/>
      <c r="BI41" s="52"/>
      <c r="BJ41" s="52"/>
      <c r="BK41" s="52"/>
      <c r="BL41" s="52"/>
      <c r="BM41" s="52"/>
    </row>
    <row r="42" spans="1:65" ht="28.8" customHeight="1" x14ac:dyDescent="0.3">
      <c r="A42" s="10" t="str">
        <f>IF(Job_Master!A42="","",Job_Master!A42)</f>
        <v>BJ-140</v>
      </c>
      <c r="B42" s="10">
        <f>IF($A42="","",Job_Master!B42)</f>
        <v>54</v>
      </c>
      <c r="C42" s="10" t="str">
        <f>IF($A42="","",Job_Master!C42)</f>
        <v>RW</v>
      </c>
      <c r="D42" s="10">
        <f>IF($A42="","",Job_Master!D42)</f>
        <v>2</v>
      </c>
      <c r="E42" s="48" t="str">
        <f>IF($A42="","","CARVING-MC-01")</f>
        <v>CARVING-MC-01</v>
      </c>
      <c r="F42" s="106" t="str">
        <f>IF($E42="","",IFERROR(VLOOKUP($E42,Machine_List!$B:$G,6,0),""))</f>
        <v>General Workman</v>
      </c>
      <c r="G42" s="53">
        <f>IF($E42="","",IFERROR(VLOOKUP($E42,Machine_List!$B:$C,2,0),""))</f>
        <v>46418</v>
      </c>
      <c r="H42" s="10">
        <f>IF($E42="","",IFERROR(VLOOKUP($E42,Machine_List!$B:$D,3,0),""))</f>
        <v>6</v>
      </c>
      <c r="I42" s="54"/>
      <c r="J42" s="55">
        <f ca="1">IF($A42="","",IF($I42&lt;&gt;"",$I42,MAX(GlobalStartDate,IFERROR(LOOKUP(2,1/($E$3:INDIRECT("E"&amp;(ROW()-1))=$E42),$M$3:INDIRECT("M"&amp;(ROW()-1))),GlobalStartDate))))</f>
        <v>46144.865740740752</v>
      </c>
      <c r="K42" s="10">
        <f>IF($A42="","",IFERROR(VLOOKUP(B42,CHOOSE(MATCH(C42,Settings!$L$4:$L$10,0),OPR_2P!$A$4:$I$18,SEG_6P!$A$4:$I$18,SOL_4P!$A$4:$I$18,RW_2P!$A$4:$I$18,RW2_4P!$A$4:$I$18,FLAP_4P!$A$4:$I$18,TUBE_4P!$A$4:$I$18),3,0),0))</f>
        <v>88</v>
      </c>
      <c r="L42" s="10">
        <f t="shared" si="0"/>
        <v>176</v>
      </c>
      <c r="M42" s="55">
        <f ca="1">IF($A42="","",IF(AND(ISNUMBER(G42),G42&gt;=J42,G42&lt;=(J42+(L42/(IF(F42="Contract Workman",Settings!$K$5,Settings!$K$4))))),J42+(L42/(IF(F42="Contract Workman",Settings!$K$5,Settings!$K$4)))+(H42/(IF(F42="Contract Workman",Settings!$K$5,Settings!$K$4))),J42+(L42/(IF(F42="Contract Workman",Settings!$K$5,Settings!$K$4)))))</f>
        <v>46153.013888888898</v>
      </c>
      <c r="N42" s="10" t="str">
        <f t="shared" ca="1" si="2"/>
        <v>Shift C</v>
      </c>
      <c r="O42" s="51" t="str">
        <f>IF(B42="","", IF(IFERROR(ISNUMBER(SEARCH(B42, VLOOKUP(E42, Machine_List!$B:$J, 9, 0))), FALSE()), "✅ Machine OK", "❌ Sug: " &amp; IFERROR(INDEX(Machine_List!$B$4:$B$50, MATCH("*"&amp;B42&amp;"*", Machine_List!$J$4:$J$50, 0)), "Check Limits")))</f>
        <v>✅ Machine OK</v>
      </c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2"/>
      <c r="AN42" s="52"/>
      <c r="AO42" s="52"/>
      <c r="AP42" s="52"/>
      <c r="AQ42" s="52"/>
      <c r="AR42" s="52"/>
      <c r="AS42" s="52"/>
      <c r="AT42" s="52"/>
      <c r="AU42" s="52"/>
      <c r="AV42" s="52"/>
      <c r="AW42" s="52"/>
      <c r="AX42" s="52"/>
      <c r="AY42" s="52"/>
      <c r="AZ42" s="52"/>
      <c r="BA42" s="52"/>
      <c r="BB42" s="52"/>
      <c r="BC42" s="52"/>
      <c r="BD42" s="52"/>
      <c r="BE42" s="52"/>
      <c r="BF42" s="52"/>
      <c r="BG42" s="52"/>
      <c r="BH42" s="52"/>
      <c r="BI42" s="52"/>
      <c r="BJ42" s="52"/>
      <c r="BK42" s="52"/>
      <c r="BL42" s="52"/>
      <c r="BM42" s="52"/>
    </row>
    <row r="43" spans="1:65" ht="28.8" customHeight="1" x14ac:dyDescent="0.3">
      <c r="A43" s="10" t="str">
        <f>IF(Job_Master!A43="","",Job_Master!A43)</f>
        <v>BJ-138</v>
      </c>
      <c r="B43" s="10">
        <f>IF($A43="","",Job_Master!B43)</f>
        <v>9</v>
      </c>
      <c r="C43" s="10" t="str">
        <f>IF($A43="","",Job_Master!C43)</f>
        <v>RW</v>
      </c>
      <c r="D43" s="10">
        <f>IF($A43="","",Job_Master!D43)</f>
        <v>2</v>
      </c>
      <c r="E43" s="48" t="str">
        <f>IF($A43="","","CARVING-MC-05")</f>
        <v>CARVING-MC-05</v>
      </c>
      <c r="F43" s="106" t="str">
        <f>IF($E43="","",IFERROR(VLOOKUP($E43,Machine_List!$B:$G,6,0),""))</f>
        <v>General Workman</v>
      </c>
      <c r="G43" s="53">
        <f>IF($E43="","",IFERROR(VLOOKUP($E43,Machine_List!$B:$C,2,0),""))</f>
        <v>46238</v>
      </c>
      <c r="H43" s="10">
        <f>IF($E43="","",IFERROR(VLOOKUP($E43,Machine_List!$B:$D,3,0),""))</f>
        <v>6</v>
      </c>
      <c r="I43" s="54"/>
      <c r="J43" s="55">
        <f ca="1">IF($A43="","",IF($I43&lt;&gt;"",$I43,MAX(GlobalStartDate,IFERROR(LOOKUP(2,1/($E$3:INDIRECT("E"&amp;(ROW()-1))=$E43),$M$3:INDIRECT("M"&amp;(ROW()-1))),GlobalStartDate))))</f>
        <v>46140.976851851847</v>
      </c>
      <c r="K43" s="10">
        <f>IF($A43="","",IFERROR(VLOOKUP(B43,CHOOSE(MATCH(C43,Settings!$L$4:$L$10,0),OPR_2P!$A$4:$I$18,SEG_6P!$A$4:$I$18,SOL_4P!$A$4:$I$18,RW_2P!$A$4:$I$18,RW2_4P!$A$4:$I$18,FLAP_4P!$A$4:$I$18,TUBE_4P!$A$4:$I$18),3,0),0))</f>
        <v>5</v>
      </c>
      <c r="L43" s="10">
        <f t="shared" si="0"/>
        <v>10</v>
      </c>
      <c r="M43" s="55">
        <f ca="1">IF($A43="","",IF(AND(ISNUMBER(G43),G43&gt;=J43,G43&lt;=(J43+(L43/(IF(F43="Contract Workman",Settings!$K$5,Settings!$K$4))))),J43+(L43/(IF(F43="Contract Workman",Settings!$K$5,Settings!$K$4)))+(H43/(IF(F43="Contract Workman",Settings!$K$5,Settings!$K$4))),J43+(L43/(IF(F43="Contract Workman",Settings!$K$5,Settings!$K$4)))))</f>
        <v>46141.43981481481</v>
      </c>
      <c r="N43" s="10" t="str">
        <f t="shared" ca="1" si="2"/>
        <v>Shift A</v>
      </c>
      <c r="O43" s="51" t="str">
        <f>IF(B43="","", IF(IFERROR(ISNUMBER(SEARCH(B43, VLOOKUP(E43, Machine_List!$B:$J, 9, 0))), FALSE()), "✅ Machine OK", "❌ Sug: " &amp; IFERROR(INDEX(Machine_List!$B$4:$B$50, MATCH("*"&amp;B43&amp;"*", Machine_List!$J$4:$J$50, 0)), "Check Limits")))</f>
        <v>✅ Machine OK</v>
      </c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52"/>
      <c r="AN43" s="52"/>
      <c r="AO43" s="52"/>
      <c r="AP43" s="52"/>
      <c r="AQ43" s="52"/>
      <c r="AR43" s="52"/>
      <c r="AS43" s="52"/>
      <c r="AT43" s="52"/>
      <c r="AU43" s="52"/>
      <c r="AV43" s="52"/>
      <c r="AW43" s="52"/>
      <c r="AX43" s="52"/>
      <c r="AY43" s="52"/>
      <c r="AZ43" s="52"/>
      <c r="BA43" s="52"/>
      <c r="BB43" s="52"/>
      <c r="BC43" s="52"/>
      <c r="BD43" s="52"/>
      <c r="BE43" s="52"/>
      <c r="BF43" s="52"/>
      <c r="BG43" s="52"/>
      <c r="BH43" s="52"/>
      <c r="BI43" s="52"/>
      <c r="BJ43" s="52"/>
      <c r="BK43" s="52"/>
      <c r="BL43" s="52"/>
      <c r="BM43" s="52"/>
    </row>
    <row r="44" spans="1:65" ht="28.8" customHeight="1" x14ac:dyDescent="0.3">
      <c r="A44" s="10" t="str">
        <f>IF(Job_Master!A44="","",Job_Master!A44)</f>
        <v>BJ-144</v>
      </c>
      <c r="B44" s="10">
        <f>IF($A44="","",Job_Master!B44)</f>
        <v>63</v>
      </c>
      <c r="C44" s="10" t="str">
        <f>IF($A44="","",Job_Master!C44)</f>
        <v>RW</v>
      </c>
      <c r="D44" s="10">
        <f>IF($A44="","",Job_Master!D44)</f>
        <v>2</v>
      </c>
      <c r="E44" s="48" t="str">
        <f>IF($A44="","","CARVING-MC-04")</f>
        <v>CARVING-MC-04</v>
      </c>
      <c r="F44" s="106" t="str">
        <f>IF($E44="","",IFERROR(VLOOKUP($E44,Machine_List!$B:$G,6,0),""))</f>
        <v>General Workman</v>
      </c>
      <c r="G44" s="53">
        <f>IF($E44="","",IFERROR(VLOOKUP($E44,Machine_List!$B:$C,2,0),""))</f>
        <v>46237</v>
      </c>
      <c r="H44" s="10">
        <f>IF($E44="","",IFERROR(VLOOKUP($E44,Machine_List!$B:$D,3,0),""))</f>
        <v>6</v>
      </c>
      <c r="I44" s="54"/>
      <c r="J44" s="55">
        <f ca="1">IF($A44="","",IF($I44&lt;&gt;"",$I44,MAX(GlobalStartDate,IFERROR(LOOKUP(2,1/($E$3:INDIRECT("E"&amp;(ROW()-1))=$E44),$M$3:INDIRECT("M"&amp;(ROW()-1))),GlobalStartDate))))</f>
        <v>46152.828703703693</v>
      </c>
      <c r="K44" s="10">
        <f>IF($A44="","",IFERROR(VLOOKUP(B44,CHOOSE(MATCH(C44,Settings!$L$4:$L$10,0),OPR_2P!$A$4:$I$18,SEG_6P!$A$4:$I$18,SOL_4P!$A$4:$I$18,RW_2P!$A$4:$I$18,RW2_4P!$A$4:$I$18,FLAP_4P!$A$4:$I$18,TUBE_4P!$A$4:$I$18),3,0),0))</f>
        <v>90</v>
      </c>
      <c r="L44" s="10">
        <f t="shared" si="0"/>
        <v>180</v>
      </c>
      <c r="M44" s="55">
        <f ca="1">IF($A44="","",IF(AND(ISNUMBER(G44),G44&gt;=J44,G44&lt;=(J44+(L44/(IF(F44="Contract Workman",Settings!$K$5,Settings!$K$4))))),J44+(L44/(IF(F44="Contract Workman",Settings!$K$5,Settings!$K$4)))+(H44/(IF(F44="Contract Workman",Settings!$K$5,Settings!$K$4))),J44+(L44/(IF(F44="Contract Workman",Settings!$K$5,Settings!$K$4)))))</f>
        <v>46161.162037037029</v>
      </c>
      <c r="N44" s="10" t="str">
        <f t="shared" ca="1" si="2"/>
        <v>Shift C</v>
      </c>
      <c r="O44" s="51" t="str">
        <f>IF(B44="","", IF(IFERROR(ISNUMBER(SEARCH(B44, VLOOKUP(E44, Machine_List!$B:$J, 9, 0))), FALSE()), "✅ Machine OK", "❌ Sug: " &amp; IFERROR(INDEX(Machine_List!$B$4:$B$50, MATCH("*"&amp;B44&amp;"*", Machine_List!$J$4:$J$50, 0)), "Check Limits")))</f>
        <v>✅ Machine OK</v>
      </c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2"/>
      <c r="AN44" s="52"/>
      <c r="AO44" s="52"/>
      <c r="AP44" s="52"/>
      <c r="AQ44" s="52"/>
      <c r="AR44" s="52"/>
      <c r="AS44" s="52"/>
      <c r="AT44" s="52"/>
      <c r="AU44" s="52"/>
      <c r="AV44" s="52"/>
      <c r="AW44" s="52"/>
      <c r="AX44" s="52"/>
      <c r="AY44" s="52"/>
      <c r="AZ44" s="52"/>
      <c r="BA44" s="52"/>
      <c r="BB44" s="52"/>
      <c r="BC44" s="52"/>
      <c r="BD44" s="52"/>
      <c r="BE44" s="52"/>
      <c r="BF44" s="52"/>
      <c r="BG44" s="52"/>
      <c r="BH44" s="52"/>
      <c r="BI44" s="52"/>
      <c r="BJ44" s="52"/>
      <c r="BK44" s="52"/>
      <c r="BL44" s="52"/>
      <c r="BM44" s="52"/>
    </row>
    <row r="45" spans="1:65" ht="28.8" customHeight="1" x14ac:dyDescent="0.3">
      <c r="A45" s="10" t="str">
        <f>IF(Job_Master!A45="","",Job_Master!A45)</f>
        <v>BJ-146</v>
      </c>
      <c r="B45" s="10">
        <f>IF($A45="","",Job_Master!B45)</f>
        <v>20</v>
      </c>
      <c r="C45" s="10" t="str">
        <f>IF($A45="","",Job_Master!C45)</f>
        <v>RW</v>
      </c>
      <c r="D45" s="10">
        <f>IF($A45="","",Job_Master!D45)</f>
        <v>2</v>
      </c>
      <c r="E45" s="48" t="str">
        <f>IF($A45="","","CARVING-MC-05")</f>
        <v>CARVING-MC-05</v>
      </c>
      <c r="F45" s="106" t="str">
        <f>IF($E45="","",IFERROR(VLOOKUP($E45,Machine_List!$B:$G,6,0),""))</f>
        <v>General Workman</v>
      </c>
      <c r="G45" s="53">
        <f>IF($E45="","",IFERROR(VLOOKUP($E45,Machine_List!$B:$C,2,0),""))</f>
        <v>46238</v>
      </c>
      <c r="H45" s="10">
        <f>IF($E45="","",IFERROR(VLOOKUP($E45,Machine_List!$B:$D,3,0),""))</f>
        <v>6</v>
      </c>
      <c r="I45" s="54"/>
      <c r="J45" s="55">
        <f ca="1">IF($A45="","",IF($I45&lt;&gt;"",$I45,MAX(GlobalStartDate,IFERROR(LOOKUP(2,1/($E$3:INDIRECT("E"&amp;(ROW()-1))=$E45),$M$3:INDIRECT("M"&amp;(ROW()-1))),GlobalStartDate))))</f>
        <v>46141.43981481481</v>
      </c>
      <c r="K45" s="10">
        <f>IF($A45="","",IFERROR(VLOOKUP(B45,CHOOSE(MATCH(C45,Settings!$L$4:$L$10,0),OPR_2P!$A$4:$I$18,SEG_6P!$A$4:$I$18,SOL_4P!$A$4:$I$18,RW_2P!$A$4:$I$18,RW2_4P!$A$4:$I$18,FLAP_4P!$A$4:$I$18,TUBE_4P!$A$4:$I$18),3,0),0))</f>
        <v>18</v>
      </c>
      <c r="L45" s="10">
        <f t="shared" si="0"/>
        <v>36</v>
      </c>
      <c r="M45" s="55">
        <f ca="1">IF($A45="","",IF(AND(ISNUMBER(G45),G45&gt;=J45,G45&lt;=(J45+(L45/(IF(F45="Contract Workman",Settings!$K$5,Settings!$K$4))))),J45+(L45/(IF(F45="Contract Workman",Settings!$K$5,Settings!$K$4)))+(H45/(IF(F45="Contract Workman",Settings!$K$5,Settings!$K$4))),J45+(L45/(IF(F45="Contract Workman",Settings!$K$5,Settings!$K$4)))))</f>
        <v>46143.106481481474</v>
      </c>
      <c r="N45" s="10" t="str">
        <f t="shared" ca="1" si="2"/>
        <v>Shift C</v>
      </c>
      <c r="O45" s="51" t="str">
        <f>IF(B45="","", IF(IFERROR(ISNUMBER(SEARCH(B45, VLOOKUP(E45, Machine_List!$B:$J, 9, 0))), FALSE()), "✅ Machine OK", "❌ Sug: " &amp; IFERROR(INDEX(Machine_List!$B$4:$B$50, MATCH("*"&amp;B45&amp;"*", Machine_List!$J$4:$J$50, 0)), "Check Limits")))</f>
        <v>✅ Machine OK</v>
      </c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2"/>
      <c r="AN45" s="52"/>
      <c r="AO45" s="52"/>
      <c r="AP45" s="52"/>
      <c r="AQ45" s="52"/>
      <c r="AR45" s="52"/>
      <c r="AS45" s="52"/>
      <c r="AT45" s="52"/>
      <c r="AU45" s="52"/>
      <c r="AV45" s="52"/>
      <c r="AW45" s="52"/>
      <c r="AX45" s="52"/>
      <c r="AY45" s="52"/>
      <c r="AZ45" s="52"/>
      <c r="BA45" s="52"/>
      <c r="BB45" s="52"/>
      <c r="BC45" s="52"/>
      <c r="BD45" s="52"/>
      <c r="BE45" s="52"/>
      <c r="BF45" s="52"/>
      <c r="BG45" s="52"/>
      <c r="BH45" s="52"/>
      <c r="BI45" s="52"/>
      <c r="BJ45" s="52"/>
      <c r="BK45" s="52"/>
      <c r="BL45" s="52"/>
      <c r="BM45" s="52"/>
    </row>
    <row r="46" spans="1:65" ht="28.8" customHeight="1" x14ac:dyDescent="0.3">
      <c r="A46" s="10" t="str">
        <f>IF(Job_Master!A46="","",Job_Master!A46)</f>
        <v>BJ-139</v>
      </c>
      <c r="B46" s="10">
        <f>IF($A46="","",Job_Master!B46)</f>
        <v>15</v>
      </c>
      <c r="C46" s="10" t="str">
        <f>IF($A46="","",Job_Master!C46)</f>
        <v>RW</v>
      </c>
      <c r="D46" s="10">
        <f>IF($A46="","",Job_Master!D46)</f>
        <v>2</v>
      </c>
      <c r="E46" s="48" t="str">
        <f>IF($A46="","","CARVING-MC-06")</f>
        <v>CARVING-MC-06</v>
      </c>
      <c r="F46" s="106" t="str">
        <f>IF($E46="","",IFERROR(VLOOKUP($E46,Machine_List!$B:$G,6,0),""))</f>
        <v>General Workman</v>
      </c>
      <c r="G46" s="53">
        <f>IF($E46="","",IFERROR(VLOOKUP($E46,Machine_List!$B:$C,2,0),""))</f>
        <v>46397</v>
      </c>
      <c r="H46" s="10">
        <f>IF($E46="","",IFERROR(VLOOKUP($E46,Machine_List!$B:$D,3,0),""))</f>
        <v>6</v>
      </c>
      <c r="I46" s="54"/>
      <c r="J46" s="55">
        <f ca="1">IF($A46="","",IF($I46&lt;&gt;"",$I46,MAX(GlobalStartDate,IFERROR(LOOKUP(2,1/($E$3:INDIRECT("E"&amp;(ROW()-1))=$E46),$M$3:INDIRECT("M"&amp;(ROW()-1))),GlobalStartDate))))</f>
        <v>46153.384259259248</v>
      </c>
      <c r="K46" s="10">
        <f>IF($A46="","",IFERROR(VLOOKUP(B46,CHOOSE(MATCH(C46,Settings!$L$4:$L$10,0),OPR_2P!$A$4:$I$18,SEG_6P!$A$4:$I$18,SOL_4P!$A$4:$I$18,RW_2P!$A$4:$I$18,RW2_4P!$A$4:$I$18,FLAP_4P!$A$4:$I$18,TUBE_4P!$A$4:$I$18),3,0),0))</f>
        <v>11</v>
      </c>
      <c r="L46" s="10">
        <f t="shared" si="0"/>
        <v>22</v>
      </c>
      <c r="M46" s="55">
        <f ca="1">IF($A46="","",IF(AND(ISNUMBER(G46),G46&gt;=J46,G46&lt;=(J46+(L46/(IF(F46="Contract Workman",Settings!$K$5,Settings!$K$4))))),J46+(L46/(IF(F46="Contract Workman",Settings!$K$5,Settings!$K$4)))+(H46/(IF(F46="Contract Workman",Settings!$K$5,Settings!$K$4))),J46+(L46/(IF(F46="Contract Workman",Settings!$K$5,Settings!$K$4)))))</f>
        <v>46154.402777777766</v>
      </c>
      <c r="N46" s="10" t="str">
        <f t="shared" ca="1" si="2"/>
        <v>Shift A</v>
      </c>
      <c r="O46" s="51" t="str">
        <f>IF(B46="","", IF(IFERROR(ISNUMBER(SEARCH(B46, VLOOKUP(E46, Machine_List!$B:$J, 9, 0))), FALSE()), "✅ Machine OK", "❌ Sug: " &amp; IFERROR(INDEX(Machine_List!$B$4:$B$50, MATCH("*"&amp;B46&amp;"*", Machine_List!$J$4:$J$50, 0)), "Check Limits")))</f>
        <v>✅ Machine OK</v>
      </c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2"/>
      <c r="AN46" s="52"/>
      <c r="AO46" s="52"/>
      <c r="AP46" s="52"/>
      <c r="AQ46" s="52"/>
      <c r="AR46" s="52"/>
      <c r="AS46" s="52"/>
      <c r="AT46" s="52"/>
      <c r="AU46" s="52"/>
      <c r="AV46" s="52"/>
      <c r="AW46" s="52"/>
      <c r="AX46" s="52"/>
      <c r="AY46" s="52"/>
      <c r="AZ46" s="52"/>
      <c r="BA46" s="52"/>
      <c r="BB46" s="52"/>
      <c r="BC46" s="52"/>
      <c r="BD46" s="52"/>
      <c r="BE46" s="52"/>
      <c r="BF46" s="52"/>
      <c r="BG46" s="52"/>
      <c r="BH46" s="52"/>
      <c r="BI46" s="52"/>
      <c r="BJ46" s="52"/>
      <c r="BK46" s="52"/>
      <c r="BL46" s="52"/>
      <c r="BM46" s="52"/>
    </row>
    <row r="47" spans="1:65" ht="28.8" customHeight="1" x14ac:dyDescent="0.3">
      <c r="A47" s="10" t="str">
        <f>IF(Job_Master!A47="","",Job_Master!A47)</f>
        <v>BJ-141</v>
      </c>
      <c r="B47" s="10">
        <f>IF($A47="","",Job_Master!B47)</f>
        <v>50</v>
      </c>
      <c r="C47" s="10" t="str">
        <f>IF($A47="","",Job_Master!C47)</f>
        <v>SOL</v>
      </c>
      <c r="D47" s="10">
        <f>IF($A47="","",Job_Master!D47)</f>
        <v>4</v>
      </c>
      <c r="E47" s="48" t="str">
        <f>IF($A47="","","CARVING-MC-06")</f>
        <v>CARVING-MC-06</v>
      </c>
      <c r="F47" s="106" t="str">
        <f>IF($E47="","",IFERROR(VLOOKUP($E47,Machine_List!$B:$G,6,0),""))</f>
        <v>General Workman</v>
      </c>
      <c r="G47" s="53">
        <f>IF($E47="","",IFERROR(VLOOKUP($E47,Machine_List!$B:$C,2,0),""))</f>
        <v>46397</v>
      </c>
      <c r="H47" s="10">
        <f>IF($E47="","",IFERROR(VLOOKUP($E47,Machine_List!$B:$D,3,0),""))</f>
        <v>6</v>
      </c>
      <c r="I47" s="54"/>
      <c r="J47" s="55">
        <f ca="1">IF($A47="","",IF($I47&lt;&gt;"",$I47,MAX(GlobalStartDate,IFERROR(LOOKUP(2,1/($E$3:INDIRECT("E"&amp;(ROW()-1))=$E47),$M$3:INDIRECT("M"&amp;(ROW()-1))),GlobalStartDate))))</f>
        <v>46154.402777777766</v>
      </c>
      <c r="K47" s="10">
        <f>IF($A47="","",IFERROR(VLOOKUP(B47,CHOOSE(MATCH(C47,Settings!$L$4:$L$10,0),OPR_2P!$A$4:$I$18,SEG_6P!$A$4:$I$18,SOL_4P!$A$4:$I$18,RW_2P!$A$4:$I$18,RW2_4P!$A$4:$I$18,FLAP_4P!$A$4:$I$18,TUBE_4P!$A$4:$I$18),3,0),0))</f>
        <v>49</v>
      </c>
      <c r="L47" s="10">
        <f t="shared" si="0"/>
        <v>196</v>
      </c>
      <c r="M47" s="55">
        <f ca="1">IF($A47="","",IF(AND(ISNUMBER(G47),G47&gt;=J47,G47&lt;=(J47+(L47/(IF(F47="Contract Workman",Settings!$K$5,Settings!$K$4))))),J47+(L47/(IF(F47="Contract Workman",Settings!$K$5,Settings!$K$4)))+(H47/(IF(F47="Contract Workman",Settings!$K$5,Settings!$K$4))),J47+(L47/(IF(F47="Contract Workman",Settings!$K$5,Settings!$K$4)))))</f>
        <v>46163.476851851839</v>
      </c>
      <c r="N47" s="10" t="str">
        <f t="shared" ca="1" si="2"/>
        <v>Shift A</v>
      </c>
      <c r="O47" s="51" t="str">
        <f>IF(B47="","", IF(IFERROR(ISNUMBER(SEARCH(B47, VLOOKUP(E47, Machine_List!$B:$J, 9, 0))), FALSE()), "✅ Machine OK", "❌ Sug: " &amp; IFERROR(INDEX(Machine_List!$B$4:$B$50, MATCH("*"&amp;B47&amp;"*", Machine_List!$J$4:$J$50, 0)), "Check Limits")))</f>
        <v>✅ Machine OK</v>
      </c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2"/>
      <c r="AN47" s="52"/>
      <c r="AO47" s="52"/>
      <c r="AP47" s="52"/>
      <c r="AQ47" s="52"/>
      <c r="AR47" s="52"/>
      <c r="AS47" s="52"/>
      <c r="AT47" s="52"/>
      <c r="AU47" s="52"/>
      <c r="AV47" s="52"/>
      <c r="AW47" s="52"/>
      <c r="AX47" s="52"/>
      <c r="AY47" s="52"/>
      <c r="AZ47" s="52"/>
      <c r="BA47" s="52"/>
      <c r="BB47" s="52"/>
      <c r="BC47" s="52"/>
      <c r="BD47" s="52"/>
      <c r="BE47" s="52"/>
      <c r="BF47" s="52"/>
      <c r="BG47" s="52"/>
      <c r="BH47" s="52"/>
      <c r="BI47" s="52"/>
      <c r="BJ47" s="52"/>
      <c r="BK47" s="52"/>
      <c r="BL47" s="52"/>
      <c r="BM47" s="52"/>
    </row>
    <row r="48" spans="1:65" ht="28.8" customHeight="1" x14ac:dyDescent="0.3">
      <c r="A48" s="10" t="str">
        <f>IF(Job_Master!A48="","",Job_Master!A48)</f>
        <v>BJ-142</v>
      </c>
      <c r="B48" s="10">
        <f>IF($A48="","",Job_Master!B48)</f>
        <v>9</v>
      </c>
      <c r="C48" s="10" t="str">
        <f>IF($A48="","",Job_Master!C48)</f>
        <v>RW</v>
      </c>
      <c r="D48" s="10">
        <f>IF($A48="","",Job_Master!D48)</f>
        <v>2</v>
      </c>
      <c r="E48" s="48" t="str">
        <f>IF($A48="","","CARVING-MC-03")</f>
        <v>CARVING-MC-03</v>
      </c>
      <c r="F48" s="106" t="str">
        <f>IF($E48="","",IFERROR(VLOOKUP($E48,Machine_List!$B:$G,6,0),""))</f>
        <v>General Workman</v>
      </c>
      <c r="G48" s="53">
        <f>IF($E48="","",IFERROR(VLOOKUP($E48,Machine_List!$B:$C,2,0),""))</f>
        <v>46296</v>
      </c>
      <c r="H48" s="10">
        <f>IF($E48="","",IFERROR(VLOOKUP($E48,Machine_List!$B:$D,3,0),""))</f>
        <v>6</v>
      </c>
      <c r="I48" s="54"/>
      <c r="J48" s="55">
        <f ca="1">IF($A48="","",IF($I48&lt;&gt;"",$I48,MAX(GlobalStartDate,IFERROR(LOOKUP(2,1/($E$3:INDIRECT("E"&amp;(ROW()-1))=$E48),$M$3:INDIRECT("M"&amp;(ROW()-1))),GlobalStartDate))))</f>
        <v>46151.717592592584</v>
      </c>
      <c r="K48" s="10">
        <f>IF($A48="","",IFERROR(VLOOKUP(B48,CHOOSE(MATCH(C48,Settings!$L$4:$L$10,0),OPR_2P!$A$4:$I$18,SEG_6P!$A$4:$I$18,SOL_4P!$A$4:$I$18,RW_2P!$A$4:$I$18,RW2_4P!$A$4:$I$18,FLAP_4P!$A$4:$I$18,TUBE_4P!$A$4:$I$18),3,0),0))</f>
        <v>5</v>
      </c>
      <c r="L48" s="10">
        <f t="shared" si="0"/>
        <v>10</v>
      </c>
      <c r="M48" s="55">
        <f ca="1">IF($A48="","",IF(AND(ISNUMBER(G48),G48&gt;=J48,G48&lt;=(J48+(L48/(IF(F48="Contract Workman",Settings!$K$5,Settings!$K$4))))),J48+(L48/(IF(F48="Contract Workman",Settings!$K$5,Settings!$K$4)))+(H48/(IF(F48="Contract Workman",Settings!$K$5,Settings!$K$4))),J48+(L48/(IF(F48="Contract Workman",Settings!$K$5,Settings!$K$4)))))</f>
        <v>46152.180555555547</v>
      </c>
      <c r="N48" s="10" t="str">
        <f t="shared" ca="1" si="2"/>
        <v>Shift C</v>
      </c>
      <c r="O48" s="51" t="str">
        <f>IF(B48="","", IF(IFERROR(ISNUMBER(SEARCH(B48, VLOOKUP(E48, Machine_List!$B:$J, 9, 0))), FALSE()), "✅ Machine OK", "❌ Sug: " &amp; IFERROR(INDEX(Machine_List!$B$4:$B$50, MATCH("*"&amp;B48&amp;"*", Machine_List!$J$4:$J$50, 0)), "Check Limits")))</f>
        <v>✅ Machine OK</v>
      </c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2"/>
      <c r="AN48" s="52"/>
      <c r="AO48" s="52"/>
      <c r="AP48" s="52"/>
      <c r="AQ48" s="52"/>
      <c r="AR48" s="52"/>
      <c r="AS48" s="52"/>
      <c r="AT48" s="52"/>
      <c r="AU48" s="52"/>
      <c r="AV48" s="52"/>
      <c r="AW48" s="52"/>
      <c r="AX48" s="52"/>
      <c r="AY48" s="52"/>
      <c r="AZ48" s="52"/>
      <c r="BA48" s="52"/>
      <c r="BB48" s="52"/>
      <c r="BC48" s="52"/>
      <c r="BD48" s="52"/>
      <c r="BE48" s="52"/>
      <c r="BF48" s="52"/>
      <c r="BG48" s="52"/>
      <c r="BH48" s="52"/>
      <c r="BI48" s="52"/>
      <c r="BJ48" s="52"/>
      <c r="BK48" s="52"/>
      <c r="BL48" s="52"/>
      <c r="BM48" s="52"/>
    </row>
    <row r="49" spans="1:65" ht="28.8" customHeight="1" x14ac:dyDescent="0.3">
      <c r="A49" s="10" t="str">
        <f>IF(Job_Master!A49="","",Job_Master!A49)</f>
        <v>BJ-147</v>
      </c>
      <c r="B49" s="10">
        <f>IF($A49="","",Job_Master!B49)</f>
        <v>34</v>
      </c>
      <c r="C49" s="10" t="str">
        <f>IF($A49="","",Job_Master!C49)</f>
        <v>SOL</v>
      </c>
      <c r="D49" s="10">
        <f>IF($A49="","",Job_Master!D49)</f>
        <v>4</v>
      </c>
      <c r="E49" s="48" t="str">
        <f>IF($A49="","","CARVING-MC-05")</f>
        <v>CARVING-MC-05</v>
      </c>
      <c r="F49" s="106" t="str">
        <f>IF($E49="","",IFERROR(VLOOKUP($E49,Machine_List!$B:$G,6,0),""))</f>
        <v>General Workman</v>
      </c>
      <c r="G49" s="53">
        <f>IF($E49="","",IFERROR(VLOOKUP($E49,Machine_List!$B:$C,2,0),""))</f>
        <v>46238</v>
      </c>
      <c r="H49" s="10">
        <f>IF($E49="","",IFERROR(VLOOKUP($E49,Machine_List!$B:$D,3,0),""))</f>
        <v>6</v>
      </c>
      <c r="I49" s="54"/>
      <c r="J49" s="55">
        <f ca="1">IF($A49="","",IF($I49&lt;&gt;"",$I49,MAX(GlobalStartDate,IFERROR(LOOKUP(2,1/($E$3:INDIRECT("E"&amp;(ROW()-1))=$E49),$M$3:INDIRECT("M"&amp;(ROW()-1))),GlobalStartDate))))</f>
        <v>46143.106481481474</v>
      </c>
      <c r="K49" s="10">
        <f>IF($A49="","",IFERROR(VLOOKUP(B49,CHOOSE(MATCH(C49,Settings!$L$4:$L$10,0),OPR_2P!$A$4:$I$18,SEG_6P!$A$4:$I$18,SOL_4P!$A$4:$I$18,RW_2P!$A$4:$I$18,RW2_4P!$A$4:$I$18,FLAP_4P!$A$4:$I$18,TUBE_4P!$A$4:$I$18),3,0),0))</f>
        <v>32</v>
      </c>
      <c r="L49" s="10">
        <f t="shared" si="0"/>
        <v>128</v>
      </c>
      <c r="M49" s="55">
        <f ca="1">IF($A49="","",IF(AND(ISNUMBER(G49),G49&gt;=J49,G49&lt;=(J49+(L49/(IF(F49="Contract Workman",Settings!$K$5,Settings!$K$4))))),J49+(L49/(IF(F49="Contract Workman",Settings!$K$5,Settings!$K$4)))+(H49/(IF(F49="Contract Workman",Settings!$K$5,Settings!$K$4))),J49+(L49/(IF(F49="Contract Workman",Settings!$K$5,Settings!$K$4)))))</f>
        <v>46149.032407407401</v>
      </c>
      <c r="N49" s="10" t="str">
        <f t="shared" ca="1" si="2"/>
        <v>Shift C</v>
      </c>
      <c r="O49" s="51" t="str">
        <f>IF(B49="","", IF(IFERROR(ISNUMBER(SEARCH(B49, VLOOKUP(E49, Machine_List!$B:$J, 9, 0))), FALSE()), "✅ Machine OK", "❌ Sug: " &amp; IFERROR(INDEX(Machine_List!$B$4:$B$50, MATCH("*"&amp;B49&amp;"*", Machine_List!$J$4:$J$50, 0)), "Check Limits")))</f>
        <v>✅ Machine OK</v>
      </c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O49" s="52"/>
      <c r="AP49" s="52"/>
      <c r="AQ49" s="52"/>
      <c r="AR49" s="52"/>
      <c r="AS49" s="52"/>
      <c r="AT49" s="52"/>
      <c r="AU49" s="52"/>
      <c r="AV49" s="52"/>
      <c r="AW49" s="52"/>
      <c r="AX49" s="52"/>
      <c r="AY49" s="52"/>
      <c r="AZ49" s="52"/>
      <c r="BA49" s="52"/>
      <c r="BB49" s="52"/>
      <c r="BC49" s="52"/>
      <c r="BD49" s="52"/>
      <c r="BE49" s="52"/>
      <c r="BF49" s="52"/>
      <c r="BG49" s="52"/>
      <c r="BH49" s="52"/>
      <c r="BI49" s="52"/>
      <c r="BJ49" s="52"/>
      <c r="BK49" s="52"/>
      <c r="BL49" s="52"/>
      <c r="BM49" s="52"/>
    </row>
    <row r="50" spans="1:65" ht="28.8" customHeight="1" x14ac:dyDescent="0.3">
      <c r="A50" s="10" t="str">
        <f>IF(Job_Master!A50="","",Job_Master!A50)</f>
        <v>BJ-150</v>
      </c>
      <c r="B50" s="10">
        <f>IF($A50="","",Job_Master!B50)</f>
        <v>34</v>
      </c>
      <c r="C50" s="10" t="str">
        <f>IF($A50="","",Job_Master!C50)</f>
        <v>SOL</v>
      </c>
      <c r="D50" s="10">
        <f>IF($A50="","",Job_Master!D50)</f>
        <v>4</v>
      </c>
      <c r="E50" s="48" t="str">
        <f>IF($A50="","","CARVING-MC-03")</f>
        <v>CARVING-MC-03</v>
      </c>
      <c r="F50" s="106" t="str">
        <f>IF($E50="","",IFERROR(VLOOKUP($E50,Machine_List!$B:$G,6,0),""))</f>
        <v>General Workman</v>
      </c>
      <c r="G50" s="53">
        <f>IF($E50="","",IFERROR(VLOOKUP($E50,Machine_List!$B:$C,2,0),""))</f>
        <v>46296</v>
      </c>
      <c r="H50" s="10">
        <f>IF($E50="","",IFERROR(VLOOKUP($E50,Machine_List!$B:$D,3,0),""))</f>
        <v>6</v>
      </c>
      <c r="I50" s="54"/>
      <c r="J50" s="55">
        <f ca="1">IF($A50="","",IF($I50&lt;&gt;"",$I50,MAX(GlobalStartDate,IFERROR(LOOKUP(2,1/($E$3:INDIRECT("E"&amp;(ROW()-1))=$E50),$M$3:INDIRECT("M"&amp;(ROW()-1))),GlobalStartDate))))</f>
        <v>46152.180555555547</v>
      </c>
      <c r="K50" s="10">
        <f>IF($A50="","",IFERROR(VLOOKUP(B50,CHOOSE(MATCH(C50,Settings!$L$4:$L$10,0),OPR_2P!$A$4:$I$18,SEG_6P!$A$4:$I$18,SOL_4P!$A$4:$I$18,RW_2P!$A$4:$I$18,RW2_4P!$A$4:$I$18,FLAP_4P!$A$4:$I$18,TUBE_4P!$A$4:$I$18),3,0),0))</f>
        <v>32</v>
      </c>
      <c r="L50" s="10">
        <f t="shared" si="0"/>
        <v>128</v>
      </c>
      <c r="M50" s="55">
        <f ca="1">IF($A50="","",IF(AND(ISNUMBER(G50),G50&gt;=J50,G50&lt;=(J50+(L50/(IF(F50="Contract Workman",Settings!$K$5,Settings!$K$4))))),J50+(L50/(IF(F50="Contract Workman",Settings!$K$5,Settings!$K$4)))+(H50/(IF(F50="Contract Workman",Settings!$K$5,Settings!$K$4))),J50+(L50/(IF(F50="Contract Workman",Settings!$K$5,Settings!$K$4)))))</f>
        <v>46158.106481481474</v>
      </c>
      <c r="N50" s="10" t="str">
        <f t="shared" ca="1" si="2"/>
        <v>Shift C</v>
      </c>
      <c r="O50" s="51" t="str">
        <f>IF(B50="","", IF(IFERROR(ISNUMBER(SEARCH(B50, VLOOKUP(E50, Machine_List!$B:$J, 9, 0))), FALSE()), "✅ Machine OK", "❌ Sug: " &amp; IFERROR(INDEX(Machine_List!$B$4:$B$50, MATCH("*"&amp;B50&amp;"*", Machine_List!$J$4:$J$50, 0)), "Check Limits")))</f>
        <v>✅ Machine OK</v>
      </c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  <c r="AK50" s="52"/>
      <c r="AL50" s="52"/>
      <c r="AM50" s="52"/>
      <c r="AN50" s="52"/>
      <c r="AO50" s="52"/>
      <c r="AP50" s="52"/>
      <c r="AQ50" s="52"/>
      <c r="AR50" s="52"/>
      <c r="AS50" s="52"/>
      <c r="AT50" s="52"/>
      <c r="AU50" s="52"/>
      <c r="AV50" s="52"/>
      <c r="AW50" s="52"/>
      <c r="AX50" s="52"/>
      <c r="AY50" s="52"/>
      <c r="AZ50" s="52"/>
      <c r="BA50" s="52"/>
      <c r="BB50" s="52"/>
      <c r="BC50" s="52"/>
      <c r="BD50" s="52"/>
      <c r="BE50" s="52"/>
      <c r="BF50" s="52"/>
      <c r="BG50" s="52"/>
      <c r="BH50" s="52"/>
      <c r="BI50" s="52"/>
      <c r="BJ50" s="52"/>
      <c r="BK50" s="52"/>
      <c r="BL50" s="52"/>
      <c r="BM50" s="52"/>
    </row>
    <row r="51" spans="1:65" ht="28.8" customHeight="1" x14ac:dyDescent="0.3">
      <c r="A51" s="10" t="str">
        <f>IF(Job_Master!A51="","",Job_Master!A51)</f>
        <v>BJ-151</v>
      </c>
      <c r="B51" s="10">
        <f>IF($A51="","",Job_Master!B51)</f>
        <v>25</v>
      </c>
      <c r="C51" s="10" t="str">
        <f>IF($A51="","",Job_Master!C51)</f>
        <v>SOL</v>
      </c>
      <c r="D51" s="10">
        <f>IF($A51="","",Job_Master!D51)</f>
        <v>4</v>
      </c>
      <c r="E51" s="48" t="str">
        <f>IF($A51="","","CARVING-MC-04")</f>
        <v>CARVING-MC-04</v>
      </c>
      <c r="F51" s="106" t="str">
        <f>IF($E51="","",IFERROR(VLOOKUP($E51,Machine_List!$B:$G,6,0),""))</f>
        <v>General Workman</v>
      </c>
      <c r="G51" s="53">
        <f>IF($E51="","",IFERROR(VLOOKUP($E51,Machine_List!$B:$C,2,0),""))</f>
        <v>46237</v>
      </c>
      <c r="H51" s="10">
        <f>IF($E51="","",IFERROR(VLOOKUP($E51,Machine_List!$B:$D,3,0),""))</f>
        <v>6</v>
      </c>
      <c r="I51" s="54"/>
      <c r="J51" s="55">
        <f ca="1">IF($A51="","",IF($I51&lt;&gt;"",$I51,MAX(GlobalStartDate,IFERROR(LOOKUP(2,1/($E$3:INDIRECT("E"&amp;(ROW()-1))=$E51),$M$3:INDIRECT("M"&amp;(ROW()-1))),GlobalStartDate))))</f>
        <v>46161.162037037029</v>
      </c>
      <c r="K51" s="10">
        <f>IF($A51="","",IFERROR(VLOOKUP(B51,CHOOSE(MATCH(C51,Settings!$L$4:$L$10,0),OPR_2P!$A$4:$I$18,SEG_6P!$A$4:$I$18,SOL_4P!$A$4:$I$18,RW_2P!$A$4:$I$18,RW2_4P!$A$4:$I$18,FLAP_4P!$A$4:$I$18,TUBE_4P!$A$4:$I$18),3,0),0))</f>
        <v>26</v>
      </c>
      <c r="L51" s="10">
        <f t="shared" si="0"/>
        <v>104</v>
      </c>
      <c r="M51" s="55">
        <f ca="1">IF($A51="","",IF(AND(ISNUMBER(G51),G51&gt;=J51,G51&lt;=(J51+(L51/(IF(F51="Contract Workman",Settings!$K$5,Settings!$K$4))))),J51+(L51/(IF(F51="Contract Workman",Settings!$K$5,Settings!$K$4)))+(H51/(IF(F51="Contract Workman",Settings!$K$5,Settings!$K$4))),J51+(L51/(IF(F51="Contract Workman",Settings!$K$5,Settings!$K$4)))))</f>
        <v>46165.976851851847</v>
      </c>
      <c r="N51" s="10" t="str">
        <f t="shared" ca="1" si="2"/>
        <v>Shift C</v>
      </c>
      <c r="O51" s="51" t="str">
        <f>IF(B51="","", IF(IFERROR(ISNUMBER(SEARCH(B51, VLOOKUP(E51, Machine_List!$B:$J, 9, 0))), FALSE()), "✅ Machine OK", "❌ Sug: " &amp; IFERROR(INDEX(Machine_List!$B$4:$B$50, MATCH("*"&amp;B51&amp;"*", Machine_List!$J$4:$J$50, 0)), "Check Limits")))</f>
        <v>✅ Machine OK</v>
      </c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L51" s="52"/>
      <c r="AM51" s="52"/>
      <c r="AN51" s="52"/>
      <c r="AO51" s="52"/>
      <c r="AP51" s="52"/>
      <c r="AQ51" s="52"/>
      <c r="AR51" s="52"/>
      <c r="AS51" s="52"/>
      <c r="AT51" s="52"/>
      <c r="AU51" s="52"/>
      <c r="AV51" s="52"/>
      <c r="AW51" s="52"/>
      <c r="AX51" s="52"/>
      <c r="AY51" s="52"/>
      <c r="AZ51" s="52"/>
      <c r="BA51" s="52"/>
      <c r="BB51" s="52"/>
      <c r="BC51" s="52"/>
      <c r="BD51" s="52"/>
      <c r="BE51" s="52"/>
      <c r="BF51" s="52"/>
      <c r="BG51" s="52"/>
      <c r="BH51" s="52"/>
      <c r="BI51" s="52"/>
      <c r="BJ51" s="52"/>
      <c r="BK51" s="52"/>
      <c r="BL51" s="52"/>
      <c r="BM51" s="52"/>
    </row>
    <row r="52" spans="1:65" ht="28.8" customHeight="1" x14ac:dyDescent="0.3">
      <c r="A52" s="10" t="str">
        <f>IF(Job_Master!A52="","",Job_Master!A52)</f>
        <v>BJ-152</v>
      </c>
      <c r="B52" s="10">
        <f>IF($A52="","",Job_Master!B52)</f>
        <v>34</v>
      </c>
      <c r="C52" s="10" t="str">
        <f>IF($A52="","",Job_Master!C52)</f>
        <v>2P</v>
      </c>
      <c r="D52" s="10">
        <f>IF($A52="","",Job_Master!D52)</f>
        <v>2</v>
      </c>
      <c r="E52" s="48" t="str">
        <f>IF($A52="","","CARVING-MC-01")</f>
        <v>CARVING-MC-01</v>
      </c>
      <c r="F52" s="106" t="str">
        <f>IF($E52="","",IFERROR(VLOOKUP($E52,Machine_List!$B:$G,6,0),""))</f>
        <v>General Workman</v>
      </c>
      <c r="G52" s="53">
        <f>IF($E52="","",IFERROR(VLOOKUP($E52,Machine_List!$B:$C,2,0),""))</f>
        <v>46418</v>
      </c>
      <c r="H52" s="10">
        <f>IF($E52="","",IFERROR(VLOOKUP($E52,Machine_List!$B:$D,3,0),""))</f>
        <v>6</v>
      </c>
      <c r="I52" s="54"/>
      <c r="J52" s="55">
        <f ca="1">IF($A52="","",IF($I52&lt;&gt;"",$I52,MAX(GlobalStartDate,IFERROR(LOOKUP(2,1/($E$3:INDIRECT("E"&amp;(ROW()-1))=$E52),$M$3:INDIRECT("M"&amp;(ROW()-1))),GlobalStartDate))))</f>
        <v>46153.013888888898</v>
      </c>
      <c r="K52" s="10">
        <f>IF($A52="","",IFERROR(VLOOKUP(B52,CHOOSE(MATCH(C52,Settings!$L$4:$L$10,0),OPR_2P!$A$4:$I$18,SEG_6P!$A$4:$I$18,SOL_4P!$A$4:$I$18,RW_2P!$A$4:$I$18,RW2_4P!$A$4:$I$18,FLAP_4P!$A$4:$I$18,TUBE_4P!$A$4:$I$18),3,0),0))</f>
        <v>48</v>
      </c>
      <c r="L52" s="10">
        <f t="shared" si="0"/>
        <v>96</v>
      </c>
      <c r="M52" s="55">
        <f ca="1">IF($A52="","",IF(AND(ISNUMBER(G52),G52&gt;=J52,G52&lt;=(J52+(L52/(IF(F52="Contract Workman",Settings!$K$5,Settings!$K$4))))),J52+(L52/(IF(F52="Contract Workman",Settings!$K$5,Settings!$K$4)))+(H52/(IF(F52="Contract Workman",Settings!$K$5,Settings!$K$4))),J52+(L52/(IF(F52="Contract Workman",Settings!$K$5,Settings!$K$4)))))</f>
        <v>46157.458333333343</v>
      </c>
      <c r="N52" s="10" t="str">
        <f t="shared" ca="1" si="2"/>
        <v>Shift A</v>
      </c>
      <c r="O52" s="51" t="str">
        <f>IF(B52="","", IF(IFERROR(ISNUMBER(SEARCH(B52, VLOOKUP(E52, Machine_List!$B:$J, 9, 0))), FALSE()), "✅ Machine OK", "❌ Sug: " &amp; IFERROR(INDEX(Machine_List!$B$4:$B$50, MATCH("*"&amp;B52&amp;"*", Machine_List!$J$4:$J$50, 0)), "Check Limits")))</f>
        <v>✅ Machine OK</v>
      </c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  <c r="AK52" s="52"/>
      <c r="AL52" s="52"/>
      <c r="AM52" s="52"/>
      <c r="AN52" s="52"/>
      <c r="AO52" s="52"/>
      <c r="AP52" s="52"/>
      <c r="AQ52" s="52"/>
      <c r="AR52" s="52"/>
      <c r="AS52" s="52"/>
      <c r="AT52" s="52"/>
      <c r="AU52" s="52"/>
      <c r="AV52" s="52"/>
      <c r="AW52" s="52"/>
      <c r="AX52" s="52"/>
      <c r="AY52" s="52"/>
      <c r="AZ52" s="52"/>
      <c r="BA52" s="52"/>
      <c r="BB52" s="52"/>
      <c r="BC52" s="52"/>
      <c r="BD52" s="52"/>
      <c r="BE52" s="52"/>
      <c r="BF52" s="52"/>
      <c r="BG52" s="52"/>
      <c r="BH52" s="52"/>
      <c r="BI52" s="52"/>
      <c r="BJ52" s="52"/>
      <c r="BK52" s="52"/>
      <c r="BL52" s="52"/>
      <c r="BM52" s="52"/>
    </row>
    <row r="53" spans="1:65" ht="28.8" customHeight="1" x14ac:dyDescent="0.3">
      <c r="A53" s="10" t="str">
        <f>IF(Job_Master!A53="","",Job_Master!A53)</f>
        <v>BJ-143</v>
      </c>
      <c r="B53" s="10">
        <f>IF($A53="","",Job_Master!B53)</f>
        <v>17</v>
      </c>
      <c r="C53" s="10" t="str">
        <f>IF($A53="","",Job_Master!C53)</f>
        <v>SOL</v>
      </c>
      <c r="D53" s="10">
        <f>IF($A53="","",Job_Master!D53)</f>
        <v>4</v>
      </c>
      <c r="E53" s="48" t="str">
        <f>IF($A53="","","CARVING-MC-02")</f>
        <v>CARVING-MC-02</v>
      </c>
      <c r="F53" s="106" t="str">
        <f>IF($E53="","",IFERROR(VLOOKUP($E53,Machine_List!$B:$G,6,0),""))</f>
        <v>General Workman</v>
      </c>
      <c r="G53" s="53">
        <f>IF($E53="","",IFERROR(VLOOKUP($E53,Machine_List!$B:$C,2,0),""))</f>
        <v>46282</v>
      </c>
      <c r="H53" s="10">
        <f>IF($E53="","",IFERROR(VLOOKUP($E53,Machine_List!$B:$D,3,0),""))</f>
        <v>6</v>
      </c>
      <c r="I53" s="54"/>
      <c r="J53" s="55">
        <f ca="1">IF($A53="","",IF($I53&lt;&gt;"",$I53,MAX(GlobalStartDate,IFERROR(LOOKUP(2,1/($E$3:INDIRECT("E"&amp;(ROW()-1))=$E53),$M$3:INDIRECT("M"&amp;(ROW()-1))),GlobalStartDate))))</f>
        <v>46158.291666666657</v>
      </c>
      <c r="K53" s="10">
        <f>IF($A53="","",IFERROR(VLOOKUP(B53,CHOOSE(MATCH(C53,Settings!$L$4:$L$10,0),OPR_2P!$A$4:$I$18,SEG_6P!$A$4:$I$18,SOL_4P!$A$4:$I$18,RW_2P!$A$4:$I$18,RW2_4P!$A$4:$I$18,FLAP_4P!$A$4:$I$18,TUBE_4P!$A$4:$I$18),3,0),0))</f>
        <v>20</v>
      </c>
      <c r="L53" s="10">
        <f t="shared" si="0"/>
        <v>80</v>
      </c>
      <c r="M53" s="55">
        <f ca="1">IF($A53="","",IF(AND(ISNUMBER(G53),G53&gt;=J53,G53&lt;=(J53+(L53/(IF(F53="Contract Workman",Settings!$K$5,Settings!$K$4))))),J53+(L53/(IF(F53="Contract Workman",Settings!$K$5,Settings!$K$4)))+(H53/(IF(F53="Contract Workman",Settings!$K$5,Settings!$K$4))),J53+(L53/(IF(F53="Contract Workman",Settings!$K$5,Settings!$K$4)))))</f>
        <v>46161.995370370358</v>
      </c>
      <c r="N53" s="10" t="str">
        <f t="shared" ca="1" si="2"/>
        <v>Shift C</v>
      </c>
      <c r="O53" s="51" t="str">
        <f>IF(B53="","", IF(IFERROR(ISNUMBER(SEARCH(B53, VLOOKUP(E53, Machine_List!$B:$J, 9, 0))), FALSE()), "✅ Machine OK", "❌ Sug: " &amp; IFERROR(INDEX(Machine_List!$B$4:$B$50, MATCH("*"&amp;B53&amp;"*", Machine_List!$J$4:$J$50, 0)), "Check Limits")))</f>
        <v>✅ Machine OK</v>
      </c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52"/>
      <c r="AN53" s="52"/>
      <c r="AO53" s="52"/>
      <c r="AP53" s="52"/>
      <c r="AQ53" s="52"/>
      <c r="AR53" s="52"/>
      <c r="AS53" s="52"/>
      <c r="AT53" s="52"/>
      <c r="AU53" s="52"/>
      <c r="AV53" s="52"/>
      <c r="AW53" s="52"/>
      <c r="AX53" s="52"/>
      <c r="AY53" s="52"/>
      <c r="AZ53" s="52"/>
      <c r="BA53" s="52"/>
      <c r="BB53" s="52"/>
      <c r="BC53" s="52"/>
      <c r="BD53" s="52"/>
      <c r="BE53" s="52"/>
      <c r="BF53" s="52"/>
      <c r="BG53" s="52"/>
      <c r="BH53" s="52"/>
      <c r="BI53" s="52"/>
      <c r="BJ53" s="52"/>
      <c r="BK53" s="52"/>
      <c r="BL53" s="52"/>
      <c r="BM53" s="52"/>
    </row>
    <row r="54" spans="1:65" ht="28.8" customHeight="1" x14ac:dyDescent="0.3">
      <c r="A54" s="10" t="str">
        <f>IF(Job_Master!A54="","",Job_Master!A54)</f>
        <v>BJ-154</v>
      </c>
      <c r="B54" s="10">
        <f>IF($A54="","",Job_Master!B54)</f>
        <v>25</v>
      </c>
      <c r="C54" s="10" t="str">
        <f>IF($A54="","",Job_Master!C54)</f>
        <v>RW</v>
      </c>
      <c r="D54" s="10">
        <f>IF($A54="","",Job_Master!D54)</f>
        <v>2</v>
      </c>
      <c r="E54" s="48" t="str">
        <f>IF($A54="","","CARVING-MC-05")</f>
        <v>CARVING-MC-05</v>
      </c>
      <c r="F54" s="106" t="str">
        <f>IF($E54="","",IFERROR(VLOOKUP($E54,Machine_List!$B:$G,6,0),""))</f>
        <v>General Workman</v>
      </c>
      <c r="G54" s="53">
        <f>IF($E54="","",IFERROR(VLOOKUP($E54,Machine_List!$B:$C,2,0),""))</f>
        <v>46238</v>
      </c>
      <c r="H54" s="10">
        <f>IF($E54="","",IFERROR(VLOOKUP($E54,Machine_List!$B:$D,3,0),""))</f>
        <v>6</v>
      </c>
      <c r="I54" s="54"/>
      <c r="J54" s="55">
        <f ca="1">IF($A54="","",IF($I54&lt;&gt;"",$I54,MAX(GlobalStartDate,IFERROR(LOOKUP(2,1/($E$3:INDIRECT("E"&amp;(ROW()-1))=$E54),$M$3:INDIRECT("M"&amp;(ROW()-1))),GlobalStartDate))))</f>
        <v>46149.032407407401</v>
      </c>
      <c r="K54" s="10">
        <f>IF($A54="","",IFERROR(VLOOKUP(B54,CHOOSE(MATCH(C54,Settings!$L$4:$L$10,0),OPR_2P!$A$4:$I$18,SEG_6P!$A$4:$I$18,SOL_4P!$A$4:$I$18,RW_2P!$A$4:$I$18,RW2_4P!$A$4:$I$18,FLAP_4P!$A$4:$I$18,TUBE_4P!$A$4:$I$18),3,0),0))</f>
        <v>30</v>
      </c>
      <c r="L54" s="10">
        <f t="shared" si="0"/>
        <v>60</v>
      </c>
      <c r="M54" s="55">
        <f ca="1">IF($A54="","",IF(AND(ISNUMBER(G54),G54&gt;=J54,G54&lt;=(J54+(L54/(IF(F54="Contract Workman",Settings!$K$5,Settings!$K$4))))),J54+(L54/(IF(F54="Contract Workman",Settings!$K$5,Settings!$K$4)))+(H54/(IF(F54="Contract Workman",Settings!$K$5,Settings!$K$4))),J54+(L54/(IF(F54="Contract Workman",Settings!$K$5,Settings!$K$4)))))</f>
        <v>46151.810185185182</v>
      </c>
      <c r="N54" s="10" t="str">
        <f t="shared" ca="1" si="2"/>
        <v>Shift B</v>
      </c>
      <c r="O54" s="51" t="str">
        <f>IF(B54="","", IF(IFERROR(ISNUMBER(SEARCH(B54, VLOOKUP(E54, Machine_List!$B:$J, 9, 0))), FALSE()), "✅ Machine OK", "❌ Sug: " &amp; IFERROR(INDEX(Machine_List!$B$4:$B$50, MATCH("*"&amp;B54&amp;"*", Machine_List!$J$4:$J$50, 0)), "Check Limits")))</f>
        <v>✅ Machine OK</v>
      </c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  <c r="AK54" s="52"/>
      <c r="AL54" s="52"/>
      <c r="AM54" s="52"/>
      <c r="AN54" s="52"/>
      <c r="AO54" s="52"/>
      <c r="AP54" s="52"/>
      <c r="AQ54" s="52"/>
      <c r="AR54" s="52"/>
      <c r="AS54" s="52"/>
      <c r="AT54" s="52"/>
      <c r="AU54" s="52"/>
      <c r="AV54" s="52"/>
      <c r="AW54" s="52"/>
      <c r="AX54" s="52"/>
      <c r="AY54" s="52"/>
      <c r="AZ54" s="52"/>
      <c r="BA54" s="52"/>
      <c r="BB54" s="52"/>
      <c r="BC54" s="52"/>
      <c r="BD54" s="52"/>
      <c r="BE54" s="52"/>
      <c r="BF54" s="52"/>
      <c r="BG54" s="52"/>
      <c r="BH54" s="52"/>
      <c r="BI54" s="52"/>
      <c r="BJ54" s="52"/>
      <c r="BK54" s="52"/>
      <c r="BL54" s="52"/>
      <c r="BM54" s="52"/>
    </row>
    <row r="55" spans="1:65" ht="28.8" customHeight="1" x14ac:dyDescent="0.3">
      <c r="A55" s="10" t="str">
        <f>IF(Job_Master!A55="","",Job_Master!A55)</f>
        <v>BJ-156</v>
      </c>
      <c r="B55" s="10">
        <f>IF($A55="","",Job_Master!B55)</f>
        <v>25</v>
      </c>
      <c r="C55" s="10" t="str">
        <f>IF($A55="","",Job_Master!C55)</f>
        <v>2P</v>
      </c>
      <c r="D55" s="10">
        <f>IF($A55="","",Job_Master!D55)</f>
        <v>2</v>
      </c>
      <c r="E55" s="48" t="str">
        <f>IF($A55="","","CARVING-MC-03")</f>
        <v>CARVING-MC-03</v>
      </c>
      <c r="F55" s="106" t="str">
        <f>IF($E55="","",IFERROR(VLOOKUP($E55,Machine_List!$B:$G,6,0),""))</f>
        <v>General Workman</v>
      </c>
      <c r="G55" s="53">
        <f>IF($E55="","",IFERROR(VLOOKUP($E55,Machine_List!$B:$C,2,0),""))</f>
        <v>46296</v>
      </c>
      <c r="H55" s="10">
        <f>IF($E55="","",IFERROR(VLOOKUP($E55,Machine_List!$B:$D,3,0),""))</f>
        <v>6</v>
      </c>
      <c r="I55" s="54"/>
      <c r="J55" s="55">
        <f ca="1">IF($A55="","",IF($I55&lt;&gt;"",$I55,MAX(GlobalStartDate,IFERROR(LOOKUP(2,1/($E$3:INDIRECT("E"&amp;(ROW()-1))=$E55),$M$3:INDIRECT("M"&amp;(ROW()-1))),GlobalStartDate))))</f>
        <v>46158.106481481474</v>
      </c>
      <c r="K55" s="10">
        <f>IF($A55="","",IFERROR(VLOOKUP(B55,CHOOSE(MATCH(C55,Settings!$L$4:$L$10,0),OPR_2P!$A$4:$I$18,SEG_6P!$A$4:$I$18,SOL_4P!$A$4:$I$18,RW_2P!$A$4:$I$18,RW2_4P!$A$4:$I$18,FLAP_4P!$A$4:$I$18,TUBE_4P!$A$4:$I$18),3,0),0))</f>
        <v>29</v>
      </c>
      <c r="L55" s="10">
        <f t="shared" si="0"/>
        <v>58</v>
      </c>
      <c r="M55" s="55">
        <f ca="1">IF($A55="","",IF(AND(ISNUMBER(G55),G55&gt;=J55,G55&lt;=(J55+(L55/(IF(F55="Contract Workman",Settings!$K$5,Settings!$K$4))))),J55+(L55/(IF(F55="Contract Workman",Settings!$K$5,Settings!$K$4)))+(H55/(IF(F55="Contract Workman",Settings!$K$5,Settings!$K$4))),J55+(L55/(IF(F55="Contract Workman",Settings!$K$5,Settings!$K$4)))))</f>
        <v>46160.791666666657</v>
      </c>
      <c r="N55" s="10" t="str">
        <f t="shared" ca="1" si="2"/>
        <v>Shift B</v>
      </c>
      <c r="O55" s="51" t="str">
        <f>IF(B55="","", IF(IFERROR(ISNUMBER(SEARCH(B55, VLOOKUP(E55, Machine_List!$B:$J, 9, 0))), FALSE()), "✅ Machine OK", "❌ Sug: " &amp; IFERROR(INDEX(Machine_List!$B$4:$B$50, MATCH("*"&amp;B55&amp;"*", Machine_List!$J$4:$J$50, 0)), "Check Limits")))</f>
        <v>✅ Machine OK</v>
      </c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  <c r="AK55" s="52"/>
      <c r="AL55" s="52"/>
      <c r="AM55" s="52"/>
      <c r="AN55" s="52"/>
      <c r="AO55" s="52"/>
      <c r="AP55" s="52"/>
      <c r="AQ55" s="52"/>
      <c r="AR55" s="52"/>
      <c r="AS55" s="52"/>
      <c r="AT55" s="52"/>
      <c r="AU55" s="52"/>
      <c r="AV55" s="52"/>
      <c r="AW55" s="52"/>
      <c r="AX55" s="52"/>
      <c r="AY55" s="52"/>
      <c r="AZ55" s="52"/>
      <c r="BA55" s="52"/>
      <c r="BB55" s="52"/>
      <c r="BC55" s="52"/>
      <c r="BD55" s="52"/>
      <c r="BE55" s="52"/>
      <c r="BF55" s="52"/>
      <c r="BG55" s="52"/>
      <c r="BH55" s="52"/>
      <c r="BI55" s="52"/>
      <c r="BJ55" s="52"/>
      <c r="BK55" s="52"/>
      <c r="BL55" s="52"/>
      <c r="BM55" s="52"/>
    </row>
    <row r="56" spans="1:65" ht="28.8" customHeight="1" x14ac:dyDescent="0.3">
      <c r="A56" s="10" t="str">
        <f>IF(Job_Master!A56="","",Job_Master!A56)</f>
        <v>BJ-145</v>
      </c>
      <c r="B56" s="10">
        <f>IF($A56="","",Job_Master!B56)</f>
        <v>15</v>
      </c>
      <c r="C56" s="10" t="str">
        <f>IF($A56="","",Job_Master!C56)</f>
        <v>2P</v>
      </c>
      <c r="D56" s="10">
        <f>IF($A56="","",Job_Master!D56)</f>
        <v>2</v>
      </c>
      <c r="E56" s="48" t="str">
        <f>IF($A56="","","CARVING-MC-02")</f>
        <v>CARVING-MC-02</v>
      </c>
      <c r="F56" s="106" t="str">
        <f>IF($E56="","",IFERROR(VLOOKUP($E56,Machine_List!$B:$G,6,0),""))</f>
        <v>General Workman</v>
      </c>
      <c r="G56" s="53">
        <f>IF($E56="","",IFERROR(VLOOKUP($E56,Machine_List!$B:$C,2,0),""))</f>
        <v>46282</v>
      </c>
      <c r="H56" s="10">
        <f>IF($E56="","",IFERROR(VLOOKUP($E56,Machine_List!$B:$D,3,0),""))</f>
        <v>6</v>
      </c>
      <c r="I56" s="54"/>
      <c r="J56" s="55">
        <f ca="1">IF($A56="","",IF($I56&lt;&gt;"",$I56,MAX(GlobalStartDate,IFERROR(LOOKUP(2,1/($E$3:INDIRECT("E"&amp;(ROW()-1))=$E56),$M$3:INDIRECT("M"&amp;(ROW()-1))),GlobalStartDate))))</f>
        <v>46161.995370370358</v>
      </c>
      <c r="K56" s="10">
        <f>IF($A56="","",IFERROR(VLOOKUP(B56,CHOOSE(MATCH(C56,Settings!$L$4:$L$10,0),OPR_2P!$A$4:$I$18,SEG_6P!$A$4:$I$18,SOL_4P!$A$4:$I$18,RW_2P!$A$4:$I$18,RW2_4P!$A$4:$I$18,FLAP_4P!$A$4:$I$18,TUBE_4P!$A$4:$I$18),3,0),0))</f>
        <v>12</v>
      </c>
      <c r="L56" s="10">
        <f t="shared" si="0"/>
        <v>24</v>
      </c>
      <c r="M56" s="55">
        <f ca="1">IF($A56="","",IF(AND(ISNUMBER(G56),G56&gt;=J56,G56&lt;=(J56+(L56/(IF(F56="Contract Workman",Settings!$K$5,Settings!$K$4))))),J56+(L56/(IF(F56="Contract Workman",Settings!$K$5,Settings!$K$4)))+(H56/(IF(F56="Contract Workman",Settings!$K$5,Settings!$K$4))),J56+(L56/(IF(F56="Contract Workman",Settings!$K$5,Settings!$K$4)))))</f>
        <v>46163.106481481467</v>
      </c>
      <c r="N56" s="10" t="str">
        <f t="shared" ca="1" si="2"/>
        <v>Shift C</v>
      </c>
      <c r="O56" s="51" t="str">
        <f>IF(B56="","", IF(IFERROR(ISNUMBER(SEARCH(B56, VLOOKUP(E56, Machine_List!$B:$J, 9, 0))), FALSE()), "✅ Machine OK", "❌ Sug: " &amp; IFERROR(INDEX(Machine_List!$B$4:$B$50, MATCH("*"&amp;B56&amp;"*", Machine_List!$J$4:$J$50, 0)), "Check Limits")))</f>
        <v>✅ Machine OK</v>
      </c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  <c r="AK56" s="52"/>
      <c r="AL56" s="52"/>
      <c r="AM56" s="52"/>
      <c r="AN56" s="52"/>
      <c r="AO56" s="52"/>
      <c r="AP56" s="52"/>
      <c r="AQ56" s="52"/>
      <c r="AR56" s="52"/>
      <c r="AS56" s="52"/>
      <c r="AT56" s="52"/>
      <c r="AU56" s="52"/>
      <c r="AV56" s="52"/>
      <c r="AW56" s="52"/>
      <c r="AX56" s="52"/>
      <c r="AY56" s="52"/>
      <c r="AZ56" s="52"/>
      <c r="BA56" s="52"/>
      <c r="BB56" s="52"/>
      <c r="BC56" s="52"/>
      <c r="BD56" s="52"/>
      <c r="BE56" s="52"/>
      <c r="BF56" s="52"/>
      <c r="BG56" s="52"/>
      <c r="BH56" s="52"/>
      <c r="BI56" s="52"/>
      <c r="BJ56" s="52"/>
      <c r="BK56" s="52"/>
      <c r="BL56" s="52"/>
      <c r="BM56" s="52"/>
    </row>
    <row r="57" spans="1:65" ht="28.8" customHeight="1" x14ac:dyDescent="0.3">
      <c r="A57" s="10" t="str">
        <f>IF(Job_Master!A57="","",Job_Master!A57)</f>
        <v>BJ-153</v>
      </c>
      <c r="B57" s="10">
        <f>IF($A57="","",Job_Master!B57)</f>
        <v>34</v>
      </c>
      <c r="C57" s="10" t="str">
        <f>IF($A57="","",Job_Master!C57)</f>
        <v>SEG</v>
      </c>
      <c r="D57" s="10">
        <f>IF($A57="","",Job_Master!D57)</f>
        <v>6</v>
      </c>
      <c r="E57" s="48" t="str">
        <f>IF($A57="","","CARVING-MC-02")</f>
        <v>CARVING-MC-02</v>
      </c>
      <c r="F57" s="106" t="str">
        <f>IF($E57="","",IFERROR(VLOOKUP($E57,Machine_List!$B:$G,6,0),""))</f>
        <v>General Workman</v>
      </c>
      <c r="G57" s="53">
        <f>IF($E57="","",IFERROR(VLOOKUP($E57,Machine_List!$B:$C,2,0),""))</f>
        <v>46282</v>
      </c>
      <c r="H57" s="10">
        <f>IF($E57="","",IFERROR(VLOOKUP($E57,Machine_List!$B:$D,3,0),""))</f>
        <v>6</v>
      </c>
      <c r="I57" s="54"/>
      <c r="J57" s="55">
        <f ca="1">IF($A57="","",IF($I57&lt;&gt;"",$I57,MAX(GlobalStartDate,IFERROR(LOOKUP(2,1/($E$3:INDIRECT("E"&amp;(ROW()-1))=$E57),$M$3:INDIRECT("M"&amp;(ROW()-1))),GlobalStartDate))))</f>
        <v>46163.106481481467</v>
      </c>
      <c r="K57" s="10">
        <f>IF($A57="","",IFERROR(VLOOKUP(B57,CHOOSE(MATCH(C57,Settings!$L$4:$L$10,0),OPR_2P!$A$4:$I$18,SEG_6P!$A$4:$I$18,SOL_4P!$A$4:$I$18,RW_2P!$A$4:$I$18,RW2_4P!$A$4:$I$18,FLAP_4P!$A$4:$I$18,TUBE_4P!$A$4:$I$18),3,0),0))</f>
        <v>39</v>
      </c>
      <c r="L57" s="10">
        <f t="shared" si="0"/>
        <v>234</v>
      </c>
      <c r="M57" s="55">
        <f ca="1">IF($A57="","",IF(AND(ISNUMBER(G57),G57&gt;=J57,G57&lt;=(J57+(L57/(IF(F57="Contract Workman",Settings!$K$5,Settings!$K$4))))),J57+(L57/(IF(F57="Contract Workman",Settings!$K$5,Settings!$K$4)))+(H57/(IF(F57="Contract Workman",Settings!$K$5,Settings!$K$4))),J57+(L57/(IF(F57="Contract Workman",Settings!$K$5,Settings!$K$4)))))</f>
        <v>46173.939814814803</v>
      </c>
      <c r="N57" s="10" t="str">
        <f t="shared" ca="1" si="2"/>
        <v>Shift B</v>
      </c>
      <c r="O57" s="51" t="str">
        <f>IF(B57="","", IF(IFERROR(ISNUMBER(SEARCH(B57, VLOOKUP(E57, Machine_List!$B:$J, 9, 0))), FALSE()), "✅ Machine OK", "❌ Sug: " &amp; IFERROR(INDEX(Machine_List!$B$4:$B$50, MATCH("*"&amp;B57&amp;"*", Machine_List!$J$4:$J$50, 0)), "Check Limits")))</f>
        <v>✅ Machine OK</v>
      </c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  <c r="AK57" s="52"/>
      <c r="AL57" s="52"/>
      <c r="AM57" s="52"/>
      <c r="AN57" s="52"/>
      <c r="AO57" s="52"/>
      <c r="AP57" s="52"/>
      <c r="AQ57" s="52"/>
      <c r="AR57" s="52"/>
      <c r="AS57" s="52"/>
      <c r="AT57" s="52"/>
      <c r="AU57" s="52"/>
      <c r="AV57" s="52"/>
      <c r="AW57" s="52"/>
      <c r="AX57" s="52"/>
      <c r="AY57" s="52"/>
      <c r="AZ57" s="52"/>
      <c r="BA57" s="52"/>
      <c r="BB57" s="52"/>
      <c r="BC57" s="52"/>
      <c r="BD57" s="52"/>
      <c r="BE57" s="52"/>
      <c r="BF57" s="52"/>
      <c r="BG57" s="52"/>
      <c r="BH57" s="52"/>
      <c r="BI57" s="52"/>
      <c r="BJ57" s="52"/>
      <c r="BK57" s="52"/>
      <c r="BL57" s="52"/>
      <c r="BM57" s="52"/>
    </row>
    <row r="58" spans="1:65" ht="28.8" customHeight="1" x14ac:dyDescent="0.3">
      <c r="A58" s="10" t="str">
        <f>IF(Job_Master!A58="","",Job_Master!A58)</f>
        <v>BJ-160</v>
      </c>
      <c r="B58" s="10">
        <f>IF($A58="","",Job_Master!B58)</f>
        <v>34</v>
      </c>
      <c r="C58" s="10" t="str">
        <f>IF($A58="","",Job_Master!C58)</f>
        <v>2P</v>
      </c>
      <c r="D58" s="10">
        <f>IF($A58="","",Job_Master!D58)</f>
        <v>2</v>
      </c>
      <c r="E58" s="48" t="str">
        <f>IF($A58="","","CARVING-MC-03")</f>
        <v>CARVING-MC-03</v>
      </c>
      <c r="F58" s="106" t="str">
        <f>IF($E58="","",IFERROR(VLOOKUP($E58,Machine_List!$B:$G,6,0),""))</f>
        <v>General Workman</v>
      </c>
      <c r="G58" s="53">
        <f>IF($E58="","",IFERROR(VLOOKUP($E58,Machine_List!$B:$C,2,0),""))</f>
        <v>46296</v>
      </c>
      <c r="H58" s="10">
        <f>IF($E58="","",IFERROR(VLOOKUP($E58,Machine_List!$B:$D,3,0),""))</f>
        <v>6</v>
      </c>
      <c r="I58" s="54"/>
      <c r="J58" s="55">
        <f ca="1">IF($A58="","",IF($I58&lt;&gt;"",$I58,MAX(GlobalStartDate,IFERROR(LOOKUP(2,1/($E$3:INDIRECT("E"&amp;(ROW()-1))=$E58),$M$3:INDIRECT("M"&amp;(ROW()-1))),GlobalStartDate))))</f>
        <v>46160.791666666657</v>
      </c>
      <c r="K58" s="10">
        <f>IF($A58="","",IFERROR(VLOOKUP(B58,CHOOSE(MATCH(C58,Settings!$L$4:$L$10,0),OPR_2P!$A$4:$I$18,SEG_6P!$A$4:$I$18,SOL_4P!$A$4:$I$18,RW_2P!$A$4:$I$18,RW2_4P!$A$4:$I$18,FLAP_4P!$A$4:$I$18,TUBE_4P!$A$4:$I$18),3,0),0))</f>
        <v>48</v>
      </c>
      <c r="L58" s="10">
        <f t="shared" si="0"/>
        <v>96</v>
      </c>
      <c r="M58" s="55">
        <f ca="1">IF($A58="","",IF(AND(ISNUMBER(G58),G58&gt;=J58,G58&lt;=(J58+(L58/(IF(F58="Contract Workman",Settings!$K$5,Settings!$K$4))))),J58+(L58/(IF(F58="Contract Workman",Settings!$K$5,Settings!$K$4)))+(H58/(IF(F58="Contract Workman",Settings!$K$5,Settings!$K$4))),J58+(L58/(IF(F58="Contract Workman",Settings!$K$5,Settings!$K$4)))))</f>
        <v>46165.236111111102</v>
      </c>
      <c r="N58" s="10" t="str">
        <f t="shared" ca="1" si="2"/>
        <v>Shift C</v>
      </c>
      <c r="O58" s="51" t="str">
        <f>IF(B58="","", IF(IFERROR(ISNUMBER(SEARCH(B58, VLOOKUP(E58, Machine_List!$B:$J, 9, 0))), FALSE()), "✅ Machine OK", "❌ Sug: " &amp; IFERROR(INDEX(Machine_List!$B$4:$B$50, MATCH("*"&amp;B58&amp;"*", Machine_List!$J$4:$J$50, 0)), "Check Limits")))</f>
        <v>✅ Machine OK</v>
      </c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52"/>
      <c r="AK58" s="52"/>
      <c r="AL58" s="52"/>
      <c r="AM58" s="52"/>
      <c r="AN58" s="52"/>
      <c r="AO58" s="52"/>
      <c r="AP58" s="52"/>
      <c r="AQ58" s="52"/>
      <c r="AR58" s="52"/>
      <c r="AS58" s="52"/>
      <c r="AT58" s="52"/>
      <c r="AU58" s="52"/>
      <c r="AV58" s="52"/>
      <c r="AW58" s="52"/>
      <c r="AX58" s="52"/>
      <c r="AY58" s="52"/>
      <c r="AZ58" s="52"/>
      <c r="BA58" s="52"/>
      <c r="BB58" s="52"/>
      <c r="BC58" s="52"/>
      <c r="BD58" s="52"/>
      <c r="BE58" s="52"/>
      <c r="BF58" s="52"/>
      <c r="BG58" s="52"/>
      <c r="BH58" s="52"/>
      <c r="BI58" s="52"/>
      <c r="BJ58" s="52"/>
      <c r="BK58" s="52"/>
      <c r="BL58" s="52"/>
      <c r="BM58" s="52"/>
    </row>
    <row r="59" spans="1:65" ht="28.8" customHeight="1" x14ac:dyDescent="0.3">
      <c r="A59" s="10" t="str">
        <f>IF(Job_Master!A59="","",Job_Master!A59)</f>
        <v>BJ-158</v>
      </c>
      <c r="B59" s="10">
        <f>IF($A59="","",Job_Master!B59)</f>
        <v>54</v>
      </c>
      <c r="C59" s="10" t="str">
        <f>IF($A59="","",Job_Master!C59)</f>
        <v>2P</v>
      </c>
      <c r="D59" s="10">
        <f>IF($A59="","",Job_Master!D59)</f>
        <v>2</v>
      </c>
      <c r="E59" s="48" t="str">
        <f>IF($A59="","","CARVING-MC-06")</f>
        <v>CARVING-MC-06</v>
      </c>
      <c r="F59" s="106" t="str">
        <f>IF($E59="","",IFERROR(VLOOKUP($E59,Machine_List!$B:$G,6,0),""))</f>
        <v>General Workman</v>
      </c>
      <c r="G59" s="53">
        <f>IF($E59="","",IFERROR(VLOOKUP($E59,Machine_List!$B:$C,2,0),""))</f>
        <v>46397</v>
      </c>
      <c r="H59" s="10">
        <f>IF($E59="","",IFERROR(VLOOKUP($E59,Machine_List!$B:$D,3,0),""))</f>
        <v>6</v>
      </c>
      <c r="I59" s="54"/>
      <c r="J59" s="55">
        <f ca="1">IF($A59="","",IF($I59&lt;&gt;"",$I59,MAX(GlobalStartDate,IFERROR(LOOKUP(2,1/($E$3:INDIRECT("E"&amp;(ROW()-1))=$E59),$M$3:INDIRECT("M"&amp;(ROW()-1))),GlobalStartDate))))</f>
        <v>46163.476851851839</v>
      </c>
      <c r="K59" s="10">
        <f>IF($A59="","",IFERROR(VLOOKUP(B59,CHOOSE(MATCH(C59,Settings!$L$4:$L$10,0),OPR_2P!$A$4:$I$18,SEG_6P!$A$4:$I$18,SOL_4P!$A$4:$I$18,RW_2P!$A$4:$I$18,RW2_4P!$A$4:$I$18,FLAP_4P!$A$4:$I$18,TUBE_4P!$A$4:$I$18),3,0),0))</f>
        <v>60</v>
      </c>
      <c r="L59" s="10">
        <f t="shared" si="0"/>
        <v>120</v>
      </c>
      <c r="M59" s="55">
        <f ca="1">IF($A59="","",IF(AND(ISNUMBER(G59),G59&gt;=J59,G59&lt;=(J59+(L59/(IF(F59="Contract Workman",Settings!$K$5,Settings!$K$4))))),J59+(L59/(IF(F59="Contract Workman",Settings!$K$5,Settings!$K$4)))+(H59/(IF(F59="Contract Workman",Settings!$K$5,Settings!$K$4))),J59+(L59/(IF(F59="Contract Workman",Settings!$K$5,Settings!$K$4)))))</f>
        <v>46169.032407407394</v>
      </c>
      <c r="N59" s="10" t="str">
        <f t="shared" ca="1" si="2"/>
        <v>Shift C</v>
      </c>
      <c r="O59" s="51" t="str">
        <f>IF(B59="","", IF(IFERROR(ISNUMBER(SEARCH(B59, VLOOKUP(E59, Machine_List!$B:$J, 9, 0))), FALSE()), "✅ Machine OK", "❌ Sug: " &amp; IFERROR(INDEX(Machine_List!$B$4:$B$50, MATCH("*"&amp;B59&amp;"*", Machine_List!$J$4:$J$50, 0)), "Check Limits")))</f>
        <v>✅ Machine OK</v>
      </c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  <c r="AK59" s="52"/>
      <c r="AL59" s="52"/>
      <c r="AM59" s="52"/>
      <c r="AN59" s="52"/>
      <c r="AO59" s="52"/>
      <c r="AP59" s="52"/>
      <c r="AQ59" s="52"/>
      <c r="AR59" s="52"/>
      <c r="AS59" s="52"/>
      <c r="AT59" s="52"/>
      <c r="AU59" s="52"/>
      <c r="AV59" s="52"/>
      <c r="AW59" s="52"/>
      <c r="AX59" s="52"/>
      <c r="AY59" s="52"/>
      <c r="AZ59" s="52"/>
      <c r="BA59" s="52"/>
      <c r="BB59" s="52"/>
      <c r="BC59" s="52"/>
      <c r="BD59" s="52"/>
      <c r="BE59" s="52"/>
      <c r="BF59" s="52"/>
      <c r="BG59" s="52"/>
      <c r="BH59" s="52"/>
      <c r="BI59" s="52"/>
      <c r="BJ59" s="52"/>
      <c r="BK59" s="52"/>
      <c r="BL59" s="52"/>
      <c r="BM59" s="52"/>
    </row>
    <row r="60" spans="1:65" ht="28.8" customHeight="1" x14ac:dyDescent="0.3">
      <c r="A60" s="10" t="str">
        <f>IF(Job_Master!A60="","",Job_Master!A60)</f>
        <v>BJ-157</v>
      </c>
      <c r="B60" s="10">
        <f>IF($A60="","",Job_Master!B60)</f>
        <v>50</v>
      </c>
      <c r="C60" s="10" t="str">
        <f>IF($A60="","",Job_Master!C60)</f>
        <v>SEG</v>
      </c>
      <c r="D60" s="10">
        <f>IF($A60="","",Job_Master!D60)</f>
        <v>6</v>
      </c>
      <c r="E60" s="48" t="str">
        <f>IF($A60="","","CARVING-MC-05")</f>
        <v>CARVING-MC-05</v>
      </c>
      <c r="F60" s="106" t="str">
        <f>IF($E60="","",IFERROR(VLOOKUP($E60,Machine_List!$B:$G,6,0),""))</f>
        <v>General Workman</v>
      </c>
      <c r="G60" s="53">
        <f>IF($E60="","",IFERROR(VLOOKUP($E60,Machine_List!$B:$C,2,0),""))</f>
        <v>46238</v>
      </c>
      <c r="H60" s="10">
        <f>IF($E60="","",IFERROR(VLOOKUP($E60,Machine_List!$B:$D,3,0),""))</f>
        <v>6</v>
      </c>
      <c r="I60" s="54"/>
      <c r="J60" s="55">
        <f ca="1">IF($A60="","",IF($I60&lt;&gt;"",$I60,MAX(GlobalStartDate,IFERROR(LOOKUP(2,1/($E$3:INDIRECT("E"&amp;(ROW()-1))=$E60),$M$3:INDIRECT("M"&amp;(ROW()-1))),GlobalStartDate))))</f>
        <v>46151.810185185182</v>
      </c>
      <c r="K60" s="10">
        <f>IF($A60="","",IFERROR(VLOOKUP(B60,CHOOSE(MATCH(C60,Settings!$L$4:$L$10,0),OPR_2P!$A$4:$I$18,SEG_6P!$A$4:$I$18,SOL_4P!$A$4:$I$18,RW_2P!$A$4:$I$18,RW2_4P!$A$4:$I$18,FLAP_4P!$A$4:$I$18,TUBE_4P!$A$4:$I$18),3,0),0))</f>
        <v>70</v>
      </c>
      <c r="L60" s="10">
        <f t="shared" si="0"/>
        <v>420</v>
      </c>
      <c r="M60" s="55">
        <f ca="1">IF($A60="","",IF(AND(ISNUMBER(G60),G60&gt;=J60,G60&lt;=(J60+(L60/(IF(F60="Contract Workman",Settings!$K$5,Settings!$K$4))))),J60+(L60/(IF(F60="Contract Workman",Settings!$K$5,Settings!$K$4)))+(H60/(IF(F60="Contract Workman",Settings!$K$5,Settings!$K$4))),J60+(L60/(IF(F60="Contract Workman",Settings!$K$5,Settings!$K$4)))))</f>
        <v>46171.254629629628</v>
      </c>
      <c r="N60" s="10" t="str">
        <f t="shared" ca="1" si="2"/>
        <v>Shift C</v>
      </c>
      <c r="O60" s="51" t="str">
        <f>IF(B60="","", IF(IFERROR(ISNUMBER(SEARCH(B60, VLOOKUP(E60, Machine_List!$B:$J, 9, 0))), FALSE()), "✅ Machine OK", "❌ Sug: " &amp; IFERROR(INDEX(Machine_List!$B$4:$B$50, MATCH("*"&amp;B60&amp;"*", Machine_List!$J$4:$J$50, 0)), "Check Limits")))</f>
        <v>✅ Machine OK</v>
      </c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52"/>
      <c r="AN60" s="52"/>
      <c r="AO60" s="52"/>
      <c r="AP60" s="52"/>
      <c r="AQ60" s="52"/>
      <c r="AR60" s="52"/>
      <c r="AS60" s="52"/>
      <c r="AT60" s="52"/>
      <c r="AU60" s="52"/>
      <c r="AV60" s="52"/>
      <c r="AW60" s="52"/>
      <c r="AX60" s="52"/>
      <c r="AY60" s="52"/>
      <c r="AZ60" s="52"/>
      <c r="BA60" s="52"/>
      <c r="BB60" s="52"/>
      <c r="BC60" s="52"/>
      <c r="BD60" s="52"/>
      <c r="BE60" s="52"/>
      <c r="BF60" s="52"/>
      <c r="BG60" s="52"/>
      <c r="BH60" s="52"/>
      <c r="BI60" s="52"/>
      <c r="BJ60" s="52"/>
      <c r="BK60" s="52"/>
      <c r="BL60" s="52"/>
      <c r="BM60" s="52"/>
    </row>
    <row r="61" spans="1:65" ht="28.8" customHeight="1" x14ac:dyDescent="0.3">
      <c r="A61" s="10" t="str">
        <f>IF(Job_Master!A61="","",Job_Master!A61)</f>
        <v>BJ-159</v>
      </c>
      <c r="B61" s="10">
        <f>IF($A61="","",Job_Master!B61)</f>
        <v>54</v>
      </c>
      <c r="C61" s="10" t="str">
        <f>IF($A61="","",Job_Master!C61)</f>
        <v>RW</v>
      </c>
      <c r="D61" s="10">
        <f>IF($A61="","",Job_Master!D61)</f>
        <v>2</v>
      </c>
      <c r="E61" s="48" t="str">
        <f>IF($A61="","","CARVING-MC-01")</f>
        <v>CARVING-MC-01</v>
      </c>
      <c r="F61" s="106" t="str">
        <f>IF($E61="","",IFERROR(VLOOKUP($E61,Machine_List!$B:$G,6,0),""))</f>
        <v>General Workman</v>
      </c>
      <c r="G61" s="53">
        <f>IF($E61="","",IFERROR(VLOOKUP($E61,Machine_List!$B:$C,2,0),""))</f>
        <v>46418</v>
      </c>
      <c r="H61" s="10">
        <f>IF($E61="","",IFERROR(VLOOKUP($E61,Machine_List!$B:$D,3,0),""))</f>
        <v>6</v>
      </c>
      <c r="I61" s="54"/>
      <c r="J61" s="55">
        <f ca="1">IF($A61="","",IF($I61&lt;&gt;"",$I61,MAX(GlobalStartDate,IFERROR(LOOKUP(2,1/($E$3:INDIRECT("E"&amp;(ROW()-1))=$E61),$M$3:INDIRECT("M"&amp;(ROW()-1))),GlobalStartDate))))</f>
        <v>46157.458333333343</v>
      </c>
      <c r="K61" s="10">
        <f>IF($A61="","",IFERROR(VLOOKUP(B61,CHOOSE(MATCH(C61,Settings!$L$4:$L$10,0),OPR_2P!$A$4:$I$18,SEG_6P!$A$4:$I$18,SOL_4P!$A$4:$I$18,RW_2P!$A$4:$I$18,RW2_4P!$A$4:$I$18,FLAP_4P!$A$4:$I$18,TUBE_4P!$A$4:$I$18),3,0),0))</f>
        <v>88</v>
      </c>
      <c r="L61" s="10">
        <f t="shared" si="0"/>
        <v>176</v>
      </c>
      <c r="M61" s="55">
        <f ca="1">IF($A61="","",IF(AND(ISNUMBER(G61),G61&gt;=J61,G61&lt;=(J61+(L61/(IF(F61="Contract Workman",Settings!$K$5,Settings!$K$4))))),J61+(L61/(IF(F61="Contract Workman",Settings!$K$5,Settings!$K$4)))+(H61/(IF(F61="Contract Workman",Settings!$K$5,Settings!$K$4))),J61+(L61/(IF(F61="Contract Workman",Settings!$K$5,Settings!$K$4)))))</f>
        <v>46165.606481481489</v>
      </c>
      <c r="N61" s="10" t="str">
        <f t="shared" ca="1" si="2"/>
        <v>Shift A</v>
      </c>
      <c r="O61" s="51" t="str">
        <f>IF(B61="","", IF(IFERROR(ISNUMBER(SEARCH(B61, VLOOKUP(E61, Machine_List!$B:$J, 9, 0))), FALSE()), "✅ Machine OK", "❌ Sug: " &amp; IFERROR(INDEX(Machine_List!$B$4:$B$50, MATCH("*"&amp;B61&amp;"*", Machine_List!$J$4:$J$50, 0)), "Check Limits")))</f>
        <v>✅ Machine OK</v>
      </c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52"/>
      <c r="AG61" s="52"/>
      <c r="AH61" s="52"/>
      <c r="AI61" s="52"/>
      <c r="AJ61" s="52"/>
      <c r="AK61" s="52"/>
      <c r="AL61" s="52"/>
      <c r="AM61" s="52"/>
      <c r="AN61" s="52"/>
      <c r="AO61" s="52"/>
      <c r="AP61" s="52"/>
      <c r="AQ61" s="52"/>
      <c r="AR61" s="52"/>
      <c r="AS61" s="52"/>
      <c r="AT61" s="52"/>
      <c r="AU61" s="52"/>
      <c r="AV61" s="52"/>
      <c r="AW61" s="52"/>
      <c r="AX61" s="52"/>
      <c r="AY61" s="52"/>
      <c r="AZ61" s="52"/>
      <c r="BA61" s="52"/>
      <c r="BB61" s="52"/>
      <c r="BC61" s="52"/>
      <c r="BD61" s="52"/>
      <c r="BE61" s="52"/>
      <c r="BF61" s="52"/>
      <c r="BG61" s="52"/>
      <c r="BH61" s="52"/>
      <c r="BI61" s="52"/>
      <c r="BJ61" s="52"/>
      <c r="BK61" s="52"/>
      <c r="BL61" s="52"/>
      <c r="BM61" s="52"/>
    </row>
    <row r="62" spans="1:65" ht="28.8" customHeight="1" x14ac:dyDescent="0.3">
      <c r="A62" s="10" t="str">
        <f>IF(Job_Master!A62="","",Job_Master!A62)</f>
        <v>BJ-148</v>
      </c>
      <c r="B62" s="10">
        <f>IF($A62="","",Job_Master!B62)</f>
        <v>9</v>
      </c>
      <c r="C62" s="10" t="str">
        <f>IF($A62="","",Job_Master!C62)</f>
        <v>SEG</v>
      </c>
      <c r="D62" s="10">
        <f>IF($A62="","",Job_Master!D62)</f>
        <v>6</v>
      </c>
      <c r="E62" s="48" t="str">
        <f>IF($A62="","","CARVING-MC-04")</f>
        <v>CARVING-MC-04</v>
      </c>
      <c r="F62" s="106" t="str">
        <f>IF($E62="","",IFERROR(VLOOKUP($E62,Machine_List!$B:$G,6,0),""))</f>
        <v>General Workman</v>
      </c>
      <c r="G62" s="53">
        <f>IF($E62="","",IFERROR(VLOOKUP($E62,Machine_List!$B:$C,2,0),""))</f>
        <v>46237</v>
      </c>
      <c r="H62" s="10">
        <f>IF($E62="","",IFERROR(VLOOKUP($E62,Machine_List!$B:$D,3,0),""))</f>
        <v>6</v>
      </c>
      <c r="I62" s="54"/>
      <c r="J62" s="55">
        <f ca="1">IF($A62="","",IF($I62&lt;&gt;"",$I62,MAX(GlobalStartDate,IFERROR(LOOKUP(2,1/($E$3:INDIRECT("E"&amp;(ROW()-1))=$E62),$M$3:INDIRECT("M"&amp;(ROW()-1))),GlobalStartDate))))</f>
        <v>46165.976851851847</v>
      </c>
      <c r="K62" s="10">
        <f>IF($A62="","",IFERROR(VLOOKUP(B62,CHOOSE(MATCH(C62,Settings!$L$4:$L$10,0),OPR_2P!$A$4:$I$18,SEG_6P!$A$4:$I$18,SOL_4P!$A$4:$I$18,RW_2P!$A$4:$I$18,RW2_4P!$A$4:$I$18,FLAP_4P!$A$4:$I$18,TUBE_4P!$A$4:$I$18),3,0),0))</f>
        <v>5</v>
      </c>
      <c r="L62" s="10">
        <f t="shared" si="0"/>
        <v>30</v>
      </c>
      <c r="M62" s="55">
        <f ca="1">IF($A62="","",IF(AND(ISNUMBER(G62),G62&gt;=J62,G62&lt;=(J62+(L62/(IF(F62="Contract Workman",Settings!$K$5,Settings!$K$4))))),J62+(L62/(IF(F62="Contract Workman",Settings!$K$5,Settings!$K$4)))+(H62/(IF(F62="Contract Workman",Settings!$K$5,Settings!$K$4))),J62+(L62/(IF(F62="Contract Workman",Settings!$K$5,Settings!$K$4)))))</f>
        <v>46167.365740740737</v>
      </c>
      <c r="N62" s="10" t="str">
        <f t="shared" ca="1" si="2"/>
        <v>Shift A</v>
      </c>
      <c r="O62" s="51" t="str">
        <f>IF(B62="","", IF(IFERROR(ISNUMBER(SEARCH(B62, VLOOKUP(E62, Machine_List!$B:$J, 9, 0))), FALSE()), "✅ Machine OK", "❌ Sug: " &amp; IFERROR(INDEX(Machine_List!$B$4:$B$50, MATCH("*"&amp;B62&amp;"*", Machine_List!$J$4:$J$50, 0)), "Check Limits")))</f>
        <v>✅ Machine OK</v>
      </c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52"/>
      <c r="AK62" s="52"/>
      <c r="AL62" s="52"/>
      <c r="AM62" s="52"/>
      <c r="AN62" s="52"/>
      <c r="AO62" s="52"/>
      <c r="AP62" s="52"/>
      <c r="AQ62" s="52"/>
      <c r="AR62" s="52"/>
      <c r="AS62" s="52"/>
      <c r="AT62" s="52"/>
      <c r="AU62" s="52"/>
      <c r="AV62" s="52"/>
      <c r="AW62" s="52"/>
      <c r="AX62" s="52"/>
      <c r="AY62" s="52"/>
      <c r="AZ62" s="52"/>
      <c r="BA62" s="52"/>
      <c r="BB62" s="52"/>
      <c r="BC62" s="52"/>
      <c r="BD62" s="52"/>
      <c r="BE62" s="52"/>
      <c r="BF62" s="52"/>
      <c r="BG62" s="52"/>
      <c r="BH62" s="52"/>
      <c r="BI62" s="52"/>
      <c r="BJ62" s="52"/>
      <c r="BK62" s="52"/>
      <c r="BL62" s="52"/>
      <c r="BM62" s="52"/>
    </row>
    <row r="63" spans="1:65" ht="28.8" customHeight="1" x14ac:dyDescent="0.3">
      <c r="A63" s="10" t="str">
        <f>IF(Job_Master!A63="","",Job_Master!A63)</f>
        <v>BJ-161</v>
      </c>
      <c r="B63" s="10">
        <f>IF($A63="","",Job_Master!B63)</f>
        <v>30</v>
      </c>
      <c r="C63" s="10" t="str">
        <f>IF($A63="","",Job_Master!C63)</f>
        <v>SEG</v>
      </c>
      <c r="D63" s="10">
        <f>IF($A63="","",Job_Master!D63)</f>
        <v>6</v>
      </c>
      <c r="E63" s="48" t="str">
        <f>IF($A63="","","CARVING-MC-04")</f>
        <v>CARVING-MC-04</v>
      </c>
      <c r="F63" s="106" t="str">
        <f>IF($E63="","",IFERROR(VLOOKUP($E63,Machine_List!$B:$G,6,0),""))</f>
        <v>General Workman</v>
      </c>
      <c r="G63" s="53">
        <f>IF($E63="","",IFERROR(VLOOKUP($E63,Machine_List!$B:$C,2,0),""))</f>
        <v>46237</v>
      </c>
      <c r="H63" s="10">
        <f>IF($E63="","",IFERROR(VLOOKUP($E63,Machine_List!$B:$D,3,0),""))</f>
        <v>6</v>
      </c>
      <c r="I63" s="54"/>
      <c r="J63" s="55">
        <f ca="1">IF($A63="","",IF($I63&lt;&gt;"",$I63,MAX(GlobalStartDate,IFERROR(LOOKUP(2,1/($E$3:INDIRECT("E"&amp;(ROW()-1))=$E63),$M$3:INDIRECT("M"&amp;(ROW()-1))),GlobalStartDate))))</f>
        <v>46167.365740740737</v>
      </c>
      <c r="K63" s="10">
        <f>IF($A63="","",IFERROR(VLOOKUP(B63,CHOOSE(MATCH(C63,Settings!$L$4:$L$10,0),OPR_2P!$A$4:$I$18,SEG_6P!$A$4:$I$18,SOL_4P!$A$4:$I$18,RW_2P!$A$4:$I$18,RW2_4P!$A$4:$I$18,FLAP_4P!$A$4:$I$18,TUBE_4P!$A$4:$I$18),3,0),0))</f>
        <v>31</v>
      </c>
      <c r="L63" s="10">
        <f t="shared" si="0"/>
        <v>186</v>
      </c>
      <c r="M63" s="55">
        <f ca="1">IF($A63="","",IF(AND(ISNUMBER(G63),G63&gt;=J63,G63&lt;=(J63+(L63/(IF(F63="Contract Workman",Settings!$K$5,Settings!$K$4))))),J63+(L63/(IF(F63="Contract Workman",Settings!$K$5,Settings!$K$4)))+(H63/(IF(F63="Contract Workman",Settings!$K$5,Settings!$K$4))),J63+(L63/(IF(F63="Contract Workman",Settings!$K$5,Settings!$K$4)))))</f>
        <v>46175.976851851847</v>
      </c>
      <c r="N63" s="10" t="str">
        <f t="shared" ca="1" si="2"/>
        <v>Shift C</v>
      </c>
      <c r="O63" s="51" t="str">
        <f>IF(B63="","", IF(IFERROR(ISNUMBER(SEARCH(B63, VLOOKUP(E63, Machine_List!$B:$J, 9, 0))), FALSE()), "✅ Machine OK", "❌ Sug: " &amp; IFERROR(INDEX(Machine_List!$B$4:$B$50, MATCH("*"&amp;B63&amp;"*", Machine_List!$J$4:$J$50, 0)), "Check Limits")))</f>
        <v>✅ Machine OK</v>
      </c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52"/>
      <c r="AK63" s="52"/>
      <c r="AL63" s="52"/>
      <c r="AM63" s="52"/>
      <c r="AN63" s="52"/>
      <c r="AO63" s="52"/>
      <c r="AP63" s="52"/>
      <c r="AQ63" s="52"/>
      <c r="AR63" s="52"/>
      <c r="AS63" s="52"/>
      <c r="AT63" s="52"/>
      <c r="AU63" s="52"/>
      <c r="AV63" s="52"/>
      <c r="AW63" s="52"/>
      <c r="AX63" s="52"/>
      <c r="AY63" s="52"/>
      <c r="AZ63" s="52"/>
      <c r="BA63" s="52"/>
      <c r="BB63" s="52"/>
      <c r="BC63" s="52"/>
      <c r="BD63" s="52"/>
      <c r="BE63" s="52"/>
      <c r="BF63" s="52"/>
      <c r="BG63" s="52"/>
      <c r="BH63" s="52"/>
      <c r="BI63" s="52"/>
      <c r="BJ63" s="52"/>
      <c r="BK63" s="52"/>
      <c r="BL63" s="52"/>
      <c r="BM63" s="52"/>
    </row>
    <row r="64" spans="1:65" ht="28.8" customHeight="1" x14ac:dyDescent="0.3">
      <c r="A64" s="10" t="str">
        <f>IF(Job_Master!A64="","",Job_Master!A64)</f>
        <v>BJ-149</v>
      </c>
      <c r="B64" s="10">
        <f>IF($A64="","",Job_Master!B64)</f>
        <v>9</v>
      </c>
      <c r="C64" s="10" t="str">
        <f>IF($A64="","",Job_Master!C64)</f>
        <v>2P</v>
      </c>
      <c r="D64" s="10">
        <f>IF($A64="","",Job_Master!D64)</f>
        <v>2</v>
      </c>
      <c r="E64" s="48" t="str">
        <f>IF($A64="","","CARVING-MC-03")</f>
        <v>CARVING-MC-03</v>
      </c>
      <c r="F64" s="106" t="str">
        <f>IF($E64="","",IFERROR(VLOOKUP($E64,Machine_List!$B:$G,6,0),""))</f>
        <v>General Workman</v>
      </c>
      <c r="G64" s="53">
        <f>IF($E64="","",IFERROR(VLOOKUP($E64,Machine_List!$B:$C,2,0),""))</f>
        <v>46296</v>
      </c>
      <c r="H64" s="10">
        <f>IF($E64="","",IFERROR(VLOOKUP($E64,Machine_List!$B:$D,3,0),""))</f>
        <v>6</v>
      </c>
      <c r="I64" s="54"/>
      <c r="J64" s="55">
        <f ca="1">IF($A64="","",IF($I64&lt;&gt;"",$I64,MAX(GlobalStartDate,IFERROR(LOOKUP(2,1/($E$3:INDIRECT("E"&amp;(ROW()-1))=$E64),$M$3:INDIRECT("M"&amp;(ROW()-1))),GlobalStartDate))))</f>
        <v>46165.236111111102</v>
      </c>
      <c r="K64" s="10">
        <f>IF($A64="","",IFERROR(VLOOKUP(B64,CHOOSE(MATCH(C64,Settings!$L$4:$L$10,0),OPR_2P!$A$4:$I$18,SEG_6P!$A$4:$I$18,SOL_4P!$A$4:$I$18,RW_2P!$A$4:$I$18,RW2_4P!$A$4:$I$18,FLAP_4P!$A$4:$I$18,TUBE_4P!$A$4:$I$18),3,0),0))</f>
        <v>3</v>
      </c>
      <c r="L64" s="10">
        <f t="shared" si="0"/>
        <v>6</v>
      </c>
      <c r="M64" s="55">
        <f ca="1">IF($A64="","",IF(AND(ISNUMBER(G64),G64&gt;=J64,G64&lt;=(J64+(L64/(IF(F64="Contract Workman",Settings!$K$5,Settings!$K$4))))),J64+(L64/(IF(F64="Contract Workman",Settings!$K$5,Settings!$K$4)))+(H64/(IF(F64="Contract Workman",Settings!$K$5,Settings!$K$4))),J64+(L64/(IF(F64="Contract Workman",Settings!$K$5,Settings!$K$4)))))</f>
        <v>46165.513888888883</v>
      </c>
      <c r="N64" s="10" t="str">
        <f t="shared" ca="1" si="2"/>
        <v>Shift A</v>
      </c>
      <c r="O64" s="51" t="str">
        <f>IF(B64="","", IF(IFERROR(ISNUMBER(SEARCH(B64, VLOOKUP(E64, Machine_List!$B:$J, 9, 0))), FALSE()), "✅ Machine OK", "❌ Sug: " &amp; IFERROR(INDEX(Machine_List!$B$4:$B$50, MATCH("*"&amp;B64&amp;"*", Machine_List!$J$4:$J$50, 0)), "Check Limits")))</f>
        <v>✅ Machine OK</v>
      </c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2"/>
      <c r="AJ64" s="52"/>
      <c r="AK64" s="52"/>
      <c r="AL64" s="52"/>
      <c r="AM64" s="52"/>
      <c r="AN64" s="52"/>
      <c r="AO64" s="52"/>
      <c r="AP64" s="52"/>
      <c r="AQ64" s="52"/>
      <c r="AR64" s="52"/>
      <c r="AS64" s="52"/>
      <c r="AT64" s="52"/>
      <c r="AU64" s="52"/>
      <c r="AV64" s="52"/>
      <c r="AW64" s="52"/>
      <c r="AX64" s="52"/>
      <c r="AY64" s="52"/>
      <c r="AZ64" s="52"/>
      <c r="BA64" s="52"/>
      <c r="BB64" s="52"/>
      <c r="BC64" s="52"/>
      <c r="BD64" s="52"/>
      <c r="BE64" s="52"/>
      <c r="BF64" s="52"/>
      <c r="BG64" s="52"/>
      <c r="BH64" s="52"/>
      <c r="BI64" s="52"/>
      <c r="BJ64" s="52"/>
      <c r="BK64" s="52"/>
      <c r="BL64" s="52"/>
      <c r="BM64" s="52"/>
    </row>
    <row r="65" spans="1:65" ht="28.8" customHeight="1" x14ac:dyDescent="0.3">
      <c r="A65" s="10" t="str">
        <f>IF(Job_Master!A65="","",Job_Master!A65)</f>
        <v>BJ-163</v>
      </c>
      <c r="B65" s="10">
        <f>IF($A65="","",Job_Master!B65)</f>
        <v>70</v>
      </c>
      <c r="C65" s="10" t="str">
        <f>IF($A65="","",Job_Master!C65)</f>
        <v>SOL</v>
      </c>
      <c r="D65" s="10">
        <f>IF($A65="","",Job_Master!D65)</f>
        <v>4</v>
      </c>
      <c r="E65" s="48" t="str">
        <f>IF($A65="","","CARVING-MC-03")</f>
        <v>CARVING-MC-03</v>
      </c>
      <c r="F65" s="106" t="str">
        <f>IF($E65="","",IFERROR(VLOOKUP($E65,Machine_List!$B:$G,6,0),""))</f>
        <v>General Workman</v>
      </c>
      <c r="G65" s="53">
        <f>IF($E65="","",IFERROR(VLOOKUP($E65,Machine_List!$B:$C,2,0),""))</f>
        <v>46296</v>
      </c>
      <c r="H65" s="10">
        <f>IF($E65="","",IFERROR(VLOOKUP($E65,Machine_List!$B:$D,3,0),""))</f>
        <v>6</v>
      </c>
      <c r="I65" s="54"/>
      <c r="J65" s="55">
        <f ca="1">IF($A65="","",IF($I65&lt;&gt;"",$I65,MAX(GlobalStartDate,IFERROR(LOOKUP(2,1/($E$3:INDIRECT("E"&amp;(ROW()-1))=$E65),$M$3:INDIRECT("M"&amp;(ROW()-1))),GlobalStartDate))))</f>
        <v>46165.513888888883</v>
      </c>
      <c r="K65" s="10">
        <f>IF($A65="","",IFERROR(VLOOKUP(B65,CHOOSE(MATCH(C65,Settings!$L$4:$L$10,0),OPR_2P!$A$4:$I$18,SEG_6P!$A$4:$I$18,SOL_4P!$A$4:$I$18,RW_2P!$A$4:$I$18,RW2_4P!$A$4:$I$18,FLAP_4P!$A$4:$I$18,TUBE_4P!$A$4:$I$18),3,0),0))</f>
        <v>71</v>
      </c>
      <c r="L65" s="10">
        <f t="shared" si="0"/>
        <v>284</v>
      </c>
      <c r="M65" s="55">
        <f ca="1">IF($A65="","",IF(AND(ISNUMBER(G65),G65&gt;=J65,G65&lt;=(J65+(L65/(IF(F65="Contract Workman",Settings!$K$5,Settings!$K$4))))),J65+(L65/(IF(F65="Contract Workman",Settings!$K$5,Settings!$K$4)))+(H65/(IF(F65="Contract Workman",Settings!$K$5,Settings!$K$4))),J65+(L65/(IF(F65="Contract Workman",Settings!$K$5,Settings!$K$4)))))</f>
        <v>46178.662037037029</v>
      </c>
      <c r="N65" s="10" t="str">
        <f t="shared" ca="1" si="2"/>
        <v>Shift B</v>
      </c>
      <c r="O65" s="51" t="str">
        <f>IF(B65="","", IF(IFERROR(ISNUMBER(SEARCH(B65, VLOOKUP(E65, Machine_List!$B:$J, 9, 0))), FALSE()), "✅ Machine OK", "❌ Sug: " &amp; IFERROR(INDEX(Machine_List!$B$4:$B$50, MATCH("*"&amp;B65&amp;"*", Machine_List!$J$4:$J$50, 0)), "Check Limits")))</f>
        <v>✅ Machine OK</v>
      </c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52"/>
      <c r="AG65" s="52"/>
      <c r="AH65" s="52"/>
      <c r="AI65" s="52"/>
      <c r="AJ65" s="52"/>
      <c r="AK65" s="52"/>
      <c r="AL65" s="52"/>
      <c r="AM65" s="52"/>
      <c r="AN65" s="52"/>
      <c r="AO65" s="52"/>
      <c r="AP65" s="52"/>
      <c r="AQ65" s="52"/>
      <c r="AR65" s="52"/>
      <c r="AS65" s="52"/>
      <c r="AT65" s="52"/>
      <c r="AU65" s="52"/>
      <c r="AV65" s="52"/>
      <c r="AW65" s="52"/>
      <c r="AX65" s="52"/>
      <c r="AY65" s="52"/>
      <c r="AZ65" s="52"/>
      <c r="BA65" s="52"/>
      <c r="BB65" s="52"/>
      <c r="BC65" s="52"/>
      <c r="BD65" s="52"/>
      <c r="BE65" s="52"/>
      <c r="BF65" s="52"/>
      <c r="BG65" s="52"/>
      <c r="BH65" s="52"/>
      <c r="BI65" s="52"/>
      <c r="BJ65" s="52"/>
      <c r="BK65" s="52"/>
      <c r="BL65" s="52"/>
      <c r="BM65" s="52"/>
    </row>
    <row r="66" spans="1:65" ht="28.8" customHeight="1" x14ac:dyDescent="0.3">
      <c r="A66" s="10" t="str">
        <f>IF(Job_Master!A66="","",Job_Master!A66)</f>
        <v>BJ-164</v>
      </c>
      <c r="B66" s="10">
        <f>IF($A66="","",Job_Master!B66)</f>
        <v>42</v>
      </c>
      <c r="C66" s="10" t="str">
        <f>IF($A66="","",Job_Master!C66)</f>
        <v>SOL</v>
      </c>
      <c r="D66" s="10">
        <f>IF($A66="","",Job_Master!D66)</f>
        <v>4</v>
      </c>
      <c r="E66" s="48" t="str">
        <f>IF($A66="","","CARVING-MC-01")</f>
        <v>CARVING-MC-01</v>
      </c>
      <c r="F66" s="106" t="str">
        <f>IF($E66="","",IFERROR(VLOOKUP($E66,Machine_List!$B:$G,6,0),""))</f>
        <v>General Workman</v>
      </c>
      <c r="G66" s="53">
        <f>IF($E66="","",IFERROR(VLOOKUP($E66,Machine_List!$B:$C,2,0),""))</f>
        <v>46418</v>
      </c>
      <c r="H66" s="10">
        <f>IF($E66="","",IFERROR(VLOOKUP($E66,Machine_List!$B:$D,3,0),""))</f>
        <v>6</v>
      </c>
      <c r="I66" s="54"/>
      <c r="J66" s="55">
        <f ca="1">IF($A66="","",IF($I66&lt;&gt;"",$I66,MAX(GlobalStartDate,IFERROR(LOOKUP(2,1/($E$3:INDIRECT("E"&amp;(ROW()-1))=$E66),$M$3:INDIRECT("M"&amp;(ROW()-1))),GlobalStartDate))))</f>
        <v>46165.606481481489</v>
      </c>
      <c r="K66" s="10">
        <f>IF($A66="","",IFERROR(VLOOKUP(B66,CHOOSE(MATCH(C66,Settings!$L$4:$L$10,0),OPR_2P!$A$4:$I$18,SEG_6P!$A$4:$I$18,SOL_4P!$A$4:$I$18,RW_2P!$A$4:$I$18,RW2_4P!$A$4:$I$18,FLAP_4P!$A$4:$I$18,TUBE_4P!$A$4:$I$18),3,0),0))</f>
        <v>43</v>
      </c>
      <c r="L66" s="10">
        <f t="shared" si="0"/>
        <v>172</v>
      </c>
      <c r="M66" s="55">
        <f ca="1">IF($A66="","",IF(AND(ISNUMBER(G66),G66&gt;=J66,G66&lt;=(J66+(L66/(IF(F66="Contract Workman",Settings!$K$5,Settings!$K$4))))),J66+(L66/(IF(F66="Contract Workman",Settings!$K$5,Settings!$K$4)))+(H66/(IF(F66="Contract Workman",Settings!$K$5,Settings!$K$4))),J66+(L66/(IF(F66="Contract Workman",Settings!$K$5,Settings!$K$4)))))</f>
        <v>46173.569444444453</v>
      </c>
      <c r="N66" s="10" t="str">
        <f t="shared" ca="1" si="2"/>
        <v>Shift A</v>
      </c>
      <c r="O66" s="51" t="str">
        <f>IF(B66="","", IF(IFERROR(ISNUMBER(SEARCH(B66, VLOOKUP(E66, Machine_List!$B:$J, 9, 0))), FALSE()), "✅ Machine OK", "❌ Sug: " &amp; IFERROR(INDEX(Machine_List!$B$4:$B$50, MATCH("*"&amp;B66&amp;"*", Machine_List!$J$4:$J$50, 0)), "Check Limits")))</f>
        <v>✅ Machine OK</v>
      </c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2"/>
      <c r="AJ66" s="52"/>
      <c r="AK66" s="52"/>
      <c r="AL66" s="52"/>
      <c r="AM66" s="52"/>
      <c r="AN66" s="52"/>
      <c r="AO66" s="52"/>
      <c r="AP66" s="52"/>
      <c r="AQ66" s="52"/>
      <c r="AR66" s="52"/>
      <c r="AS66" s="52"/>
      <c r="AT66" s="52"/>
      <c r="AU66" s="52"/>
      <c r="AV66" s="52"/>
      <c r="AW66" s="52"/>
      <c r="AX66" s="52"/>
      <c r="AY66" s="52"/>
      <c r="AZ66" s="52"/>
      <c r="BA66" s="52"/>
      <c r="BB66" s="52"/>
      <c r="BC66" s="52"/>
      <c r="BD66" s="52"/>
      <c r="BE66" s="52"/>
      <c r="BF66" s="52"/>
      <c r="BG66" s="52"/>
      <c r="BH66" s="52"/>
      <c r="BI66" s="52"/>
      <c r="BJ66" s="52"/>
      <c r="BK66" s="52"/>
      <c r="BL66" s="52"/>
      <c r="BM66" s="52"/>
    </row>
    <row r="67" spans="1:65" ht="28.8" customHeight="1" x14ac:dyDescent="0.3">
      <c r="A67" s="10" t="str">
        <f>IF(Job_Master!A67="","",Job_Master!A67)</f>
        <v>BJ-168</v>
      </c>
      <c r="B67" s="10">
        <f>IF($A67="","",Job_Master!B67)</f>
        <v>20</v>
      </c>
      <c r="C67" s="10" t="str">
        <f>IF($A67="","",Job_Master!C67)</f>
        <v>2P</v>
      </c>
      <c r="D67" s="10">
        <f>IF($A67="","",Job_Master!D67)</f>
        <v>2</v>
      </c>
      <c r="E67" s="48" t="str">
        <f>IF($A67="","","CARVING-MC-06")</f>
        <v>CARVING-MC-06</v>
      </c>
      <c r="F67" s="106" t="str">
        <f>IF($E67="","",IFERROR(VLOOKUP($E67,Machine_List!$B:$G,6,0),""))</f>
        <v>General Workman</v>
      </c>
      <c r="G67" s="53">
        <f>IF($E67="","",IFERROR(VLOOKUP($E67,Machine_List!$B:$C,2,0),""))</f>
        <v>46397</v>
      </c>
      <c r="H67" s="10">
        <f>IF($E67="","",IFERROR(VLOOKUP($E67,Machine_List!$B:$D,3,0),""))</f>
        <v>6</v>
      </c>
      <c r="I67" s="54"/>
      <c r="J67" s="55">
        <f ca="1">IF($A67="","",IF($I67&lt;&gt;"",$I67,MAX(GlobalStartDate,IFERROR(LOOKUP(2,1/($E$3:INDIRECT("E"&amp;(ROW()-1))=$E67),$M$3:INDIRECT("M"&amp;(ROW()-1))),GlobalStartDate))))</f>
        <v>46169.032407407394</v>
      </c>
      <c r="K67" s="10">
        <f>IF($A67="","",IFERROR(VLOOKUP(B67,CHOOSE(MATCH(C67,Settings!$L$4:$L$10,0),OPR_2P!$A$4:$I$18,SEG_6P!$A$4:$I$18,SOL_4P!$A$4:$I$18,RW_2P!$A$4:$I$18,RW2_4P!$A$4:$I$18,FLAP_4P!$A$4:$I$18,TUBE_4P!$A$4:$I$18),3,0),0))</f>
        <v>24</v>
      </c>
      <c r="L67" s="10">
        <f t="shared" si="0"/>
        <v>48</v>
      </c>
      <c r="M67" s="55">
        <f ca="1">IF($A67="","",IF(AND(ISNUMBER(G67),G67&gt;=J67,G67&lt;=(J67+(L67/(IF(F67="Contract Workman",Settings!$K$5,Settings!$K$4))))),J67+(L67/(IF(F67="Contract Workman",Settings!$K$5,Settings!$K$4)))+(H67/(IF(F67="Contract Workman",Settings!$K$5,Settings!$K$4))),J67+(L67/(IF(F67="Contract Workman",Settings!$K$5,Settings!$K$4)))))</f>
        <v>46171.254629629613</v>
      </c>
      <c r="N67" s="10" t="str">
        <f t="shared" ca="1" si="2"/>
        <v>Shift C</v>
      </c>
      <c r="O67" s="51" t="str">
        <f>IF(B67="","", IF(IFERROR(ISNUMBER(SEARCH(B67, VLOOKUP(E67, Machine_List!$B:$J, 9, 0))), FALSE()), "✅ Machine OK", "❌ Sug: " &amp; IFERROR(INDEX(Machine_List!$B$4:$B$50, MATCH("*"&amp;B67&amp;"*", Machine_List!$J$4:$J$50, 0)), "Check Limits")))</f>
        <v>✅ Machine OK</v>
      </c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52"/>
      <c r="AG67" s="52"/>
      <c r="AH67" s="52"/>
      <c r="AI67" s="52"/>
      <c r="AJ67" s="52"/>
      <c r="AK67" s="52"/>
      <c r="AL67" s="52"/>
      <c r="AM67" s="52"/>
      <c r="AN67" s="52"/>
      <c r="AO67" s="52"/>
      <c r="AP67" s="52"/>
      <c r="AQ67" s="52"/>
      <c r="AR67" s="52"/>
      <c r="AS67" s="52"/>
      <c r="AT67" s="52"/>
      <c r="AU67" s="52"/>
      <c r="AV67" s="52"/>
      <c r="AW67" s="52"/>
      <c r="AX67" s="52"/>
      <c r="AY67" s="52"/>
      <c r="AZ67" s="52"/>
      <c r="BA67" s="52"/>
      <c r="BB67" s="52"/>
      <c r="BC67" s="52"/>
      <c r="BD67" s="52"/>
      <c r="BE67" s="52"/>
      <c r="BF67" s="52"/>
      <c r="BG67" s="52"/>
      <c r="BH67" s="52"/>
      <c r="BI67" s="52"/>
      <c r="BJ67" s="52"/>
      <c r="BK67" s="52"/>
      <c r="BL67" s="52"/>
      <c r="BM67" s="52"/>
    </row>
    <row r="68" spans="1:65" ht="28.8" customHeight="1" x14ac:dyDescent="0.3">
      <c r="A68" s="10" t="str">
        <f>IF(Job_Master!A68="","",Job_Master!A68)</f>
        <v>BJ-155</v>
      </c>
      <c r="B68" s="10">
        <f>IF($A68="","",Job_Master!B68)</f>
        <v>17</v>
      </c>
      <c r="C68" s="10" t="str">
        <f>IF($A68="","",Job_Master!C68)</f>
        <v>RW</v>
      </c>
      <c r="D68" s="10">
        <f>IF($A68="","",Job_Master!D68)</f>
        <v>2</v>
      </c>
      <c r="E68" s="48" t="str">
        <f>IF($A68="","","CARVING-MC-06")</f>
        <v>CARVING-MC-06</v>
      </c>
      <c r="F68" s="106" t="str">
        <f>IF($E68="","",IFERROR(VLOOKUP($E68,Machine_List!$B:$G,6,0),""))</f>
        <v>General Workman</v>
      </c>
      <c r="G68" s="53">
        <f>IF($E68="","",IFERROR(VLOOKUP($E68,Machine_List!$B:$C,2,0),""))</f>
        <v>46397</v>
      </c>
      <c r="H68" s="10">
        <f>IF($E68="","",IFERROR(VLOOKUP($E68,Machine_List!$B:$D,3,0),""))</f>
        <v>6</v>
      </c>
      <c r="I68" s="54"/>
      <c r="J68" s="55">
        <f ca="1">IF($A68="","",IF($I68&lt;&gt;"",$I68,MAX(GlobalStartDate,IFERROR(LOOKUP(2,1/($E$3:INDIRECT("E"&amp;(ROW()-1))=$E68),$M$3:INDIRECT("M"&amp;(ROW()-1))),GlobalStartDate))))</f>
        <v>46171.254629629613</v>
      </c>
      <c r="K68" s="10">
        <f>IF($A68="","",IFERROR(VLOOKUP(B68,CHOOSE(MATCH(C68,Settings!$L$4:$L$10,0),OPR_2P!$A$4:$I$18,SEG_6P!$A$4:$I$18,SOL_4P!$A$4:$I$18,RW_2P!$A$4:$I$18,RW2_4P!$A$4:$I$18,FLAP_4P!$A$4:$I$18,TUBE_4P!$A$4:$I$18),3,0),0))</f>
        <v>21</v>
      </c>
      <c r="L68" s="10">
        <f t="shared" ref="L68:L131" si="3">IF($A68="","",K68*D68)</f>
        <v>42</v>
      </c>
      <c r="M68" s="55">
        <f ca="1">IF($A68="","",IF(AND(ISNUMBER(G68),G68&gt;=J68,G68&lt;=(J68+(L68/(IF(F68="Contract Workman",Settings!$K$5,Settings!$K$4))))),J68+(L68/(IF(F68="Contract Workman",Settings!$K$5,Settings!$K$4)))+(H68/(IF(F68="Contract Workman",Settings!$K$5,Settings!$K$4))),J68+(L68/(IF(F68="Contract Workman",Settings!$K$5,Settings!$K$4)))))</f>
        <v>46173.199074074058</v>
      </c>
      <c r="N68" s="10" t="str">
        <f t="shared" ref="N68:N99" ca="1" si="4">IF($A68="","",IF(F68="Contract Workman",IF(AND(MOD(M68,1)&gt;=8/24,MOD(M68,1)&lt;20/24),"Shift S1","Shift S2"),IF(AND(MOD(M68,1)&gt;=7/24,MOD(M68,1)&lt;15/24),"Shift A",IF(AND(MOD(M68,1)&gt;=15/24,MOD(M68,1)&lt;23/24),"Shift B","Shift C"))))</f>
        <v>Shift C</v>
      </c>
      <c r="O68" s="51" t="str">
        <f>IF(B68="","", IF(IFERROR(ISNUMBER(SEARCH(B68, VLOOKUP(E68, Machine_List!$B:$J, 9, 0))), FALSE()), "✅ Machine OK", "❌ Sug: " &amp; IFERROR(INDEX(Machine_List!$B$4:$B$50, MATCH("*"&amp;B68&amp;"*", Machine_List!$J$4:$J$50, 0)), "Check Limits")))</f>
        <v>✅ Machine OK</v>
      </c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2"/>
      <c r="AJ68" s="52"/>
      <c r="AK68" s="52"/>
      <c r="AL68" s="52"/>
      <c r="AM68" s="52"/>
      <c r="AN68" s="52"/>
      <c r="AO68" s="52"/>
      <c r="AP68" s="52"/>
      <c r="AQ68" s="52"/>
      <c r="AR68" s="52"/>
      <c r="AS68" s="52"/>
      <c r="AT68" s="52"/>
      <c r="AU68" s="52"/>
      <c r="AV68" s="52"/>
      <c r="AW68" s="52"/>
      <c r="AX68" s="52"/>
      <c r="AY68" s="52"/>
      <c r="AZ68" s="52"/>
      <c r="BA68" s="52"/>
      <c r="BB68" s="52"/>
      <c r="BC68" s="52"/>
      <c r="BD68" s="52"/>
      <c r="BE68" s="52"/>
      <c r="BF68" s="52"/>
      <c r="BG68" s="52"/>
      <c r="BH68" s="52"/>
      <c r="BI68" s="52"/>
      <c r="BJ68" s="52"/>
      <c r="BK68" s="52"/>
      <c r="BL68" s="52"/>
      <c r="BM68" s="52"/>
    </row>
    <row r="69" spans="1:65" ht="28.8" customHeight="1" x14ac:dyDescent="0.3">
      <c r="A69" s="10" t="str">
        <f>IF(Job_Master!A69="","",Job_Master!A69)</f>
        <v>BJ-167</v>
      </c>
      <c r="B69" s="10">
        <f>IF($A69="","",Job_Master!B69)</f>
        <v>54</v>
      </c>
      <c r="C69" s="10" t="str">
        <f>IF($A69="","",Job_Master!C69)</f>
        <v>2P</v>
      </c>
      <c r="D69" s="10">
        <f>IF($A69="","",Job_Master!D69)</f>
        <v>2</v>
      </c>
      <c r="E69" s="48" t="str">
        <f>IF($A69="","","CARVING-MC-04")</f>
        <v>CARVING-MC-04</v>
      </c>
      <c r="F69" s="106" t="str">
        <f>IF($E69="","",IFERROR(VLOOKUP($E69,Machine_List!$B:$G,6,0),""))</f>
        <v>General Workman</v>
      </c>
      <c r="G69" s="53">
        <f>IF($E69="","",IFERROR(VLOOKUP($E69,Machine_List!$B:$C,2,0),""))</f>
        <v>46237</v>
      </c>
      <c r="H69" s="10">
        <f>IF($E69="","",IFERROR(VLOOKUP($E69,Machine_List!$B:$D,3,0),""))</f>
        <v>6</v>
      </c>
      <c r="I69" s="54"/>
      <c r="J69" s="55">
        <f ca="1">IF($A69="","",IF($I69&lt;&gt;"",$I69,MAX(GlobalStartDate,IFERROR(LOOKUP(2,1/($E$3:INDIRECT("E"&amp;(ROW()-1))=$E69),$M$3:INDIRECT("M"&amp;(ROW()-1))),GlobalStartDate))))</f>
        <v>46175.976851851847</v>
      </c>
      <c r="K69" s="10">
        <f>IF($A69="","",IFERROR(VLOOKUP(B69,CHOOSE(MATCH(C69,Settings!$L$4:$L$10,0),OPR_2P!$A$4:$I$18,SEG_6P!$A$4:$I$18,SOL_4P!$A$4:$I$18,RW_2P!$A$4:$I$18,RW2_4P!$A$4:$I$18,FLAP_4P!$A$4:$I$18,TUBE_4P!$A$4:$I$18),3,0),0))</f>
        <v>60</v>
      </c>
      <c r="L69" s="10">
        <f t="shared" si="3"/>
        <v>120</v>
      </c>
      <c r="M69" s="55">
        <f ca="1">IF($A69="","",IF(AND(ISNUMBER(G69),G69&gt;=J69,G69&lt;=(J69+(L69/(IF(F69="Contract Workman",Settings!$K$5,Settings!$K$4))))),J69+(L69/(IF(F69="Contract Workman",Settings!$K$5,Settings!$K$4)))+(H69/(IF(F69="Contract Workman",Settings!$K$5,Settings!$K$4))),J69+(L69/(IF(F69="Contract Workman",Settings!$K$5,Settings!$K$4)))))</f>
        <v>46181.532407407401</v>
      </c>
      <c r="N69" s="10" t="str">
        <f t="shared" ca="1" si="4"/>
        <v>Shift A</v>
      </c>
      <c r="O69" s="51" t="str">
        <f>IF(B69="","", IF(IFERROR(ISNUMBER(SEARCH(B69, VLOOKUP(E69, Machine_List!$B:$J, 9, 0))), FALSE()), "✅ Machine OK", "❌ Sug: " &amp; IFERROR(INDEX(Machine_List!$B$4:$B$50, MATCH("*"&amp;B69&amp;"*", Machine_List!$J$4:$J$50, 0)), "Check Limits")))</f>
        <v>✅ Machine OK</v>
      </c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  <c r="AK69" s="52"/>
      <c r="AL69" s="52"/>
      <c r="AM69" s="52"/>
      <c r="AN69" s="52"/>
      <c r="AO69" s="52"/>
      <c r="AP69" s="52"/>
      <c r="AQ69" s="52"/>
      <c r="AR69" s="52"/>
      <c r="AS69" s="52"/>
      <c r="AT69" s="52"/>
      <c r="AU69" s="52"/>
      <c r="AV69" s="52"/>
      <c r="AW69" s="52"/>
      <c r="AX69" s="52"/>
      <c r="AY69" s="52"/>
      <c r="AZ69" s="52"/>
      <c r="BA69" s="52"/>
      <c r="BB69" s="52"/>
      <c r="BC69" s="52"/>
      <c r="BD69" s="52"/>
      <c r="BE69" s="52"/>
      <c r="BF69" s="52"/>
      <c r="BG69" s="52"/>
      <c r="BH69" s="52"/>
      <c r="BI69" s="52"/>
      <c r="BJ69" s="52"/>
      <c r="BK69" s="52"/>
      <c r="BL69" s="52"/>
      <c r="BM69" s="52"/>
    </row>
    <row r="70" spans="1:65" ht="28.8" customHeight="1" x14ac:dyDescent="0.3">
      <c r="A70" s="10" t="str">
        <f>IF(Job_Master!A70="","",Job_Master!A70)</f>
        <v>BJ-166</v>
      </c>
      <c r="B70" s="10">
        <f>IF($A70="","",Job_Master!B70)</f>
        <v>50</v>
      </c>
      <c r="C70" s="10" t="str">
        <f>IF($A70="","",Job_Master!C70)</f>
        <v>SOL</v>
      </c>
      <c r="D70" s="10">
        <f>IF($A70="","",Job_Master!D70)</f>
        <v>4</v>
      </c>
      <c r="E70" s="48" t="str">
        <f>IF($A70="","","CARVING-MC-06")</f>
        <v>CARVING-MC-06</v>
      </c>
      <c r="F70" s="106" t="str">
        <f>IF($E70="","",IFERROR(VLOOKUP($E70,Machine_List!$B:$G,6,0),""))</f>
        <v>General Workman</v>
      </c>
      <c r="G70" s="53">
        <f>IF($E70="","",IFERROR(VLOOKUP($E70,Machine_List!$B:$C,2,0),""))</f>
        <v>46397</v>
      </c>
      <c r="H70" s="10">
        <f>IF($E70="","",IFERROR(VLOOKUP($E70,Machine_List!$B:$D,3,0),""))</f>
        <v>6</v>
      </c>
      <c r="I70" s="54"/>
      <c r="J70" s="55">
        <f ca="1">IF($A70="","",IF($I70&lt;&gt;"",$I70,MAX(GlobalStartDate,IFERROR(LOOKUP(2,1/($E$3:INDIRECT("E"&amp;(ROW()-1))=$E70),$M$3:INDIRECT("M"&amp;(ROW()-1))),GlobalStartDate))))</f>
        <v>46173.199074074058</v>
      </c>
      <c r="K70" s="10">
        <f>IF($A70="","",IFERROR(VLOOKUP(B70,CHOOSE(MATCH(C70,Settings!$L$4:$L$10,0),OPR_2P!$A$4:$I$18,SEG_6P!$A$4:$I$18,SOL_4P!$A$4:$I$18,RW_2P!$A$4:$I$18,RW2_4P!$A$4:$I$18,FLAP_4P!$A$4:$I$18,TUBE_4P!$A$4:$I$18),3,0),0))</f>
        <v>49</v>
      </c>
      <c r="L70" s="10">
        <f t="shared" si="3"/>
        <v>196</v>
      </c>
      <c r="M70" s="55">
        <f ca="1">IF($A70="","",IF(AND(ISNUMBER(G70),G70&gt;=J70,G70&lt;=(J70+(L70/(IF(F70="Contract Workman",Settings!$K$5,Settings!$K$4))))),J70+(L70/(IF(F70="Contract Workman",Settings!$K$5,Settings!$K$4)))+(H70/(IF(F70="Contract Workman",Settings!$K$5,Settings!$K$4))),J70+(L70/(IF(F70="Contract Workman",Settings!$K$5,Settings!$K$4)))))</f>
        <v>46182.273148148131</v>
      </c>
      <c r="N70" s="10" t="str">
        <f t="shared" ca="1" si="4"/>
        <v>Shift C</v>
      </c>
      <c r="O70" s="51" t="str">
        <f>IF(B70="","", IF(IFERROR(ISNUMBER(SEARCH(B70, VLOOKUP(E70, Machine_List!$B:$J, 9, 0))), FALSE()), "✅ Machine OK", "❌ Sug: " &amp; IFERROR(INDEX(Machine_List!$B$4:$B$50, MATCH("*"&amp;B70&amp;"*", Machine_List!$J$4:$J$50, 0)), "Check Limits")))</f>
        <v>✅ Machine OK</v>
      </c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52"/>
      <c r="AJ70" s="52"/>
      <c r="AK70" s="52"/>
      <c r="AL70" s="52"/>
      <c r="AM70" s="52"/>
      <c r="AN70" s="52"/>
      <c r="AO70" s="52"/>
      <c r="AP70" s="52"/>
      <c r="AQ70" s="52"/>
      <c r="AR70" s="52"/>
      <c r="AS70" s="52"/>
      <c r="AT70" s="52"/>
      <c r="AU70" s="52"/>
      <c r="AV70" s="52"/>
      <c r="AW70" s="52"/>
      <c r="AX70" s="52"/>
      <c r="AY70" s="52"/>
      <c r="AZ70" s="52"/>
      <c r="BA70" s="52"/>
      <c r="BB70" s="52"/>
      <c r="BC70" s="52"/>
      <c r="BD70" s="52"/>
      <c r="BE70" s="52"/>
      <c r="BF70" s="52"/>
      <c r="BG70" s="52"/>
      <c r="BH70" s="52"/>
      <c r="BI70" s="52"/>
      <c r="BJ70" s="52"/>
      <c r="BK70" s="52"/>
      <c r="BL70" s="52"/>
      <c r="BM70" s="52"/>
    </row>
    <row r="71" spans="1:65" ht="28.8" customHeight="1" x14ac:dyDescent="0.3">
      <c r="A71" s="10" t="str">
        <f>IF(Job_Master!A71="","",Job_Master!A71)</f>
        <v>BJ-162</v>
      </c>
      <c r="B71" s="10">
        <f>IF($A71="","",Job_Master!B71)</f>
        <v>17</v>
      </c>
      <c r="C71" s="10" t="str">
        <f>IF($A71="","",Job_Master!C71)</f>
        <v>SOL</v>
      </c>
      <c r="D71" s="10">
        <f>IF($A71="","",Job_Master!D71)</f>
        <v>4</v>
      </c>
      <c r="E71" s="48" t="str">
        <f>IF($A71="","","CARVING-MC-02")</f>
        <v>CARVING-MC-02</v>
      </c>
      <c r="F71" s="106" t="str">
        <f>IF($E71="","",IFERROR(VLOOKUP($E71,Machine_List!$B:$G,6,0),""))</f>
        <v>General Workman</v>
      </c>
      <c r="G71" s="53">
        <f>IF($E71="","",IFERROR(VLOOKUP($E71,Machine_List!$B:$C,2,0),""))</f>
        <v>46282</v>
      </c>
      <c r="H71" s="10">
        <f>IF($E71="","",IFERROR(VLOOKUP($E71,Machine_List!$B:$D,3,0),""))</f>
        <v>6</v>
      </c>
      <c r="I71" s="54"/>
      <c r="J71" s="55">
        <f ca="1">IF($A71="","",IF($I71&lt;&gt;"",$I71,MAX(GlobalStartDate,IFERROR(LOOKUP(2,1/($E$3:INDIRECT("E"&amp;(ROW()-1))=$E71),$M$3:INDIRECT("M"&amp;(ROW()-1))),GlobalStartDate))))</f>
        <v>46173.939814814803</v>
      </c>
      <c r="K71" s="10">
        <f>IF($A71="","",IFERROR(VLOOKUP(B71,CHOOSE(MATCH(C71,Settings!$L$4:$L$10,0),OPR_2P!$A$4:$I$18,SEG_6P!$A$4:$I$18,SOL_4P!$A$4:$I$18,RW_2P!$A$4:$I$18,RW2_4P!$A$4:$I$18,FLAP_4P!$A$4:$I$18,TUBE_4P!$A$4:$I$18),3,0),0))</f>
        <v>20</v>
      </c>
      <c r="L71" s="10">
        <f t="shared" si="3"/>
        <v>80</v>
      </c>
      <c r="M71" s="55">
        <f ca="1">IF($A71="","",IF(AND(ISNUMBER(G71),G71&gt;=J71,G71&lt;=(J71+(L71/(IF(F71="Contract Workman",Settings!$K$5,Settings!$K$4))))),J71+(L71/(IF(F71="Contract Workman",Settings!$K$5,Settings!$K$4)))+(H71/(IF(F71="Contract Workman",Settings!$K$5,Settings!$K$4))),J71+(L71/(IF(F71="Contract Workman",Settings!$K$5,Settings!$K$4)))))</f>
        <v>46177.643518518504</v>
      </c>
      <c r="N71" s="10" t="str">
        <f t="shared" ca="1" si="4"/>
        <v>Shift B</v>
      </c>
      <c r="O71" s="51" t="str">
        <f>IF(B71="","", IF(IFERROR(ISNUMBER(SEARCH(B71, VLOOKUP(E71, Machine_List!$B:$J, 9, 0))), FALSE()), "✅ Machine OK", "❌ Sug: " &amp; IFERROR(INDEX(Machine_List!$B$4:$B$50, MATCH("*"&amp;B71&amp;"*", Machine_List!$J$4:$J$50, 0)), "Check Limits")))</f>
        <v>✅ Machine OK</v>
      </c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  <c r="AH71" s="52"/>
      <c r="AI71" s="52"/>
      <c r="AJ71" s="52"/>
      <c r="AK71" s="52"/>
      <c r="AL71" s="52"/>
      <c r="AM71" s="52"/>
      <c r="AN71" s="52"/>
      <c r="AO71" s="52"/>
      <c r="AP71" s="52"/>
      <c r="AQ71" s="52"/>
      <c r="AR71" s="52"/>
      <c r="AS71" s="52"/>
      <c r="AT71" s="52"/>
      <c r="AU71" s="52"/>
      <c r="AV71" s="52"/>
      <c r="AW71" s="52"/>
      <c r="AX71" s="52"/>
      <c r="AY71" s="52"/>
      <c r="AZ71" s="52"/>
      <c r="BA71" s="52"/>
      <c r="BB71" s="52"/>
      <c r="BC71" s="52"/>
      <c r="BD71" s="52"/>
      <c r="BE71" s="52"/>
      <c r="BF71" s="52"/>
      <c r="BG71" s="52"/>
      <c r="BH71" s="52"/>
      <c r="BI71" s="52"/>
      <c r="BJ71" s="52"/>
      <c r="BK71" s="52"/>
      <c r="BL71" s="52"/>
      <c r="BM71" s="52"/>
    </row>
    <row r="72" spans="1:65" ht="28.8" customHeight="1" x14ac:dyDescent="0.3">
      <c r="A72" s="10" t="str">
        <f>IF(Job_Master!A72="","",Job_Master!A72)</f>
        <v>BJ-165</v>
      </c>
      <c r="B72" s="10">
        <f>IF($A72="","",Job_Master!B72)</f>
        <v>17</v>
      </c>
      <c r="C72" s="10" t="str">
        <f>IF($A72="","",Job_Master!C72)</f>
        <v>2P</v>
      </c>
      <c r="D72" s="10">
        <f>IF($A72="","",Job_Master!D72)</f>
        <v>2</v>
      </c>
      <c r="E72" s="48" t="str">
        <f>IF($A72="","","CARVING-MC-02")</f>
        <v>CARVING-MC-02</v>
      </c>
      <c r="F72" s="106" t="str">
        <f>IF($E72="","",IFERROR(VLOOKUP($E72,Machine_List!$B:$G,6,0),""))</f>
        <v>General Workman</v>
      </c>
      <c r="G72" s="53">
        <f>IF($E72="","",IFERROR(VLOOKUP($E72,Machine_List!$B:$C,2,0),""))</f>
        <v>46282</v>
      </c>
      <c r="H72" s="10">
        <f>IF($E72="","",IFERROR(VLOOKUP($E72,Machine_List!$B:$D,3,0),""))</f>
        <v>6</v>
      </c>
      <c r="I72" s="54"/>
      <c r="J72" s="55">
        <f ca="1">IF($A72="","",IF($I72&lt;&gt;"",$I72,MAX(GlobalStartDate,IFERROR(LOOKUP(2,1/($E$3:INDIRECT("E"&amp;(ROW()-1))=$E72),$M$3:INDIRECT("M"&amp;(ROW()-1))),GlobalStartDate))))</f>
        <v>46177.643518518504</v>
      </c>
      <c r="K72" s="10">
        <f>IF($A72="","",IFERROR(VLOOKUP(B72,CHOOSE(MATCH(C72,Settings!$L$4:$L$10,0),OPR_2P!$A$4:$I$18,SEG_6P!$A$4:$I$18,SOL_4P!$A$4:$I$18,RW_2P!$A$4:$I$18,RW2_4P!$A$4:$I$18,FLAP_4P!$A$4:$I$18,TUBE_4P!$A$4:$I$18),3,0),0))</f>
        <v>14</v>
      </c>
      <c r="L72" s="10">
        <f t="shared" si="3"/>
        <v>28</v>
      </c>
      <c r="M72" s="55">
        <f ca="1">IF($A72="","",IF(AND(ISNUMBER(G72),G72&gt;=J72,G72&lt;=(J72+(L72/(IF(F72="Contract Workman",Settings!$K$5,Settings!$K$4))))),J72+(L72/(IF(F72="Contract Workman",Settings!$K$5,Settings!$K$4)))+(H72/(IF(F72="Contract Workman",Settings!$K$5,Settings!$K$4))),J72+(L72/(IF(F72="Contract Workman",Settings!$K$5,Settings!$K$4)))))</f>
        <v>46178.939814814803</v>
      </c>
      <c r="N72" s="10" t="str">
        <f t="shared" ca="1" si="4"/>
        <v>Shift B</v>
      </c>
      <c r="O72" s="51" t="str">
        <f>IF(B72="","", IF(IFERROR(ISNUMBER(SEARCH(B72, VLOOKUP(E72, Machine_List!$B:$J, 9, 0))), FALSE()), "✅ Machine OK", "❌ Sug: " &amp; IFERROR(INDEX(Machine_List!$B$4:$B$50, MATCH("*"&amp;B72&amp;"*", Machine_List!$J$4:$J$50, 0)), "Check Limits")))</f>
        <v>✅ Machine OK</v>
      </c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2"/>
      <c r="AJ72" s="52"/>
      <c r="AK72" s="52"/>
      <c r="AL72" s="52"/>
      <c r="AM72" s="52"/>
      <c r="AN72" s="52"/>
      <c r="AO72" s="52"/>
      <c r="AP72" s="52"/>
      <c r="AQ72" s="52"/>
      <c r="AR72" s="52"/>
      <c r="AS72" s="52"/>
      <c r="AT72" s="52"/>
      <c r="AU72" s="52"/>
      <c r="AV72" s="52"/>
      <c r="AW72" s="52"/>
      <c r="AX72" s="52"/>
      <c r="AY72" s="52"/>
      <c r="AZ72" s="52"/>
      <c r="BA72" s="52"/>
      <c r="BB72" s="52"/>
      <c r="BC72" s="52"/>
      <c r="BD72" s="52"/>
      <c r="BE72" s="52"/>
      <c r="BF72" s="52"/>
      <c r="BG72" s="52"/>
      <c r="BH72" s="52"/>
      <c r="BI72" s="52"/>
      <c r="BJ72" s="52"/>
      <c r="BK72" s="52"/>
      <c r="BL72" s="52"/>
      <c r="BM72" s="52"/>
    </row>
    <row r="73" spans="1:65" ht="28.8" customHeight="1" x14ac:dyDescent="0.3">
      <c r="A73" s="10" t="str">
        <f>IF(Job_Master!A73="","",Job_Master!A73)</f>
        <v>BJ-169</v>
      </c>
      <c r="B73" s="10">
        <f>IF($A73="","",Job_Master!B73)</f>
        <v>17</v>
      </c>
      <c r="C73" s="10" t="str">
        <f>IF($A73="","",Job_Master!C73)</f>
        <v>SEG</v>
      </c>
      <c r="D73" s="10">
        <f>IF($A73="","",Job_Master!D73)</f>
        <v>6</v>
      </c>
      <c r="E73" s="48" t="str">
        <f>IF($A73="","","CARVING-MC-02")</f>
        <v>CARVING-MC-02</v>
      </c>
      <c r="F73" s="106" t="str">
        <f>IF($E73="","",IFERROR(VLOOKUP($E73,Machine_List!$B:$G,6,0),""))</f>
        <v>General Workman</v>
      </c>
      <c r="G73" s="53">
        <f>IF($E73="","",IFERROR(VLOOKUP($E73,Machine_List!$B:$C,2,0),""))</f>
        <v>46282</v>
      </c>
      <c r="H73" s="10">
        <f>IF($E73="","",IFERROR(VLOOKUP($E73,Machine_List!$B:$D,3,0),""))</f>
        <v>6</v>
      </c>
      <c r="I73" s="54"/>
      <c r="J73" s="55">
        <f ca="1">IF($A73="","",IF($I73&lt;&gt;"",$I73,MAX(GlobalStartDate,IFERROR(LOOKUP(2,1/($E$3:INDIRECT("E"&amp;(ROW()-1))=$E73),$M$3:INDIRECT("M"&amp;(ROW()-1))),GlobalStartDate))))</f>
        <v>46178.939814814803</v>
      </c>
      <c r="K73" s="10">
        <f>IF($A73="","",IFERROR(VLOOKUP(B73,CHOOSE(MATCH(C73,Settings!$L$4:$L$10,0),OPR_2P!$A$4:$I$18,SEG_6P!$A$4:$I$18,SOL_4P!$A$4:$I$18,RW_2P!$A$4:$I$18,RW2_4P!$A$4:$I$18,FLAP_4P!$A$4:$I$18,TUBE_4P!$A$4:$I$18),3,0),0))</f>
        <v>18</v>
      </c>
      <c r="L73" s="10">
        <f t="shared" si="3"/>
        <v>108</v>
      </c>
      <c r="M73" s="55">
        <f ca="1">IF($A73="","",IF(AND(ISNUMBER(G73),G73&gt;=J73,G73&lt;=(J73+(L73/(IF(F73="Contract Workman",Settings!$K$5,Settings!$K$4))))),J73+(L73/(IF(F73="Contract Workman",Settings!$K$5,Settings!$K$4)))+(H73/(IF(F73="Contract Workman",Settings!$K$5,Settings!$K$4))),J73+(L73/(IF(F73="Contract Workman",Settings!$K$5,Settings!$K$4)))))</f>
        <v>46183.939814814803</v>
      </c>
      <c r="N73" s="10" t="str">
        <f t="shared" ca="1" si="4"/>
        <v>Shift B</v>
      </c>
      <c r="O73" s="51" t="str">
        <f>IF(B73="","", IF(IFERROR(ISNUMBER(SEARCH(B73, VLOOKUP(E73, Machine_List!$B:$J, 9, 0))), FALSE()), "✅ Machine OK", "❌ Sug: " &amp; IFERROR(INDEX(Machine_List!$B$4:$B$50, MATCH("*"&amp;B73&amp;"*", Machine_List!$J$4:$J$50, 0)), "Check Limits")))</f>
        <v>✅ Machine OK</v>
      </c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  <c r="AE73" s="52"/>
      <c r="AF73" s="52"/>
      <c r="AG73" s="52"/>
      <c r="AH73" s="52"/>
      <c r="AI73" s="52"/>
      <c r="AJ73" s="52"/>
      <c r="AK73" s="52"/>
      <c r="AL73" s="52"/>
      <c r="AM73" s="52"/>
      <c r="AN73" s="52"/>
      <c r="AO73" s="52"/>
      <c r="AP73" s="52"/>
      <c r="AQ73" s="52"/>
      <c r="AR73" s="52"/>
      <c r="AS73" s="52"/>
      <c r="AT73" s="52"/>
      <c r="AU73" s="52"/>
      <c r="AV73" s="52"/>
      <c r="AW73" s="52"/>
      <c r="AX73" s="52"/>
      <c r="AY73" s="52"/>
      <c r="AZ73" s="52"/>
      <c r="BA73" s="52"/>
      <c r="BB73" s="52"/>
      <c r="BC73" s="52"/>
      <c r="BD73" s="52"/>
      <c r="BE73" s="52"/>
      <c r="BF73" s="52"/>
      <c r="BG73" s="52"/>
      <c r="BH73" s="52"/>
      <c r="BI73" s="52"/>
      <c r="BJ73" s="52"/>
      <c r="BK73" s="52"/>
      <c r="BL73" s="52"/>
      <c r="BM73" s="52"/>
    </row>
    <row r="74" spans="1:65" x14ac:dyDescent="0.3">
      <c r="A74" s="10" t="str">
        <f>IF(Job_Master!A74="","",Job_Master!A74)</f>
        <v>BJ-170</v>
      </c>
      <c r="B74" s="10">
        <f>IF($A74="","",Job_Master!B74)</f>
        <v>20</v>
      </c>
      <c r="C74" s="10" t="str">
        <f>IF($A74="","",Job_Master!C74)</f>
        <v>SOL</v>
      </c>
      <c r="D74" s="10">
        <f>IF($A74="","",Job_Master!D74)</f>
        <v>4</v>
      </c>
      <c r="E74" s="48" t="str">
        <f>IF($A74="","",IFERROR(INDEX(Machine_List!$B$14:$B$19,MATCH("*"&amp;$B74&amp;"*",Machine_List!$J$14:$J$19,0)),"NO COMPATIBLE MACHINE"))</f>
        <v>CARVING-MC-01</v>
      </c>
      <c r="F74" s="106" t="str">
        <f>IF($E74="","",IFERROR(VLOOKUP($E74,Machine_List!$B:$G,6,0),""))</f>
        <v>General Workman</v>
      </c>
      <c r="G74" s="53">
        <f>IF($E74="","",IFERROR(VLOOKUP($E74,Machine_List!$B:$C,2,0),""))</f>
        <v>46418</v>
      </c>
      <c r="H74" s="10">
        <f>IF($E74="","",IFERROR(VLOOKUP($E74,Machine_List!$B:$D,3,0),""))</f>
        <v>6</v>
      </c>
      <c r="I74" s="54"/>
      <c r="J74" s="55">
        <f ca="1">IF($A74="","",IF($I74&lt;&gt;"",$I74,MAX(GlobalStartDate,IFERROR(LOOKUP(2,1/($E$3:INDIRECT("E"&amp;(ROW()-1))=$E74),$M$3:INDIRECT("M"&amp;(ROW()-1))),GlobalStartDate))))</f>
        <v>46173.569444444453</v>
      </c>
      <c r="K74" s="10">
        <f>IF($A74="","",IFERROR(VLOOKUP(B74,CHOOSE(MATCH(C74,Settings!$L$4:$L$10,0),OPR_2P!$A$4:$I$18,SEG_6P!$A$4:$I$18,SOL_4P!$A$4:$I$18,RW_2P!$A$4:$I$18,RW2_4P!$A$4:$I$18,FLAP_4P!$A$4:$I$18,TUBE_4P!$A$4:$I$18),3,0),0))</f>
        <v>27</v>
      </c>
      <c r="L74" s="10">
        <f t="shared" si="3"/>
        <v>108</v>
      </c>
      <c r="M74" s="55">
        <f ca="1">IF($A74="","",IF(AND(ISNUMBER(G74),G74&gt;=J74,G74&lt;=(J74+(L74/(IF(F74="Contract Workman",Settings!$K$5,Settings!$K$4))))),J74+(L74/(IF(F74="Contract Workman",Settings!$K$5,Settings!$K$4)))+(H74/(IF(F74="Contract Workman",Settings!$K$5,Settings!$K$4))),J74+(L74/(IF(F74="Contract Workman",Settings!$K$5,Settings!$K$4)))))</f>
        <v>46178.569444444453</v>
      </c>
      <c r="N74" s="10" t="str">
        <f t="shared" ca="1" si="4"/>
        <v>Shift A</v>
      </c>
      <c r="O74" s="51" t="str">
        <f>IF(B74="","", IF(IFERROR(ISNUMBER(SEARCH(B74, VLOOKUP(E74, Machine_List!$B:$J, 9, 0))), FALSE()), "✅ Machine OK", "❌ Sug: " &amp; IFERROR(INDEX(Machine_List!$B$4:$B$50, MATCH("*"&amp;B74&amp;"*", Machine_List!$J$4:$J$50, 0)), "Check Limits")))</f>
        <v>✅ Machine OK</v>
      </c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2"/>
      <c r="AF74" s="52"/>
      <c r="AG74" s="52"/>
      <c r="AH74" s="52"/>
      <c r="AI74" s="52"/>
      <c r="AJ74" s="52"/>
      <c r="AK74" s="52"/>
      <c r="AL74" s="52"/>
      <c r="AM74" s="52"/>
      <c r="AN74" s="52"/>
      <c r="AO74" s="52"/>
      <c r="AP74" s="52"/>
      <c r="AQ74" s="52"/>
      <c r="AR74" s="52"/>
      <c r="AS74" s="52"/>
      <c r="AT74" s="52"/>
      <c r="AU74" s="52"/>
      <c r="AV74" s="52"/>
      <c r="AW74" s="52"/>
      <c r="AX74" s="52"/>
      <c r="AY74" s="52"/>
      <c r="AZ74" s="52"/>
      <c r="BA74" s="52"/>
      <c r="BB74" s="52"/>
      <c r="BC74" s="52"/>
      <c r="BD74" s="52"/>
      <c r="BE74" s="52"/>
      <c r="BF74" s="52"/>
      <c r="BG74" s="52"/>
      <c r="BH74" s="52"/>
      <c r="BI74" s="52"/>
      <c r="BJ74" s="52"/>
      <c r="BK74" s="52"/>
      <c r="BL74" s="52"/>
      <c r="BM74" s="52"/>
    </row>
    <row r="75" spans="1:65" x14ac:dyDescent="0.3">
      <c r="A75" s="10" t="str">
        <f>IF(Job_Master!A75="","",Job_Master!A75)</f>
        <v/>
      </c>
      <c r="B75" s="10" t="str">
        <f>IF($A75="","",Job_Master!B75)</f>
        <v/>
      </c>
      <c r="C75" s="10" t="str">
        <f>IF($A75="","",Job_Master!C75)</f>
        <v/>
      </c>
      <c r="D75" s="10" t="str">
        <f>IF($A75="","",Job_Master!D75)</f>
        <v/>
      </c>
      <c r="E75" s="48" t="str">
        <f>IF($A75="","",IFERROR(INDEX(Machine_List!$B$14:$B$19,MATCH("*"&amp;$B75&amp;"*",Machine_List!$J$14:$J$19,0)),"NO COMPATIBLE MACHINE"))</f>
        <v/>
      </c>
      <c r="F75" s="106" t="str">
        <f>IF($E75="","",IFERROR(VLOOKUP($E75,Machine_List!$B:$G,6,0),""))</f>
        <v/>
      </c>
      <c r="G75" s="53" t="str">
        <f>IF($E75="","",IFERROR(VLOOKUP($E75,Machine_List!$B:$C,2,0),""))</f>
        <v/>
      </c>
      <c r="H75" s="10" t="str">
        <f>IF($E75="","",IFERROR(VLOOKUP($E75,Machine_List!$B:$D,3,0),""))</f>
        <v/>
      </c>
      <c r="I75" s="54"/>
      <c r="J75" s="55" t="str">
        <f ca="1">IF($A75="","",IF($I75&lt;&gt;"",$I75,MAX(GlobalStartDate,IFERROR(LOOKUP(2,1/($E$3:INDIRECT("E"&amp;(ROW()-1))=$E75),$M$3:INDIRECT("M"&amp;(ROW()-1))),GlobalStartDate))))</f>
        <v/>
      </c>
      <c r="K75" s="10" t="str">
        <f>IF($A75="","",IFERROR(VLOOKUP(B75,CHOOSE(MATCH(C75,Settings!$L$4:$L$10,0),OPR_2P!$A$4:$I$18,SEG_6P!$A$4:$I$18,SOL_4P!$A$4:$I$18,RW_2P!$A$4:$I$18,RW2_4P!$A$4:$I$18,FLAP_4P!$A$4:$I$18,TUBE_4P!$A$4:$I$18),3,0),0))</f>
        <v/>
      </c>
      <c r="L75" s="10" t="str">
        <f t="shared" si="3"/>
        <v/>
      </c>
      <c r="M75" s="55" t="str">
        <f>IF($A75="","",IF(AND(ISNUMBER(G75),G75&gt;=J75,G75&lt;=(J75+(L75/(IF(F75="Contract Workman",Settings!$K$5,Settings!$K$4))))),J75+(L75/(IF(F75="Contract Workman",Settings!$K$5,Settings!$K$4)))+(H75/(IF(F75="Contract Workman",Settings!$K$5,Settings!$K$4))),J75+(L75/(IF(F75="Contract Workman",Settings!$K$5,Settings!$K$4)))))</f>
        <v/>
      </c>
      <c r="N75" s="10" t="str">
        <f t="shared" si="4"/>
        <v/>
      </c>
      <c r="O75" s="51" t="str">
        <f>IF(B75="","", IF(IFERROR(ISNUMBER(SEARCH(B75, VLOOKUP(E75, Machine_List!$B:$J, 9, 0))), FALSE()), "✅ Machine OK", "❌ Sug: " &amp; IFERROR(INDEX(Machine_List!$B$4:$B$50, MATCH("*"&amp;B75&amp;"*", Machine_List!$J$4:$J$50, 0)), "Check Limits")))</f>
        <v/>
      </c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52"/>
      <c r="AJ75" s="52"/>
      <c r="AK75" s="52"/>
      <c r="AL75" s="52"/>
      <c r="AM75" s="52"/>
      <c r="AN75" s="52"/>
      <c r="AO75" s="52"/>
      <c r="AP75" s="52"/>
      <c r="AQ75" s="52"/>
      <c r="AR75" s="52"/>
      <c r="AS75" s="52"/>
      <c r="AT75" s="52"/>
      <c r="AU75" s="52"/>
      <c r="AV75" s="52"/>
      <c r="AW75" s="52"/>
      <c r="AX75" s="52"/>
      <c r="AY75" s="52"/>
      <c r="AZ75" s="52"/>
      <c r="BA75" s="52"/>
      <c r="BB75" s="52"/>
      <c r="BC75" s="52"/>
      <c r="BD75" s="52"/>
      <c r="BE75" s="52"/>
      <c r="BF75" s="52"/>
      <c r="BG75" s="52"/>
      <c r="BH75" s="52"/>
      <c r="BI75" s="52"/>
      <c r="BJ75" s="52"/>
      <c r="BK75" s="52"/>
      <c r="BL75" s="52"/>
      <c r="BM75" s="52"/>
    </row>
    <row r="76" spans="1:65" x14ac:dyDescent="0.3">
      <c r="A76" s="10" t="str">
        <f>IF(Job_Master!A76="","",Job_Master!A76)</f>
        <v/>
      </c>
      <c r="B76" s="10" t="str">
        <f>IF($A76="","",Job_Master!B76)</f>
        <v/>
      </c>
      <c r="C76" s="10" t="str">
        <f>IF($A76="","",Job_Master!C76)</f>
        <v/>
      </c>
      <c r="D76" s="10" t="str">
        <f>IF($A76="","",Job_Master!D76)</f>
        <v/>
      </c>
      <c r="E76" s="48" t="str">
        <f>IF($A76="","",IFERROR(INDEX(Machine_List!$B$14:$B$19,MATCH("*"&amp;$B76&amp;"*",Machine_List!$J$14:$J$19,0)),"NO COMPATIBLE MACHINE"))</f>
        <v/>
      </c>
      <c r="F76" s="106" t="str">
        <f>IF($E76="","",IFERROR(VLOOKUP($E76,Machine_List!$B:$G,6,0),""))</f>
        <v/>
      </c>
      <c r="G76" s="53" t="str">
        <f>IF($E76="","",IFERROR(VLOOKUP($E76,Machine_List!$B:$C,2,0),""))</f>
        <v/>
      </c>
      <c r="H76" s="10" t="str">
        <f>IF($E76="","",IFERROR(VLOOKUP($E76,Machine_List!$B:$D,3,0),""))</f>
        <v/>
      </c>
      <c r="I76" s="54"/>
      <c r="J76" s="55" t="str">
        <f ca="1">IF($A76="","",IF($I76&lt;&gt;"",$I76,MAX(GlobalStartDate,IFERROR(LOOKUP(2,1/($E$3:INDIRECT("E"&amp;(ROW()-1))=$E76),$M$3:INDIRECT("M"&amp;(ROW()-1))),GlobalStartDate))))</f>
        <v/>
      </c>
      <c r="K76" s="10" t="str">
        <f>IF($A76="","",IFERROR(VLOOKUP(B76,CHOOSE(MATCH(C76,Settings!$L$4:$L$10,0),OPR_2P!$A$4:$I$18,SEG_6P!$A$4:$I$18,SOL_4P!$A$4:$I$18,RW_2P!$A$4:$I$18,RW2_4P!$A$4:$I$18,FLAP_4P!$A$4:$I$18,TUBE_4P!$A$4:$I$18),3,0),0))</f>
        <v/>
      </c>
      <c r="L76" s="10" t="str">
        <f t="shared" si="3"/>
        <v/>
      </c>
      <c r="M76" s="55" t="str">
        <f>IF($A76="","",IF(AND(ISNUMBER(G76),G76&gt;=J76,G76&lt;=(J76+(L76/(IF(F76="Contract Workman",Settings!$K$5,Settings!$K$4))))),J76+(L76/(IF(F76="Contract Workman",Settings!$K$5,Settings!$K$4)))+(H76/(IF(F76="Contract Workman",Settings!$K$5,Settings!$K$4))),J76+(L76/(IF(F76="Contract Workman",Settings!$K$5,Settings!$K$4)))))</f>
        <v/>
      </c>
      <c r="N76" s="10" t="str">
        <f t="shared" si="4"/>
        <v/>
      </c>
      <c r="O76" s="51" t="str">
        <f>IF(B76="","", IF(IFERROR(ISNUMBER(SEARCH(B76, VLOOKUP(E76, Machine_List!$B:$J, 9, 0))), FALSE()), "✅ Machine OK", "❌ Sug: " &amp; IFERROR(INDEX(Machine_List!$B$4:$B$50, MATCH("*"&amp;B76&amp;"*", Machine_List!$J$4:$J$50, 0)), "Check Limits")))</f>
        <v/>
      </c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52"/>
      <c r="AK76" s="52"/>
      <c r="AL76" s="52"/>
      <c r="AM76" s="52"/>
      <c r="AN76" s="52"/>
      <c r="AO76" s="52"/>
      <c r="AP76" s="52"/>
      <c r="AQ76" s="52"/>
      <c r="AR76" s="52"/>
      <c r="AS76" s="52"/>
      <c r="AT76" s="52"/>
      <c r="AU76" s="52"/>
      <c r="AV76" s="52"/>
      <c r="AW76" s="52"/>
      <c r="AX76" s="52"/>
      <c r="AY76" s="52"/>
      <c r="AZ76" s="52"/>
      <c r="BA76" s="52"/>
      <c r="BB76" s="52"/>
      <c r="BC76" s="52"/>
      <c r="BD76" s="52"/>
      <c r="BE76" s="52"/>
      <c r="BF76" s="52"/>
      <c r="BG76" s="52"/>
      <c r="BH76" s="52"/>
      <c r="BI76" s="52"/>
      <c r="BJ76" s="52"/>
      <c r="BK76" s="52"/>
      <c r="BL76" s="52"/>
      <c r="BM76" s="52"/>
    </row>
    <row r="77" spans="1:65" x14ac:dyDescent="0.3">
      <c r="A77" s="10" t="str">
        <f>IF(Job_Master!A77="","",Job_Master!A77)</f>
        <v/>
      </c>
      <c r="B77" s="10" t="str">
        <f>IF($A77="","",Job_Master!B77)</f>
        <v/>
      </c>
      <c r="C77" s="10" t="str">
        <f>IF($A77="","",Job_Master!C77)</f>
        <v/>
      </c>
      <c r="D77" s="10" t="str">
        <f>IF($A77="","",Job_Master!D77)</f>
        <v/>
      </c>
      <c r="E77" s="48" t="str">
        <f>IF($A77="","",IFERROR(INDEX(Machine_List!$B$14:$B$19,MATCH("*"&amp;$B77&amp;"*",Machine_List!$J$14:$J$19,0)),"NO COMPATIBLE MACHINE"))</f>
        <v/>
      </c>
      <c r="F77" s="106" t="str">
        <f>IF($E77="","",IFERROR(VLOOKUP($E77,Machine_List!$B:$G,6,0),""))</f>
        <v/>
      </c>
      <c r="G77" s="53" t="str">
        <f>IF($E77="","",IFERROR(VLOOKUP($E77,Machine_List!$B:$C,2,0),""))</f>
        <v/>
      </c>
      <c r="H77" s="10" t="str">
        <f>IF($E77="","",IFERROR(VLOOKUP($E77,Machine_List!$B:$D,3,0),""))</f>
        <v/>
      </c>
      <c r="I77" s="54"/>
      <c r="J77" s="55" t="str">
        <f ca="1">IF($A77="","",IF($I77&lt;&gt;"",$I77,MAX(GlobalStartDate,IFERROR(LOOKUP(2,1/($E$3:INDIRECT("E"&amp;(ROW()-1))=$E77),$M$3:INDIRECT("M"&amp;(ROW()-1))),GlobalStartDate))))</f>
        <v/>
      </c>
      <c r="K77" s="10" t="str">
        <f>IF($A77="","",IFERROR(VLOOKUP(B77,CHOOSE(MATCH(C77,Settings!$L$4:$L$10,0),OPR_2P!$A$4:$I$18,SEG_6P!$A$4:$I$18,SOL_4P!$A$4:$I$18,RW_2P!$A$4:$I$18,RW2_4P!$A$4:$I$18,FLAP_4P!$A$4:$I$18,TUBE_4P!$A$4:$I$18),3,0),0))</f>
        <v/>
      </c>
      <c r="L77" s="10" t="str">
        <f t="shared" si="3"/>
        <v/>
      </c>
      <c r="M77" s="55" t="str">
        <f>IF($A77="","",IF(AND(ISNUMBER(G77),G77&gt;=J77,G77&lt;=(J77+(L77/(IF(F77="Contract Workman",Settings!$K$5,Settings!$K$4))))),J77+(L77/(IF(F77="Contract Workman",Settings!$K$5,Settings!$K$4)))+(H77/(IF(F77="Contract Workman",Settings!$K$5,Settings!$K$4))),J77+(L77/(IF(F77="Contract Workman",Settings!$K$5,Settings!$K$4)))))</f>
        <v/>
      </c>
      <c r="N77" s="10" t="str">
        <f t="shared" si="4"/>
        <v/>
      </c>
      <c r="O77" s="51" t="str">
        <f>IF(B77="","", IF(IFERROR(ISNUMBER(SEARCH(B77, VLOOKUP(E77, Machine_List!$B:$J, 9, 0))), FALSE()), "✅ Machine OK", "❌ Sug: " &amp; IFERROR(INDEX(Machine_List!$B$4:$B$50, MATCH("*"&amp;B77&amp;"*", Machine_List!$J$4:$J$50, 0)), "Check Limits")))</f>
        <v/>
      </c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  <c r="AE77" s="52"/>
      <c r="AF77" s="52"/>
      <c r="AG77" s="52"/>
      <c r="AH77" s="52"/>
      <c r="AI77" s="52"/>
      <c r="AJ77" s="52"/>
      <c r="AK77" s="52"/>
      <c r="AL77" s="52"/>
      <c r="AM77" s="52"/>
      <c r="AN77" s="52"/>
      <c r="AO77" s="52"/>
      <c r="AP77" s="52"/>
      <c r="AQ77" s="52"/>
      <c r="AR77" s="52"/>
      <c r="AS77" s="52"/>
      <c r="AT77" s="52"/>
      <c r="AU77" s="52"/>
      <c r="AV77" s="52"/>
      <c r="AW77" s="52"/>
      <c r="AX77" s="52"/>
      <c r="AY77" s="52"/>
      <c r="AZ77" s="52"/>
      <c r="BA77" s="52"/>
      <c r="BB77" s="52"/>
      <c r="BC77" s="52"/>
      <c r="BD77" s="52"/>
      <c r="BE77" s="52"/>
      <c r="BF77" s="52"/>
      <c r="BG77" s="52"/>
      <c r="BH77" s="52"/>
      <c r="BI77" s="52"/>
      <c r="BJ77" s="52"/>
      <c r="BK77" s="52"/>
      <c r="BL77" s="52"/>
      <c r="BM77" s="52"/>
    </row>
    <row r="78" spans="1:65" x14ac:dyDescent="0.3">
      <c r="A78" s="10" t="str">
        <f>IF(Job_Master!A78="","",Job_Master!A78)</f>
        <v/>
      </c>
      <c r="B78" s="10" t="str">
        <f>IF($A78="","",Job_Master!B78)</f>
        <v/>
      </c>
      <c r="C78" s="10" t="str">
        <f>IF($A78="","",Job_Master!C78)</f>
        <v/>
      </c>
      <c r="D78" s="10" t="str">
        <f>IF($A78="","",Job_Master!D78)</f>
        <v/>
      </c>
      <c r="E78" s="48" t="str">
        <f>IF($A78="","",IFERROR(INDEX(Machine_List!$B$14:$B$19,MATCH("*"&amp;$B78&amp;"*",Machine_List!$J$14:$J$19,0)),"NO COMPATIBLE MACHINE"))</f>
        <v/>
      </c>
      <c r="F78" s="106" t="str">
        <f>IF($E78="","",IFERROR(VLOOKUP($E78,Machine_List!$B:$G,6,0),""))</f>
        <v/>
      </c>
      <c r="G78" s="53" t="str">
        <f>IF($E78="","",IFERROR(VLOOKUP($E78,Machine_List!$B:$C,2,0),""))</f>
        <v/>
      </c>
      <c r="H78" s="10" t="str">
        <f>IF($E78="","",IFERROR(VLOOKUP($E78,Machine_List!$B:$D,3,0),""))</f>
        <v/>
      </c>
      <c r="I78" s="54"/>
      <c r="J78" s="55" t="str">
        <f ca="1">IF($A78="","",IF($I78&lt;&gt;"",$I78,MAX(GlobalStartDate,IFERROR(LOOKUP(2,1/($E$3:INDIRECT("E"&amp;(ROW()-1))=$E78),$M$3:INDIRECT("M"&amp;(ROW()-1))),GlobalStartDate))))</f>
        <v/>
      </c>
      <c r="K78" s="10" t="str">
        <f>IF($A78="","",IFERROR(VLOOKUP(B78,CHOOSE(MATCH(C78,Settings!$L$4:$L$10,0),OPR_2P!$A$4:$I$18,SEG_6P!$A$4:$I$18,SOL_4P!$A$4:$I$18,RW_2P!$A$4:$I$18,RW2_4P!$A$4:$I$18,FLAP_4P!$A$4:$I$18,TUBE_4P!$A$4:$I$18),3,0),0))</f>
        <v/>
      </c>
      <c r="L78" s="10" t="str">
        <f t="shared" si="3"/>
        <v/>
      </c>
      <c r="M78" s="55" t="str">
        <f>IF($A78="","",IF(AND(ISNUMBER(G78),G78&gt;=J78,G78&lt;=(J78+(L78/(IF(F78="Contract Workman",Settings!$K$5,Settings!$K$4))))),J78+(L78/(IF(F78="Contract Workman",Settings!$K$5,Settings!$K$4)))+(H78/(IF(F78="Contract Workman",Settings!$K$5,Settings!$K$4))),J78+(L78/(IF(F78="Contract Workman",Settings!$K$5,Settings!$K$4)))))</f>
        <v/>
      </c>
      <c r="N78" s="10" t="str">
        <f t="shared" si="4"/>
        <v/>
      </c>
      <c r="O78" s="51" t="str">
        <f>IF(B78="","", IF(IFERROR(ISNUMBER(SEARCH(B78, VLOOKUP(E78, Machine_List!$B:$J, 9, 0))), FALSE()), "✅ Machine OK", "❌ Sug: " &amp; IFERROR(INDEX(Machine_List!$B$4:$B$50, MATCH("*"&amp;B78&amp;"*", Machine_List!$J$4:$J$50, 0)), "Check Limits")))</f>
        <v/>
      </c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52"/>
      <c r="AG78" s="52"/>
      <c r="AH78" s="52"/>
      <c r="AI78" s="52"/>
      <c r="AJ78" s="52"/>
      <c r="AK78" s="52"/>
      <c r="AL78" s="52"/>
      <c r="AM78" s="52"/>
      <c r="AN78" s="52"/>
      <c r="AO78" s="52"/>
      <c r="AP78" s="52"/>
      <c r="AQ78" s="52"/>
      <c r="AR78" s="52"/>
      <c r="AS78" s="52"/>
      <c r="AT78" s="52"/>
      <c r="AU78" s="52"/>
      <c r="AV78" s="52"/>
      <c r="AW78" s="52"/>
      <c r="AX78" s="52"/>
      <c r="AY78" s="52"/>
      <c r="AZ78" s="52"/>
      <c r="BA78" s="52"/>
      <c r="BB78" s="52"/>
      <c r="BC78" s="52"/>
      <c r="BD78" s="52"/>
      <c r="BE78" s="52"/>
      <c r="BF78" s="52"/>
      <c r="BG78" s="52"/>
      <c r="BH78" s="52"/>
      <c r="BI78" s="52"/>
      <c r="BJ78" s="52"/>
      <c r="BK78" s="52"/>
      <c r="BL78" s="52"/>
      <c r="BM78" s="52"/>
    </row>
    <row r="79" spans="1:65" x14ac:dyDescent="0.3">
      <c r="A79" s="10" t="str">
        <f>IF(Job_Master!A79="","",Job_Master!A79)</f>
        <v/>
      </c>
      <c r="B79" s="10" t="str">
        <f>IF($A79="","",Job_Master!B79)</f>
        <v/>
      </c>
      <c r="C79" s="10" t="str">
        <f>IF($A79="","",Job_Master!C79)</f>
        <v/>
      </c>
      <c r="D79" s="10" t="str">
        <f>IF($A79="","",Job_Master!D79)</f>
        <v/>
      </c>
      <c r="E79" s="48" t="str">
        <f>IF($A79="","",IFERROR(INDEX(Machine_List!$B$14:$B$19,MATCH("*"&amp;$B79&amp;"*",Machine_List!$J$14:$J$19,0)),"NO COMPATIBLE MACHINE"))</f>
        <v/>
      </c>
      <c r="F79" s="106" t="str">
        <f>IF($E79="","",IFERROR(VLOOKUP($E79,Machine_List!$B:$G,6,0),""))</f>
        <v/>
      </c>
      <c r="G79" s="53" t="str">
        <f>IF($E79="","",IFERROR(VLOOKUP($E79,Machine_List!$B:$C,2,0),""))</f>
        <v/>
      </c>
      <c r="H79" s="10" t="str">
        <f>IF($E79="","",IFERROR(VLOOKUP($E79,Machine_List!$B:$D,3,0),""))</f>
        <v/>
      </c>
      <c r="I79" s="54"/>
      <c r="J79" s="55" t="str">
        <f ca="1">IF($A79="","",IF($I79&lt;&gt;"",$I79,MAX(GlobalStartDate,IFERROR(LOOKUP(2,1/($E$3:INDIRECT("E"&amp;(ROW()-1))=$E79),$M$3:INDIRECT("M"&amp;(ROW()-1))),GlobalStartDate))))</f>
        <v/>
      </c>
      <c r="K79" s="10" t="str">
        <f>IF($A79="","",IFERROR(VLOOKUP(B79,CHOOSE(MATCH(C79,Settings!$L$4:$L$10,0),OPR_2P!$A$4:$I$18,SEG_6P!$A$4:$I$18,SOL_4P!$A$4:$I$18,RW_2P!$A$4:$I$18,RW2_4P!$A$4:$I$18,FLAP_4P!$A$4:$I$18,TUBE_4P!$A$4:$I$18),3,0),0))</f>
        <v/>
      </c>
      <c r="L79" s="10" t="str">
        <f t="shared" si="3"/>
        <v/>
      </c>
      <c r="M79" s="55" t="str">
        <f>IF($A79="","",IF(AND(ISNUMBER(G79),G79&gt;=J79,G79&lt;=(J79+(L79/(IF(F79="Contract Workman",Settings!$K$5,Settings!$K$4))))),J79+(L79/(IF(F79="Contract Workman",Settings!$K$5,Settings!$K$4)))+(H79/(IF(F79="Contract Workman",Settings!$K$5,Settings!$K$4))),J79+(L79/(IF(F79="Contract Workman",Settings!$K$5,Settings!$K$4)))))</f>
        <v/>
      </c>
      <c r="N79" s="10" t="str">
        <f t="shared" si="4"/>
        <v/>
      </c>
      <c r="O79" s="51" t="str">
        <f>IF(B79="","", IF(IFERROR(ISNUMBER(SEARCH(B79, VLOOKUP(E79, Machine_List!$B:$J, 9, 0))), FALSE()), "✅ Machine OK", "❌ Sug: " &amp; IFERROR(INDEX(Machine_List!$B$4:$B$50, MATCH("*"&amp;B79&amp;"*", Machine_List!$J$4:$J$50, 0)), "Check Limits")))</f>
        <v/>
      </c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  <c r="AF79" s="52"/>
      <c r="AG79" s="52"/>
      <c r="AH79" s="52"/>
      <c r="AI79" s="52"/>
      <c r="AJ79" s="52"/>
      <c r="AK79" s="52"/>
      <c r="AL79" s="52"/>
      <c r="AM79" s="52"/>
      <c r="AN79" s="52"/>
      <c r="AO79" s="52"/>
      <c r="AP79" s="52"/>
      <c r="AQ79" s="52"/>
      <c r="AR79" s="52"/>
      <c r="AS79" s="52"/>
      <c r="AT79" s="52"/>
      <c r="AU79" s="52"/>
      <c r="AV79" s="52"/>
      <c r="AW79" s="52"/>
      <c r="AX79" s="52"/>
      <c r="AY79" s="52"/>
      <c r="AZ79" s="52"/>
      <c r="BA79" s="52"/>
      <c r="BB79" s="52"/>
      <c r="BC79" s="52"/>
      <c r="BD79" s="52"/>
      <c r="BE79" s="52"/>
      <c r="BF79" s="52"/>
      <c r="BG79" s="52"/>
      <c r="BH79" s="52"/>
      <c r="BI79" s="52"/>
      <c r="BJ79" s="52"/>
      <c r="BK79" s="52"/>
      <c r="BL79" s="52"/>
      <c r="BM79" s="52"/>
    </row>
    <row r="80" spans="1:65" x14ac:dyDescent="0.3">
      <c r="A80" s="10" t="str">
        <f>IF(Job_Master!A80="","",Job_Master!A80)</f>
        <v/>
      </c>
      <c r="B80" s="10" t="str">
        <f>IF($A80="","",Job_Master!B80)</f>
        <v/>
      </c>
      <c r="C80" s="10" t="str">
        <f>IF($A80="","",Job_Master!C80)</f>
        <v/>
      </c>
      <c r="D80" s="10" t="str">
        <f>IF($A80="","",Job_Master!D80)</f>
        <v/>
      </c>
      <c r="E80" s="48" t="str">
        <f>IF($A80="","",IFERROR(INDEX(Machine_List!$B$14:$B$19,MATCH("*"&amp;$B80&amp;"*",Machine_List!$J$14:$J$19,0)),"NO COMPATIBLE MACHINE"))</f>
        <v/>
      </c>
      <c r="F80" s="106" t="str">
        <f>IF($E80="","",IFERROR(VLOOKUP($E80,Machine_List!$B:$G,6,0),""))</f>
        <v/>
      </c>
      <c r="G80" s="53" t="str">
        <f>IF($E80="","",IFERROR(VLOOKUP($E80,Machine_List!$B:$C,2,0),""))</f>
        <v/>
      </c>
      <c r="H80" s="10" t="str">
        <f>IF($E80="","",IFERROR(VLOOKUP($E80,Machine_List!$B:$D,3,0),""))</f>
        <v/>
      </c>
      <c r="I80" s="54"/>
      <c r="J80" s="55" t="str">
        <f ca="1">IF($A80="","",IF($I80&lt;&gt;"",$I80,MAX(GlobalStartDate,IFERROR(LOOKUP(2,1/($E$3:INDIRECT("E"&amp;(ROW()-1))=$E80),$M$3:INDIRECT("M"&amp;(ROW()-1))),GlobalStartDate))))</f>
        <v/>
      </c>
      <c r="K80" s="10" t="str">
        <f>IF($A80="","",IFERROR(VLOOKUP(B80,CHOOSE(MATCH(C80,Settings!$L$4:$L$10,0),OPR_2P!$A$4:$I$18,SEG_6P!$A$4:$I$18,SOL_4P!$A$4:$I$18,RW_2P!$A$4:$I$18,RW2_4P!$A$4:$I$18,FLAP_4P!$A$4:$I$18,TUBE_4P!$A$4:$I$18),3,0),0))</f>
        <v/>
      </c>
      <c r="L80" s="10" t="str">
        <f t="shared" si="3"/>
        <v/>
      </c>
      <c r="M80" s="55" t="str">
        <f>IF($A80="","",IF(AND(ISNUMBER(G80),G80&gt;=J80,G80&lt;=(J80+(L80/(IF(F80="Contract Workman",Settings!$K$5,Settings!$K$4))))),J80+(L80/(IF(F80="Contract Workman",Settings!$K$5,Settings!$K$4)))+(H80/(IF(F80="Contract Workman",Settings!$K$5,Settings!$K$4))),J80+(L80/(IF(F80="Contract Workman",Settings!$K$5,Settings!$K$4)))))</f>
        <v/>
      </c>
      <c r="N80" s="10" t="str">
        <f t="shared" si="4"/>
        <v/>
      </c>
      <c r="O80" s="51" t="str">
        <f>IF(B80="","", IF(IFERROR(ISNUMBER(SEARCH(B80, VLOOKUP(E80, Machine_List!$B:$J, 9, 0))), FALSE()), "✅ Machine OK", "❌ Sug: " &amp; IFERROR(INDEX(Machine_List!$B$4:$B$50, MATCH("*"&amp;B80&amp;"*", Machine_List!$J$4:$J$50, 0)), "Check Limits")))</f>
        <v/>
      </c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  <c r="AE80" s="52"/>
      <c r="AF80" s="52"/>
      <c r="AG80" s="52"/>
      <c r="AH80" s="52"/>
      <c r="AI80" s="52"/>
      <c r="AJ80" s="52"/>
      <c r="AK80" s="52"/>
      <c r="AL80" s="52"/>
      <c r="AM80" s="52"/>
      <c r="AN80" s="52"/>
      <c r="AO80" s="52"/>
      <c r="AP80" s="52"/>
      <c r="AQ80" s="52"/>
      <c r="AR80" s="52"/>
      <c r="AS80" s="52"/>
      <c r="AT80" s="52"/>
      <c r="AU80" s="52"/>
      <c r="AV80" s="52"/>
      <c r="AW80" s="52"/>
      <c r="AX80" s="52"/>
      <c r="AY80" s="52"/>
      <c r="AZ80" s="52"/>
      <c r="BA80" s="52"/>
      <c r="BB80" s="52"/>
      <c r="BC80" s="52"/>
      <c r="BD80" s="52"/>
      <c r="BE80" s="52"/>
      <c r="BF80" s="52"/>
      <c r="BG80" s="52"/>
      <c r="BH80" s="52"/>
      <c r="BI80" s="52"/>
      <c r="BJ80" s="52"/>
      <c r="BK80" s="52"/>
      <c r="BL80" s="52"/>
      <c r="BM80" s="52"/>
    </row>
    <row r="81" spans="1:65" ht="15" customHeight="1" x14ac:dyDescent="0.3">
      <c r="A81" s="10" t="str">
        <f>IF(Job_Master!A81="","",Job_Master!A81)</f>
        <v/>
      </c>
      <c r="B81" s="10" t="str">
        <f>IF($A81="","",Job_Master!B81)</f>
        <v/>
      </c>
      <c r="C81" s="10" t="str">
        <f>IF($A81="","",Job_Master!C81)</f>
        <v/>
      </c>
      <c r="D81" s="10" t="str">
        <f>IF($A81="","",Job_Master!D81)</f>
        <v/>
      </c>
      <c r="E81" s="48" t="str">
        <f>IF($A81="","",IFERROR(INDEX(Machine_List!$B$14:$B$19,MATCH("*"&amp;$B81&amp;"*",Machine_List!$J$14:$J$19,0)),"NO COMPATIBLE MACHINE"))</f>
        <v/>
      </c>
      <c r="F81" s="106" t="str">
        <f>IF($E81="","",IFERROR(VLOOKUP($E81,Machine_List!$B:$G,6,0),""))</f>
        <v/>
      </c>
      <c r="G81" s="53" t="str">
        <f>IF($E81="","",IFERROR(VLOOKUP($E81,Machine_List!$B:$C,2,0),""))</f>
        <v/>
      </c>
      <c r="H81" s="10" t="str">
        <f>IF($E81="","",IFERROR(VLOOKUP($E81,Machine_List!$B:$D,3,0),""))</f>
        <v/>
      </c>
      <c r="I81" s="54"/>
      <c r="J81" s="55" t="str">
        <f ca="1">IF($A81="","",IF($I81&lt;&gt;"",$I81,MAX(GlobalStartDate,IFERROR(LOOKUP(2,1/($E$3:INDIRECT("E"&amp;(ROW()-1))=$E81),$M$3:INDIRECT("M"&amp;(ROW()-1))),GlobalStartDate))))</f>
        <v/>
      </c>
      <c r="K81" s="10" t="str">
        <f>IF($A81="","",IFERROR(VLOOKUP(B81,CHOOSE(MATCH(C81,Settings!$L$4:$L$10,0),OPR_2P!$A$4:$I$18,SEG_6P!$A$4:$I$18,SOL_4P!$A$4:$I$18,RW_2P!$A$4:$I$18,RW2_4P!$A$4:$I$18,FLAP_4P!$A$4:$I$18,TUBE_4P!$A$4:$I$18),3,0),0))</f>
        <v/>
      </c>
      <c r="L81" s="10" t="str">
        <f t="shared" si="3"/>
        <v/>
      </c>
      <c r="M81" s="55" t="str">
        <f>IF($A81="","",IF(AND(ISNUMBER(G81),G81&gt;=J81,G81&lt;=(J81+(L81/(IF(F81="Contract Workman",Settings!$K$5,Settings!$K$4))))),J81+(L81/(IF(F81="Contract Workman",Settings!$K$5,Settings!$K$4)))+(H81/(IF(F81="Contract Workman",Settings!$K$5,Settings!$K$4))),J81+(L81/(IF(F81="Contract Workman",Settings!$K$5,Settings!$K$4)))))</f>
        <v/>
      </c>
      <c r="N81" s="10" t="str">
        <f t="shared" si="4"/>
        <v/>
      </c>
      <c r="O81" s="51" t="str">
        <f>IF(B81="","", IF(IFERROR(ISNUMBER(SEARCH(B81, VLOOKUP(E81, Machine_List!$B:$J, 9, 0))), FALSE()), "✅ Machine OK", "❌ Sug: " &amp; IFERROR(INDEX(Machine_List!$B$4:$B$50, MATCH("*"&amp;B81&amp;"*", Machine_List!$J$4:$J$50, 0)), "Check Limits")))</f>
        <v/>
      </c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  <c r="AE81" s="52"/>
      <c r="AF81" s="52"/>
      <c r="AG81" s="52"/>
      <c r="AH81" s="52"/>
      <c r="AI81" s="52"/>
      <c r="AJ81" s="52"/>
      <c r="AK81" s="52"/>
      <c r="AL81" s="52"/>
      <c r="AM81" s="52"/>
      <c r="AN81" s="52"/>
      <c r="AO81" s="52"/>
      <c r="AP81" s="52"/>
      <c r="AQ81" s="52"/>
      <c r="AR81" s="52"/>
      <c r="AS81" s="52"/>
      <c r="AT81" s="52"/>
      <c r="AU81" s="52"/>
      <c r="AV81" s="52"/>
      <c r="AW81" s="52"/>
      <c r="AX81" s="52"/>
      <c r="AY81" s="52"/>
      <c r="AZ81" s="52"/>
      <c r="BA81" s="52"/>
      <c r="BB81" s="52"/>
      <c r="BC81" s="52"/>
      <c r="BD81" s="52"/>
      <c r="BE81" s="52"/>
      <c r="BF81" s="52"/>
      <c r="BG81" s="52"/>
      <c r="BH81" s="52"/>
      <c r="BI81" s="52"/>
      <c r="BJ81" s="52"/>
      <c r="BK81" s="52"/>
      <c r="BL81" s="52"/>
      <c r="BM81" s="52"/>
    </row>
    <row r="82" spans="1:65" ht="15" customHeight="1" x14ac:dyDescent="0.3">
      <c r="A82" s="10" t="str">
        <f>IF(Job_Master!A82="","",Job_Master!A82)</f>
        <v/>
      </c>
      <c r="B82" s="10" t="str">
        <f>IF($A82="","",Job_Master!B82)</f>
        <v/>
      </c>
      <c r="C82" s="10" t="str">
        <f>IF($A82="","",Job_Master!C82)</f>
        <v/>
      </c>
      <c r="D82" s="10" t="str">
        <f>IF($A82="","",Job_Master!D82)</f>
        <v/>
      </c>
      <c r="E82" s="48" t="str">
        <f>IF($A82="","",IFERROR(INDEX(Machine_List!$B$14:$B$19,MATCH("*"&amp;$B82&amp;"*",Machine_List!$J$14:$J$19,0)),"NO COMPATIBLE MACHINE"))</f>
        <v/>
      </c>
      <c r="F82" s="106" t="str">
        <f>IF($E82="","",IFERROR(VLOOKUP($E82,Machine_List!$B:$G,6,0),""))</f>
        <v/>
      </c>
      <c r="G82" s="53" t="str">
        <f>IF($E82="","",IFERROR(VLOOKUP($E82,Machine_List!$B:$C,2,0),""))</f>
        <v/>
      </c>
      <c r="H82" s="10" t="str">
        <f>IF($E82="","",IFERROR(VLOOKUP($E82,Machine_List!$B:$D,3,0),""))</f>
        <v/>
      </c>
      <c r="I82" s="54"/>
      <c r="J82" s="55" t="str">
        <f ca="1">IF($A82="","",IF($I82&lt;&gt;"",$I82,MAX(GlobalStartDate,IFERROR(LOOKUP(2,1/($E$3:INDIRECT("E"&amp;(ROW()-1))=$E82),$M$3:INDIRECT("M"&amp;(ROW()-1))),GlobalStartDate))))</f>
        <v/>
      </c>
      <c r="K82" s="10" t="str">
        <f>IF($A82="","",IFERROR(VLOOKUP(B82,CHOOSE(MATCH(C82,Settings!$L$4:$L$10,0),OPR_2P!$A$4:$I$18,SEG_6P!$A$4:$I$18,SOL_4P!$A$4:$I$18,RW_2P!$A$4:$I$18,RW2_4P!$A$4:$I$18,FLAP_4P!$A$4:$I$18,TUBE_4P!$A$4:$I$18),3,0),0))</f>
        <v/>
      </c>
      <c r="L82" s="10" t="str">
        <f t="shared" si="3"/>
        <v/>
      </c>
      <c r="M82" s="55" t="str">
        <f>IF($A82="","",IF(AND(ISNUMBER(G82),G82&gt;=J82,G82&lt;=(J82+(L82/(IF(F82="Contract Workman",Settings!$K$5,Settings!$K$4))))),J82+(L82/(IF(F82="Contract Workman",Settings!$K$5,Settings!$K$4)))+(H82/(IF(F82="Contract Workman",Settings!$K$5,Settings!$K$4))),J82+(L82/(IF(F82="Contract Workman",Settings!$K$5,Settings!$K$4)))))</f>
        <v/>
      </c>
      <c r="N82" s="10" t="str">
        <f t="shared" si="4"/>
        <v/>
      </c>
      <c r="O82" s="51" t="str">
        <f>IF(B82="","", IF(IFERROR(ISNUMBER(SEARCH(B82, VLOOKUP(E82, Machine_List!$B:$J, 9, 0))), FALSE()), "✅ Machine OK", "❌ Sug: " &amp; IFERROR(INDEX(Machine_List!$B$4:$B$50, MATCH("*"&amp;B82&amp;"*", Machine_List!$J$4:$J$50, 0)), "Check Limits")))</f>
        <v/>
      </c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  <c r="AE82" s="52"/>
      <c r="AF82" s="52"/>
      <c r="AG82" s="52"/>
      <c r="AH82" s="52"/>
      <c r="AI82" s="52"/>
      <c r="AJ82" s="52"/>
      <c r="AK82" s="52"/>
      <c r="AL82" s="52"/>
      <c r="AM82" s="52"/>
      <c r="AN82" s="52"/>
      <c r="AO82" s="52"/>
      <c r="AP82" s="52"/>
      <c r="AQ82" s="52"/>
      <c r="AR82" s="52"/>
      <c r="AS82" s="52"/>
      <c r="AT82" s="52"/>
      <c r="AU82" s="52"/>
      <c r="AV82" s="52"/>
      <c r="AW82" s="52"/>
      <c r="AX82" s="52"/>
      <c r="AY82" s="52"/>
      <c r="AZ82" s="52"/>
      <c r="BA82" s="52"/>
      <c r="BB82" s="52"/>
      <c r="BC82" s="52"/>
      <c r="BD82" s="52"/>
      <c r="BE82" s="52"/>
      <c r="BF82" s="52"/>
      <c r="BG82" s="52"/>
      <c r="BH82" s="52"/>
      <c r="BI82" s="52"/>
      <c r="BJ82" s="52"/>
      <c r="BK82" s="52"/>
      <c r="BL82" s="52"/>
      <c r="BM82" s="52"/>
    </row>
    <row r="83" spans="1:65" ht="15" customHeight="1" x14ac:dyDescent="0.3">
      <c r="A83" s="10" t="str">
        <f>IF(Job_Master!A83="","",Job_Master!A83)</f>
        <v/>
      </c>
      <c r="B83" s="10" t="str">
        <f>IF($A83="","",Job_Master!B83)</f>
        <v/>
      </c>
      <c r="C83" s="10" t="str">
        <f>IF($A83="","",Job_Master!C83)</f>
        <v/>
      </c>
      <c r="D83" s="10" t="str">
        <f>IF($A83="","",Job_Master!D83)</f>
        <v/>
      </c>
      <c r="E83" s="48" t="str">
        <f>IF($A83="","",IFERROR(INDEX(Machine_List!$B$14:$B$19,MATCH("*"&amp;$B83&amp;"*",Machine_List!$J$14:$J$19,0)),"NO COMPATIBLE MACHINE"))</f>
        <v/>
      </c>
      <c r="F83" s="106" t="str">
        <f>IF($E83="","",IFERROR(VLOOKUP($E83,Machine_List!$B:$G,6,0),""))</f>
        <v/>
      </c>
      <c r="G83" s="53" t="str">
        <f>IF($E83="","",IFERROR(VLOOKUP($E83,Machine_List!$B:$C,2,0),""))</f>
        <v/>
      </c>
      <c r="H83" s="10" t="str">
        <f>IF($E83="","",IFERROR(VLOOKUP($E83,Machine_List!$B:$D,3,0),""))</f>
        <v/>
      </c>
      <c r="I83" s="54"/>
      <c r="J83" s="55" t="str">
        <f ca="1">IF($A83="","",IF($I83&lt;&gt;"",$I83,MAX(GlobalStartDate,IFERROR(LOOKUP(2,1/($E$3:INDIRECT("E"&amp;(ROW()-1))=$E83),$M$3:INDIRECT("M"&amp;(ROW()-1))),GlobalStartDate))))</f>
        <v/>
      </c>
      <c r="K83" s="10" t="str">
        <f>IF($A83="","",IFERROR(VLOOKUP(B83,CHOOSE(MATCH(C83,Settings!$L$4:$L$10,0),OPR_2P!$A$4:$I$18,SEG_6P!$A$4:$I$18,SOL_4P!$A$4:$I$18,RW_2P!$A$4:$I$18,RW2_4P!$A$4:$I$18,FLAP_4P!$A$4:$I$18,TUBE_4P!$A$4:$I$18),3,0),0))</f>
        <v/>
      </c>
      <c r="L83" s="10" t="str">
        <f t="shared" si="3"/>
        <v/>
      </c>
      <c r="M83" s="55" t="str">
        <f>IF($A83="","",IF(AND(ISNUMBER(G83),G83&gt;=J83,G83&lt;=(J83+(L83/(IF(F83="Contract Workman",Settings!$K$5,Settings!$K$4))))),J83+(L83/(IF(F83="Contract Workman",Settings!$K$5,Settings!$K$4)))+(H83/(IF(F83="Contract Workman",Settings!$K$5,Settings!$K$4))),J83+(L83/(IF(F83="Contract Workman",Settings!$K$5,Settings!$K$4)))))</f>
        <v/>
      </c>
      <c r="N83" s="10" t="str">
        <f t="shared" si="4"/>
        <v/>
      </c>
      <c r="O83" s="51" t="str">
        <f>IF(B83="","", IF(IFERROR(ISNUMBER(SEARCH(B83, VLOOKUP(E83, Machine_List!$B:$J, 9, 0))), FALSE()), "✅ Machine OK", "❌ Sug: " &amp; IFERROR(INDEX(Machine_List!$B$4:$B$50, MATCH("*"&amp;B83&amp;"*", Machine_List!$J$4:$J$50, 0)), "Check Limits")))</f>
        <v/>
      </c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2"/>
      <c r="AE83" s="52"/>
      <c r="AF83" s="52"/>
      <c r="AG83" s="52"/>
      <c r="AH83" s="52"/>
      <c r="AI83" s="52"/>
      <c r="AJ83" s="52"/>
      <c r="AK83" s="52"/>
      <c r="AL83" s="52"/>
      <c r="AM83" s="52"/>
      <c r="AN83" s="52"/>
      <c r="AO83" s="52"/>
      <c r="AP83" s="52"/>
      <c r="AQ83" s="52"/>
      <c r="AR83" s="52"/>
      <c r="AS83" s="52"/>
      <c r="AT83" s="52"/>
      <c r="AU83" s="52"/>
      <c r="AV83" s="52"/>
      <c r="AW83" s="52"/>
      <c r="AX83" s="52"/>
      <c r="AY83" s="52"/>
      <c r="AZ83" s="52"/>
      <c r="BA83" s="52"/>
      <c r="BB83" s="52"/>
      <c r="BC83" s="52"/>
      <c r="BD83" s="52"/>
      <c r="BE83" s="52"/>
      <c r="BF83" s="52"/>
      <c r="BG83" s="52"/>
      <c r="BH83" s="52"/>
      <c r="BI83" s="52"/>
      <c r="BJ83" s="52"/>
      <c r="BK83" s="52"/>
      <c r="BL83" s="52"/>
      <c r="BM83" s="52"/>
    </row>
    <row r="84" spans="1:65" ht="15" customHeight="1" x14ac:dyDescent="0.3">
      <c r="A84" s="10" t="str">
        <f>IF(Job_Master!A84="","",Job_Master!A84)</f>
        <v/>
      </c>
      <c r="B84" s="10" t="str">
        <f>IF($A84="","",Job_Master!B84)</f>
        <v/>
      </c>
      <c r="C84" s="10" t="str">
        <f>IF($A84="","",Job_Master!C84)</f>
        <v/>
      </c>
      <c r="D84" s="10" t="str">
        <f>IF($A84="","",Job_Master!D84)</f>
        <v/>
      </c>
      <c r="E84" s="48" t="str">
        <f>IF($A84="","",IFERROR(INDEX(Machine_List!$B$14:$B$19,MATCH("*"&amp;$B84&amp;"*",Machine_List!$J$14:$J$19,0)),"NO COMPATIBLE MACHINE"))</f>
        <v/>
      </c>
      <c r="F84" s="106" t="str">
        <f>IF($E84="","",IFERROR(VLOOKUP($E84,Machine_List!$B:$G,6,0),""))</f>
        <v/>
      </c>
      <c r="G84" s="53" t="str">
        <f>IF($E84="","",IFERROR(VLOOKUP($E84,Machine_List!$B:$C,2,0),""))</f>
        <v/>
      </c>
      <c r="H84" s="10" t="str">
        <f>IF($E84="","",IFERROR(VLOOKUP($E84,Machine_List!$B:$D,3,0),""))</f>
        <v/>
      </c>
      <c r="I84" s="54"/>
      <c r="J84" s="55" t="str">
        <f ca="1">IF($A84="","",IF($I84&lt;&gt;"",$I84,MAX(GlobalStartDate,IFERROR(LOOKUP(2,1/($E$3:INDIRECT("E"&amp;(ROW()-1))=$E84),$M$3:INDIRECT("M"&amp;(ROW()-1))),GlobalStartDate))))</f>
        <v/>
      </c>
      <c r="K84" s="10" t="str">
        <f>IF($A84="","",IFERROR(VLOOKUP(B84,CHOOSE(MATCH(C84,Settings!$L$4:$L$10,0),OPR_2P!$A$4:$I$18,SEG_6P!$A$4:$I$18,SOL_4P!$A$4:$I$18,RW_2P!$A$4:$I$18,RW2_4P!$A$4:$I$18,FLAP_4P!$A$4:$I$18,TUBE_4P!$A$4:$I$18),3,0),0))</f>
        <v/>
      </c>
      <c r="L84" s="10" t="str">
        <f t="shared" si="3"/>
        <v/>
      </c>
      <c r="M84" s="55" t="str">
        <f>IF($A84="","",IF(AND(ISNUMBER(G84),G84&gt;=J84,G84&lt;=(J84+(L84/(IF(F84="Contract Workman",Settings!$K$5,Settings!$K$4))))),J84+(L84/(IF(F84="Contract Workman",Settings!$K$5,Settings!$K$4)))+(H84/(IF(F84="Contract Workman",Settings!$K$5,Settings!$K$4))),J84+(L84/(IF(F84="Contract Workman",Settings!$K$5,Settings!$K$4)))))</f>
        <v/>
      </c>
      <c r="N84" s="10" t="str">
        <f t="shared" si="4"/>
        <v/>
      </c>
      <c r="O84" s="51" t="str">
        <f>IF(B84="","", IF(IFERROR(ISNUMBER(SEARCH(B84, VLOOKUP(E84, Machine_List!$B:$J, 9, 0))), FALSE()), "✅ Machine OK", "❌ Sug: " &amp; IFERROR(INDEX(Machine_List!$B$4:$B$50, MATCH("*"&amp;B84&amp;"*", Machine_List!$J$4:$J$50, 0)), "Check Limits")))</f>
        <v/>
      </c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52"/>
      <c r="AJ84" s="52"/>
      <c r="AK84" s="52"/>
      <c r="AL84" s="52"/>
      <c r="AM84" s="52"/>
      <c r="AN84" s="52"/>
      <c r="AO84" s="52"/>
      <c r="AP84" s="52"/>
      <c r="AQ84" s="52"/>
      <c r="AR84" s="52"/>
      <c r="AS84" s="52"/>
      <c r="AT84" s="52"/>
      <c r="AU84" s="52"/>
      <c r="AV84" s="52"/>
      <c r="AW84" s="52"/>
      <c r="AX84" s="52"/>
      <c r="AY84" s="52"/>
      <c r="AZ84" s="52"/>
      <c r="BA84" s="52"/>
      <c r="BB84" s="52"/>
      <c r="BC84" s="52"/>
      <c r="BD84" s="52"/>
      <c r="BE84" s="52"/>
      <c r="BF84" s="52"/>
      <c r="BG84" s="52"/>
      <c r="BH84" s="52"/>
      <c r="BI84" s="52"/>
      <c r="BJ84" s="52"/>
      <c r="BK84" s="52"/>
      <c r="BL84" s="52"/>
      <c r="BM84" s="52"/>
    </row>
    <row r="85" spans="1:65" ht="15" customHeight="1" x14ac:dyDescent="0.3">
      <c r="A85" s="10" t="str">
        <f>IF(Job_Master!A85="","",Job_Master!A85)</f>
        <v/>
      </c>
      <c r="B85" s="10" t="str">
        <f>IF($A85="","",Job_Master!B85)</f>
        <v/>
      </c>
      <c r="C85" s="10" t="str">
        <f>IF($A85="","",Job_Master!C85)</f>
        <v/>
      </c>
      <c r="D85" s="10" t="str">
        <f>IF($A85="","",Job_Master!D85)</f>
        <v/>
      </c>
      <c r="E85" s="48" t="str">
        <f>IF($A85="","",IFERROR(INDEX(Machine_List!$B$14:$B$19,MATCH("*"&amp;$B85&amp;"*",Machine_List!$J$14:$J$19,0)),"NO COMPATIBLE MACHINE"))</f>
        <v/>
      </c>
      <c r="F85" s="106" t="str">
        <f>IF($E85="","",IFERROR(VLOOKUP($E85,Machine_List!$B:$G,6,0),""))</f>
        <v/>
      </c>
      <c r="G85" s="53" t="str">
        <f>IF($E85="","",IFERROR(VLOOKUP($E85,Machine_List!$B:$C,2,0),""))</f>
        <v/>
      </c>
      <c r="H85" s="10" t="str">
        <f>IF($E85="","",IFERROR(VLOOKUP($E85,Machine_List!$B:$D,3,0),""))</f>
        <v/>
      </c>
      <c r="I85" s="54"/>
      <c r="J85" s="55" t="str">
        <f ca="1">IF($A85="","",IF($I85&lt;&gt;"",$I85,MAX(GlobalStartDate,IFERROR(LOOKUP(2,1/($E$3:INDIRECT("E"&amp;(ROW()-1))=$E85),$M$3:INDIRECT("M"&amp;(ROW()-1))),GlobalStartDate))))</f>
        <v/>
      </c>
      <c r="K85" s="10" t="str">
        <f>IF($A85="","",IFERROR(VLOOKUP(B85,CHOOSE(MATCH(C85,Settings!$L$4:$L$10,0),OPR_2P!$A$4:$I$18,SEG_6P!$A$4:$I$18,SOL_4P!$A$4:$I$18,RW_2P!$A$4:$I$18,RW2_4P!$A$4:$I$18,FLAP_4P!$A$4:$I$18,TUBE_4P!$A$4:$I$18),3,0),0))</f>
        <v/>
      </c>
      <c r="L85" s="10" t="str">
        <f t="shared" si="3"/>
        <v/>
      </c>
      <c r="M85" s="55" t="str">
        <f>IF($A85="","",IF(AND(ISNUMBER(G85),G85&gt;=J85,G85&lt;=(J85+(L85/(IF(F85="Contract Workman",Settings!$K$5,Settings!$K$4))))),J85+(L85/(IF(F85="Contract Workman",Settings!$K$5,Settings!$K$4)))+(H85/(IF(F85="Contract Workman",Settings!$K$5,Settings!$K$4))),J85+(L85/(IF(F85="Contract Workman",Settings!$K$5,Settings!$K$4)))))</f>
        <v/>
      </c>
      <c r="N85" s="10" t="str">
        <f t="shared" si="4"/>
        <v/>
      </c>
      <c r="O85" s="51" t="str">
        <f>IF(B85="","", IF(IFERROR(ISNUMBER(SEARCH(B85, VLOOKUP(E85, Machine_List!$B:$J, 9, 0))), FALSE()), "✅ Machine OK", "❌ Sug: " &amp; IFERROR(INDEX(Machine_List!$B$4:$B$50, MATCH("*"&amp;B85&amp;"*", Machine_List!$J$4:$J$50, 0)), "Check Limits")))</f>
        <v/>
      </c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52"/>
      <c r="AG85" s="52"/>
      <c r="AH85" s="52"/>
      <c r="AI85" s="52"/>
      <c r="AJ85" s="52"/>
      <c r="AK85" s="52"/>
      <c r="AL85" s="52"/>
      <c r="AM85" s="52"/>
      <c r="AN85" s="52"/>
      <c r="AO85" s="52"/>
      <c r="AP85" s="52"/>
      <c r="AQ85" s="52"/>
      <c r="AR85" s="52"/>
      <c r="AS85" s="52"/>
      <c r="AT85" s="52"/>
      <c r="AU85" s="52"/>
      <c r="AV85" s="52"/>
      <c r="AW85" s="52"/>
      <c r="AX85" s="52"/>
      <c r="AY85" s="52"/>
      <c r="AZ85" s="52"/>
      <c r="BA85" s="52"/>
      <c r="BB85" s="52"/>
      <c r="BC85" s="52"/>
      <c r="BD85" s="52"/>
      <c r="BE85" s="52"/>
      <c r="BF85" s="52"/>
      <c r="BG85" s="52"/>
      <c r="BH85" s="52"/>
      <c r="BI85" s="52"/>
      <c r="BJ85" s="52"/>
      <c r="BK85" s="52"/>
      <c r="BL85" s="52"/>
      <c r="BM85" s="52"/>
    </row>
    <row r="86" spans="1:65" ht="15" customHeight="1" x14ac:dyDescent="0.3">
      <c r="A86" s="10" t="str">
        <f>IF(Job_Master!A86="","",Job_Master!A86)</f>
        <v/>
      </c>
      <c r="B86" s="10" t="str">
        <f>IF($A86="","",Job_Master!B86)</f>
        <v/>
      </c>
      <c r="C86" s="10" t="str">
        <f>IF($A86="","",Job_Master!C86)</f>
        <v/>
      </c>
      <c r="D86" s="10" t="str">
        <f>IF($A86="","",Job_Master!D86)</f>
        <v/>
      </c>
      <c r="E86" s="48" t="str">
        <f>IF($A86="","",IFERROR(INDEX(Machine_List!$B$14:$B$19,MATCH("*"&amp;$B86&amp;"*",Machine_List!$J$14:$J$19,0)),"NO COMPATIBLE MACHINE"))</f>
        <v/>
      </c>
      <c r="F86" s="106" t="str">
        <f>IF($E86="","",IFERROR(VLOOKUP($E86,Machine_List!$B:$G,6,0),""))</f>
        <v/>
      </c>
      <c r="G86" s="53" t="str">
        <f>IF($E86="","",IFERROR(VLOOKUP($E86,Machine_List!$B:$C,2,0),""))</f>
        <v/>
      </c>
      <c r="H86" s="10" t="str">
        <f>IF($E86="","",IFERROR(VLOOKUP($E86,Machine_List!$B:$D,3,0),""))</f>
        <v/>
      </c>
      <c r="I86" s="54"/>
      <c r="J86" s="55" t="str">
        <f ca="1">IF($A86="","",IF($I86&lt;&gt;"",$I86,MAX(GlobalStartDate,IFERROR(LOOKUP(2,1/($E$3:INDIRECT("E"&amp;(ROW()-1))=$E86),$M$3:INDIRECT("M"&amp;(ROW()-1))),GlobalStartDate))))</f>
        <v/>
      </c>
      <c r="K86" s="10" t="str">
        <f>IF($A86="","",IFERROR(VLOOKUP(B86,CHOOSE(MATCH(C86,Settings!$L$4:$L$10,0),OPR_2P!$A$4:$I$18,SEG_6P!$A$4:$I$18,SOL_4P!$A$4:$I$18,RW_2P!$A$4:$I$18,RW2_4P!$A$4:$I$18,FLAP_4P!$A$4:$I$18,TUBE_4P!$A$4:$I$18),3,0),0))</f>
        <v/>
      </c>
      <c r="L86" s="10" t="str">
        <f t="shared" si="3"/>
        <v/>
      </c>
      <c r="M86" s="55" t="str">
        <f>IF($A86="","",IF(AND(ISNUMBER(G86),G86&gt;=J86,G86&lt;=(J86+(L86/(IF(F86="Contract Workman",Settings!$K$5,Settings!$K$4))))),J86+(L86/(IF(F86="Contract Workman",Settings!$K$5,Settings!$K$4)))+(H86/(IF(F86="Contract Workman",Settings!$K$5,Settings!$K$4))),J86+(L86/(IF(F86="Contract Workman",Settings!$K$5,Settings!$K$4)))))</f>
        <v/>
      </c>
      <c r="N86" s="10" t="str">
        <f t="shared" si="4"/>
        <v/>
      </c>
      <c r="O86" s="51" t="str">
        <f>IF(B86="","", IF(IFERROR(ISNUMBER(SEARCH(B86, VLOOKUP(E86, Machine_List!$B:$J, 9, 0))), FALSE()), "✅ Machine OK", "❌ Sug: " &amp; IFERROR(INDEX(Machine_List!$B$4:$B$50, MATCH("*"&amp;B86&amp;"*", Machine_List!$J$4:$J$50, 0)), "Check Limits")))</f>
        <v/>
      </c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2"/>
      <c r="AD86" s="52"/>
      <c r="AE86" s="52"/>
      <c r="AF86" s="52"/>
      <c r="AG86" s="52"/>
      <c r="AH86" s="52"/>
      <c r="AI86" s="52"/>
      <c r="AJ86" s="52"/>
      <c r="AK86" s="52"/>
      <c r="AL86" s="52"/>
      <c r="AM86" s="52"/>
      <c r="AN86" s="52"/>
      <c r="AO86" s="52"/>
      <c r="AP86" s="52"/>
      <c r="AQ86" s="52"/>
      <c r="AR86" s="52"/>
      <c r="AS86" s="52"/>
      <c r="AT86" s="52"/>
      <c r="AU86" s="52"/>
      <c r="AV86" s="52"/>
      <c r="AW86" s="52"/>
      <c r="AX86" s="52"/>
      <c r="AY86" s="52"/>
      <c r="AZ86" s="52"/>
      <c r="BA86" s="52"/>
      <c r="BB86" s="52"/>
      <c r="BC86" s="52"/>
      <c r="BD86" s="52"/>
      <c r="BE86" s="52"/>
      <c r="BF86" s="52"/>
      <c r="BG86" s="52"/>
      <c r="BH86" s="52"/>
      <c r="BI86" s="52"/>
      <c r="BJ86" s="52"/>
      <c r="BK86" s="52"/>
      <c r="BL86" s="52"/>
      <c r="BM86" s="52"/>
    </row>
    <row r="87" spans="1:65" ht="15" customHeight="1" x14ac:dyDescent="0.3">
      <c r="A87" s="10" t="str">
        <f>IF(Job_Master!A87="","",Job_Master!A87)</f>
        <v/>
      </c>
      <c r="B87" s="10" t="str">
        <f>IF($A87="","",Job_Master!B87)</f>
        <v/>
      </c>
      <c r="C87" s="10" t="str">
        <f>IF($A87="","",Job_Master!C87)</f>
        <v/>
      </c>
      <c r="D87" s="10" t="str">
        <f>IF($A87="","",Job_Master!D87)</f>
        <v/>
      </c>
      <c r="E87" s="48" t="str">
        <f>IF($A87="","",IFERROR(INDEX(Machine_List!$B$14:$B$19,MATCH("*"&amp;$B87&amp;"*",Machine_List!$J$14:$J$19,0)),"NO COMPATIBLE MACHINE"))</f>
        <v/>
      </c>
      <c r="F87" s="106" t="str">
        <f>IF($E87="","",IFERROR(VLOOKUP($E87,Machine_List!$B:$G,6,0),""))</f>
        <v/>
      </c>
      <c r="G87" s="53" t="str">
        <f>IF($E87="","",IFERROR(VLOOKUP($E87,Machine_List!$B:$C,2,0),""))</f>
        <v/>
      </c>
      <c r="H87" s="10" t="str">
        <f>IF($E87="","",IFERROR(VLOOKUP($E87,Machine_List!$B:$D,3,0),""))</f>
        <v/>
      </c>
      <c r="I87" s="54"/>
      <c r="J87" s="55" t="str">
        <f ca="1">IF($A87="","",IF($I87&lt;&gt;"",$I87,MAX(GlobalStartDate,IFERROR(LOOKUP(2,1/($E$3:INDIRECT("E"&amp;(ROW()-1))=$E87),$M$3:INDIRECT("M"&amp;(ROW()-1))),GlobalStartDate))))</f>
        <v/>
      </c>
      <c r="K87" s="10" t="str">
        <f>IF($A87="","",IFERROR(VLOOKUP(B87,CHOOSE(MATCH(C87,Settings!$L$4:$L$10,0),OPR_2P!$A$4:$I$18,SEG_6P!$A$4:$I$18,SOL_4P!$A$4:$I$18,RW_2P!$A$4:$I$18,RW2_4P!$A$4:$I$18,FLAP_4P!$A$4:$I$18,TUBE_4P!$A$4:$I$18),3,0),0))</f>
        <v/>
      </c>
      <c r="L87" s="10" t="str">
        <f t="shared" si="3"/>
        <v/>
      </c>
      <c r="M87" s="55" t="str">
        <f>IF($A87="","",IF(AND(ISNUMBER(G87),G87&gt;=J87,G87&lt;=(J87+(L87/(IF(F87="Contract Workman",Settings!$K$5,Settings!$K$4))))),J87+(L87/(IF(F87="Contract Workman",Settings!$K$5,Settings!$K$4)))+(H87/(IF(F87="Contract Workman",Settings!$K$5,Settings!$K$4))),J87+(L87/(IF(F87="Contract Workman",Settings!$K$5,Settings!$K$4)))))</f>
        <v/>
      </c>
      <c r="N87" s="10" t="str">
        <f t="shared" si="4"/>
        <v/>
      </c>
      <c r="O87" s="51" t="str">
        <f>IF(B87="","", IF(IFERROR(ISNUMBER(SEARCH(B87, VLOOKUP(E87, Machine_List!$B:$J, 9, 0))), FALSE()), "✅ Machine OK", "❌ Sug: " &amp; IFERROR(INDEX(Machine_List!$B$4:$B$50, MATCH("*"&amp;B87&amp;"*", Machine_List!$J$4:$J$50, 0)), "Check Limits")))</f>
        <v/>
      </c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  <c r="AE87" s="52"/>
      <c r="AF87" s="52"/>
      <c r="AG87" s="52"/>
      <c r="AH87" s="52"/>
      <c r="AI87" s="52"/>
      <c r="AJ87" s="52"/>
      <c r="AK87" s="52"/>
      <c r="AL87" s="52"/>
      <c r="AM87" s="52"/>
      <c r="AN87" s="52"/>
      <c r="AO87" s="52"/>
      <c r="AP87" s="52"/>
      <c r="AQ87" s="52"/>
      <c r="AR87" s="52"/>
      <c r="AS87" s="52"/>
      <c r="AT87" s="52"/>
      <c r="AU87" s="52"/>
      <c r="AV87" s="52"/>
      <c r="AW87" s="52"/>
      <c r="AX87" s="52"/>
      <c r="AY87" s="52"/>
      <c r="AZ87" s="52"/>
      <c r="BA87" s="52"/>
      <c r="BB87" s="52"/>
      <c r="BC87" s="52"/>
      <c r="BD87" s="52"/>
      <c r="BE87" s="52"/>
      <c r="BF87" s="52"/>
      <c r="BG87" s="52"/>
      <c r="BH87" s="52"/>
      <c r="BI87" s="52"/>
      <c r="BJ87" s="52"/>
      <c r="BK87" s="52"/>
      <c r="BL87" s="52"/>
      <c r="BM87" s="52"/>
    </row>
    <row r="88" spans="1:65" ht="15" customHeight="1" x14ac:dyDescent="0.3">
      <c r="A88" s="10" t="str">
        <f>IF(Job_Master!A88="","",Job_Master!A88)</f>
        <v/>
      </c>
      <c r="B88" s="10" t="str">
        <f>IF($A88="","",Job_Master!B88)</f>
        <v/>
      </c>
      <c r="C88" s="10" t="str">
        <f>IF($A88="","",Job_Master!C88)</f>
        <v/>
      </c>
      <c r="D88" s="10" t="str">
        <f>IF($A88="","",Job_Master!D88)</f>
        <v/>
      </c>
      <c r="E88" s="48" t="str">
        <f>IF($A88="","",IFERROR(INDEX(Machine_List!$B$14:$B$19,MATCH("*"&amp;$B88&amp;"*",Machine_List!$J$14:$J$19,0)),"NO COMPATIBLE MACHINE"))</f>
        <v/>
      </c>
      <c r="F88" s="106" t="str">
        <f>IF($E88="","",IFERROR(VLOOKUP($E88,Machine_List!$B:$G,6,0),""))</f>
        <v/>
      </c>
      <c r="G88" s="53" t="str">
        <f>IF($E88="","",IFERROR(VLOOKUP($E88,Machine_List!$B:$C,2,0),""))</f>
        <v/>
      </c>
      <c r="H88" s="10" t="str">
        <f>IF($E88="","",IFERROR(VLOOKUP($E88,Machine_List!$B:$D,3,0),""))</f>
        <v/>
      </c>
      <c r="I88" s="54"/>
      <c r="J88" s="55" t="str">
        <f ca="1">IF($A88="","",IF($I88&lt;&gt;"",$I88,MAX(GlobalStartDate,IFERROR(LOOKUP(2,1/($E$3:INDIRECT("E"&amp;(ROW()-1))=$E88),$M$3:INDIRECT("M"&amp;(ROW()-1))),GlobalStartDate))))</f>
        <v/>
      </c>
      <c r="K88" s="10" t="str">
        <f>IF($A88="","",IFERROR(VLOOKUP(B88,CHOOSE(MATCH(C88,Settings!$L$4:$L$10,0),OPR_2P!$A$4:$I$18,SEG_6P!$A$4:$I$18,SOL_4P!$A$4:$I$18,RW_2P!$A$4:$I$18,RW2_4P!$A$4:$I$18,FLAP_4P!$A$4:$I$18,TUBE_4P!$A$4:$I$18),3,0),0))</f>
        <v/>
      </c>
      <c r="L88" s="10" t="str">
        <f t="shared" si="3"/>
        <v/>
      </c>
      <c r="M88" s="55" t="str">
        <f>IF($A88="","",IF(AND(ISNUMBER(G88),G88&gt;=J88,G88&lt;=(J88+(L88/(IF(F88="Contract Workman",Settings!$K$5,Settings!$K$4))))),J88+(L88/(IF(F88="Contract Workman",Settings!$K$5,Settings!$K$4)))+(H88/(IF(F88="Contract Workman",Settings!$K$5,Settings!$K$4))),J88+(L88/(IF(F88="Contract Workman",Settings!$K$5,Settings!$K$4)))))</f>
        <v/>
      </c>
      <c r="N88" s="10" t="str">
        <f t="shared" si="4"/>
        <v/>
      </c>
      <c r="O88" s="51" t="str">
        <f>IF(B88="","", IF(IFERROR(ISNUMBER(SEARCH(B88, VLOOKUP(E88, Machine_List!$B:$J, 9, 0))), FALSE()), "✅ Machine OK", "❌ Sug: " &amp; IFERROR(INDEX(Machine_List!$B$4:$B$50, MATCH("*"&amp;B88&amp;"*", Machine_List!$J$4:$J$50, 0)), "Check Limits")))</f>
        <v/>
      </c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2"/>
      <c r="AD88" s="52"/>
      <c r="AE88" s="52"/>
      <c r="AF88" s="52"/>
      <c r="AG88" s="52"/>
      <c r="AH88" s="52"/>
      <c r="AI88" s="52"/>
      <c r="AJ88" s="52"/>
      <c r="AK88" s="52"/>
      <c r="AL88" s="52"/>
      <c r="AM88" s="52"/>
      <c r="AN88" s="52"/>
      <c r="AO88" s="52"/>
      <c r="AP88" s="52"/>
      <c r="AQ88" s="52"/>
      <c r="AR88" s="52"/>
      <c r="AS88" s="52"/>
      <c r="AT88" s="52"/>
      <c r="AU88" s="52"/>
      <c r="AV88" s="52"/>
      <c r="AW88" s="52"/>
      <c r="AX88" s="52"/>
      <c r="AY88" s="52"/>
      <c r="AZ88" s="52"/>
      <c r="BA88" s="52"/>
      <c r="BB88" s="52"/>
      <c r="BC88" s="52"/>
      <c r="BD88" s="52"/>
      <c r="BE88" s="52"/>
      <c r="BF88" s="52"/>
      <c r="BG88" s="52"/>
      <c r="BH88" s="52"/>
      <c r="BI88" s="52"/>
      <c r="BJ88" s="52"/>
      <c r="BK88" s="52"/>
      <c r="BL88" s="52"/>
      <c r="BM88" s="52"/>
    </row>
    <row r="89" spans="1:65" ht="15" customHeight="1" x14ac:dyDescent="0.3">
      <c r="A89" s="10" t="str">
        <f>IF(Job_Master!A89="","",Job_Master!A89)</f>
        <v/>
      </c>
      <c r="B89" s="10" t="str">
        <f>IF($A89="","",Job_Master!B89)</f>
        <v/>
      </c>
      <c r="C89" s="10" t="str">
        <f>IF($A89="","",Job_Master!C89)</f>
        <v/>
      </c>
      <c r="D89" s="10" t="str">
        <f>IF($A89="","",Job_Master!D89)</f>
        <v/>
      </c>
      <c r="E89" s="48" t="str">
        <f>IF($A89="","",IFERROR(INDEX(Machine_List!$B$14:$B$19,MATCH("*"&amp;$B89&amp;"*",Machine_List!$J$14:$J$19,0)),"NO COMPATIBLE MACHINE"))</f>
        <v/>
      </c>
      <c r="F89" s="106" t="str">
        <f>IF($E89="","",IFERROR(VLOOKUP($E89,Machine_List!$B:$G,6,0),""))</f>
        <v/>
      </c>
      <c r="G89" s="53" t="str">
        <f>IF($E89="","",IFERROR(VLOOKUP($E89,Machine_List!$B:$C,2,0),""))</f>
        <v/>
      </c>
      <c r="H89" s="10" t="str">
        <f>IF($E89="","",IFERROR(VLOOKUP($E89,Machine_List!$B:$D,3,0),""))</f>
        <v/>
      </c>
      <c r="I89" s="54"/>
      <c r="J89" s="55" t="str">
        <f ca="1">IF($A89="","",IF($I89&lt;&gt;"",$I89,MAX(GlobalStartDate,IFERROR(LOOKUP(2,1/($E$3:INDIRECT("E"&amp;(ROW()-1))=$E89),$M$3:INDIRECT("M"&amp;(ROW()-1))),GlobalStartDate))))</f>
        <v/>
      </c>
      <c r="K89" s="10" t="str">
        <f>IF($A89="","",IFERROR(VLOOKUP(B89,CHOOSE(MATCH(C89,Settings!$L$4:$L$10,0),OPR_2P!$A$4:$I$18,SEG_6P!$A$4:$I$18,SOL_4P!$A$4:$I$18,RW_2P!$A$4:$I$18,RW2_4P!$A$4:$I$18,FLAP_4P!$A$4:$I$18,TUBE_4P!$A$4:$I$18),3,0),0))</f>
        <v/>
      </c>
      <c r="L89" s="10" t="str">
        <f t="shared" si="3"/>
        <v/>
      </c>
      <c r="M89" s="55" t="str">
        <f>IF($A89="","",IF(AND(ISNUMBER(G89),G89&gt;=J89,G89&lt;=(J89+(L89/(IF(F89="Contract Workman",Settings!$K$5,Settings!$K$4))))),J89+(L89/(IF(F89="Contract Workman",Settings!$K$5,Settings!$K$4)))+(H89/(IF(F89="Contract Workman",Settings!$K$5,Settings!$K$4))),J89+(L89/(IF(F89="Contract Workman",Settings!$K$5,Settings!$K$4)))))</f>
        <v/>
      </c>
      <c r="N89" s="10" t="str">
        <f t="shared" si="4"/>
        <v/>
      </c>
      <c r="O89" s="51" t="str">
        <f>IF(B89="","", IF(IFERROR(ISNUMBER(SEARCH(B89, VLOOKUP(E89, Machine_List!$B:$J, 9, 0))), FALSE()), "✅ Machine OK", "❌ Sug: " &amp; IFERROR(INDEX(Machine_List!$B$4:$B$50, MATCH("*"&amp;B89&amp;"*", Machine_List!$J$4:$J$50, 0)), "Check Limits")))</f>
        <v/>
      </c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  <c r="AE89" s="52"/>
      <c r="AF89" s="52"/>
      <c r="AG89" s="52"/>
      <c r="AH89" s="52"/>
      <c r="AI89" s="52"/>
      <c r="AJ89" s="52"/>
      <c r="AK89" s="52"/>
      <c r="AL89" s="52"/>
      <c r="AM89" s="52"/>
      <c r="AN89" s="52"/>
      <c r="AO89" s="52"/>
      <c r="AP89" s="52"/>
      <c r="AQ89" s="52"/>
      <c r="AR89" s="52"/>
      <c r="AS89" s="52"/>
      <c r="AT89" s="52"/>
      <c r="AU89" s="52"/>
      <c r="AV89" s="52"/>
      <c r="AW89" s="52"/>
      <c r="AX89" s="52"/>
      <c r="AY89" s="52"/>
      <c r="AZ89" s="52"/>
      <c r="BA89" s="52"/>
      <c r="BB89" s="52"/>
      <c r="BC89" s="52"/>
      <c r="BD89" s="52"/>
      <c r="BE89" s="52"/>
      <c r="BF89" s="52"/>
      <c r="BG89" s="52"/>
      <c r="BH89" s="52"/>
      <c r="BI89" s="52"/>
      <c r="BJ89" s="52"/>
      <c r="BK89" s="52"/>
      <c r="BL89" s="52"/>
      <c r="BM89" s="52"/>
    </row>
    <row r="90" spans="1:65" ht="15" customHeight="1" x14ac:dyDescent="0.3">
      <c r="A90" s="10" t="str">
        <f>IF(Job_Master!A90="","",Job_Master!A90)</f>
        <v/>
      </c>
      <c r="B90" s="10" t="str">
        <f>IF($A90="","",Job_Master!B90)</f>
        <v/>
      </c>
      <c r="C90" s="10" t="str">
        <f>IF($A90="","",Job_Master!C90)</f>
        <v/>
      </c>
      <c r="D90" s="10" t="str">
        <f>IF($A90="","",Job_Master!D90)</f>
        <v/>
      </c>
      <c r="E90" s="48" t="str">
        <f>IF($A90="","",IFERROR(INDEX(Machine_List!$B$14:$B$19,MATCH("*"&amp;$B90&amp;"*",Machine_List!$J$14:$J$19,0)),"NO COMPATIBLE MACHINE"))</f>
        <v/>
      </c>
      <c r="F90" s="106" t="str">
        <f>IF($E90="","",IFERROR(VLOOKUP($E90,Machine_List!$B:$G,6,0),""))</f>
        <v/>
      </c>
      <c r="G90" s="53" t="str">
        <f>IF($E90="","",IFERROR(VLOOKUP($E90,Machine_List!$B:$C,2,0),""))</f>
        <v/>
      </c>
      <c r="H90" s="10" t="str">
        <f>IF($E90="","",IFERROR(VLOOKUP($E90,Machine_List!$B:$D,3,0),""))</f>
        <v/>
      </c>
      <c r="I90" s="54"/>
      <c r="J90" s="55" t="str">
        <f ca="1">IF($A90="","",IF($I90&lt;&gt;"",$I90,MAX(GlobalStartDate,IFERROR(LOOKUP(2,1/($E$3:INDIRECT("E"&amp;(ROW()-1))=$E90),$M$3:INDIRECT("M"&amp;(ROW()-1))),GlobalStartDate))))</f>
        <v/>
      </c>
      <c r="K90" s="10" t="str">
        <f>IF($A90="","",IFERROR(VLOOKUP(B90,CHOOSE(MATCH(C90,Settings!$L$4:$L$10,0),OPR_2P!$A$4:$I$18,SEG_6P!$A$4:$I$18,SOL_4P!$A$4:$I$18,RW_2P!$A$4:$I$18,RW2_4P!$A$4:$I$18,FLAP_4P!$A$4:$I$18,TUBE_4P!$A$4:$I$18),3,0),0))</f>
        <v/>
      </c>
      <c r="L90" s="10" t="str">
        <f t="shared" si="3"/>
        <v/>
      </c>
      <c r="M90" s="55" t="str">
        <f>IF($A90="","",IF(AND(ISNUMBER(G90),G90&gt;=J90,G90&lt;=(J90+(L90/(IF(F90="Contract Workman",Settings!$K$5,Settings!$K$4))))),J90+(L90/(IF(F90="Contract Workman",Settings!$K$5,Settings!$K$4)))+(H90/(IF(F90="Contract Workman",Settings!$K$5,Settings!$K$4))),J90+(L90/(IF(F90="Contract Workman",Settings!$K$5,Settings!$K$4)))))</f>
        <v/>
      </c>
      <c r="N90" s="10" t="str">
        <f t="shared" si="4"/>
        <v/>
      </c>
      <c r="O90" s="51" t="str">
        <f>IF(B90="","", IF(IFERROR(ISNUMBER(SEARCH(B90, VLOOKUP(E90, Machine_List!$B:$J, 9, 0))), FALSE()), "✅ Machine OK", "❌ Sug: " &amp; IFERROR(INDEX(Machine_List!$B$4:$B$50, MATCH("*"&amp;B90&amp;"*", Machine_List!$J$4:$J$50, 0)), "Check Limits")))</f>
        <v/>
      </c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  <c r="AE90" s="52"/>
      <c r="AF90" s="52"/>
      <c r="AG90" s="52"/>
      <c r="AH90" s="52"/>
      <c r="AI90" s="52"/>
      <c r="AJ90" s="52"/>
      <c r="AK90" s="52"/>
      <c r="AL90" s="52"/>
      <c r="AM90" s="52"/>
      <c r="AN90" s="52"/>
      <c r="AO90" s="52"/>
      <c r="AP90" s="52"/>
      <c r="AQ90" s="52"/>
      <c r="AR90" s="52"/>
      <c r="AS90" s="52"/>
      <c r="AT90" s="52"/>
      <c r="AU90" s="52"/>
      <c r="AV90" s="52"/>
      <c r="AW90" s="52"/>
      <c r="AX90" s="52"/>
      <c r="AY90" s="52"/>
      <c r="AZ90" s="52"/>
      <c r="BA90" s="52"/>
      <c r="BB90" s="52"/>
      <c r="BC90" s="52"/>
      <c r="BD90" s="52"/>
      <c r="BE90" s="52"/>
      <c r="BF90" s="52"/>
      <c r="BG90" s="52"/>
      <c r="BH90" s="52"/>
      <c r="BI90" s="52"/>
      <c r="BJ90" s="52"/>
      <c r="BK90" s="52"/>
      <c r="BL90" s="52"/>
      <c r="BM90" s="52"/>
    </row>
    <row r="91" spans="1:65" ht="15" customHeight="1" x14ac:dyDescent="0.3">
      <c r="A91" s="10" t="str">
        <f>IF(Job_Master!A91="","",Job_Master!A91)</f>
        <v/>
      </c>
      <c r="B91" s="10" t="str">
        <f>IF($A91="","",Job_Master!B91)</f>
        <v/>
      </c>
      <c r="C91" s="10" t="str">
        <f>IF($A91="","",Job_Master!C91)</f>
        <v/>
      </c>
      <c r="D91" s="10" t="str">
        <f>IF($A91="","",Job_Master!D91)</f>
        <v/>
      </c>
      <c r="E91" s="48" t="str">
        <f>IF($A91="","",IFERROR(INDEX(Machine_List!$B$14:$B$19,MATCH("*"&amp;$B91&amp;"*",Machine_List!$J$14:$J$19,0)),"NO COMPATIBLE MACHINE"))</f>
        <v/>
      </c>
      <c r="F91" s="106" t="str">
        <f>IF($E91="","",IFERROR(VLOOKUP($E91,Machine_List!$B:$G,6,0),""))</f>
        <v/>
      </c>
      <c r="G91" s="53" t="str">
        <f>IF($E91="","",IFERROR(VLOOKUP($E91,Machine_List!$B:$C,2,0),""))</f>
        <v/>
      </c>
      <c r="H91" s="10" t="str">
        <f>IF($E91="","",IFERROR(VLOOKUP($E91,Machine_List!$B:$D,3,0),""))</f>
        <v/>
      </c>
      <c r="I91" s="54"/>
      <c r="J91" s="55" t="str">
        <f ca="1">IF($A91="","",IF($I91&lt;&gt;"",$I91,MAX(GlobalStartDate,IFERROR(LOOKUP(2,1/($E$3:INDIRECT("E"&amp;(ROW()-1))=$E91),$M$3:INDIRECT("M"&amp;(ROW()-1))),GlobalStartDate))))</f>
        <v/>
      </c>
      <c r="K91" s="10" t="str">
        <f>IF($A91="","",IFERROR(VLOOKUP(B91,CHOOSE(MATCH(C91,Settings!$L$4:$L$10,0),OPR_2P!$A$4:$I$18,SEG_6P!$A$4:$I$18,SOL_4P!$A$4:$I$18,RW_2P!$A$4:$I$18,RW2_4P!$A$4:$I$18,FLAP_4P!$A$4:$I$18,TUBE_4P!$A$4:$I$18),3,0),0))</f>
        <v/>
      </c>
      <c r="L91" s="10" t="str">
        <f t="shared" si="3"/>
        <v/>
      </c>
      <c r="M91" s="55" t="str">
        <f>IF($A91="","",IF(AND(ISNUMBER(G91),G91&gt;=J91,G91&lt;=(J91+(L91/(IF(F91="Contract Workman",Settings!$K$5,Settings!$K$4))))),J91+(L91/(IF(F91="Contract Workman",Settings!$K$5,Settings!$K$4)))+(H91/(IF(F91="Contract Workman",Settings!$K$5,Settings!$K$4))),J91+(L91/(IF(F91="Contract Workman",Settings!$K$5,Settings!$K$4)))))</f>
        <v/>
      </c>
      <c r="N91" s="10" t="str">
        <f t="shared" si="4"/>
        <v/>
      </c>
      <c r="O91" s="51" t="str">
        <f>IF(B91="","", IF(IFERROR(ISNUMBER(SEARCH(B91, VLOOKUP(E91, Machine_List!$B:$J, 9, 0))), FALSE()), "✅ Machine OK", "❌ Sug: " &amp; IFERROR(INDEX(Machine_List!$B$4:$B$50, MATCH("*"&amp;B91&amp;"*", Machine_List!$J$4:$J$50, 0)), "Check Limits")))</f>
        <v/>
      </c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  <c r="AX91" s="52"/>
      <c r="AY91" s="52"/>
      <c r="AZ91" s="52"/>
      <c r="BA91" s="52"/>
      <c r="BB91" s="52"/>
      <c r="BC91" s="52"/>
      <c r="BD91" s="52"/>
      <c r="BE91" s="52"/>
      <c r="BF91" s="52"/>
      <c r="BG91" s="52"/>
      <c r="BH91" s="52"/>
      <c r="BI91" s="52"/>
      <c r="BJ91" s="52"/>
      <c r="BK91" s="52"/>
      <c r="BL91" s="52"/>
      <c r="BM91" s="52"/>
    </row>
    <row r="92" spans="1:65" ht="15" customHeight="1" x14ac:dyDescent="0.3">
      <c r="A92" s="10" t="str">
        <f>IF(Job_Master!A92="","",Job_Master!A92)</f>
        <v/>
      </c>
      <c r="B92" s="10" t="str">
        <f>IF($A92="","",Job_Master!B92)</f>
        <v/>
      </c>
      <c r="C92" s="10" t="str">
        <f>IF($A92="","",Job_Master!C92)</f>
        <v/>
      </c>
      <c r="D92" s="10" t="str">
        <f>IF($A92="","",Job_Master!D92)</f>
        <v/>
      </c>
      <c r="E92" s="48" t="str">
        <f>IF($A92="","",IFERROR(INDEX(Machine_List!$B$14:$B$19,MATCH("*"&amp;$B92&amp;"*",Machine_List!$J$14:$J$19,0)),"NO COMPATIBLE MACHINE"))</f>
        <v/>
      </c>
      <c r="F92" s="106" t="str">
        <f>IF($E92="","",IFERROR(VLOOKUP($E92,Machine_List!$B:$G,6,0),""))</f>
        <v/>
      </c>
      <c r="G92" s="53" t="str">
        <f>IF($E92="","",IFERROR(VLOOKUP($E92,Machine_List!$B:$C,2,0),""))</f>
        <v/>
      </c>
      <c r="H92" s="10" t="str">
        <f>IF($E92="","",IFERROR(VLOOKUP($E92,Machine_List!$B:$D,3,0),""))</f>
        <v/>
      </c>
      <c r="I92" s="54"/>
      <c r="J92" s="55" t="str">
        <f ca="1">IF($A92="","",IF($I92&lt;&gt;"",$I92,MAX(GlobalStartDate,IFERROR(LOOKUP(2,1/($E$3:INDIRECT("E"&amp;(ROW()-1))=$E92),$M$3:INDIRECT("M"&amp;(ROW()-1))),GlobalStartDate))))</f>
        <v/>
      </c>
      <c r="K92" s="10" t="str">
        <f>IF($A92="","",IFERROR(VLOOKUP(B92,CHOOSE(MATCH(C92,Settings!$L$4:$L$10,0),OPR_2P!$A$4:$I$18,SEG_6P!$A$4:$I$18,SOL_4P!$A$4:$I$18,RW_2P!$A$4:$I$18,RW2_4P!$A$4:$I$18,FLAP_4P!$A$4:$I$18,TUBE_4P!$A$4:$I$18),3,0),0))</f>
        <v/>
      </c>
      <c r="L92" s="10" t="str">
        <f t="shared" si="3"/>
        <v/>
      </c>
      <c r="M92" s="55" t="str">
        <f>IF($A92="","",IF(AND(ISNUMBER(G92),G92&gt;=J92,G92&lt;=(J92+(L92/(IF(F92="Contract Workman",Settings!$K$5,Settings!$K$4))))),J92+(L92/(IF(F92="Contract Workman",Settings!$K$5,Settings!$K$4)))+(H92/(IF(F92="Contract Workman",Settings!$K$5,Settings!$K$4))),J92+(L92/(IF(F92="Contract Workman",Settings!$K$5,Settings!$K$4)))))</f>
        <v/>
      </c>
      <c r="N92" s="10" t="str">
        <f t="shared" si="4"/>
        <v/>
      </c>
      <c r="O92" s="51" t="str">
        <f>IF(B92="","", IF(IFERROR(ISNUMBER(SEARCH(B92, VLOOKUP(E92, Machine_List!$B:$J, 9, 0))), FALSE()), "✅ Machine OK", "❌ Sug: " &amp; IFERROR(INDEX(Machine_List!$B$4:$B$50, MATCH("*"&amp;B92&amp;"*", Machine_List!$J$4:$J$50, 0)), "Check Limits")))</f>
        <v/>
      </c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  <c r="AX92" s="52"/>
      <c r="AY92" s="52"/>
      <c r="AZ92" s="52"/>
      <c r="BA92" s="52"/>
      <c r="BB92" s="52"/>
      <c r="BC92" s="52"/>
      <c r="BD92" s="52"/>
      <c r="BE92" s="52"/>
      <c r="BF92" s="52"/>
      <c r="BG92" s="52"/>
      <c r="BH92" s="52"/>
      <c r="BI92" s="52"/>
      <c r="BJ92" s="52"/>
      <c r="BK92" s="52"/>
      <c r="BL92" s="52"/>
      <c r="BM92" s="52"/>
    </row>
    <row r="93" spans="1:65" ht="15" customHeight="1" x14ac:dyDescent="0.3">
      <c r="A93" s="10" t="str">
        <f>IF(Job_Master!A93="","",Job_Master!A93)</f>
        <v/>
      </c>
      <c r="B93" s="10" t="str">
        <f>IF($A93="","",Job_Master!B93)</f>
        <v/>
      </c>
      <c r="C93" s="10" t="str">
        <f>IF($A93="","",Job_Master!C93)</f>
        <v/>
      </c>
      <c r="D93" s="10" t="str">
        <f>IF($A93="","",Job_Master!D93)</f>
        <v/>
      </c>
      <c r="E93" s="48" t="str">
        <f>IF($A93="","",IFERROR(INDEX(Machine_List!$B$14:$B$19,MATCH("*"&amp;$B93&amp;"*",Machine_List!$J$14:$J$19,0)),"NO COMPATIBLE MACHINE"))</f>
        <v/>
      </c>
      <c r="F93" s="106" t="str">
        <f>IF($E93="","",IFERROR(VLOOKUP($E93,Machine_List!$B:$G,6,0),""))</f>
        <v/>
      </c>
      <c r="G93" s="53" t="str">
        <f>IF($E93="","",IFERROR(VLOOKUP($E93,Machine_List!$B:$C,2,0),""))</f>
        <v/>
      </c>
      <c r="H93" s="10" t="str">
        <f>IF($E93="","",IFERROR(VLOOKUP($E93,Machine_List!$B:$D,3,0),""))</f>
        <v/>
      </c>
      <c r="I93" s="54"/>
      <c r="J93" s="55" t="str">
        <f ca="1">IF($A93="","",IF($I93&lt;&gt;"",$I93,MAX(GlobalStartDate,IFERROR(LOOKUP(2,1/($E$3:INDIRECT("E"&amp;(ROW()-1))=$E93),$M$3:INDIRECT("M"&amp;(ROW()-1))),GlobalStartDate))))</f>
        <v/>
      </c>
      <c r="K93" s="10" t="str">
        <f>IF($A93="","",IFERROR(VLOOKUP(B93,CHOOSE(MATCH(C93,Settings!$L$4:$L$10,0),OPR_2P!$A$4:$I$18,SEG_6P!$A$4:$I$18,SOL_4P!$A$4:$I$18,RW_2P!$A$4:$I$18,RW2_4P!$A$4:$I$18,FLAP_4P!$A$4:$I$18,TUBE_4P!$A$4:$I$18),3,0),0))</f>
        <v/>
      </c>
      <c r="L93" s="10" t="str">
        <f t="shared" si="3"/>
        <v/>
      </c>
      <c r="M93" s="55" t="str">
        <f>IF($A93="","",IF(AND(ISNUMBER(G93),G93&gt;=J93,G93&lt;=(J93+(L93/(IF(F93="Contract Workman",Settings!$K$5,Settings!$K$4))))),J93+(L93/(IF(F93="Contract Workman",Settings!$K$5,Settings!$K$4)))+(H93/(IF(F93="Contract Workman",Settings!$K$5,Settings!$K$4))),J93+(L93/(IF(F93="Contract Workman",Settings!$K$5,Settings!$K$4)))))</f>
        <v/>
      </c>
      <c r="N93" s="10" t="str">
        <f t="shared" si="4"/>
        <v/>
      </c>
      <c r="O93" s="51" t="str">
        <f>IF(B93="","", IF(IFERROR(ISNUMBER(SEARCH(B93, VLOOKUP(E93, Machine_List!$B:$J, 9, 0))), FALSE()), "✅ Machine OK", "❌ Sug: " &amp; IFERROR(INDEX(Machine_List!$B$4:$B$50, MATCH("*"&amp;B93&amp;"*", Machine_List!$J$4:$J$50, 0)), "Check Limits")))</f>
        <v/>
      </c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  <c r="AC93" s="52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  <c r="AX93" s="52"/>
      <c r="AY93" s="52"/>
      <c r="AZ93" s="52"/>
      <c r="BA93" s="52"/>
      <c r="BB93" s="52"/>
      <c r="BC93" s="52"/>
      <c r="BD93" s="52"/>
      <c r="BE93" s="52"/>
      <c r="BF93" s="52"/>
      <c r="BG93" s="52"/>
      <c r="BH93" s="52"/>
      <c r="BI93" s="52"/>
      <c r="BJ93" s="52"/>
      <c r="BK93" s="52"/>
      <c r="BL93" s="52"/>
      <c r="BM93" s="52"/>
    </row>
    <row r="94" spans="1:65" ht="15" customHeight="1" x14ac:dyDescent="0.3">
      <c r="A94" s="10" t="str">
        <f>IF(Job_Master!A94="","",Job_Master!A94)</f>
        <v/>
      </c>
      <c r="B94" s="10" t="str">
        <f>IF($A94="","",Job_Master!B94)</f>
        <v/>
      </c>
      <c r="C94" s="10" t="str">
        <f>IF($A94="","",Job_Master!C94)</f>
        <v/>
      </c>
      <c r="D94" s="10" t="str">
        <f>IF($A94="","",Job_Master!D94)</f>
        <v/>
      </c>
      <c r="E94" s="48" t="str">
        <f>IF($A94="","",IFERROR(INDEX(Machine_List!$B$14:$B$19,MATCH("*"&amp;$B94&amp;"*",Machine_List!$J$14:$J$19,0)),"NO COMPATIBLE MACHINE"))</f>
        <v/>
      </c>
      <c r="F94" s="106" t="str">
        <f>IF($E94="","",IFERROR(VLOOKUP($E94,Machine_List!$B:$G,6,0),""))</f>
        <v/>
      </c>
      <c r="G94" s="53" t="str">
        <f>IF($E94="","",IFERROR(VLOOKUP($E94,Machine_List!$B:$C,2,0),""))</f>
        <v/>
      </c>
      <c r="H94" s="10" t="str">
        <f>IF($E94="","",IFERROR(VLOOKUP($E94,Machine_List!$B:$D,3,0),""))</f>
        <v/>
      </c>
      <c r="I94" s="54"/>
      <c r="J94" s="55" t="str">
        <f ca="1">IF($A94="","",IF($I94&lt;&gt;"",$I94,MAX(GlobalStartDate,IFERROR(LOOKUP(2,1/($E$3:INDIRECT("E"&amp;(ROW()-1))=$E94),$M$3:INDIRECT("M"&amp;(ROW()-1))),GlobalStartDate))))</f>
        <v/>
      </c>
      <c r="K94" s="10" t="str">
        <f>IF($A94="","",IFERROR(VLOOKUP(B94,CHOOSE(MATCH(C94,Settings!$L$4:$L$10,0),OPR_2P!$A$4:$I$18,SEG_6P!$A$4:$I$18,SOL_4P!$A$4:$I$18,RW_2P!$A$4:$I$18,RW2_4P!$A$4:$I$18,FLAP_4P!$A$4:$I$18,TUBE_4P!$A$4:$I$18),3,0),0))</f>
        <v/>
      </c>
      <c r="L94" s="10" t="str">
        <f t="shared" si="3"/>
        <v/>
      </c>
      <c r="M94" s="55" t="str">
        <f>IF($A94="","",IF(AND(ISNUMBER(G94),G94&gt;=J94,G94&lt;=(J94+(L94/(IF(F94="Contract Workman",Settings!$K$5,Settings!$K$4))))),J94+(L94/(IF(F94="Contract Workman",Settings!$K$5,Settings!$K$4)))+(H94/(IF(F94="Contract Workman",Settings!$K$5,Settings!$K$4))),J94+(L94/(IF(F94="Contract Workman",Settings!$K$5,Settings!$K$4)))))</f>
        <v/>
      </c>
      <c r="N94" s="10" t="str">
        <f t="shared" si="4"/>
        <v/>
      </c>
      <c r="O94" s="51" t="str">
        <f>IF(B94="","", IF(IFERROR(ISNUMBER(SEARCH(B94, VLOOKUP(E94, Machine_List!$B:$J, 9, 0))), FALSE()), "✅ Machine OK", "❌ Sug: " &amp; IFERROR(INDEX(Machine_List!$B$4:$B$50, MATCH("*"&amp;B94&amp;"*", Machine_List!$J$4:$J$50, 0)), "Check Limits")))</f>
        <v/>
      </c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2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  <c r="AX94" s="52"/>
      <c r="AY94" s="52"/>
      <c r="AZ94" s="52"/>
      <c r="BA94" s="52"/>
      <c r="BB94" s="52"/>
      <c r="BC94" s="52"/>
      <c r="BD94" s="52"/>
      <c r="BE94" s="52"/>
      <c r="BF94" s="52"/>
      <c r="BG94" s="52"/>
      <c r="BH94" s="52"/>
      <c r="BI94" s="52"/>
      <c r="BJ94" s="52"/>
      <c r="BK94" s="52"/>
      <c r="BL94" s="52"/>
      <c r="BM94" s="52"/>
    </row>
    <row r="95" spans="1:65" ht="15" customHeight="1" x14ac:dyDescent="0.3">
      <c r="A95" s="10" t="str">
        <f>IF(Job_Master!A95="","",Job_Master!A95)</f>
        <v/>
      </c>
      <c r="B95" s="10" t="str">
        <f>IF($A95="","",Job_Master!B95)</f>
        <v/>
      </c>
      <c r="C95" s="10" t="str">
        <f>IF($A95="","",Job_Master!C95)</f>
        <v/>
      </c>
      <c r="D95" s="10" t="str">
        <f>IF($A95="","",Job_Master!D95)</f>
        <v/>
      </c>
      <c r="E95" s="48" t="str">
        <f>IF($A95="","",IFERROR(INDEX(Machine_List!$B$14:$B$19,MATCH("*"&amp;$B95&amp;"*",Machine_List!$J$14:$J$19,0)),"NO COMPATIBLE MACHINE"))</f>
        <v/>
      </c>
      <c r="F95" s="106" t="str">
        <f>IF($E95="","",IFERROR(VLOOKUP($E95,Machine_List!$B:$G,6,0),""))</f>
        <v/>
      </c>
      <c r="G95" s="53" t="str">
        <f>IF($E95="","",IFERROR(VLOOKUP($E95,Machine_List!$B:$C,2,0),""))</f>
        <v/>
      </c>
      <c r="H95" s="10" t="str">
        <f>IF($E95="","",IFERROR(VLOOKUP($E95,Machine_List!$B:$D,3,0),""))</f>
        <v/>
      </c>
      <c r="I95" s="54"/>
      <c r="J95" s="55" t="str">
        <f ca="1">IF($A95="","",IF($I95&lt;&gt;"",$I95,MAX(GlobalStartDate,IFERROR(LOOKUP(2,1/($E$3:INDIRECT("E"&amp;(ROW()-1))=$E95),$M$3:INDIRECT("M"&amp;(ROW()-1))),GlobalStartDate))))</f>
        <v/>
      </c>
      <c r="K95" s="10" t="str">
        <f>IF($A95="","",IFERROR(VLOOKUP(B95,CHOOSE(MATCH(C95,Settings!$L$4:$L$10,0),OPR_2P!$A$4:$I$18,SEG_6P!$A$4:$I$18,SOL_4P!$A$4:$I$18,RW_2P!$A$4:$I$18,RW2_4P!$A$4:$I$18,FLAP_4P!$A$4:$I$18,TUBE_4P!$A$4:$I$18),3,0),0))</f>
        <v/>
      </c>
      <c r="L95" s="10" t="str">
        <f t="shared" si="3"/>
        <v/>
      </c>
      <c r="M95" s="55" t="str">
        <f>IF($A95="","",IF(AND(ISNUMBER(G95),G95&gt;=J95,G95&lt;=(J95+(L95/(IF(F95="Contract Workman",Settings!$K$5,Settings!$K$4))))),J95+(L95/(IF(F95="Contract Workman",Settings!$K$5,Settings!$K$4)))+(H95/(IF(F95="Contract Workman",Settings!$K$5,Settings!$K$4))),J95+(L95/(IF(F95="Contract Workman",Settings!$K$5,Settings!$K$4)))))</f>
        <v/>
      </c>
      <c r="N95" s="10" t="str">
        <f t="shared" si="4"/>
        <v/>
      </c>
      <c r="O95" s="51" t="str">
        <f>IF(B95="","", IF(IFERROR(ISNUMBER(SEARCH(B95, VLOOKUP(E95, Machine_List!$B:$J, 9, 0))), FALSE()), "✅ Machine OK", "❌ Sug: " &amp; IFERROR(INDEX(Machine_List!$B$4:$B$50, MATCH("*"&amp;B95&amp;"*", Machine_List!$J$4:$J$50, 0)), "Check Limits")))</f>
        <v/>
      </c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  <c r="AC95" s="52"/>
      <c r="AD95" s="52"/>
      <c r="AE95" s="52"/>
      <c r="AF95" s="52"/>
      <c r="AG95" s="52"/>
      <c r="AH95" s="52"/>
      <c r="AI95" s="52"/>
      <c r="AJ95" s="52"/>
      <c r="AK95" s="52"/>
      <c r="AL95" s="52"/>
      <c r="AM95" s="52"/>
      <c r="AN95" s="52"/>
      <c r="AO95" s="52"/>
      <c r="AP95" s="52"/>
      <c r="AQ95" s="52"/>
      <c r="AR95" s="52"/>
      <c r="AS95" s="52"/>
      <c r="AT95" s="52"/>
      <c r="AU95" s="52"/>
      <c r="AV95" s="52"/>
      <c r="AW95" s="52"/>
      <c r="AX95" s="52"/>
      <c r="AY95" s="52"/>
      <c r="AZ95" s="52"/>
      <c r="BA95" s="52"/>
      <c r="BB95" s="52"/>
      <c r="BC95" s="52"/>
      <c r="BD95" s="52"/>
      <c r="BE95" s="52"/>
      <c r="BF95" s="52"/>
      <c r="BG95" s="52"/>
      <c r="BH95" s="52"/>
      <c r="BI95" s="52"/>
      <c r="BJ95" s="52"/>
      <c r="BK95" s="52"/>
      <c r="BL95" s="52"/>
      <c r="BM95" s="52"/>
    </row>
    <row r="96" spans="1:65" ht="15" customHeight="1" x14ac:dyDescent="0.3">
      <c r="A96" s="10" t="str">
        <f>IF(Job_Master!A96="","",Job_Master!A96)</f>
        <v/>
      </c>
      <c r="B96" s="10" t="str">
        <f>IF($A96="","",Job_Master!B96)</f>
        <v/>
      </c>
      <c r="C96" s="10" t="str">
        <f>IF($A96="","",Job_Master!C96)</f>
        <v/>
      </c>
      <c r="D96" s="10" t="str">
        <f>IF($A96="","",Job_Master!D96)</f>
        <v/>
      </c>
      <c r="E96" s="48" t="str">
        <f>IF($A96="","",IFERROR(INDEX(Machine_List!$B$14:$B$19,MATCH("*"&amp;$B96&amp;"*",Machine_List!$J$14:$J$19,0)),"NO COMPATIBLE MACHINE"))</f>
        <v/>
      </c>
      <c r="F96" s="106" t="str">
        <f>IF($E96="","",IFERROR(VLOOKUP($E96,Machine_List!$B:$G,6,0),""))</f>
        <v/>
      </c>
      <c r="G96" s="53" t="str">
        <f>IF($E96="","",IFERROR(VLOOKUP($E96,Machine_List!$B:$C,2,0),""))</f>
        <v/>
      </c>
      <c r="H96" s="10" t="str">
        <f>IF($E96="","",IFERROR(VLOOKUP($E96,Machine_List!$B:$D,3,0),""))</f>
        <v/>
      </c>
      <c r="I96" s="54"/>
      <c r="J96" s="55" t="str">
        <f ca="1">IF($A96="","",IF($I96&lt;&gt;"",$I96,MAX(GlobalStartDate,IFERROR(LOOKUP(2,1/($E$3:INDIRECT("E"&amp;(ROW()-1))=$E96),$M$3:INDIRECT("M"&amp;(ROW()-1))),GlobalStartDate))))</f>
        <v/>
      </c>
      <c r="K96" s="10" t="str">
        <f>IF($A96="","",IFERROR(VLOOKUP(B96,CHOOSE(MATCH(C96,Settings!$L$4:$L$10,0),OPR_2P!$A$4:$I$18,SEG_6P!$A$4:$I$18,SOL_4P!$A$4:$I$18,RW_2P!$A$4:$I$18,RW2_4P!$A$4:$I$18,FLAP_4P!$A$4:$I$18,TUBE_4P!$A$4:$I$18),3,0),0))</f>
        <v/>
      </c>
      <c r="L96" s="10" t="str">
        <f t="shared" si="3"/>
        <v/>
      </c>
      <c r="M96" s="55" t="str">
        <f>IF($A96="","",IF(AND(ISNUMBER(G96),G96&gt;=J96,G96&lt;=(J96+(L96/(IF(F96="Contract Workman",Settings!$K$5,Settings!$K$4))))),J96+(L96/(IF(F96="Contract Workman",Settings!$K$5,Settings!$K$4)))+(H96/(IF(F96="Contract Workman",Settings!$K$5,Settings!$K$4))),J96+(L96/(IF(F96="Contract Workman",Settings!$K$5,Settings!$K$4)))))</f>
        <v/>
      </c>
      <c r="N96" s="10" t="str">
        <f t="shared" si="4"/>
        <v/>
      </c>
      <c r="O96" s="51" t="str">
        <f>IF(B96="","", IF(IFERROR(ISNUMBER(SEARCH(B96, VLOOKUP(E96, Machine_List!$B:$J, 9, 0))), FALSE()), "✅ Machine OK", "❌ Sug: " &amp; IFERROR(INDEX(Machine_List!$B$4:$B$50, MATCH("*"&amp;B96&amp;"*", Machine_List!$J$4:$J$50, 0)), "Check Limits")))</f>
        <v/>
      </c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  <c r="AC96" s="52"/>
      <c r="AD96" s="52"/>
      <c r="AE96" s="52"/>
      <c r="AF96" s="52"/>
      <c r="AG96" s="52"/>
      <c r="AH96" s="52"/>
      <c r="AI96" s="52"/>
      <c r="AJ96" s="52"/>
      <c r="AK96" s="52"/>
      <c r="AL96" s="52"/>
      <c r="AM96" s="52"/>
      <c r="AN96" s="52"/>
      <c r="AO96" s="52"/>
      <c r="AP96" s="52"/>
      <c r="AQ96" s="52"/>
      <c r="AR96" s="52"/>
      <c r="AS96" s="52"/>
      <c r="AT96" s="52"/>
      <c r="AU96" s="52"/>
      <c r="AV96" s="52"/>
      <c r="AW96" s="52"/>
      <c r="AX96" s="52"/>
      <c r="AY96" s="52"/>
      <c r="AZ96" s="52"/>
      <c r="BA96" s="52"/>
      <c r="BB96" s="52"/>
      <c r="BC96" s="52"/>
      <c r="BD96" s="52"/>
      <c r="BE96" s="52"/>
      <c r="BF96" s="52"/>
      <c r="BG96" s="52"/>
      <c r="BH96" s="52"/>
      <c r="BI96" s="52"/>
      <c r="BJ96" s="52"/>
      <c r="BK96" s="52"/>
      <c r="BL96" s="52"/>
      <c r="BM96" s="52"/>
    </row>
    <row r="97" spans="1:65" ht="15" customHeight="1" x14ac:dyDescent="0.3">
      <c r="A97" s="10" t="str">
        <f>IF(Job_Master!A97="","",Job_Master!A97)</f>
        <v/>
      </c>
      <c r="B97" s="10" t="str">
        <f>IF($A97="","",Job_Master!B97)</f>
        <v/>
      </c>
      <c r="C97" s="10" t="str">
        <f>IF($A97="","",Job_Master!C97)</f>
        <v/>
      </c>
      <c r="D97" s="10" t="str">
        <f>IF($A97="","",Job_Master!D97)</f>
        <v/>
      </c>
      <c r="E97" s="48" t="str">
        <f>IF($A97="","",IFERROR(INDEX(Machine_List!$B$14:$B$19,MATCH("*"&amp;$B97&amp;"*",Machine_List!$J$14:$J$19,0)),"NO COMPATIBLE MACHINE"))</f>
        <v/>
      </c>
      <c r="F97" s="106" t="str">
        <f>IF($E97="","",IFERROR(VLOOKUP($E97,Machine_List!$B:$G,6,0),""))</f>
        <v/>
      </c>
      <c r="G97" s="53" t="str">
        <f>IF($E97="","",IFERROR(VLOOKUP($E97,Machine_List!$B:$C,2,0),""))</f>
        <v/>
      </c>
      <c r="H97" s="10" t="str">
        <f>IF($E97="","",IFERROR(VLOOKUP($E97,Machine_List!$B:$D,3,0),""))</f>
        <v/>
      </c>
      <c r="I97" s="54"/>
      <c r="J97" s="55" t="str">
        <f ca="1">IF($A97="","",IF($I97&lt;&gt;"",$I97,MAX(GlobalStartDate,IFERROR(LOOKUP(2,1/($E$3:INDIRECT("E"&amp;(ROW()-1))=$E97),$M$3:INDIRECT("M"&amp;(ROW()-1))),GlobalStartDate))))</f>
        <v/>
      </c>
      <c r="K97" s="10" t="str">
        <f>IF($A97="","",IFERROR(VLOOKUP(B97,CHOOSE(MATCH(C97,Settings!$L$4:$L$10,0),OPR_2P!$A$4:$I$18,SEG_6P!$A$4:$I$18,SOL_4P!$A$4:$I$18,RW_2P!$A$4:$I$18,RW2_4P!$A$4:$I$18,FLAP_4P!$A$4:$I$18,TUBE_4P!$A$4:$I$18),3,0),0))</f>
        <v/>
      </c>
      <c r="L97" s="10" t="str">
        <f t="shared" si="3"/>
        <v/>
      </c>
      <c r="M97" s="55" t="str">
        <f>IF($A97="","",IF(AND(ISNUMBER(G97),G97&gt;=J97,G97&lt;=(J97+(L97/(IF(F97="Contract Workman",Settings!$K$5,Settings!$K$4))))),J97+(L97/(IF(F97="Contract Workman",Settings!$K$5,Settings!$K$4)))+(H97/(IF(F97="Contract Workman",Settings!$K$5,Settings!$K$4))),J97+(L97/(IF(F97="Contract Workman",Settings!$K$5,Settings!$K$4)))))</f>
        <v/>
      </c>
      <c r="N97" s="10" t="str">
        <f t="shared" si="4"/>
        <v/>
      </c>
      <c r="O97" s="51" t="str">
        <f>IF(B97="","", IF(IFERROR(ISNUMBER(SEARCH(B97, VLOOKUP(E97, Machine_List!$B:$J, 9, 0))), FALSE()), "✅ Machine OK", "❌ Sug: " &amp; IFERROR(INDEX(Machine_List!$B$4:$B$50, MATCH("*"&amp;B97&amp;"*", Machine_List!$J$4:$J$50, 0)), "Check Limits")))</f>
        <v/>
      </c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  <c r="AE97" s="52"/>
      <c r="AF97" s="52"/>
      <c r="AG97" s="52"/>
      <c r="AH97" s="52"/>
      <c r="AI97" s="52"/>
      <c r="AJ97" s="52"/>
      <c r="AK97" s="52"/>
      <c r="AL97" s="52"/>
      <c r="AM97" s="52"/>
      <c r="AN97" s="52"/>
      <c r="AO97" s="52"/>
      <c r="AP97" s="52"/>
      <c r="AQ97" s="52"/>
      <c r="AR97" s="52"/>
      <c r="AS97" s="52"/>
      <c r="AT97" s="52"/>
      <c r="AU97" s="52"/>
      <c r="AV97" s="52"/>
      <c r="AW97" s="52"/>
      <c r="AX97" s="52"/>
      <c r="AY97" s="52"/>
      <c r="AZ97" s="52"/>
      <c r="BA97" s="52"/>
      <c r="BB97" s="52"/>
      <c r="BC97" s="52"/>
      <c r="BD97" s="52"/>
      <c r="BE97" s="52"/>
      <c r="BF97" s="52"/>
      <c r="BG97" s="52"/>
      <c r="BH97" s="52"/>
      <c r="BI97" s="52"/>
      <c r="BJ97" s="52"/>
      <c r="BK97" s="52"/>
      <c r="BL97" s="52"/>
      <c r="BM97" s="52"/>
    </row>
    <row r="98" spans="1:65" ht="15" customHeight="1" x14ac:dyDescent="0.3">
      <c r="A98" s="10" t="str">
        <f>IF(Job_Master!A98="","",Job_Master!A98)</f>
        <v/>
      </c>
      <c r="B98" s="10" t="str">
        <f>IF($A98="","",Job_Master!B98)</f>
        <v/>
      </c>
      <c r="C98" s="10" t="str">
        <f>IF($A98="","",Job_Master!C98)</f>
        <v/>
      </c>
      <c r="D98" s="10" t="str">
        <f>IF($A98="","",Job_Master!D98)</f>
        <v/>
      </c>
      <c r="E98" s="48" t="str">
        <f>IF($A98="","",IFERROR(INDEX(Machine_List!$B$14:$B$19,MATCH("*"&amp;$B98&amp;"*",Machine_List!$J$14:$J$19,0)),"NO COMPATIBLE MACHINE"))</f>
        <v/>
      </c>
      <c r="F98" s="106" t="str">
        <f>IF($E98="","",IFERROR(VLOOKUP($E98,Machine_List!$B:$G,6,0),""))</f>
        <v/>
      </c>
      <c r="G98" s="53" t="str">
        <f>IF($E98="","",IFERROR(VLOOKUP($E98,Machine_List!$B:$C,2,0),""))</f>
        <v/>
      </c>
      <c r="H98" s="10" t="str">
        <f>IF($E98="","",IFERROR(VLOOKUP($E98,Machine_List!$B:$D,3,0),""))</f>
        <v/>
      </c>
      <c r="I98" s="54"/>
      <c r="J98" s="55" t="str">
        <f ca="1">IF($A98="","",IF($I98&lt;&gt;"",$I98,MAX(GlobalStartDate,IFERROR(LOOKUP(2,1/($E$3:INDIRECT("E"&amp;(ROW()-1))=$E98),$M$3:INDIRECT("M"&amp;(ROW()-1))),GlobalStartDate))))</f>
        <v/>
      </c>
      <c r="K98" s="10" t="str">
        <f>IF($A98="","",IFERROR(VLOOKUP(B98,CHOOSE(MATCH(C98,Settings!$L$4:$L$10,0),OPR_2P!$A$4:$I$18,SEG_6P!$A$4:$I$18,SOL_4P!$A$4:$I$18,RW_2P!$A$4:$I$18,RW2_4P!$A$4:$I$18,FLAP_4P!$A$4:$I$18,TUBE_4P!$A$4:$I$18),3,0),0))</f>
        <v/>
      </c>
      <c r="L98" s="10" t="str">
        <f t="shared" si="3"/>
        <v/>
      </c>
      <c r="M98" s="55" t="str">
        <f>IF($A98="","",IF(AND(ISNUMBER(G98),G98&gt;=J98,G98&lt;=(J98+(L98/(IF(F98="Contract Workman",Settings!$K$5,Settings!$K$4))))),J98+(L98/(IF(F98="Contract Workman",Settings!$K$5,Settings!$K$4)))+(H98/(IF(F98="Contract Workman",Settings!$K$5,Settings!$K$4))),J98+(L98/(IF(F98="Contract Workman",Settings!$K$5,Settings!$K$4)))))</f>
        <v/>
      </c>
      <c r="N98" s="10" t="str">
        <f t="shared" si="4"/>
        <v/>
      </c>
      <c r="O98" s="51" t="str">
        <f>IF(B98="","", IF(IFERROR(ISNUMBER(SEARCH(B98, VLOOKUP(E98, Machine_List!$B:$J, 9, 0))), FALSE()), "✅ Machine OK", "❌ Sug: " &amp; IFERROR(INDEX(Machine_List!$B$4:$B$50, MATCH("*"&amp;B98&amp;"*", Machine_List!$J$4:$J$50, 0)), "Check Limits")))</f>
        <v/>
      </c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52"/>
      <c r="AN98" s="52"/>
      <c r="AO98" s="52"/>
      <c r="AP98" s="52"/>
      <c r="AQ98" s="52"/>
      <c r="AR98" s="52"/>
      <c r="AS98" s="52"/>
      <c r="AT98" s="52"/>
      <c r="AU98" s="52"/>
      <c r="AV98" s="52"/>
      <c r="AW98" s="52"/>
      <c r="AX98" s="52"/>
      <c r="AY98" s="52"/>
      <c r="AZ98" s="52"/>
      <c r="BA98" s="52"/>
      <c r="BB98" s="52"/>
      <c r="BC98" s="52"/>
      <c r="BD98" s="52"/>
      <c r="BE98" s="52"/>
      <c r="BF98" s="52"/>
      <c r="BG98" s="52"/>
      <c r="BH98" s="52"/>
      <c r="BI98" s="52"/>
      <c r="BJ98" s="52"/>
      <c r="BK98" s="52"/>
      <c r="BL98" s="52"/>
      <c r="BM98" s="52"/>
    </row>
    <row r="99" spans="1:65" ht="15" customHeight="1" x14ac:dyDescent="0.3">
      <c r="A99" s="10" t="str">
        <f>IF(Job_Master!A99="","",Job_Master!A99)</f>
        <v/>
      </c>
      <c r="B99" s="10" t="str">
        <f>IF($A99="","",Job_Master!B99)</f>
        <v/>
      </c>
      <c r="C99" s="10" t="str">
        <f>IF($A99="","",Job_Master!C99)</f>
        <v/>
      </c>
      <c r="D99" s="10" t="str">
        <f>IF($A99="","",Job_Master!D99)</f>
        <v/>
      </c>
      <c r="E99" s="48" t="str">
        <f>IF($A99="","",IFERROR(INDEX(Machine_List!$B$14:$B$19,MATCH("*"&amp;$B99&amp;"*",Machine_List!$J$14:$J$19,0)),"NO COMPATIBLE MACHINE"))</f>
        <v/>
      </c>
      <c r="F99" s="106" t="str">
        <f>IF($E99="","",IFERROR(VLOOKUP($E99,Machine_List!$B:$G,6,0),""))</f>
        <v/>
      </c>
      <c r="G99" s="53" t="str">
        <f>IF($E99="","",IFERROR(VLOOKUP($E99,Machine_List!$B:$C,2,0),""))</f>
        <v/>
      </c>
      <c r="H99" s="10" t="str">
        <f>IF($E99="","",IFERROR(VLOOKUP($E99,Machine_List!$B:$D,3,0),""))</f>
        <v/>
      </c>
      <c r="I99" s="54"/>
      <c r="J99" s="55" t="str">
        <f ca="1">IF($A99="","",IF($I99&lt;&gt;"",$I99,MAX(GlobalStartDate,IFERROR(LOOKUP(2,1/($E$3:INDIRECT("E"&amp;(ROW()-1))=$E99),$M$3:INDIRECT("M"&amp;(ROW()-1))),GlobalStartDate))))</f>
        <v/>
      </c>
      <c r="K99" s="10" t="str">
        <f>IF($A99="","",IFERROR(VLOOKUP(B99,CHOOSE(MATCH(C99,Settings!$L$4:$L$10,0),OPR_2P!$A$4:$I$18,SEG_6P!$A$4:$I$18,SOL_4P!$A$4:$I$18,RW_2P!$A$4:$I$18,RW2_4P!$A$4:$I$18,FLAP_4P!$A$4:$I$18,TUBE_4P!$A$4:$I$18),3,0),0))</f>
        <v/>
      </c>
      <c r="L99" s="10" t="str">
        <f t="shared" si="3"/>
        <v/>
      </c>
      <c r="M99" s="55" t="str">
        <f>IF($A99="","",IF(AND(ISNUMBER(G99),G99&gt;=J99,G99&lt;=(J99+(L99/(IF(F99="Contract Workman",Settings!$K$5,Settings!$K$4))))),J99+(L99/(IF(F99="Contract Workman",Settings!$K$5,Settings!$K$4)))+(H99/(IF(F99="Contract Workman",Settings!$K$5,Settings!$K$4))),J99+(L99/(IF(F99="Contract Workman",Settings!$K$5,Settings!$K$4)))))</f>
        <v/>
      </c>
      <c r="N99" s="10" t="str">
        <f t="shared" si="4"/>
        <v/>
      </c>
      <c r="O99" s="51" t="str">
        <f>IF(B99="","", IF(IFERROR(ISNUMBER(SEARCH(B99, VLOOKUP(E99, Machine_List!$B:$J, 9, 0))), FALSE()), "✅ Machine OK", "❌ Sug: " &amp; IFERROR(INDEX(Machine_List!$B$4:$B$50, MATCH("*"&amp;B99&amp;"*", Machine_List!$J$4:$J$50, 0)), "Check Limits")))</f>
        <v/>
      </c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  <c r="AE99" s="52"/>
      <c r="AF99" s="52"/>
      <c r="AG99" s="52"/>
      <c r="AH99" s="52"/>
      <c r="AI99" s="52"/>
      <c r="AJ99" s="52"/>
      <c r="AK99" s="52"/>
      <c r="AL99" s="52"/>
      <c r="AM99" s="52"/>
      <c r="AN99" s="52"/>
      <c r="AO99" s="52"/>
      <c r="AP99" s="52"/>
      <c r="AQ99" s="52"/>
      <c r="AR99" s="52"/>
      <c r="AS99" s="52"/>
      <c r="AT99" s="52"/>
      <c r="AU99" s="52"/>
      <c r="AV99" s="52"/>
      <c r="AW99" s="52"/>
      <c r="AX99" s="52"/>
      <c r="AY99" s="52"/>
      <c r="AZ99" s="52"/>
      <c r="BA99" s="52"/>
      <c r="BB99" s="52"/>
      <c r="BC99" s="52"/>
      <c r="BD99" s="52"/>
      <c r="BE99" s="52"/>
      <c r="BF99" s="52"/>
      <c r="BG99" s="52"/>
      <c r="BH99" s="52"/>
      <c r="BI99" s="52"/>
      <c r="BJ99" s="52"/>
      <c r="BK99" s="52"/>
      <c r="BL99" s="52"/>
      <c r="BM99" s="52"/>
    </row>
    <row r="100" spans="1:65" ht="15" customHeight="1" x14ac:dyDescent="0.3">
      <c r="A100" s="10" t="str">
        <f>IF(Job_Master!A100="","",Job_Master!A100)</f>
        <v/>
      </c>
      <c r="B100" s="10" t="str">
        <f>IF($A100="","",Job_Master!B100)</f>
        <v/>
      </c>
      <c r="C100" s="10" t="str">
        <f>IF($A100="","",Job_Master!C100)</f>
        <v/>
      </c>
      <c r="D100" s="10" t="str">
        <f>IF($A100="","",Job_Master!D100)</f>
        <v/>
      </c>
      <c r="E100" s="48" t="str">
        <f>IF($A100="","",IFERROR(INDEX(Machine_List!$B$14:$B$19,MATCH("*"&amp;$B100&amp;"*",Machine_List!$J$14:$J$19,0)),"NO COMPATIBLE MACHINE"))</f>
        <v/>
      </c>
      <c r="F100" s="106" t="str">
        <f>IF($E100="","",IFERROR(VLOOKUP($E100,Machine_List!$B:$G,6,0),""))</f>
        <v/>
      </c>
      <c r="G100" s="53" t="str">
        <f>IF($E100="","",IFERROR(VLOOKUP($E100,Machine_List!$B:$C,2,0),""))</f>
        <v/>
      </c>
      <c r="H100" s="10" t="str">
        <f>IF($E100="","",IFERROR(VLOOKUP($E100,Machine_List!$B:$D,3,0),""))</f>
        <v/>
      </c>
      <c r="I100" s="58"/>
      <c r="J100" s="55" t="str">
        <f ca="1">IF($A100="","",IF($I100&lt;&gt;"",$I100,MAX(GlobalStartDate,IFERROR(LOOKUP(2,1/($E$3:INDIRECT("E"&amp;(ROW()-1))=$E100),$M$3:INDIRECT("M"&amp;(ROW()-1))),GlobalStartDate))))</f>
        <v/>
      </c>
      <c r="K100" s="10" t="str">
        <f>IF($A100="","",IFERROR(VLOOKUP(B100,CHOOSE(MATCH(C100,Settings!$L$4:$L$10,0),OPR_2P!$A$4:$I$18,SEG_6P!$A$4:$I$18,SOL_4P!$A$4:$I$18,RW_2P!$A$4:$I$18,RW2_4P!$A$4:$I$18,FLAP_4P!$A$4:$I$18,TUBE_4P!$A$4:$I$18),3,0),0))</f>
        <v/>
      </c>
      <c r="L100" s="10" t="str">
        <f t="shared" si="3"/>
        <v/>
      </c>
      <c r="M100" s="55" t="str">
        <f>IF($A100="","",IF(AND(ISNUMBER(G100),G100&gt;=J100,G100&lt;=(J100+(L100/(IF(F100="Contract Workman",Settings!$K$5,Settings!$K$4))))),J100+(L100/(IF(F100="Contract Workman",Settings!$K$5,Settings!$K$4)))+(H100/(IF(F100="Contract Workman",Settings!$K$5,Settings!$K$4))),J100+(L100/(IF(F100="Contract Workman",Settings!$K$5,Settings!$K$4)))))</f>
        <v/>
      </c>
      <c r="N100" s="10" t="str">
        <f t="shared" ref="N100:N131" si="5">IF($A100="","",IF(F100="Contract Workman",IF(AND(MOD(M100,1)&gt;=8/24,MOD(M100,1)&lt;20/24),"Shift S1","Shift S2"),IF(AND(MOD(M100,1)&gt;=7/24,MOD(M100,1)&lt;15/24),"Shift A",IF(AND(MOD(M100,1)&gt;=15/24,MOD(M100,1)&lt;23/24),"Shift B","Shift C"))))</f>
        <v/>
      </c>
      <c r="O100" s="51" t="str">
        <f>IF(B100="","", IF(IFERROR(ISNUMBER(SEARCH(B100, VLOOKUP(E100, Machine_List!$B:$J, 9, 0))), FALSE()), "✅ Machine OK", "❌ Sug: " &amp; IFERROR(INDEX(Machine_List!$B$4:$B$50, MATCH("*"&amp;B100&amp;"*", Machine_List!$J$4:$J$50, 0)), "Check Limits")))</f>
        <v/>
      </c>
    </row>
    <row r="101" spans="1:65" ht="15" customHeight="1" x14ac:dyDescent="0.3">
      <c r="A101" s="10" t="str">
        <f>IF(Job_Master!A101="","",Job_Master!A101)</f>
        <v/>
      </c>
      <c r="B101" s="10" t="str">
        <f>IF($A101="","",Job_Master!B101)</f>
        <v/>
      </c>
      <c r="C101" s="10" t="str">
        <f>IF($A101="","",Job_Master!C101)</f>
        <v/>
      </c>
      <c r="D101" s="10" t="str">
        <f>IF($A101="","",Job_Master!D101)</f>
        <v/>
      </c>
      <c r="E101" s="48" t="str">
        <f>IF($A101="","",IFERROR(INDEX(Machine_List!$B$14:$B$19,MATCH("*"&amp;$B101&amp;"*",Machine_List!$J$14:$J$19,0)),"NO COMPATIBLE MACHINE"))</f>
        <v/>
      </c>
      <c r="F101" s="106" t="str">
        <f>IF($E101="","",IFERROR(VLOOKUP($E101,Machine_List!$B:$G,6,0),""))</f>
        <v/>
      </c>
      <c r="G101" s="53" t="str">
        <f>IF($E101="","",IFERROR(VLOOKUP($E101,Machine_List!$B:$C,2,0),""))</f>
        <v/>
      </c>
      <c r="H101" s="10" t="str">
        <f>IF($E101="","",IFERROR(VLOOKUP($E101,Machine_List!$B:$D,3,0),""))</f>
        <v/>
      </c>
      <c r="J101" s="55" t="str">
        <f ca="1">IF($A101="","",IF($I101&lt;&gt;"",$I101,MAX(GlobalStartDate,IFERROR(LOOKUP(2,1/($E$3:INDIRECT("E"&amp;(ROW()-1))=$E101),$M$3:INDIRECT("M"&amp;(ROW()-1))),GlobalStartDate))))</f>
        <v/>
      </c>
      <c r="K101" s="10" t="str">
        <f>IF($A101="","",IFERROR(VLOOKUP(B101,CHOOSE(MATCH(C101,Settings!$L$4:$L$10,0),OPR_2P!$A$4:$I$18,SEG_6P!$A$4:$I$18,SOL_4P!$A$4:$I$18,RW_2P!$A$4:$I$18,RW2_4P!$A$4:$I$18,FLAP_4P!$A$4:$I$18,TUBE_4P!$A$4:$I$18),3,0),0))</f>
        <v/>
      </c>
      <c r="L101" s="10" t="str">
        <f t="shared" si="3"/>
        <v/>
      </c>
      <c r="M101" s="55" t="str">
        <f>IF($A101="","",IF(AND(ISNUMBER(G101),G101&gt;=J101,G101&lt;=(J101+(L101/(IF(F101="Contract Workman",Settings!$K$5,Settings!$K$4))))),J101+(L101/(IF(F101="Contract Workman",Settings!$K$5,Settings!$K$4)))+(H101/(IF(F101="Contract Workman",Settings!$K$5,Settings!$K$4))),J101+(L101/(IF(F101="Contract Workman",Settings!$K$5,Settings!$K$4)))))</f>
        <v/>
      </c>
      <c r="N101" s="10" t="str">
        <f t="shared" si="5"/>
        <v/>
      </c>
      <c r="O101" s="51"/>
    </row>
    <row r="102" spans="1:65" ht="15" customHeight="1" x14ac:dyDescent="0.3">
      <c r="A102" s="10" t="str">
        <f>IF(Job_Master!A102="","",Job_Master!A102)</f>
        <v/>
      </c>
      <c r="B102" s="10" t="str">
        <f>IF($A102="","",Job_Master!B102)</f>
        <v/>
      </c>
      <c r="C102" s="10" t="str">
        <f>IF($A102="","",Job_Master!C102)</f>
        <v/>
      </c>
      <c r="D102" s="10" t="str">
        <f>IF($A102="","",Job_Master!D102)</f>
        <v/>
      </c>
      <c r="E102" s="48" t="str">
        <f>IF($A102="","",IFERROR(INDEX(Machine_List!$B$14:$B$19,MATCH("*"&amp;$B102&amp;"*",Machine_List!$J$14:$J$19,0)),"NO COMPATIBLE MACHINE"))</f>
        <v/>
      </c>
      <c r="F102" s="106" t="str">
        <f>IF($E102="","",IFERROR(VLOOKUP($E102,Machine_List!$B:$G,6,0),""))</f>
        <v/>
      </c>
      <c r="G102" s="53" t="str">
        <f>IF($E102="","",IFERROR(VLOOKUP($E102,Machine_List!$B:$C,2,0),""))</f>
        <v/>
      </c>
      <c r="H102" s="10" t="str">
        <f>IF($E102="","",IFERROR(VLOOKUP($E102,Machine_List!$B:$D,3,0),""))</f>
        <v/>
      </c>
      <c r="J102" s="55" t="str">
        <f ca="1">IF($A102="","",IF($I102&lt;&gt;"",$I102,MAX(GlobalStartDate,IFERROR(LOOKUP(2,1/($E$3:INDIRECT("E"&amp;(ROW()-1))=$E102),$M$3:INDIRECT("M"&amp;(ROW()-1))),GlobalStartDate))))</f>
        <v/>
      </c>
      <c r="K102" s="10" t="str">
        <f>IF($A102="","",IFERROR(VLOOKUP(B102,CHOOSE(MATCH(C102,Settings!$L$4:$L$10,0),OPR_2P!$A$4:$I$18,SEG_6P!$A$4:$I$18,SOL_4P!$A$4:$I$18,RW_2P!$A$4:$I$18,RW2_4P!$A$4:$I$18,FLAP_4P!$A$4:$I$18,TUBE_4P!$A$4:$I$18),3,0),0))</f>
        <v/>
      </c>
      <c r="L102" s="10" t="str">
        <f t="shared" si="3"/>
        <v/>
      </c>
      <c r="M102" s="55" t="str">
        <f>IF($A102="","",IF(AND(ISNUMBER(G102),G102&gt;=J102,G102&lt;=(J102+(L102/(IF(F102="Contract Workman",Settings!$K$5,Settings!$K$4))))),J102+(L102/(IF(F102="Contract Workman",Settings!$K$5,Settings!$K$4)))+(H102/(IF(F102="Contract Workman",Settings!$K$5,Settings!$K$4))),J102+(L102/(IF(F102="Contract Workman",Settings!$K$5,Settings!$K$4)))))</f>
        <v/>
      </c>
      <c r="N102" s="10" t="str">
        <f t="shared" si="5"/>
        <v/>
      </c>
      <c r="O102" s="51"/>
    </row>
    <row r="103" spans="1:65" ht="15" customHeight="1" x14ac:dyDescent="0.3">
      <c r="A103" s="10" t="str">
        <f>IF(Job_Master!A103="","",Job_Master!A103)</f>
        <v/>
      </c>
      <c r="B103" s="10" t="str">
        <f>IF($A103="","",Job_Master!B103)</f>
        <v/>
      </c>
      <c r="C103" s="10" t="str">
        <f>IF($A103="","",Job_Master!C103)</f>
        <v/>
      </c>
      <c r="D103" s="10" t="str">
        <f>IF($A103="","",Job_Master!D103)</f>
        <v/>
      </c>
      <c r="E103" s="48" t="str">
        <f>IF($A103="","",IFERROR(INDEX(Machine_List!$B$14:$B$19,MATCH("*"&amp;$B103&amp;"*",Machine_List!$J$14:$J$19,0)),"NO COMPATIBLE MACHINE"))</f>
        <v/>
      </c>
      <c r="F103" s="106" t="str">
        <f>IF($E103="","",IFERROR(VLOOKUP($E103,Machine_List!$B:$G,6,0),""))</f>
        <v/>
      </c>
      <c r="G103" s="53" t="str">
        <f>IF($E103="","",IFERROR(VLOOKUP($E103,Machine_List!$B:$C,2,0),""))</f>
        <v/>
      </c>
      <c r="H103" s="10" t="str">
        <f>IF($E103="","",IFERROR(VLOOKUP($E103,Machine_List!$B:$D,3,0),""))</f>
        <v/>
      </c>
      <c r="J103" s="55" t="str">
        <f ca="1">IF($A103="","",IF($I103&lt;&gt;"",$I103,MAX(GlobalStartDate,IFERROR(LOOKUP(2,1/($E$3:INDIRECT("E"&amp;(ROW()-1))=$E103),$M$3:INDIRECT("M"&amp;(ROW()-1))),GlobalStartDate))))</f>
        <v/>
      </c>
      <c r="K103" s="10" t="str">
        <f>IF($A103="","",IFERROR(VLOOKUP(B103,CHOOSE(MATCH(C103,Settings!$L$4:$L$10,0),OPR_2P!$A$4:$I$18,SEG_6P!$A$4:$I$18,SOL_4P!$A$4:$I$18,RW_2P!$A$4:$I$18,RW2_4P!$A$4:$I$18,FLAP_4P!$A$4:$I$18,TUBE_4P!$A$4:$I$18),3,0),0))</f>
        <v/>
      </c>
      <c r="L103" s="10" t="str">
        <f t="shared" si="3"/>
        <v/>
      </c>
      <c r="M103" s="55" t="str">
        <f>IF($A103="","",IF(AND(ISNUMBER(G103),G103&gt;=J103,G103&lt;=(J103+(L103/(IF(F103="Contract Workman",Settings!$K$5,Settings!$K$4))))),J103+(L103/(IF(F103="Contract Workman",Settings!$K$5,Settings!$K$4)))+(H103/(IF(F103="Contract Workman",Settings!$K$5,Settings!$K$4))),J103+(L103/(IF(F103="Contract Workman",Settings!$K$5,Settings!$K$4)))))</f>
        <v/>
      </c>
      <c r="N103" s="10" t="str">
        <f t="shared" si="5"/>
        <v/>
      </c>
      <c r="O103" s="51"/>
    </row>
    <row r="104" spans="1:65" ht="15" customHeight="1" x14ac:dyDescent="0.3">
      <c r="L104" t="str">
        <f t="shared" si="3"/>
        <v/>
      </c>
      <c r="O104" s="51"/>
    </row>
    <row r="105" spans="1:65" ht="15" customHeight="1" x14ac:dyDescent="0.3">
      <c r="L105" t="str">
        <f t="shared" si="3"/>
        <v/>
      </c>
      <c r="O105" s="51"/>
    </row>
    <row r="106" spans="1:65" ht="15" customHeight="1" x14ac:dyDescent="0.3">
      <c r="L106" t="str">
        <f t="shared" si="3"/>
        <v/>
      </c>
      <c r="O106" s="51"/>
    </row>
    <row r="107" spans="1:65" ht="15" customHeight="1" x14ac:dyDescent="0.3">
      <c r="L107" t="str">
        <f t="shared" si="3"/>
        <v/>
      </c>
      <c r="O107" s="51"/>
    </row>
    <row r="108" spans="1:65" ht="15" customHeight="1" x14ac:dyDescent="0.3">
      <c r="L108" t="str">
        <f t="shared" si="3"/>
        <v/>
      </c>
      <c r="O108" s="51"/>
    </row>
    <row r="109" spans="1:65" ht="15" customHeight="1" x14ac:dyDescent="0.3">
      <c r="L109" t="str">
        <f t="shared" si="3"/>
        <v/>
      </c>
      <c r="O109" s="51"/>
    </row>
    <row r="110" spans="1:65" ht="15" customHeight="1" x14ac:dyDescent="0.3">
      <c r="L110" t="str">
        <f t="shared" si="3"/>
        <v/>
      </c>
      <c r="O110" s="51"/>
    </row>
    <row r="111" spans="1:65" ht="15" customHeight="1" x14ac:dyDescent="0.3">
      <c r="L111" t="str">
        <f t="shared" si="3"/>
        <v/>
      </c>
      <c r="O111" s="51"/>
    </row>
    <row r="112" spans="1:65" ht="15" customHeight="1" x14ac:dyDescent="0.3">
      <c r="L112" t="str">
        <f t="shared" si="3"/>
        <v/>
      </c>
      <c r="O112" s="51"/>
    </row>
    <row r="113" spans="12:15" ht="15" customHeight="1" x14ac:dyDescent="0.3">
      <c r="L113" t="str">
        <f t="shared" si="3"/>
        <v/>
      </c>
      <c r="O113" s="51"/>
    </row>
    <row r="114" spans="12:15" ht="15" customHeight="1" x14ac:dyDescent="0.3">
      <c r="L114" t="str">
        <f t="shared" si="3"/>
        <v/>
      </c>
      <c r="O114" s="51"/>
    </row>
    <row r="115" spans="12:15" ht="15" customHeight="1" x14ac:dyDescent="0.3">
      <c r="L115" t="str">
        <f t="shared" si="3"/>
        <v/>
      </c>
      <c r="O115" s="51"/>
    </row>
    <row r="116" spans="12:15" ht="15" customHeight="1" x14ac:dyDescent="0.3">
      <c r="L116" t="str">
        <f t="shared" si="3"/>
        <v/>
      </c>
      <c r="O116" s="51"/>
    </row>
    <row r="117" spans="12:15" ht="15" customHeight="1" x14ac:dyDescent="0.3">
      <c r="L117" t="str">
        <f t="shared" si="3"/>
        <v/>
      </c>
      <c r="O117" s="51"/>
    </row>
    <row r="118" spans="12:15" ht="15" customHeight="1" x14ac:dyDescent="0.3">
      <c r="L118" t="str">
        <f t="shared" si="3"/>
        <v/>
      </c>
      <c r="O118" s="51"/>
    </row>
    <row r="119" spans="12:15" ht="15" customHeight="1" x14ac:dyDescent="0.3">
      <c r="L119" t="str">
        <f t="shared" si="3"/>
        <v/>
      </c>
      <c r="O119" s="51"/>
    </row>
    <row r="120" spans="12:15" ht="15" customHeight="1" x14ac:dyDescent="0.3">
      <c r="L120" t="str">
        <f t="shared" si="3"/>
        <v/>
      </c>
      <c r="O120" s="51"/>
    </row>
    <row r="121" spans="12:15" ht="15" customHeight="1" x14ac:dyDescent="0.3">
      <c r="L121" t="str">
        <f t="shared" si="3"/>
        <v/>
      </c>
      <c r="O121" s="51"/>
    </row>
    <row r="122" spans="12:15" ht="15" customHeight="1" x14ac:dyDescent="0.3">
      <c r="L122" t="str">
        <f t="shared" si="3"/>
        <v/>
      </c>
      <c r="O122" s="51"/>
    </row>
    <row r="123" spans="12:15" ht="15" customHeight="1" x14ac:dyDescent="0.3">
      <c r="L123" t="str">
        <f t="shared" si="3"/>
        <v/>
      </c>
      <c r="O123" s="51"/>
    </row>
    <row r="124" spans="12:15" ht="15" customHeight="1" x14ac:dyDescent="0.3">
      <c r="L124" t="str">
        <f t="shared" si="3"/>
        <v/>
      </c>
      <c r="O124" s="51"/>
    </row>
    <row r="125" spans="12:15" ht="15" customHeight="1" x14ac:dyDescent="0.3">
      <c r="L125" t="str">
        <f t="shared" si="3"/>
        <v/>
      </c>
      <c r="O125" s="51"/>
    </row>
    <row r="126" spans="12:15" ht="15" customHeight="1" x14ac:dyDescent="0.3">
      <c r="L126" t="str">
        <f t="shared" si="3"/>
        <v/>
      </c>
      <c r="O126" s="51"/>
    </row>
    <row r="127" spans="12:15" ht="15" customHeight="1" x14ac:dyDescent="0.3">
      <c r="L127" t="str">
        <f t="shared" si="3"/>
        <v/>
      </c>
      <c r="O127" s="51"/>
    </row>
    <row r="128" spans="12:15" ht="15" customHeight="1" x14ac:dyDescent="0.3">
      <c r="L128" t="str">
        <f t="shared" si="3"/>
        <v/>
      </c>
      <c r="O128" s="51"/>
    </row>
    <row r="129" spans="12:15" ht="15" customHeight="1" x14ac:dyDescent="0.3">
      <c r="L129" t="str">
        <f t="shared" si="3"/>
        <v/>
      </c>
      <c r="O129" s="51"/>
    </row>
    <row r="130" spans="12:15" ht="15" customHeight="1" x14ac:dyDescent="0.3">
      <c r="L130" t="str">
        <f t="shared" si="3"/>
        <v/>
      </c>
      <c r="O130" s="51"/>
    </row>
    <row r="131" spans="12:15" ht="15" customHeight="1" x14ac:dyDescent="0.3">
      <c r="L131" t="str">
        <f t="shared" si="3"/>
        <v/>
      </c>
      <c r="O131" s="51"/>
    </row>
    <row r="132" spans="12:15" ht="15" customHeight="1" x14ac:dyDescent="0.3">
      <c r="L132" t="str">
        <f t="shared" ref="L132:L195" si="6">IF($A132="","",K132*D132)</f>
        <v/>
      </c>
      <c r="O132" s="51"/>
    </row>
    <row r="133" spans="12:15" ht="15" customHeight="1" x14ac:dyDescent="0.3">
      <c r="L133" t="str">
        <f t="shared" si="6"/>
        <v/>
      </c>
      <c r="O133" s="51"/>
    </row>
    <row r="134" spans="12:15" ht="15" customHeight="1" x14ac:dyDescent="0.3">
      <c r="L134" t="str">
        <f t="shared" si="6"/>
        <v/>
      </c>
      <c r="O134" s="51"/>
    </row>
    <row r="135" spans="12:15" ht="15" customHeight="1" x14ac:dyDescent="0.3">
      <c r="L135" t="str">
        <f t="shared" si="6"/>
        <v/>
      </c>
      <c r="O135" s="51"/>
    </row>
    <row r="136" spans="12:15" ht="15" customHeight="1" x14ac:dyDescent="0.3">
      <c r="L136" t="str">
        <f t="shared" si="6"/>
        <v/>
      </c>
      <c r="O136" s="51"/>
    </row>
    <row r="137" spans="12:15" ht="15" customHeight="1" x14ac:dyDescent="0.3">
      <c r="L137" t="str">
        <f t="shared" si="6"/>
        <v/>
      </c>
      <c r="O137" s="51"/>
    </row>
    <row r="138" spans="12:15" ht="15" customHeight="1" x14ac:dyDescent="0.3">
      <c r="L138" t="str">
        <f t="shared" si="6"/>
        <v/>
      </c>
      <c r="O138" s="51"/>
    </row>
    <row r="139" spans="12:15" ht="15" customHeight="1" x14ac:dyDescent="0.3">
      <c r="L139" t="str">
        <f t="shared" si="6"/>
        <v/>
      </c>
      <c r="O139" s="51"/>
    </row>
    <row r="140" spans="12:15" ht="15" customHeight="1" x14ac:dyDescent="0.3">
      <c r="L140" t="str">
        <f t="shared" si="6"/>
        <v/>
      </c>
      <c r="O140" s="51"/>
    </row>
    <row r="141" spans="12:15" ht="15" customHeight="1" x14ac:dyDescent="0.3">
      <c r="L141" t="str">
        <f t="shared" si="6"/>
        <v/>
      </c>
      <c r="O141" s="51"/>
    </row>
    <row r="142" spans="12:15" ht="15" customHeight="1" x14ac:dyDescent="0.3">
      <c r="L142" t="str">
        <f t="shared" si="6"/>
        <v/>
      </c>
      <c r="O142" s="51"/>
    </row>
    <row r="143" spans="12:15" ht="15" customHeight="1" x14ac:dyDescent="0.3">
      <c r="L143" t="str">
        <f t="shared" si="6"/>
        <v/>
      </c>
      <c r="O143" s="51"/>
    </row>
    <row r="144" spans="12:15" ht="15" customHeight="1" x14ac:dyDescent="0.3">
      <c r="L144" t="str">
        <f t="shared" si="6"/>
        <v/>
      </c>
      <c r="O144" s="51"/>
    </row>
    <row r="145" spans="12:15" ht="15" customHeight="1" x14ac:dyDescent="0.3">
      <c r="L145" t="str">
        <f t="shared" si="6"/>
        <v/>
      </c>
      <c r="O145" s="51"/>
    </row>
    <row r="146" spans="12:15" ht="15" customHeight="1" x14ac:dyDescent="0.3">
      <c r="L146" t="str">
        <f t="shared" si="6"/>
        <v/>
      </c>
      <c r="O146" s="51"/>
    </row>
    <row r="147" spans="12:15" ht="15" customHeight="1" x14ac:dyDescent="0.3">
      <c r="L147" t="str">
        <f t="shared" si="6"/>
        <v/>
      </c>
      <c r="O147" s="51"/>
    </row>
    <row r="148" spans="12:15" ht="15" customHeight="1" x14ac:dyDescent="0.3">
      <c r="L148" t="str">
        <f t="shared" si="6"/>
        <v/>
      </c>
      <c r="O148" s="51"/>
    </row>
    <row r="149" spans="12:15" ht="15" customHeight="1" x14ac:dyDescent="0.3">
      <c r="L149" t="str">
        <f t="shared" si="6"/>
        <v/>
      </c>
      <c r="O149" s="51"/>
    </row>
    <row r="150" spans="12:15" ht="15" customHeight="1" x14ac:dyDescent="0.3">
      <c r="L150" t="str">
        <f t="shared" si="6"/>
        <v/>
      </c>
      <c r="O150" s="51"/>
    </row>
    <row r="151" spans="12:15" ht="15" customHeight="1" x14ac:dyDescent="0.3">
      <c r="L151" t="str">
        <f t="shared" si="6"/>
        <v/>
      </c>
      <c r="O151" s="51"/>
    </row>
    <row r="152" spans="12:15" ht="15" customHeight="1" x14ac:dyDescent="0.3">
      <c r="L152" t="str">
        <f t="shared" si="6"/>
        <v/>
      </c>
      <c r="O152" s="51"/>
    </row>
    <row r="153" spans="12:15" ht="15" customHeight="1" x14ac:dyDescent="0.3">
      <c r="L153" t="str">
        <f t="shared" si="6"/>
        <v/>
      </c>
      <c r="O153" s="51"/>
    </row>
    <row r="154" spans="12:15" ht="15" customHeight="1" x14ac:dyDescent="0.3">
      <c r="L154" t="str">
        <f t="shared" si="6"/>
        <v/>
      </c>
      <c r="O154" s="51"/>
    </row>
    <row r="155" spans="12:15" ht="15" customHeight="1" x14ac:dyDescent="0.3">
      <c r="L155" t="str">
        <f t="shared" si="6"/>
        <v/>
      </c>
      <c r="O155" s="51"/>
    </row>
    <row r="156" spans="12:15" ht="15" customHeight="1" x14ac:dyDescent="0.3">
      <c r="L156" t="str">
        <f t="shared" si="6"/>
        <v/>
      </c>
      <c r="O156" s="51"/>
    </row>
    <row r="157" spans="12:15" ht="15" customHeight="1" x14ac:dyDescent="0.3">
      <c r="L157" t="str">
        <f t="shared" si="6"/>
        <v/>
      </c>
      <c r="O157" s="51"/>
    </row>
    <row r="158" spans="12:15" ht="15" customHeight="1" x14ac:dyDescent="0.3">
      <c r="L158" t="str">
        <f t="shared" si="6"/>
        <v/>
      </c>
      <c r="O158" s="51"/>
    </row>
    <row r="159" spans="12:15" ht="15" customHeight="1" x14ac:dyDescent="0.3">
      <c r="L159" t="str">
        <f t="shared" si="6"/>
        <v/>
      </c>
      <c r="O159" s="51"/>
    </row>
    <row r="160" spans="12:15" ht="15" customHeight="1" x14ac:dyDescent="0.3">
      <c r="L160" t="str">
        <f t="shared" si="6"/>
        <v/>
      </c>
      <c r="O160" s="51"/>
    </row>
    <row r="161" spans="12:15" ht="15" customHeight="1" x14ac:dyDescent="0.3">
      <c r="L161" t="str">
        <f t="shared" si="6"/>
        <v/>
      </c>
      <c r="O161" s="51"/>
    </row>
    <row r="162" spans="12:15" ht="15" customHeight="1" x14ac:dyDescent="0.3">
      <c r="L162" t="str">
        <f t="shared" si="6"/>
        <v/>
      </c>
      <c r="O162" s="51"/>
    </row>
    <row r="163" spans="12:15" ht="15" customHeight="1" x14ac:dyDescent="0.3">
      <c r="L163" t="str">
        <f t="shared" si="6"/>
        <v/>
      </c>
      <c r="O163" s="51"/>
    </row>
    <row r="164" spans="12:15" ht="15" customHeight="1" x14ac:dyDescent="0.3">
      <c r="L164" t="str">
        <f t="shared" si="6"/>
        <v/>
      </c>
      <c r="O164" s="51"/>
    </row>
    <row r="165" spans="12:15" ht="15" customHeight="1" x14ac:dyDescent="0.3">
      <c r="L165" t="str">
        <f t="shared" si="6"/>
        <v/>
      </c>
      <c r="O165" s="51"/>
    </row>
    <row r="166" spans="12:15" ht="15" customHeight="1" x14ac:dyDescent="0.3">
      <c r="L166" t="str">
        <f t="shared" si="6"/>
        <v/>
      </c>
      <c r="O166" s="51"/>
    </row>
    <row r="167" spans="12:15" ht="15" customHeight="1" x14ac:dyDescent="0.3">
      <c r="L167" t="str">
        <f t="shared" si="6"/>
        <v/>
      </c>
      <c r="O167" s="51"/>
    </row>
    <row r="168" spans="12:15" ht="15" customHeight="1" x14ac:dyDescent="0.3">
      <c r="L168" t="str">
        <f t="shared" si="6"/>
        <v/>
      </c>
      <c r="O168" s="51"/>
    </row>
    <row r="169" spans="12:15" ht="15" customHeight="1" x14ac:dyDescent="0.3">
      <c r="L169" t="str">
        <f t="shared" si="6"/>
        <v/>
      </c>
      <c r="O169" s="51"/>
    </row>
    <row r="170" spans="12:15" ht="15" customHeight="1" x14ac:dyDescent="0.3">
      <c r="L170" t="str">
        <f t="shared" si="6"/>
        <v/>
      </c>
      <c r="O170" s="51"/>
    </row>
    <row r="171" spans="12:15" ht="15" customHeight="1" x14ac:dyDescent="0.3">
      <c r="L171" t="str">
        <f t="shared" si="6"/>
        <v/>
      </c>
      <c r="O171" s="51"/>
    </row>
    <row r="172" spans="12:15" ht="15" customHeight="1" x14ac:dyDescent="0.3">
      <c r="L172" t="str">
        <f t="shared" si="6"/>
        <v/>
      </c>
      <c r="O172" s="51"/>
    </row>
    <row r="173" spans="12:15" ht="15" customHeight="1" x14ac:dyDescent="0.3">
      <c r="L173" t="str">
        <f t="shared" si="6"/>
        <v/>
      </c>
      <c r="O173" s="51"/>
    </row>
    <row r="174" spans="12:15" ht="15" customHeight="1" x14ac:dyDescent="0.3">
      <c r="L174" t="str">
        <f t="shared" si="6"/>
        <v/>
      </c>
      <c r="O174" s="51"/>
    </row>
    <row r="175" spans="12:15" ht="15" customHeight="1" x14ac:dyDescent="0.3">
      <c r="L175" t="str">
        <f t="shared" si="6"/>
        <v/>
      </c>
      <c r="O175" s="51"/>
    </row>
    <row r="176" spans="12:15" ht="15" customHeight="1" x14ac:dyDescent="0.3">
      <c r="L176" t="str">
        <f t="shared" si="6"/>
        <v/>
      </c>
      <c r="O176" s="51"/>
    </row>
    <row r="177" spans="12:15" ht="15" customHeight="1" x14ac:dyDescent="0.3">
      <c r="L177" t="str">
        <f t="shared" si="6"/>
        <v/>
      </c>
      <c r="O177" s="51"/>
    </row>
    <row r="178" spans="12:15" ht="15" customHeight="1" x14ac:dyDescent="0.3">
      <c r="L178" t="str">
        <f t="shared" si="6"/>
        <v/>
      </c>
      <c r="O178" s="51"/>
    </row>
    <row r="179" spans="12:15" ht="15" customHeight="1" x14ac:dyDescent="0.3">
      <c r="L179" t="str">
        <f t="shared" si="6"/>
        <v/>
      </c>
      <c r="O179" s="51"/>
    </row>
    <row r="180" spans="12:15" ht="15" customHeight="1" x14ac:dyDescent="0.3">
      <c r="L180" t="str">
        <f t="shared" si="6"/>
        <v/>
      </c>
      <c r="O180" s="51"/>
    </row>
    <row r="181" spans="12:15" ht="15" customHeight="1" x14ac:dyDescent="0.3">
      <c r="L181" t="str">
        <f t="shared" si="6"/>
        <v/>
      </c>
      <c r="O181" s="51"/>
    </row>
    <row r="182" spans="12:15" ht="15" customHeight="1" x14ac:dyDescent="0.3">
      <c r="L182" t="str">
        <f t="shared" si="6"/>
        <v/>
      </c>
      <c r="O182" s="51"/>
    </row>
    <row r="183" spans="12:15" ht="15" customHeight="1" x14ac:dyDescent="0.3">
      <c r="L183" t="str">
        <f t="shared" si="6"/>
        <v/>
      </c>
      <c r="O183" s="51"/>
    </row>
    <row r="184" spans="12:15" ht="15" customHeight="1" x14ac:dyDescent="0.3">
      <c r="L184" t="str">
        <f t="shared" si="6"/>
        <v/>
      </c>
      <c r="O184" s="51"/>
    </row>
    <row r="185" spans="12:15" ht="15" customHeight="1" x14ac:dyDescent="0.3">
      <c r="L185" t="str">
        <f t="shared" si="6"/>
        <v/>
      </c>
      <c r="O185" s="51"/>
    </row>
    <row r="186" spans="12:15" ht="15" customHeight="1" x14ac:dyDescent="0.3">
      <c r="L186" t="str">
        <f t="shared" si="6"/>
        <v/>
      </c>
      <c r="O186" s="51"/>
    </row>
    <row r="187" spans="12:15" ht="15" customHeight="1" x14ac:dyDescent="0.3">
      <c r="L187" t="str">
        <f t="shared" si="6"/>
        <v/>
      </c>
      <c r="O187" s="51"/>
    </row>
    <row r="188" spans="12:15" ht="15" customHeight="1" x14ac:dyDescent="0.3">
      <c r="L188" t="str">
        <f t="shared" si="6"/>
        <v/>
      </c>
      <c r="O188" s="51"/>
    </row>
    <row r="189" spans="12:15" ht="15" customHeight="1" x14ac:dyDescent="0.3">
      <c r="L189" t="str">
        <f t="shared" si="6"/>
        <v/>
      </c>
      <c r="O189" s="51"/>
    </row>
    <row r="190" spans="12:15" ht="15" customHeight="1" x14ac:dyDescent="0.3">
      <c r="L190" t="str">
        <f t="shared" si="6"/>
        <v/>
      </c>
      <c r="O190" s="51"/>
    </row>
    <row r="191" spans="12:15" ht="15" customHeight="1" x14ac:dyDescent="0.3">
      <c r="L191" t="str">
        <f t="shared" si="6"/>
        <v/>
      </c>
      <c r="O191" s="51"/>
    </row>
    <row r="192" spans="12:15" ht="15" customHeight="1" x14ac:dyDescent="0.3">
      <c r="L192" t="str">
        <f t="shared" si="6"/>
        <v/>
      </c>
      <c r="O192" s="51"/>
    </row>
    <row r="193" spans="12:15" ht="15" customHeight="1" x14ac:dyDescent="0.3">
      <c r="L193" t="str">
        <f t="shared" si="6"/>
        <v/>
      </c>
      <c r="O193" s="51"/>
    </row>
    <row r="194" spans="12:15" ht="15" customHeight="1" x14ac:dyDescent="0.3">
      <c r="L194" t="str">
        <f t="shared" si="6"/>
        <v/>
      </c>
      <c r="O194" s="51"/>
    </row>
    <row r="195" spans="12:15" ht="15" customHeight="1" x14ac:dyDescent="0.3">
      <c r="L195" t="str">
        <f t="shared" si="6"/>
        <v/>
      </c>
      <c r="O195" s="51"/>
    </row>
    <row r="196" spans="12:15" ht="15" customHeight="1" x14ac:dyDescent="0.3">
      <c r="L196" t="str">
        <f t="shared" ref="L196:L259" si="7">IF($A196="","",K196*D196)</f>
        <v/>
      </c>
      <c r="O196" s="51"/>
    </row>
    <row r="197" spans="12:15" ht="15" customHeight="1" x14ac:dyDescent="0.3">
      <c r="L197" t="str">
        <f t="shared" si="7"/>
        <v/>
      </c>
      <c r="O197" s="51"/>
    </row>
    <row r="198" spans="12:15" ht="15" customHeight="1" x14ac:dyDescent="0.3">
      <c r="L198" t="str">
        <f t="shared" si="7"/>
        <v/>
      </c>
      <c r="O198" s="51"/>
    </row>
    <row r="199" spans="12:15" ht="15" customHeight="1" x14ac:dyDescent="0.3">
      <c r="L199" t="str">
        <f t="shared" si="7"/>
        <v/>
      </c>
      <c r="O199" s="51"/>
    </row>
    <row r="200" spans="12:15" ht="15" customHeight="1" x14ac:dyDescent="0.3">
      <c r="L200" t="str">
        <f t="shared" si="7"/>
        <v/>
      </c>
      <c r="O200" s="51"/>
    </row>
    <row r="201" spans="12:15" ht="15" customHeight="1" x14ac:dyDescent="0.3">
      <c r="L201" t="str">
        <f t="shared" si="7"/>
        <v/>
      </c>
      <c r="O201" s="51"/>
    </row>
    <row r="202" spans="12:15" ht="15" customHeight="1" x14ac:dyDescent="0.3">
      <c r="L202" t="str">
        <f t="shared" si="7"/>
        <v/>
      </c>
      <c r="O202" s="51"/>
    </row>
    <row r="203" spans="12:15" ht="15" customHeight="1" x14ac:dyDescent="0.3">
      <c r="L203" t="str">
        <f t="shared" si="7"/>
        <v/>
      </c>
      <c r="O203" s="51"/>
    </row>
    <row r="204" spans="12:15" ht="15" customHeight="1" x14ac:dyDescent="0.3">
      <c r="L204" t="str">
        <f t="shared" si="7"/>
        <v/>
      </c>
      <c r="O204" s="51"/>
    </row>
    <row r="205" spans="12:15" ht="15" customHeight="1" x14ac:dyDescent="0.3">
      <c r="L205" t="str">
        <f t="shared" si="7"/>
        <v/>
      </c>
      <c r="O205" s="51"/>
    </row>
    <row r="206" spans="12:15" ht="15" customHeight="1" x14ac:dyDescent="0.3">
      <c r="L206" t="str">
        <f t="shared" si="7"/>
        <v/>
      </c>
      <c r="O206" s="51"/>
    </row>
    <row r="207" spans="12:15" ht="15" customHeight="1" x14ac:dyDescent="0.3">
      <c r="L207" t="str">
        <f t="shared" si="7"/>
        <v/>
      </c>
      <c r="O207" s="51"/>
    </row>
    <row r="208" spans="12:15" ht="15" customHeight="1" x14ac:dyDescent="0.3">
      <c r="L208" t="str">
        <f t="shared" si="7"/>
        <v/>
      </c>
      <c r="O208" s="51"/>
    </row>
    <row r="209" spans="12:15" ht="15" customHeight="1" x14ac:dyDescent="0.3">
      <c r="L209" t="str">
        <f t="shared" si="7"/>
        <v/>
      </c>
      <c r="O209" s="51"/>
    </row>
    <row r="210" spans="12:15" ht="15" customHeight="1" x14ac:dyDescent="0.3">
      <c r="L210" t="str">
        <f t="shared" si="7"/>
        <v/>
      </c>
      <c r="O210" s="51"/>
    </row>
    <row r="211" spans="12:15" ht="15" customHeight="1" x14ac:dyDescent="0.3">
      <c r="L211" t="str">
        <f t="shared" si="7"/>
        <v/>
      </c>
      <c r="O211" s="51"/>
    </row>
    <row r="212" spans="12:15" ht="15" customHeight="1" x14ac:dyDescent="0.3">
      <c r="L212" t="str">
        <f t="shared" si="7"/>
        <v/>
      </c>
      <c r="O212" s="51"/>
    </row>
    <row r="213" spans="12:15" ht="15" customHeight="1" x14ac:dyDescent="0.3">
      <c r="L213" t="str">
        <f t="shared" si="7"/>
        <v/>
      </c>
      <c r="O213" s="51"/>
    </row>
    <row r="214" spans="12:15" ht="15" customHeight="1" x14ac:dyDescent="0.3">
      <c r="L214" t="str">
        <f t="shared" si="7"/>
        <v/>
      </c>
      <c r="O214" s="51"/>
    </row>
    <row r="215" spans="12:15" ht="15" customHeight="1" x14ac:dyDescent="0.3">
      <c r="L215" t="str">
        <f t="shared" si="7"/>
        <v/>
      </c>
      <c r="O215" s="51"/>
    </row>
    <row r="216" spans="12:15" ht="15" customHeight="1" x14ac:dyDescent="0.3">
      <c r="L216" t="str">
        <f t="shared" si="7"/>
        <v/>
      </c>
      <c r="O216" s="51"/>
    </row>
    <row r="217" spans="12:15" ht="15" customHeight="1" x14ac:dyDescent="0.3">
      <c r="L217" t="str">
        <f t="shared" si="7"/>
        <v/>
      </c>
      <c r="O217" s="51"/>
    </row>
    <row r="218" spans="12:15" ht="15" customHeight="1" x14ac:dyDescent="0.3">
      <c r="L218" t="str">
        <f t="shared" si="7"/>
        <v/>
      </c>
      <c r="O218" s="51"/>
    </row>
    <row r="219" spans="12:15" ht="15" customHeight="1" x14ac:dyDescent="0.3">
      <c r="L219" t="str">
        <f t="shared" si="7"/>
        <v/>
      </c>
      <c r="O219" s="51"/>
    </row>
    <row r="220" spans="12:15" ht="15" customHeight="1" x14ac:dyDescent="0.3">
      <c r="L220" t="str">
        <f t="shared" si="7"/>
        <v/>
      </c>
      <c r="O220" s="51"/>
    </row>
    <row r="221" spans="12:15" ht="15" customHeight="1" x14ac:dyDescent="0.3">
      <c r="L221" t="str">
        <f t="shared" si="7"/>
        <v/>
      </c>
      <c r="O221" s="51"/>
    </row>
    <row r="222" spans="12:15" ht="15" customHeight="1" x14ac:dyDescent="0.3">
      <c r="L222" t="str">
        <f t="shared" si="7"/>
        <v/>
      </c>
      <c r="O222" s="51"/>
    </row>
    <row r="223" spans="12:15" ht="15" customHeight="1" x14ac:dyDescent="0.3">
      <c r="L223" t="str">
        <f t="shared" si="7"/>
        <v/>
      </c>
      <c r="O223" s="51"/>
    </row>
    <row r="224" spans="12:15" ht="15" customHeight="1" x14ac:dyDescent="0.3">
      <c r="L224" t="str">
        <f t="shared" si="7"/>
        <v/>
      </c>
      <c r="O224" s="51"/>
    </row>
    <row r="225" spans="12:15" ht="15" customHeight="1" x14ac:dyDescent="0.3">
      <c r="L225" t="str">
        <f t="shared" si="7"/>
        <v/>
      </c>
      <c r="O225" s="51"/>
    </row>
    <row r="226" spans="12:15" ht="15" customHeight="1" x14ac:dyDescent="0.3">
      <c r="L226" t="str">
        <f t="shared" si="7"/>
        <v/>
      </c>
      <c r="O226" s="51"/>
    </row>
    <row r="227" spans="12:15" ht="15" customHeight="1" x14ac:dyDescent="0.3">
      <c r="L227" t="str">
        <f t="shared" si="7"/>
        <v/>
      </c>
      <c r="O227" s="51"/>
    </row>
    <row r="228" spans="12:15" ht="15" customHeight="1" x14ac:dyDescent="0.3">
      <c r="L228" t="str">
        <f t="shared" si="7"/>
        <v/>
      </c>
      <c r="O228" s="51"/>
    </row>
    <row r="229" spans="12:15" ht="15" customHeight="1" x14ac:dyDescent="0.3">
      <c r="L229" t="str">
        <f t="shared" si="7"/>
        <v/>
      </c>
      <c r="O229" s="51"/>
    </row>
    <row r="230" spans="12:15" ht="15" customHeight="1" x14ac:dyDescent="0.3">
      <c r="L230" t="str">
        <f t="shared" si="7"/>
        <v/>
      </c>
      <c r="O230" s="51"/>
    </row>
    <row r="231" spans="12:15" ht="15" customHeight="1" x14ac:dyDescent="0.3">
      <c r="L231" t="str">
        <f t="shared" si="7"/>
        <v/>
      </c>
      <c r="O231" s="51"/>
    </row>
    <row r="232" spans="12:15" ht="15" customHeight="1" x14ac:dyDescent="0.3">
      <c r="L232" t="str">
        <f t="shared" si="7"/>
        <v/>
      </c>
      <c r="O232" s="51"/>
    </row>
    <row r="233" spans="12:15" ht="15" customHeight="1" x14ac:dyDescent="0.3">
      <c r="L233" t="str">
        <f t="shared" si="7"/>
        <v/>
      </c>
      <c r="O233" s="51"/>
    </row>
    <row r="234" spans="12:15" ht="15" customHeight="1" x14ac:dyDescent="0.3">
      <c r="L234" t="str">
        <f t="shared" si="7"/>
        <v/>
      </c>
      <c r="O234" s="51"/>
    </row>
    <row r="235" spans="12:15" ht="15" customHeight="1" x14ac:dyDescent="0.3">
      <c r="L235" t="str">
        <f t="shared" si="7"/>
        <v/>
      </c>
      <c r="O235" s="51"/>
    </row>
    <row r="236" spans="12:15" ht="15" customHeight="1" x14ac:dyDescent="0.3">
      <c r="L236" t="str">
        <f t="shared" si="7"/>
        <v/>
      </c>
      <c r="O236" s="51"/>
    </row>
    <row r="237" spans="12:15" ht="15" customHeight="1" x14ac:dyDescent="0.3">
      <c r="L237" t="str">
        <f t="shared" si="7"/>
        <v/>
      </c>
      <c r="O237" s="51"/>
    </row>
    <row r="238" spans="12:15" ht="15" customHeight="1" x14ac:dyDescent="0.3">
      <c r="L238" t="str">
        <f t="shared" si="7"/>
        <v/>
      </c>
      <c r="O238" s="51"/>
    </row>
    <row r="239" spans="12:15" ht="15" customHeight="1" x14ac:dyDescent="0.3">
      <c r="L239" t="str">
        <f t="shared" si="7"/>
        <v/>
      </c>
      <c r="O239" s="51"/>
    </row>
    <row r="240" spans="12:15" ht="15" customHeight="1" x14ac:dyDescent="0.3">
      <c r="L240" t="str">
        <f t="shared" si="7"/>
        <v/>
      </c>
      <c r="O240" s="51"/>
    </row>
    <row r="241" spans="12:15" ht="15" customHeight="1" x14ac:dyDescent="0.3">
      <c r="L241" t="str">
        <f t="shared" si="7"/>
        <v/>
      </c>
      <c r="O241" s="51"/>
    </row>
    <row r="242" spans="12:15" ht="15" customHeight="1" x14ac:dyDescent="0.3">
      <c r="L242" t="str">
        <f t="shared" si="7"/>
        <v/>
      </c>
      <c r="O242" s="51"/>
    </row>
    <row r="243" spans="12:15" ht="15" customHeight="1" x14ac:dyDescent="0.3">
      <c r="L243" t="str">
        <f t="shared" si="7"/>
        <v/>
      </c>
      <c r="O243" s="51"/>
    </row>
    <row r="244" spans="12:15" ht="15" customHeight="1" x14ac:dyDescent="0.3">
      <c r="L244" t="str">
        <f t="shared" si="7"/>
        <v/>
      </c>
      <c r="O244" s="51"/>
    </row>
    <row r="245" spans="12:15" ht="15" customHeight="1" x14ac:dyDescent="0.3">
      <c r="L245" t="str">
        <f t="shared" si="7"/>
        <v/>
      </c>
      <c r="O245" s="51"/>
    </row>
    <row r="246" spans="12:15" ht="15" customHeight="1" x14ac:dyDescent="0.3">
      <c r="L246" t="str">
        <f t="shared" si="7"/>
        <v/>
      </c>
      <c r="O246" s="51"/>
    </row>
    <row r="247" spans="12:15" ht="15" customHeight="1" x14ac:dyDescent="0.3">
      <c r="L247" t="str">
        <f t="shared" si="7"/>
        <v/>
      </c>
      <c r="O247" s="51"/>
    </row>
    <row r="248" spans="12:15" ht="15" customHeight="1" x14ac:dyDescent="0.3">
      <c r="L248" t="str">
        <f t="shared" si="7"/>
        <v/>
      </c>
      <c r="O248" s="51"/>
    </row>
    <row r="249" spans="12:15" ht="15" customHeight="1" x14ac:dyDescent="0.3">
      <c r="L249" t="str">
        <f t="shared" si="7"/>
        <v/>
      </c>
      <c r="O249" s="51"/>
    </row>
    <row r="250" spans="12:15" ht="15" customHeight="1" x14ac:dyDescent="0.3">
      <c r="L250" t="str">
        <f t="shared" si="7"/>
        <v/>
      </c>
      <c r="O250" s="51"/>
    </row>
    <row r="251" spans="12:15" ht="15" customHeight="1" x14ac:dyDescent="0.3">
      <c r="L251" t="str">
        <f t="shared" si="7"/>
        <v/>
      </c>
      <c r="O251" s="51"/>
    </row>
    <row r="252" spans="12:15" ht="15" customHeight="1" x14ac:dyDescent="0.3">
      <c r="L252" t="str">
        <f t="shared" si="7"/>
        <v/>
      </c>
      <c r="O252" s="51"/>
    </row>
    <row r="253" spans="12:15" ht="15" customHeight="1" x14ac:dyDescent="0.3">
      <c r="L253" t="str">
        <f t="shared" si="7"/>
        <v/>
      </c>
      <c r="O253" s="51"/>
    </row>
    <row r="254" spans="12:15" ht="15" customHeight="1" x14ac:dyDescent="0.3">
      <c r="L254" t="str">
        <f t="shared" si="7"/>
        <v/>
      </c>
      <c r="O254" s="51"/>
    </row>
    <row r="255" spans="12:15" ht="15" customHeight="1" x14ac:dyDescent="0.3">
      <c r="L255" t="str">
        <f t="shared" si="7"/>
        <v/>
      </c>
      <c r="O255" s="51"/>
    </row>
    <row r="256" spans="12:15" ht="15" customHeight="1" x14ac:dyDescent="0.3">
      <c r="L256" t="str">
        <f t="shared" si="7"/>
        <v/>
      </c>
      <c r="O256" s="51"/>
    </row>
    <row r="257" spans="12:15" ht="15" customHeight="1" x14ac:dyDescent="0.3">
      <c r="L257" t="str">
        <f t="shared" si="7"/>
        <v/>
      </c>
      <c r="O257" s="51"/>
    </row>
    <row r="258" spans="12:15" ht="15" customHeight="1" x14ac:dyDescent="0.3">
      <c r="L258" t="str">
        <f t="shared" si="7"/>
        <v/>
      </c>
      <c r="O258" s="51"/>
    </row>
    <row r="259" spans="12:15" ht="15" customHeight="1" x14ac:dyDescent="0.3">
      <c r="L259" t="str">
        <f t="shared" si="7"/>
        <v/>
      </c>
      <c r="O259" s="51"/>
    </row>
    <row r="260" spans="12:15" ht="15" customHeight="1" x14ac:dyDescent="0.3">
      <c r="L260" t="str">
        <f t="shared" ref="L260:L323" si="8">IF($A260="","",K260*D260)</f>
        <v/>
      </c>
      <c r="O260" s="51"/>
    </row>
    <row r="261" spans="12:15" ht="15" customHeight="1" x14ac:dyDescent="0.3">
      <c r="L261" t="str">
        <f t="shared" si="8"/>
        <v/>
      </c>
      <c r="O261" s="51"/>
    </row>
    <row r="262" spans="12:15" ht="15" customHeight="1" x14ac:dyDescent="0.3">
      <c r="L262" t="str">
        <f t="shared" si="8"/>
        <v/>
      </c>
      <c r="O262" s="51"/>
    </row>
    <row r="263" spans="12:15" ht="15" customHeight="1" x14ac:dyDescent="0.3">
      <c r="L263" t="str">
        <f t="shared" si="8"/>
        <v/>
      </c>
      <c r="O263" s="51"/>
    </row>
    <row r="264" spans="12:15" ht="15" customHeight="1" x14ac:dyDescent="0.3">
      <c r="L264" t="str">
        <f t="shared" si="8"/>
        <v/>
      </c>
      <c r="O264" s="51"/>
    </row>
    <row r="265" spans="12:15" ht="15" customHeight="1" x14ac:dyDescent="0.3">
      <c r="L265" t="str">
        <f t="shared" si="8"/>
        <v/>
      </c>
      <c r="O265" s="51"/>
    </row>
    <row r="266" spans="12:15" ht="15" customHeight="1" x14ac:dyDescent="0.3">
      <c r="L266" t="str">
        <f t="shared" si="8"/>
        <v/>
      </c>
      <c r="O266" s="51"/>
    </row>
    <row r="267" spans="12:15" ht="15" customHeight="1" x14ac:dyDescent="0.3">
      <c r="L267" t="str">
        <f t="shared" si="8"/>
        <v/>
      </c>
      <c r="O267" s="51"/>
    </row>
    <row r="268" spans="12:15" ht="15" customHeight="1" x14ac:dyDescent="0.3">
      <c r="L268" t="str">
        <f t="shared" si="8"/>
        <v/>
      </c>
      <c r="O268" s="51"/>
    </row>
    <row r="269" spans="12:15" ht="15" customHeight="1" x14ac:dyDescent="0.3">
      <c r="L269" t="str">
        <f t="shared" si="8"/>
        <v/>
      </c>
      <c r="O269" s="51"/>
    </row>
    <row r="270" spans="12:15" ht="15" customHeight="1" x14ac:dyDescent="0.3">
      <c r="L270" t="str">
        <f t="shared" si="8"/>
        <v/>
      </c>
      <c r="O270" s="51"/>
    </row>
    <row r="271" spans="12:15" ht="15" customHeight="1" x14ac:dyDescent="0.3">
      <c r="L271" t="str">
        <f t="shared" si="8"/>
        <v/>
      </c>
      <c r="O271" s="51"/>
    </row>
    <row r="272" spans="12:15" ht="15" customHeight="1" x14ac:dyDescent="0.3">
      <c r="L272" t="str">
        <f t="shared" si="8"/>
        <v/>
      </c>
      <c r="O272" s="51"/>
    </row>
    <row r="273" spans="12:15" ht="15" customHeight="1" x14ac:dyDescent="0.3">
      <c r="L273" t="str">
        <f t="shared" si="8"/>
        <v/>
      </c>
      <c r="O273" s="51"/>
    </row>
    <row r="274" spans="12:15" ht="15" customHeight="1" x14ac:dyDescent="0.3">
      <c r="L274" t="str">
        <f t="shared" si="8"/>
        <v/>
      </c>
      <c r="O274" s="51"/>
    </row>
    <row r="275" spans="12:15" ht="15" customHeight="1" x14ac:dyDescent="0.3">
      <c r="L275" t="str">
        <f t="shared" si="8"/>
        <v/>
      </c>
      <c r="O275" s="51"/>
    </row>
    <row r="276" spans="12:15" ht="15" customHeight="1" x14ac:dyDescent="0.3">
      <c r="L276" t="str">
        <f t="shared" si="8"/>
        <v/>
      </c>
      <c r="O276" s="51"/>
    </row>
    <row r="277" spans="12:15" ht="15" customHeight="1" x14ac:dyDescent="0.3">
      <c r="L277" t="str">
        <f t="shared" si="8"/>
        <v/>
      </c>
      <c r="O277" s="51"/>
    </row>
    <row r="278" spans="12:15" ht="15" customHeight="1" x14ac:dyDescent="0.3">
      <c r="L278" t="str">
        <f t="shared" si="8"/>
        <v/>
      </c>
      <c r="O278" s="51"/>
    </row>
    <row r="279" spans="12:15" ht="15" customHeight="1" x14ac:dyDescent="0.3">
      <c r="L279" t="str">
        <f t="shared" si="8"/>
        <v/>
      </c>
      <c r="O279" s="51"/>
    </row>
    <row r="280" spans="12:15" ht="15" customHeight="1" x14ac:dyDescent="0.3">
      <c r="L280" t="str">
        <f t="shared" si="8"/>
        <v/>
      </c>
      <c r="O280" s="51"/>
    </row>
    <row r="281" spans="12:15" ht="15" customHeight="1" x14ac:dyDescent="0.3">
      <c r="L281" t="str">
        <f t="shared" si="8"/>
        <v/>
      </c>
      <c r="O281" s="51"/>
    </row>
    <row r="282" spans="12:15" ht="15" customHeight="1" x14ac:dyDescent="0.3">
      <c r="L282" t="str">
        <f t="shared" si="8"/>
        <v/>
      </c>
      <c r="O282" s="51"/>
    </row>
    <row r="283" spans="12:15" ht="15" customHeight="1" x14ac:dyDescent="0.3">
      <c r="L283" t="str">
        <f t="shared" si="8"/>
        <v/>
      </c>
      <c r="O283" s="51"/>
    </row>
    <row r="284" spans="12:15" ht="15" customHeight="1" x14ac:dyDescent="0.3">
      <c r="L284" t="str">
        <f t="shared" si="8"/>
        <v/>
      </c>
      <c r="O284" s="51"/>
    </row>
    <row r="285" spans="12:15" ht="15" customHeight="1" x14ac:dyDescent="0.3">
      <c r="L285" t="str">
        <f t="shared" si="8"/>
        <v/>
      </c>
      <c r="O285" s="51"/>
    </row>
    <row r="286" spans="12:15" ht="15" customHeight="1" x14ac:dyDescent="0.3">
      <c r="L286" t="str">
        <f t="shared" si="8"/>
        <v/>
      </c>
      <c r="O286" s="51"/>
    </row>
    <row r="287" spans="12:15" ht="15" customHeight="1" x14ac:dyDescent="0.3">
      <c r="L287" t="str">
        <f t="shared" si="8"/>
        <v/>
      </c>
      <c r="O287" s="51"/>
    </row>
    <row r="288" spans="12:15" ht="15" customHeight="1" x14ac:dyDescent="0.3">
      <c r="L288" t="str">
        <f t="shared" si="8"/>
        <v/>
      </c>
      <c r="O288" s="51"/>
    </row>
    <row r="289" spans="12:15" ht="15" customHeight="1" x14ac:dyDescent="0.3">
      <c r="L289" t="str">
        <f t="shared" si="8"/>
        <v/>
      </c>
      <c r="O289" s="51"/>
    </row>
    <row r="290" spans="12:15" ht="15" customHeight="1" x14ac:dyDescent="0.3">
      <c r="L290" t="str">
        <f t="shared" si="8"/>
        <v/>
      </c>
      <c r="O290" s="51"/>
    </row>
    <row r="291" spans="12:15" ht="15" customHeight="1" x14ac:dyDescent="0.3">
      <c r="L291" t="str">
        <f t="shared" si="8"/>
        <v/>
      </c>
      <c r="O291" s="51"/>
    </row>
    <row r="292" spans="12:15" ht="15" customHeight="1" x14ac:dyDescent="0.3">
      <c r="L292" t="str">
        <f t="shared" si="8"/>
        <v/>
      </c>
      <c r="O292" s="51"/>
    </row>
    <row r="293" spans="12:15" ht="15" customHeight="1" x14ac:dyDescent="0.3">
      <c r="L293" t="str">
        <f t="shared" si="8"/>
        <v/>
      </c>
      <c r="O293" s="51"/>
    </row>
    <row r="294" spans="12:15" ht="15" customHeight="1" x14ac:dyDescent="0.3">
      <c r="L294" t="str">
        <f t="shared" si="8"/>
        <v/>
      </c>
      <c r="O294" s="51"/>
    </row>
    <row r="295" spans="12:15" ht="15" customHeight="1" x14ac:dyDescent="0.3">
      <c r="L295" t="str">
        <f t="shared" si="8"/>
        <v/>
      </c>
      <c r="O295" s="51"/>
    </row>
    <row r="296" spans="12:15" ht="15" customHeight="1" x14ac:dyDescent="0.3">
      <c r="L296" t="str">
        <f t="shared" si="8"/>
        <v/>
      </c>
      <c r="O296" s="51"/>
    </row>
    <row r="297" spans="12:15" ht="15" customHeight="1" x14ac:dyDescent="0.3">
      <c r="L297" t="str">
        <f t="shared" si="8"/>
        <v/>
      </c>
      <c r="O297" s="51"/>
    </row>
    <row r="298" spans="12:15" ht="15" customHeight="1" x14ac:dyDescent="0.3">
      <c r="L298" t="str">
        <f t="shared" si="8"/>
        <v/>
      </c>
      <c r="O298" s="51"/>
    </row>
    <row r="299" spans="12:15" ht="15" customHeight="1" x14ac:dyDescent="0.3">
      <c r="L299" t="str">
        <f t="shared" si="8"/>
        <v/>
      </c>
      <c r="O299" s="51"/>
    </row>
    <row r="300" spans="12:15" ht="15" customHeight="1" x14ac:dyDescent="0.3">
      <c r="L300" t="str">
        <f t="shared" si="8"/>
        <v/>
      </c>
      <c r="O300" s="51"/>
    </row>
    <row r="301" spans="12:15" ht="15" customHeight="1" x14ac:dyDescent="0.3">
      <c r="L301" t="str">
        <f t="shared" si="8"/>
        <v/>
      </c>
      <c r="O301" s="51"/>
    </row>
    <row r="302" spans="12:15" ht="15" customHeight="1" x14ac:dyDescent="0.3">
      <c r="L302" t="str">
        <f t="shared" si="8"/>
        <v/>
      </c>
      <c r="O302" s="51"/>
    </row>
    <row r="303" spans="12:15" ht="15" customHeight="1" x14ac:dyDescent="0.3">
      <c r="L303" t="str">
        <f t="shared" si="8"/>
        <v/>
      </c>
      <c r="O303" s="51"/>
    </row>
    <row r="304" spans="12:15" ht="15" customHeight="1" x14ac:dyDescent="0.3">
      <c r="L304" t="str">
        <f t="shared" si="8"/>
        <v/>
      </c>
      <c r="O304" s="51"/>
    </row>
    <row r="305" spans="12:15" ht="15" customHeight="1" x14ac:dyDescent="0.3">
      <c r="L305" t="str">
        <f t="shared" si="8"/>
        <v/>
      </c>
      <c r="O305" s="51"/>
    </row>
    <row r="306" spans="12:15" ht="15" customHeight="1" x14ac:dyDescent="0.3">
      <c r="L306" t="str">
        <f t="shared" si="8"/>
        <v/>
      </c>
      <c r="O306" s="51"/>
    </row>
    <row r="307" spans="12:15" ht="15" customHeight="1" x14ac:dyDescent="0.3">
      <c r="L307" t="str">
        <f t="shared" si="8"/>
        <v/>
      </c>
      <c r="O307" s="51"/>
    </row>
    <row r="308" spans="12:15" ht="15" customHeight="1" x14ac:dyDescent="0.3">
      <c r="L308" t="str">
        <f t="shared" si="8"/>
        <v/>
      </c>
      <c r="O308" s="51"/>
    </row>
    <row r="309" spans="12:15" ht="15" customHeight="1" x14ac:dyDescent="0.3">
      <c r="L309" t="str">
        <f t="shared" si="8"/>
        <v/>
      </c>
      <c r="O309" s="51"/>
    </row>
    <row r="310" spans="12:15" ht="15" customHeight="1" x14ac:dyDescent="0.3">
      <c r="L310" t="str">
        <f t="shared" si="8"/>
        <v/>
      </c>
      <c r="O310" s="51"/>
    </row>
    <row r="311" spans="12:15" ht="15" customHeight="1" x14ac:dyDescent="0.3">
      <c r="L311" t="str">
        <f t="shared" si="8"/>
        <v/>
      </c>
      <c r="O311" s="51"/>
    </row>
    <row r="312" spans="12:15" ht="15" customHeight="1" x14ac:dyDescent="0.3">
      <c r="L312" t="str">
        <f t="shared" si="8"/>
        <v/>
      </c>
      <c r="O312" s="51"/>
    </row>
    <row r="313" spans="12:15" ht="15" customHeight="1" x14ac:dyDescent="0.3">
      <c r="L313" t="str">
        <f t="shared" si="8"/>
        <v/>
      </c>
      <c r="O313" s="51"/>
    </row>
    <row r="314" spans="12:15" ht="15" customHeight="1" x14ac:dyDescent="0.3">
      <c r="L314" t="str">
        <f t="shared" si="8"/>
        <v/>
      </c>
      <c r="O314" s="51"/>
    </row>
    <row r="315" spans="12:15" ht="15" customHeight="1" x14ac:dyDescent="0.3">
      <c r="L315" t="str">
        <f t="shared" si="8"/>
        <v/>
      </c>
      <c r="O315" s="51"/>
    </row>
    <row r="316" spans="12:15" ht="15" customHeight="1" x14ac:dyDescent="0.3">
      <c r="L316" t="str">
        <f t="shared" si="8"/>
        <v/>
      </c>
      <c r="O316" s="51"/>
    </row>
    <row r="317" spans="12:15" ht="15" customHeight="1" x14ac:dyDescent="0.3">
      <c r="L317" t="str">
        <f t="shared" si="8"/>
        <v/>
      </c>
      <c r="O317" s="51"/>
    </row>
    <row r="318" spans="12:15" ht="15" customHeight="1" x14ac:dyDescent="0.3">
      <c r="L318" t="str">
        <f t="shared" si="8"/>
        <v/>
      </c>
      <c r="O318" s="51"/>
    </row>
    <row r="319" spans="12:15" ht="15" customHeight="1" x14ac:dyDescent="0.3">
      <c r="L319" t="str">
        <f t="shared" si="8"/>
        <v/>
      </c>
      <c r="O319" s="51"/>
    </row>
    <row r="320" spans="12:15" ht="15" customHeight="1" x14ac:dyDescent="0.3">
      <c r="L320" t="str">
        <f t="shared" si="8"/>
        <v/>
      </c>
      <c r="O320" s="51"/>
    </row>
    <row r="321" spans="12:15" ht="15" customHeight="1" x14ac:dyDescent="0.3">
      <c r="L321" t="str">
        <f t="shared" si="8"/>
        <v/>
      </c>
      <c r="O321" s="51"/>
    </row>
    <row r="322" spans="12:15" ht="15" customHeight="1" x14ac:dyDescent="0.3">
      <c r="L322" t="str">
        <f t="shared" si="8"/>
        <v/>
      </c>
      <c r="O322" s="51"/>
    </row>
    <row r="323" spans="12:15" ht="15" customHeight="1" x14ac:dyDescent="0.3">
      <c r="L323" t="str">
        <f t="shared" si="8"/>
        <v/>
      </c>
      <c r="O323" s="51"/>
    </row>
    <row r="324" spans="12:15" ht="15" customHeight="1" x14ac:dyDescent="0.3">
      <c r="L324" t="str">
        <f t="shared" ref="L324:L387" si="9">IF($A324="","",K324*D324)</f>
        <v/>
      </c>
      <c r="O324" s="51"/>
    </row>
    <row r="325" spans="12:15" ht="15" customHeight="1" x14ac:dyDescent="0.3">
      <c r="L325" t="str">
        <f t="shared" si="9"/>
        <v/>
      </c>
      <c r="O325" s="51"/>
    </row>
    <row r="326" spans="12:15" ht="15" customHeight="1" x14ac:dyDescent="0.3">
      <c r="L326" t="str">
        <f t="shared" si="9"/>
        <v/>
      </c>
      <c r="O326" s="51"/>
    </row>
    <row r="327" spans="12:15" ht="15" customHeight="1" x14ac:dyDescent="0.3">
      <c r="L327" t="str">
        <f t="shared" si="9"/>
        <v/>
      </c>
      <c r="O327" s="51"/>
    </row>
    <row r="328" spans="12:15" ht="15" customHeight="1" x14ac:dyDescent="0.3">
      <c r="L328" t="str">
        <f t="shared" si="9"/>
        <v/>
      </c>
      <c r="O328" s="51"/>
    </row>
    <row r="329" spans="12:15" ht="15" customHeight="1" x14ac:dyDescent="0.3">
      <c r="L329" t="str">
        <f t="shared" si="9"/>
        <v/>
      </c>
      <c r="O329" s="51"/>
    </row>
    <row r="330" spans="12:15" ht="15" customHeight="1" x14ac:dyDescent="0.3">
      <c r="L330" t="str">
        <f t="shared" si="9"/>
        <v/>
      </c>
      <c r="O330" s="51"/>
    </row>
    <row r="331" spans="12:15" ht="15" customHeight="1" x14ac:dyDescent="0.3">
      <c r="L331" t="str">
        <f t="shared" si="9"/>
        <v/>
      </c>
      <c r="O331" s="51"/>
    </row>
    <row r="332" spans="12:15" ht="15" customHeight="1" x14ac:dyDescent="0.3">
      <c r="L332" t="str">
        <f t="shared" si="9"/>
        <v/>
      </c>
      <c r="O332" s="51"/>
    </row>
    <row r="333" spans="12:15" ht="15" customHeight="1" x14ac:dyDescent="0.3">
      <c r="L333" t="str">
        <f t="shared" si="9"/>
        <v/>
      </c>
      <c r="O333" s="51"/>
    </row>
    <row r="334" spans="12:15" ht="15" customHeight="1" x14ac:dyDescent="0.3">
      <c r="L334" t="str">
        <f t="shared" si="9"/>
        <v/>
      </c>
      <c r="O334" s="51"/>
    </row>
    <row r="335" spans="12:15" ht="15" customHeight="1" x14ac:dyDescent="0.3">
      <c r="L335" t="str">
        <f t="shared" si="9"/>
        <v/>
      </c>
      <c r="O335" s="51"/>
    </row>
    <row r="336" spans="12:15" ht="15" customHeight="1" x14ac:dyDescent="0.3">
      <c r="L336" t="str">
        <f t="shared" si="9"/>
        <v/>
      </c>
      <c r="O336" s="51"/>
    </row>
    <row r="337" spans="12:15" ht="15" customHeight="1" x14ac:dyDescent="0.3">
      <c r="L337" t="str">
        <f t="shared" si="9"/>
        <v/>
      </c>
      <c r="O337" s="51"/>
    </row>
    <row r="338" spans="12:15" ht="15" customHeight="1" x14ac:dyDescent="0.3">
      <c r="L338" t="str">
        <f t="shared" si="9"/>
        <v/>
      </c>
      <c r="O338" s="51"/>
    </row>
    <row r="339" spans="12:15" ht="15" customHeight="1" x14ac:dyDescent="0.3">
      <c r="L339" t="str">
        <f t="shared" si="9"/>
        <v/>
      </c>
      <c r="O339" s="51"/>
    </row>
    <row r="340" spans="12:15" ht="15" customHeight="1" x14ac:dyDescent="0.3">
      <c r="L340" t="str">
        <f t="shared" si="9"/>
        <v/>
      </c>
      <c r="O340" s="51"/>
    </row>
    <row r="341" spans="12:15" ht="15" customHeight="1" x14ac:dyDescent="0.3">
      <c r="L341" t="str">
        <f t="shared" si="9"/>
        <v/>
      </c>
      <c r="O341" s="51"/>
    </row>
    <row r="342" spans="12:15" ht="15" customHeight="1" x14ac:dyDescent="0.3">
      <c r="L342" t="str">
        <f t="shared" si="9"/>
        <v/>
      </c>
      <c r="O342" s="51"/>
    </row>
    <row r="343" spans="12:15" ht="15" customHeight="1" x14ac:dyDescent="0.3">
      <c r="L343" t="str">
        <f t="shared" si="9"/>
        <v/>
      </c>
      <c r="O343" s="51"/>
    </row>
    <row r="344" spans="12:15" ht="15" customHeight="1" x14ac:dyDescent="0.3">
      <c r="L344" t="str">
        <f t="shared" si="9"/>
        <v/>
      </c>
      <c r="O344" s="51"/>
    </row>
    <row r="345" spans="12:15" ht="15" customHeight="1" x14ac:dyDescent="0.3">
      <c r="L345" t="str">
        <f t="shared" si="9"/>
        <v/>
      </c>
      <c r="O345" s="51"/>
    </row>
    <row r="346" spans="12:15" ht="15" customHeight="1" x14ac:dyDescent="0.3">
      <c r="L346" t="str">
        <f t="shared" si="9"/>
        <v/>
      </c>
      <c r="O346" s="51"/>
    </row>
    <row r="347" spans="12:15" ht="15" customHeight="1" x14ac:dyDescent="0.3">
      <c r="L347" t="str">
        <f t="shared" si="9"/>
        <v/>
      </c>
      <c r="O347" s="51"/>
    </row>
    <row r="348" spans="12:15" ht="15" customHeight="1" x14ac:dyDescent="0.3">
      <c r="L348" t="str">
        <f t="shared" si="9"/>
        <v/>
      </c>
      <c r="O348" s="51"/>
    </row>
    <row r="349" spans="12:15" ht="15" customHeight="1" x14ac:dyDescent="0.3">
      <c r="L349" t="str">
        <f t="shared" si="9"/>
        <v/>
      </c>
      <c r="O349" s="51"/>
    </row>
    <row r="350" spans="12:15" ht="15" customHeight="1" x14ac:dyDescent="0.3">
      <c r="L350" t="str">
        <f t="shared" si="9"/>
        <v/>
      </c>
      <c r="O350" s="51"/>
    </row>
    <row r="351" spans="12:15" ht="15" customHeight="1" x14ac:dyDescent="0.3">
      <c r="L351" t="str">
        <f t="shared" si="9"/>
        <v/>
      </c>
      <c r="O351" s="51"/>
    </row>
    <row r="352" spans="12:15" ht="15" customHeight="1" x14ac:dyDescent="0.3">
      <c r="L352" t="str">
        <f t="shared" si="9"/>
        <v/>
      </c>
      <c r="O352" s="51"/>
    </row>
    <row r="353" spans="12:15" ht="15" customHeight="1" x14ac:dyDescent="0.3">
      <c r="L353" t="str">
        <f t="shared" si="9"/>
        <v/>
      </c>
      <c r="O353" s="51"/>
    </row>
    <row r="354" spans="12:15" ht="15" customHeight="1" x14ac:dyDescent="0.3">
      <c r="L354" t="str">
        <f t="shared" si="9"/>
        <v/>
      </c>
      <c r="O354" s="51"/>
    </row>
    <row r="355" spans="12:15" ht="15" customHeight="1" x14ac:dyDescent="0.3">
      <c r="L355" t="str">
        <f t="shared" si="9"/>
        <v/>
      </c>
      <c r="O355" s="51"/>
    </row>
    <row r="356" spans="12:15" ht="15" customHeight="1" x14ac:dyDescent="0.3">
      <c r="L356" t="str">
        <f t="shared" si="9"/>
        <v/>
      </c>
      <c r="O356" s="51"/>
    </row>
    <row r="357" spans="12:15" ht="15" customHeight="1" x14ac:dyDescent="0.3">
      <c r="L357" t="str">
        <f t="shared" si="9"/>
        <v/>
      </c>
      <c r="O357" s="51"/>
    </row>
    <row r="358" spans="12:15" ht="15" customHeight="1" x14ac:dyDescent="0.3">
      <c r="L358" t="str">
        <f t="shared" si="9"/>
        <v/>
      </c>
      <c r="O358" s="51"/>
    </row>
    <row r="359" spans="12:15" ht="15" customHeight="1" x14ac:dyDescent="0.3">
      <c r="L359" t="str">
        <f t="shared" si="9"/>
        <v/>
      </c>
      <c r="O359" s="51"/>
    </row>
    <row r="360" spans="12:15" ht="15" customHeight="1" x14ac:dyDescent="0.3">
      <c r="L360" t="str">
        <f t="shared" si="9"/>
        <v/>
      </c>
      <c r="O360" s="51"/>
    </row>
    <row r="361" spans="12:15" ht="15" customHeight="1" x14ac:dyDescent="0.3">
      <c r="L361" t="str">
        <f t="shared" si="9"/>
        <v/>
      </c>
      <c r="O361" s="51"/>
    </row>
    <row r="362" spans="12:15" ht="15" customHeight="1" x14ac:dyDescent="0.3">
      <c r="L362" t="str">
        <f t="shared" si="9"/>
        <v/>
      </c>
      <c r="O362" s="51"/>
    </row>
    <row r="363" spans="12:15" ht="15" customHeight="1" x14ac:dyDescent="0.3">
      <c r="L363" t="str">
        <f t="shared" si="9"/>
        <v/>
      </c>
      <c r="O363" s="51"/>
    </row>
    <row r="364" spans="12:15" ht="15" customHeight="1" x14ac:dyDescent="0.3">
      <c r="L364" t="str">
        <f t="shared" si="9"/>
        <v/>
      </c>
      <c r="O364" s="51"/>
    </row>
    <row r="365" spans="12:15" ht="15" customHeight="1" x14ac:dyDescent="0.3">
      <c r="L365" t="str">
        <f t="shared" si="9"/>
        <v/>
      </c>
      <c r="O365" s="51"/>
    </row>
    <row r="366" spans="12:15" ht="15" customHeight="1" x14ac:dyDescent="0.3">
      <c r="L366" t="str">
        <f t="shared" si="9"/>
        <v/>
      </c>
      <c r="O366" s="51"/>
    </row>
    <row r="367" spans="12:15" ht="15" customHeight="1" x14ac:dyDescent="0.3">
      <c r="L367" t="str">
        <f t="shared" si="9"/>
        <v/>
      </c>
      <c r="O367" s="51"/>
    </row>
    <row r="368" spans="12:15" ht="15" customHeight="1" x14ac:dyDescent="0.3">
      <c r="L368" t="str">
        <f t="shared" si="9"/>
        <v/>
      </c>
      <c r="O368" s="51"/>
    </row>
    <row r="369" spans="12:15" ht="15" customHeight="1" x14ac:dyDescent="0.3">
      <c r="L369" t="str">
        <f t="shared" si="9"/>
        <v/>
      </c>
      <c r="O369" s="51"/>
    </row>
    <row r="370" spans="12:15" ht="15" customHeight="1" x14ac:dyDescent="0.3">
      <c r="L370" t="str">
        <f t="shared" si="9"/>
        <v/>
      </c>
      <c r="O370" s="51"/>
    </row>
    <row r="371" spans="12:15" ht="15" customHeight="1" x14ac:dyDescent="0.3">
      <c r="L371" t="str">
        <f t="shared" si="9"/>
        <v/>
      </c>
      <c r="O371" s="51"/>
    </row>
    <row r="372" spans="12:15" ht="15" customHeight="1" x14ac:dyDescent="0.3">
      <c r="L372" t="str">
        <f t="shared" si="9"/>
        <v/>
      </c>
      <c r="O372" s="51"/>
    </row>
    <row r="373" spans="12:15" ht="15" customHeight="1" x14ac:dyDescent="0.3">
      <c r="L373" t="str">
        <f t="shared" si="9"/>
        <v/>
      </c>
      <c r="O373" s="51"/>
    </row>
    <row r="374" spans="12:15" ht="15" customHeight="1" x14ac:dyDescent="0.3">
      <c r="L374" t="str">
        <f t="shared" si="9"/>
        <v/>
      </c>
      <c r="O374" s="51"/>
    </row>
    <row r="375" spans="12:15" ht="15" customHeight="1" x14ac:dyDescent="0.3">
      <c r="L375" t="str">
        <f t="shared" si="9"/>
        <v/>
      </c>
      <c r="O375" s="51"/>
    </row>
    <row r="376" spans="12:15" ht="15" customHeight="1" x14ac:dyDescent="0.3">
      <c r="L376" t="str">
        <f t="shared" si="9"/>
        <v/>
      </c>
      <c r="O376" s="51"/>
    </row>
    <row r="377" spans="12:15" ht="15" customHeight="1" x14ac:dyDescent="0.3">
      <c r="L377" t="str">
        <f t="shared" si="9"/>
        <v/>
      </c>
      <c r="O377" s="51"/>
    </row>
    <row r="378" spans="12:15" ht="15" customHeight="1" x14ac:dyDescent="0.3">
      <c r="L378" t="str">
        <f t="shared" si="9"/>
        <v/>
      </c>
      <c r="O378" s="51"/>
    </row>
    <row r="379" spans="12:15" ht="15" customHeight="1" x14ac:dyDescent="0.3">
      <c r="L379" t="str">
        <f t="shared" si="9"/>
        <v/>
      </c>
      <c r="O379" s="51"/>
    </row>
    <row r="380" spans="12:15" ht="15" customHeight="1" x14ac:dyDescent="0.3">
      <c r="L380" t="str">
        <f t="shared" si="9"/>
        <v/>
      </c>
      <c r="O380" s="51"/>
    </row>
    <row r="381" spans="12:15" ht="15" customHeight="1" x14ac:dyDescent="0.3">
      <c r="L381" t="str">
        <f t="shared" si="9"/>
        <v/>
      </c>
      <c r="O381" s="51"/>
    </row>
    <row r="382" spans="12:15" ht="15" customHeight="1" x14ac:dyDescent="0.3">
      <c r="L382" t="str">
        <f t="shared" si="9"/>
        <v/>
      </c>
      <c r="O382" s="51"/>
    </row>
    <row r="383" spans="12:15" ht="15" customHeight="1" x14ac:dyDescent="0.3">
      <c r="L383" t="str">
        <f t="shared" si="9"/>
        <v/>
      </c>
      <c r="O383" s="51"/>
    </row>
    <row r="384" spans="12:15" ht="15" customHeight="1" x14ac:dyDescent="0.3">
      <c r="L384" t="str">
        <f t="shared" si="9"/>
        <v/>
      </c>
      <c r="O384" s="51"/>
    </row>
    <row r="385" spans="12:15" ht="15" customHeight="1" x14ac:dyDescent="0.3">
      <c r="L385" t="str">
        <f t="shared" si="9"/>
        <v/>
      </c>
      <c r="O385" s="51"/>
    </row>
    <row r="386" spans="12:15" ht="15" customHeight="1" x14ac:dyDescent="0.3">
      <c r="L386" t="str">
        <f t="shared" si="9"/>
        <v/>
      </c>
      <c r="O386" s="51"/>
    </row>
    <row r="387" spans="12:15" ht="15" customHeight="1" x14ac:dyDescent="0.3">
      <c r="L387" t="str">
        <f t="shared" si="9"/>
        <v/>
      </c>
      <c r="O387" s="51"/>
    </row>
    <row r="388" spans="12:15" ht="15" customHeight="1" x14ac:dyDescent="0.3">
      <c r="L388" t="str">
        <f t="shared" ref="L388:L451" si="10">IF($A388="","",K388*D388)</f>
        <v/>
      </c>
      <c r="O388" s="51"/>
    </row>
    <row r="389" spans="12:15" ht="15" customHeight="1" x14ac:dyDescent="0.3">
      <c r="L389" t="str">
        <f t="shared" si="10"/>
        <v/>
      </c>
      <c r="O389" s="51"/>
    </row>
    <row r="390" spans="12:15" ht="15" customHeight="1" x14ac:dyDescent="0.3">
      <c r="L390" t="str">
        <f t="shared" si="10"/>
        <v/>
      </c>
      <c r="O390" s="51"/>
    </row>
    <row r="391" spans="12:15" ht="15" customHeight="1" x14ac:dyDescent="0.3">
      <c r="L391" t="str">
        <f t="shared" si="10"/>
        <v/>
      </c>
      <c r="O391" s="51"/>
    </row>
    <row r="392" spans="12:15" ht="15" customHeight="1" x14ac:dyDescent="0.3">
      <c r="L392" t="str">
        <f t="shared" si="10"/>
        <v/>
      </c>
      <c r="O392" s="51"/>
    </row>
    <row r="393" spans="12:15" ht="15" customHeight="1" x14ac:dyDescent="0.3">
      <c r="L393" t="str">
        <f t="shared" si="10"/>
        <v/>
      </c>
      <c r="O393" s="51"/>
    </row>
    <row r="394" spans="12:15" ht="15" customHeight="1" x14ac:dyDescent="0.3">
      <c r="L394" t="str">
        <f t="shared" si="10"/>
        <v/>
      </c>
      <c r="O394" s="51"/>
    </row>
    <row r="395" spans="12:15" ht="15" customHeight="1" x14ac:dyDescent="0.3">
      <c r="L395" t="str">
        <f t="shared" si="10"/>
        <v/>
      </c>
      <c r="O395" s="51"/>
    </row>
    <row r="396" spans="12:15" ht="15" customHeight="1" x14ac:dyDescent="0.3">
      <c r="L396" t="str">
        <f t="shared" si="10"/>
        <v/>
      </c>
      <c r="O396" s="51"/>
    </row>
    <row r="397" spans="12:15" ht="15" customHeight="1" x14ac:dyDescent="0.3">
      <c r="L397" t="str">
        <f t="shared" si="10"/>
        <v/>
      </c>
      <c r="O397" s="51"/>
    </row>
    <row r="398" spans="12:15" ht="15" customHeight="1" x14ac:dyDescent="0.3">
      <c r="L398" t="str">
        <f t="shared" si="10"/>
        <v/>
      </c>
      <c r="O398" s="51"/>
    </row>
    <row r="399" spans="12:15" ht="15" customHeight="1" x14ac:dyDescent="0.3">
      <c r="L399" t="str">
        <f t="shared" si="10"/>
        <v/>
      </c>
      <c r="O399" s="51"/>
    </row>
    <row r="400" spans="12:15" ht="15" customHeight="1" x14ac:dyDescent="0.3">
      <c r="L400" t="str">
        <f t="shared" si="10"/>
        <v/>
      </c>
      <c r="O400" s="51"/>
    </row>
    <row r="401" spans="12:15" ht="15" customHeight="1" x14ac:dyDescent="0.3">
      <c r="L401" t="str">
        <f t="shared" si="10"/>
        <v/>
      </c>
      <c r="O401" s="51"/>
    </row>
    <row r="402" spans="12:15" ht="15" customHeight="1" x14ac:dyDescent="0.3">
      <c r="L402" t="str">
        <f t="shared" si="10"/>
        <v/>
      </c>
      <c r="O402" s="51"/>
    </row>
    <row r="403" spans="12:15" ht="15" customHeight="1" x14ac:dyDescent="0.3">
      <c r="L403" t="str">
        <f t="shared" si="10"/>
        <v/>
      </c>
      <c r="O403" s="51"/>
    </row>
    <row r="404" spans="12:15" ht="15" customHeight="1" x14ac:dyDescent="0.3">
      <c r="L404" t="str">
        <f t="shared" si="10"/>
        <v/>
      </c>
      <c r="O404" s="51"/>
    </row>
    <row r="405" spans="12:15" ht="15" customHeight="1" x14ac:dyDescent="0.3">
      <c r="L405" t="str">
        <f t="shared" si="10"/>
        <v/>
      </c>
      <c r="O405" s="51"/>
    </row>
    <row r="406" spans="12:15" ht="15" customHeight="1" x14ac:dyDescent="0.3">
      <c r="L406" t="str">
        <f t="shared" si="10"/>
        <v/>
      </c>
      <c r="O406" s="51"/>
    </row>
    <row r="407" spans="12:15" ht="15" customHeight="1" x14ac:dyDescent="0.3">
      <c r="L407" t="str">
        <f t="shared" si="10"/>
        <v/>
      </c>
      <c r="O407" s="51"/>
    </row>
    <row r="408" spans="12:15" ht="15" customHeight="1" x14ac:dyDescent="0.3">
      <c r="L408" t="str">
        <f t="shared" si="10"/>
        <v/>
      </c>
      <c r="O408" s="51"/>
    </row>
    <row r="409" spans="12:15" ht="15" customHeight="1" x14ac:dyDescent="0.3">
      <c r="L409" t="str">
        <f t="shared" si="10"/>
        <v/>
      </c>
      <c r="O409" s="51"/>
    </row>
    <row r="410" spans="12:15" ht="15" customHeight="1" x14ac:dyDescent="0.3">
      <c r="L410" t="str">
        <f t="shared" si="10"/>
        <v/>
      </c>
      <c r="O410" s="51"/>
    </row>
    <row r="411" spans="12:15" ht="15" customHeight="1" x14ac:dyDescent="0.3">
      <c r="L411" t="str">
        <f t="shared" si="10"/>
        <v/>
      </c>
      <c r="O411" s="51"/>
    </row>
    <row r="412" spans="12:15" ht="15" customHeight="1" x14ac:dyDescent="0.3">
      <c r="L412" t="str">
        <f t="shared" si="10"/>
        <v/>
      </c>
      <c r="O412" s="51"/>
    </row>
    <row r="413" spans="12:15" ht="15" customHeight="1" x14ac:dyDescent="0.3">
      <c r="L413" t="str">
        <f t="shared" si="10"/>
        <v/>
      </c>
      <c r="O413" s="51"/>
    </row>
    <row r="414" spans="12:15" ht="15" customHeight="1" x14ac:dyDescent="0.3">
      <c r="L414" t="str">
        <f t="shared" si="10"/>
        <v/>
      </c>
      <c r="O414" s="51"/>
    </row>
    <row r="415" spans="12:15" ht="15" customHeight="1" x14ac:dyDescent="0.3">
      <c r="L415" t="str">
        <f t="shared" si="10"/>
        <v/>
      </c>
      <c r="O415" s="51"/>
    </row>
    <row r="416" spans="12:15" ht="15" customHeight="1" x14ac:dyDescent="0.3">
      <c r="L416" t="str">
        <f t="shared" si="10"/>
        <v/>
      </c>
      <c r="O416" s="51"/>
    </row>
    <row r="417" spans="12:15" ht="15" customHeight="1" x14ac:dyDescent="0.3">
      <c r="L417" t="str">
        <f t="shared" si="10"/>
        <v/>
      </c>
      <c r="O417" s="51"/>
    </row>
    <row r="418" spans="12:15" ht="15" customHeight="1" x14ac:dyDescent="0.3">
      <c r="L418" t="str">
        <f t="shared" si="10"/>
        <v/>
      </c>
      <c r="O418" s="51"/>
    </row>
    <row r="419" spans="12:15" ht="15" customHeight="1" x14ac:dyDescent="0.3">
      <c r="L419" t="str">
        <f t="shared" si="10"/>
        <v/>
      </c>
      <c r="O419" s="51"/>
    </row>
    <row r="420" spans="12:15" ht="15" customHeight="1" x14ac:dyDescent="0.3">
      <c r="L420" t="str">
        <f t="shared" si="10"/>
        <v/>
      </c>
      <c r="O420" s="51"/>
    </row>
    <row r="421" spans="12:15" ht="15" customHeight="1" x14ac:dyDescent="0.3">
      <c r="L421" t="str">
        <f t="shared" si="10"/>
        <v/>
      </c>
      <c r="O421" s="51"/>
    </row>
    <row r="422" spans="12:15" ht="15" customHeight="1" x14ac:dyDescent="0.3">
      <c r="L422" t="str">
        <f t="shared" si="10"/>
        <v/>
      </c>
      <c r="O422" s="51"/>
    </row>
    <row r="423" spans="12:15" ht="15" customHeight="1" x14ac:dyDescent="0.3">
      <c r="L423" t="str">
        <f t="shared" si="10"/>
        <v/>
      </c>
      <c r="O423" s="51"/>
    </row>
    <row r="424" spans="12:15" ht="15" customHeight="1" x14ac:dyDescent="0.3">
      <c r="L424" t="str">
        <f t="shared" si="10"/>
        <v/>
      </c>
      <c r="O424" s="51"/>
    </row>
    <row r="425" spans="12:15" ht="15" customHeight="1" x14ac:dyDescent="0.3">
      <c r="L425" t="str">
        <f t="shared" si="10"/>
        <v/>
      </c>
      <c r="O425" s="51"/>
    </row>
    <row r="426" spans="12:15" ht="15" customHeight="1" x14ac:dyDescent="0.3">
      <c r="L426" t="str">
        <f t="shared" si="10"/>
        <v/>
      </c>
      <c r="O426" s="51"/>
    </row>
    <row r="427" spans="12:15" ht="15" customHeight="1" x14ac:dyDescent="0.3">
      <c r="L427" t="str">
        <f t="shared" si="10"/>
        <v/>
      </c>
      <c r="O427" s="51"/>
    </row>
    <row r="428" spans="12:15" ht="15" customHeight="1" x14ac:dyDescent="0.3">
      <c r="L428" t="str">
        <f t="shared" si="10"/>
        <v/>
      </c>
      <c r="O428" s="51"/>
    </row>
    <row r="429" spans="12:15" ht="15" customHeight="1" x14ac:dyDescent="0.3">
      <c r="L429" t="str">
        <f t="shared" si="10"/>
        <v/>
      </c>
      <c r="O429" s="51"/>
    </row>
    <row r="430" spans="12:15" ht="15" customHeight="1" x14ac:dyDescent="0.3">
      <c r="L430" t="str">
        <f t="shared" si="10"/>
        <v/>
      </c>
      <c r="O430" s="51"/>
    </row>
    <row r="431" spans="12:15" ht="15" customHeight="1" x14ac:dyDescent="0.3">
      <c r="L431" t="str">
        <f t="shared" si="10"/>
        <v/>
      </c>
      <c r="O431" s="51"/>
    </row>
    <row r="432" spans="12:15" ht="15" customHeight="1" x14ac:dyDescent="0.3">
      <c r="L432" t="str">
        <f t="shared" si="10"/>
        <v/>
      </c>
      <c r="O432" s="51"/>
    </row>
    <row r="433" spans="12:15" ht="15" customHeight="1" x14ac:dyDescent="0.3">
      <c r="L433" t="str">
        <f t="shared" si="10"/>
        <v/>
      </c>
      <c r="O433" s="51"/>
    </row>
    <row r="434" spans="12:15" ht="15" customHeight="1" x14ac:dyDescent="0.3">
      <c r="L434" t="str">
        <f t="shared" si="10"/>
        <v/>
      </c>
      <c r="O434" s="51"/>
    </row>
    <row r="435" spans="12:15" ht="15" customHeight="1" x14ac:dyDescent="0.3">
      <c r="L435" t="str">
        <f t="shared" si="10"/>
        <v/>
      </c>
      <c r="O435" s="51"/>
    </row>
    <row r="436" spans="12:15" ht="15" customHeight="1" x14ac:dyDescent="0.3">
      <c r="L436" t="str">
        <f t="shared" si="10"/>
        <v/>
      </c>
      <c r="O436" s="51"/>
    </row>
    <row r="437" spans="12:15" ht="15" customHeight="1" x14ac:dyDescent="0.3">
      <c r="L437" t="str">
        <f t="shared" si="10"/>
        <v/>
      </c>
      <c r="O437" s="51"/>
    </row>
    <row r="438" spans="12:15" ht="15" customHeight="1" x14ac:dyDescent="0.3">
      <c r="L438" t="str">
        <f t="shared" si="10"/>
        <v/>
      </c>
      <c r="O438" s="51"/>
    </row>
    <row r="439" spans="12:15" ht="15" customHeight="1" x14ac:dyDescent="0.3">
      <c r="L439" t="str">
        <f t="shared" si="10"/>
        <v/>
      </c>
      <c r="O439" s="51"/>
    </row>
    <row r="440" spans="12:15" ht="15" customHeight="1" x14ac:dyDescent="0.3">
      <c r="L440" t="str">
        <f t="shared" si="10"/>
        <v/>
      </c>
      <c r="O440" s="51"/>
    </row>
    <row r="441" spans="12:15" ht="15" customHeight="1" x14ac:dyDescent="0.3">
      <c r="L441" t="str">
        <f t="shared" si="10"/>
        <v/>
      </c>
      <c r="O441" s="51"/>
    </row>
    <row r="442" spans="12:15" ht="15" customHeight="1" x14ac:dyDescent="0.3">
      <c r="L442" t="str">
        <f t="shared" si="10"/>
        <v/>
      </c>
      <c r="O442" s="51"/>
    </row>
    <row r="443" spans="12:15" ht="15" customHeight="1" x14ac:dyDescent="0.3">
      <c r="L443" t="str">
        <f t="shared" si="10"/>
        <v/>
      </c>
      <c r="O443" s="51"/>
    </row>
    <row r="444" spans="12:15" ht="15" customHeight="1" x14ac:dyDescent="0.3">
      <c r="L444" t="str">
        <f t="shared" si="10"/>
        <v/>
      </c>
      <c r="O444" s="51"/>
    </row>
    <row r="445" spans="12:15" ht="15" customHeight="1" x14ac:dyDescent="0.3">
      <c r="L445" t="str">
        <f t="shared" si="10"/>
        <v/>
      </c>
      <c r="O445" s="51"/>
    </row>
    <row r="446" spans="12:15" ht="15" customHeight="1" x14ac:dyDescent="0.3">
      <c r="L446" t="str">
        <f t="shared" si="10"/>
        <v/>
      </c>
      <c r="O446" s="51"/>
    </row>
    <row r="447" spans="12:15" ht="15" customHeight="1" x14ac:dyDescent="0.3">
      <c r="L447" t="str">
        <f t="shared" si="10"/>
        <v/>
      </c>
      <c r="O447" s="51"/>
    </row>
    <row r="448" spans="12:15" ht="15" customHeight="1" x14ac:dyDescent="0.3">
      <c r="L448" t="str">
        <f t="shared" si="10"/>
        <v/>
      </c>
      <c r="O448" s="51"/>
    </row>
    <row r="449" spans="12:15" ht="15" customHeight="1" x14ac:dyDescent="0.3">
      <c r="L449" t="str">
        <f t="shared" si="10"/>
        <v/>
      </c>
      <c r="O449" s="51"/>
    </row>
    <row r="450" spans="12:15" ht="15" customHeight="1" x14ac:dyDescent="0.3">
      <c r="L450" t="str">
        <f t="shared" si="10"/>
        <v/>
      </c>
      <c r="O450" s="51"/>
    </row>
    <row r="451" spans="12:15" ht="15" customHeight="1" x14ac:dyDescent="0.3">
      <c r="L451" t="str">
        <f t="shared" si="10"/>
        <v/>
      </c>
      <c r="O451" s="51"/>
    </row>
    <row r="452" spans="12:15" ht="15" customHeight="1" x14ac:dyDescent="0.3">
      <c r="L452" t="str">
        <f t="shared" ref="L452:L515" si="11">IF($A452="","",K452*D452)</f>
        <v/>
      </c>
      <c r="O452" s="51"/>
    </row>
    <row r="453" spans="12:15" ht="15" customHeight="1" x14ac:dyDescent="0.3">
      <c r="L453" t="str">
        <f t="shared" si="11"/>
        <v/>
      </c>
      <c r="O453" s="51"/>
    </row>
    <row r="454" spans="12:15" ht="15" customHeight="1" x14ac:dyDescent="0.3">
      <c r="L454" t="str">
        <f t="shared" si="11"/>
        <v/>
      </c>
      <c r="O454" s="51"/>
    </row>
    <row r="455" spans="12:15" ht="15" customHeight="1" x14ac:dyDescent="0.3">
      <c r="L455" t="str">
        <f t="shared" si="11"/>
        <v/>
      </c>
      <c r="O455" s="51"/>
    </row>
    <row r="456" spans="12:15" ht="15" customHeight="1" x14ac:dyDescent="0.3">
      <c r="L456" t="str">
        <f t="shared" si="11"/>
        <v/>
      </c>
      <c r="O456" s="51"/>
    </row>
    <row r="457" spans="12:15" ht="15" customHeight="1" x14ac:dyDescent="0.3">
      <c r="L457" t="str">
        <f t="shared" si="11"/>
        <v/>
      </c>
      <c r="O457" s="51"/>
    </row>
    <row r="458" spans="12:15" ht="15" customHeight="1" x14ac:dyDescent="0.3">
      <c r="L458" t="str">
        <f t="shared" si="11"/>
        <v/>
      </c>
      <c r="O458" s="51"/>
    </row>
    <row r="459" spans="12:15" ht="15" customHeight="1" x14ac:dyDescent="0.3">
      <c r="L459" t="str">
        <f t="shared" si="11"/>
        <v/>
      </c>
      <c r="O459" s="51"/>
    </row>
    <row r="460" spans="12:15" ht="15" customHeight="1" x14ac:dyDescent="0.3">
      <c r="L460" t="str">
        <f t="shared" si="11"/>
        <v/>
      </c>
      <c r="O460" s="51"/>
    </row>
    <row r="461" spans="12:15" ht="15" customHeight="1" x14ac:dyDescent="0.3">
      <c r="L461" t="str">
        <f t="shared" si="11"/>
        <v/>
      </c>
      <c r="O461" s="51"/>
    </row>
    <row r="462" spans="12:15" ht="15" customHeight="1" x14ac:dyDescent="0.3">
      <c r="L462" t="str">
        <f t="shared" si="11"/>
        <v/>
      </c>
      <c r="O462" s="51"/>
    </row>
    <row r="463" spans="12:15" ht="15" customHeight="1" x14ac:dyDescent="0.3">
      <c r="L463" t="str">
        <f t="shared" si="11"/>
        <v/>
      </c>
      <c r="O463" s="51"/>
    </row>
    <row r="464" spans="12:15" ht="15" customHeight="1" x14ac:dyDescent="0.3">
      <c r="L464" t="str">
        <f t="shared" si="11"/>
        <v/>
      </c>
      <c r="O464" s="51"/>
    </row>
    <row r="465" spans="12:15" ht="15" customHeight="1" x14ac:dyDescent="0.3">
      <c r="L465" t="str">
        <f t="shared" si="11"/>
        <v/>
      </c>
      <c r="O465" s="51"/>
    </row>
    <row r="466" spans="12:15" ht="15" customHeight="1" x14ac:dyDescent="0.3">
      <c r="L466" t="str">
        <f t="shared" si="11"/>
        <v/>
      </c>
      <c r="O466" s="51"/>
    </row>
    <row r="467" spans="12:15" ht="15" customHeight="1" x14ac:dyDescent="0.3">
      <c r="L467" t="str">
        <f t="shared" si="11"/>
        <v/>
      </c>
      <c r="O467" s="51"/>
    </row>
    <row r="468" spans="12:15" ht="15" customHeight="1" x14ac:dyDescent="0.3">
      <c r="L468" t="str">
        <f t="shared" si="11"/>
        <v/>
      </c>
      <c r="O468" s="51"/>
    </row>
    <row r="469" spans="12:15" ht="15" customHeight="1" x14ac:dyDescent="0.3">
      <c r="L469" t="str">
        <f t="shared" si="11"/>
        <v/>
      </c>
      <c r="O469" s="51"/>
    </row>
    <row r="470" spans="12:15" ht="15" customHeight="1" x14ac:dyDescent="0.3">
      <c r="L470" t="str">
        <f t="shared" si="11"/>
        <v/>
      </c>
      <c r="O470" s="51"/>
    </row>
    <row r="471" spans="12:15" ht="15" customHeight="1" x14ac:dyDescent="0.3">
      <c r="L471" t="str">
        <f t="shared" si="11"/>
        <v/>
      </c>
      <c r="O471" s="51"/>
    </row>
    <row r="472" spans="12:15" ht="15" customHeight="1" x14ac:dyDescent="0.3">
      <c r="L472" t="str">
        <f t="shared" si="11"/>
        <v/>
      </c>
      <c r="O472" s="51"/>
    </row>
    <row r="473" spans="12:15" ht="15" customHeight="1" x14ac:dyDescent="0.3">
      <c r="L473" t="str">
        <f t="shared" si="11"/>
        <v/>
      </c>
      <c r="O473" s="51"/>
    </row>
    <row r="474" spans="12:15" ht="15" customHeight="1" x14ac:dyDescent="0.3">
      <c r="L474" t="str">
        <f t="shared" si="11"/>
        <v/>
      </c>
      <c r="O474" s="51"/>
    </row>
    <row r="475" spans="12:15" ht="15" customHeight="1" x14ac:dyDescent="0.3">
      <c r="L475" t="str">
        <f t="shared" si="11"/>
        <v/>
      </c>
      <c r="O475" s="51"/>
    </row>
    <row r="476" spans="12:15" ht="15" customHeight="1" x14ac:dyDescent="0.3">
      <c r="L476" t="str">
        <f t="shared" si="11"/>
        <v/>
      </c>
      <c r="O476" s="51"/>
    </row>
    <row r="477" spans="12:15" ht="15" customHeight="1" x14ac:dyDescent="0.3">
      <c r="L477" t="str">
        <f t="shared" si="11"/>
        <v/>
      </c>
      <c r="O477" s="51"/>
    </row>
    <row r="478" spans="12:15" ht="15" customHeight="1" x14ac:dyDescent="0.3">
      <c r="L478" t="str">
        <f t="shared" si="11"/>
        <v/>
      </c>
      <c r="O478" s="51"/>
    </row>
    <row r="479" spans="12:15" ht="15" customHeight="1" x14ac:dyDescent="0.3">
      <c r="L479" t="str">
        <f t="shared" si="11"/>
        <v/>
      </c>
      <c r="O479" s="51"/>
    </row>
    <row r="480" spans="12:15" ht="15" customHeight="1" x14ac:dyDescent="0.3">
      <c r="L480" t="str">
        <f t="shared" si="11"/>
        <v/>
      </c>
      <c r="O480" s="51"/>
    </row>
    <row r="481" spans="12:15" ht="15" customHeight="1" x14ac:dyDescent="0.3">
      <c r="L481" t="str">
        <f t="shared" si="11"/>
        <v/>
      </c>
      <c r="O481" s="51"/>
    </row>
    <row r="482" spans="12:15" ht="15" customHeight="1" x14ac:dyDescent="0.3">
      <c r="L482" t="str">
        <f t="shared" si="11"/>
        <v/>
      </c>
      <c r="O482" s="51"/>
    </row>
    <row r="483" spans="12:15" ht="15" customHeight="1" x14ac:dyDescent="0.3">
      <c r="L483" t="str">
        <f t="shared" si="11"/>
        <v/>
      </c>
      <c r="O483" s="51"/>
    </row>
    <row r="484" spans="12:15" ht="15" customHeight="1" x14ac:dyDescent="0.3">
      <c r="L484" t="str">
        <f t="shared" si="11"/>
        <v/>
      </c>
      <c r="O484" s="51"/>
    </row>
    <row r="485" spans="12:15" ht="15" customHeight="1" x14ac:dyDescent="0.3">
      <c r="L485" t="str">
        <f t="shared" si="11"/>
        <v/>
      </c>
      <c r="O485" s="51"/>
    </row>
    <row r="486" spans="12:15" ht="15" customHeight="1" x14ac:dyDescent="0.3">
      <c r="L486" t="str">
        <f t="shared" si="11"/>
        <v/>
      </c>
      <c r="O486" s="51"/>
    </row>
    <row r="487" spans="12:15" ht="15" customHeight="1" x14ac:dyDescent="0.3">
      <c r="L487" t="str">
        <f t="shared" si="11"/>
        <v/>
      </c>
      <c r="O487" s="51"/>
    </row>
    <row r="488" spans="12:15" ht="15" customHeight="1" x14ac:dyDescent="0.3">
      <c r="L488" t="str">
        <f t="shared" si="11"/>
        <v/>
      </c>
      <c r="O488" s="51"/>
    </row>
    <row r="489" spans="12:15" ht="15" customHeight="1" x14ac:dyDescent="0.3">
      <c r="L489" t="str">
        <f t="shared" si="11"/>
        <v/>
      </c>
      <c r="O489" s="51"/>
    </row>
    <row r="490" spans="12:15" ht="15" customHeight="1" x14ac:dyDescent="0.3">
      <c r="L490" t="str">
        <f t="shared" si="11"/>
        <v/>
      </c>
      <c r="O490" s="51"/>
    </row>
    <row r="491" spans="12:15" ht="15" customHeight="1" x14ac:dyDescent="0.3">
      <c r="L491" t="str">
        <f t="shared" si="11"/>
        <v/>
      </c>
      <c r="O491" s="51"/>
    </row>
    <row r="492" spans="12:15" ht="15" customHeight="1" x14ac:dyDescent="0.3">
      <c r="L492" t="str">
        <f t="shared" si="11"/>
        <v/>
      </c>
      <c r="O492" s="51"/>
    </row>
    <row r="493" spans="12:15" ht="15" customHeight="1" x14ac:dyDescent="0.3">
      <c r="L493" t="str">
        <f t="shared" si="11"/>
        <v/>
      </c>
      <c r="O493" s="51"/>
    </row>
    <row r="494" spans="12:15" ht="15" customHeight="1" x14ac:dyDescent="0.3">
      <c r="L494" t="str">
        <f t="shared" si="11"/>
        <v/>
      </c>
      <c r="O494" s="51"/>
    </row>
    <row r="495" spans="12:15" ht="15" customHeight="1" x14ac:dyDescent="0.3">
      <c r="L495" t="str">
        <f t="shared" si="11"/>
        <v/>
      </c>
      <c r="O495" s="51"/>
    </row>
    <row r="496" spans="12:15" ht="15" customHeight="1" x14ac:dyDescent="0.3">
      <c r="L496" t="str">
        <f t="shared" si="11"/>
        <v/>
      </c>
      <c r="O496" s="51"/>
    </row>
    <row r="497" spans="12:15" ht="15" customHeight="1" x14ac:dyDescent="0.3">
      <c r="L497" t="str">
        <f t="shared" si="11"/>
        <v/>
      </c>
      <c r="O497" s="51"/>
    </row>
    <row r="498" spans="12:15" ht="15" customHeight="1" x14ac:dyDescent="0.3">
      <c r="L498" t="str">
        <f t="shared" si="11"/>
        <v/>
      </c>
      <c r="O498" s="51"/>
    </row>
    <row r="499" spans="12:15" ht="15" customHeight="1" x14ac:dyDescent="0.3">
      <c r="L499" t="str">
        <f t="shared" si="11"/>
        <v/>
      </c>
      <c r="O499" s="51"/>
    </row>
    <row r="500" spans="12:15" ht="15" customHeight="1" x14ac:dyDescent="0.3">
      <c r="L500" t="str">
        <f t="shared" si="11"/>
        <v/>
      </c>
      <c r="O500" s="51"/>
    </row>
  </sheetData>
  <conditionalFormatting sqref="P4:BV103">
    <cfRule type="expression" dxfId="41" priority="2">
      <formula>AND($A4&lt;&gt;"",P$3&gt;=INT($J4),P$3&lt;=INT($M4))</formula>
    </cfRule>
  </conditionalFormatting>
  <printOptions horizontalCentered="1"/>
  <pageMargins left="0.7" right="0.7" top="0.75" bottom="0.75" header="0.511811023622047" footer="0.511811023622047"/>
  <pageSetup fitToHeight="0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CG500"/>
  <sheetViews>
    <sheetView zoomScale="85" zoomScaleNormal="85" workbookViewId="0">
      <selection activeCell="E4" sqref="E4"/>
    </sheetView>
  </sheetViews>
  <sheetFormatPr defaultColWidth="8.6640625" defaultRowHeight="14.4" x14ac:dyDescent="0.3"/>
  <cols>
    <col min="1" max="1" width="6.44140625" bestFit="1" customWidth="1"/>
    <col min="2" max="2" width="4.21875" bestFit="1" customWidth="1"/>
    <col min="3" max="3" width="5.109375" bestFit="1" customWidth="1"/>
    <col min="4" max="4" width="5" bestFit="1" customWidth="1"/>
    <col min="5" max="5" width="15.33203125" bestFit="1" customWidth="1"/>
    <col min="6" max="6" width="14.33203125" style="107" customWidth="1"/>
    <col min="7" max="7" width="12.44140625" bestFit="1" customWidth="1"/>
    <col min="8" max="8" width="6.5546875" bestFit="1" customWidth="1"/>
    <col min="9" max="9" width="7.88671875" bestFit="1" customWidth="1"/>
    <col min="10" max="10" width="15.44140625" bestFit="1" customWidth="1"/>
    <col min="11" max="11" width="6.6640625" bestFit="1" customWidth="1"/>
    <col min="12" max="12" width="9.21875" bestFit="1" customWidth="1"/>
    <col min="13" max="13" width="15.44140625" bestFit="1" customWidth="1"/>
    <col min="14" max="14" width="9.77734375" bestFit="1" customWidth="1"/>
    <col min="15" max="15" width="21.88671875" bestFit="1" customWidth="1"/>
    <col min="16" max="24" width="4.5546875" bestFit="1" customWidth="1"/>
    <col min="25" max="45" width="5.44140625" bestFit="1" customWidth="1"/>
    <col min="46" max="54" width="4.88671875" bestFit="1" customWidth="1"/>
    <col min="55" max="74" width="5.77734375" bestFit="1" customWidth="1"/>
    <col min="75" max="75" width="12" bestFit="1" customWidth="1"/>
    <col min="76" max="76" width="30.21875" bestFit="1" customWidth="1"/>
    <col min="77" max="77" width="8.77734375" bestFit="1" customWidth="1"/>
    <col min="78" max="78" width="8.109375" bestFit="1" customWidth="1"/>
    <col min="79" max="79" width="7.6640625" bestFit="1" customWidth="1"/>
    <col min="80" max="80" width="8.5546875" bestFit="1" customWidth="1"/>
    <col min="81" max="81" width="8.33203125" bestFit="1" customWidth="1"/>
    <col min="82" max="82" width="8" bestFit="1" customWidth="1"/>
    <col min="83" max="83" width="8.5546875" bestFit="1" customWidth="1"/>
    <col min="84" max="84" width="8.44140625" bestFit="1" customWidth="1"/>
    <col min="85" max="85" width="8" bestFit="1" customWidth="1"/>
    <col min="86" max="86" width="12.88671875" customWidth="1"/>
    <col min="87" max="100" width="13" customWidth="1"/>
  </cols>
  <sheetData>
    <row r="1" spans="1:85" ht="15" customHeight="1" x14ac:dyDescent="0.3">
      <c r="D1" s="31"/>
      <c r="E1" s="32"/>
      <c r="F1" s="103"/>
      <c r="G1" s="31"/>
      <c r="H1" s="31"/>
      <c r="I1" s="31"/>
      <c r="J1" s="31"/>
      <c r="K1" s="31"/>
      <c r="L1" s="31"/>
      <c r="M1" s="31"/>
      <c r="N1" s="31"/>
      <c r="BW1" s="31"/>
      <c r="BX1" s="33" t="s">
        <v>252</v>
      </c>
      <c r="BY1" s="31"/>
      <c r="BZ1" s="31"/>
      <c r="CA1" s="31"/>
      <c r="CB1" s="31"/>
      <c r="CC1" s="31"/>
      <c r="CD1" s="31"/>
      <c r="CE1" s="31"/>
      <c r="CF1" s="31"/>
      <c r="CG1" s="31"/>
    </row>
    <row r="2" spans="1:85" ht="15" customHeight="1" x14ac:dyDescent="0.3">
      <c r="D2" s="31"/>
      <c r="E2" s="34"/>
      <c r="F2" s="104"/>
      <c r="G2" s="34"/>
      <c r="H2" s="34"/>
      <c r="I2" s="34"/>
      <c r="J2" s="34"/>
      <c r="K2" s="34"/>
      <c r="L2" s="34"/>
      <c r="M2" s="34"/>
      <c r="N2" s="34"/>
      <c r="Q2" s="35"/>
      <c r="BW2" s="31"/>
      <c r="BX2" s="36" t="s">
        <v>226</v>
      </c>
      <c r="BY2" s="36" t="s">
        <v>227</v>
      </c>
      <c r="BZ2" s="36" t="s">
        <v>228</v>
      </c>
      <c r="CA2" s="36" t="s">
        <v>229</v>
      </c>
      <c r="CB2" s="36" t="s">
        <v>230</v>
      </c>
      <c r="CC2" s="36" t="s">
        <v>231</v>
      </c>
      <c r="CD2" s="36" t="s">
        <v>232</v>
      </c>
      <c r="CE2" s="36" t="s">
        <v>233</v>
      </c>
      <c r="CF2" s="36" t="s">
        <v>234</v>
      </c>
      <c r="CG2" s="36" t="s">
        <v>235</v>
      </c>
    </row>
    <row r="3" spans="1:85" x14ac:dyDescent="0.3">
      <c r="A3" s="101" t="s">
        <v>2</v>
      </c>
      <c r="B3" s="101" t="s">
        <v>3</v>
      </c>
      <c r="C3" s="101" t="s">
        <v>4</v>
      </c>
      <c r="D3" s="37" t="s">
        <v>236</v>
      </c>
      <c r="E3" s="38" t="s">
        <v>237</v>
      </c>
      <c r="F3" s="39" t="s">
        <v>238</v>
      </c>
      <c r="G3" s="38" t="s">
        <v>239</v>
      </c>
      <c r="H3" s="38" t="s">
        <v>240</v>
      </c>
      <c r="I3" s="40" t="s">
        <v>241</v>
      </c>
      <c r="J3" s="41" t="s">
        <v>242</v>
      </c>
      <c r="K3" s="41" t="s">
        <v>243</v>
      </c>
      <c r="L3" s="41" t="s">
        <v>244</v>
      </c>
      <c r="M3" s="41" t="s">
        <v>245</v>
      </c>
      <c r="N3" s="42" t="s">
        <v>246</v>
      </c>
      <c r="O3" s="102" t="s">
        <v>247</v>
      </c>
      <c r="P3" s="100">
        <v>46113</v>
      </c>
      <c r="Q3" s="100">
        <v>46114</v>
      </c>
      <c r="R3" s="100">
        <v>46115</v>
      </c>
      <c r="S3" s="100">
        <v>46116</v>
      </c>
      <c r="T3" s="100">
        <v>46117</v>
      </c>
      <c r="U3" s="100">
        <v>46118</v>
      </c>
      <c r="V3" s="100">
        <v>46119</v>
      </c>
      <c r="W3" s="100">
        <v>46120</v>
      </c>
      <c r="X3" s="100">
        <v>46121</v>
      </c>
      <c r="Y3" s="100">
        <v>46122</v>
      </c>
      <c r="Z3" s="100">
        <v>46123</v>
      </c>
      <c r="AA3" s="100">
        <v>46124</v>
      </c>
      <c r="AB3" s="100">
        <v>46125</v>
      </c>
      <c r="AC3" s="100">
        <v>46126</v>
      </c>
      <c r="AD3" s="100">
        <v>46127</v>
      </c>
      <c r="AE3" s="100">
        <v>46128</v>
      </c>
      <c r="AF3" s="100">
        <v>46129</v>
      </c>
      <c r="AG3" s="100">
        <v>46130</v>
      </c>
      <c r="AH3" s="100">
        <v>46131</v>
      </c>
      <c r="AI3" s="100">
        <v>46132</v>
      </c>
      <c r="AJ3" s="100">
        <v>46133</v>
      </c>
      <c r="AK3" s="100">
        <v>46134</v>
      </c>
      <c r="AL3" s="100">
        <v>46135</v>
      </c>
      <c r="AM3" s="100">
        <v>46136</v>
      </c>
      <c r="AN3" s="100">
        <v>46137</v>
      </c>
      <c r="AO3" s="100">
        <v>46138</v>
      </c>
      <c r="AP3" s="100">
        <v>46139</v>
      </c>
      <c r="AQ3" s="100">
        <v>46140</v>
      </c>
      <c r="AR3" s="100">
        <v>46141</v>
      </c>
      <c r="AS3" s="100">
        <v>46142</v>
      </c>
      <c r="AT3" s="100">
        <v>46143</v>
      </c>
      <c r="AU3" s="100">
        <v>46144</v>
      </c>
      <c r="AV3" s="100">
        <v>46145</v>
      </c>
      <c r="AW3" s="100">
        <v>46146</v>
      </c>
      <c r="AX3" s="100">
        <v>46147</v>
      </c>
      <c r="AY3" s="100">
        <v>46148</v>
      </c>
      <c r="AZ3" s="100">
        <v>46149</v>
      </c>
      <c r="BA3" s="100">
        <v>46150</v>
      </c>
      <c r="BB3" s="100">
        <v>46151</v>
      </c>
      <c r="BC3" s="100">
        <v>46152</v>
      </c>
      <c r="BD3" s="100">
        <v>46153</v>
      </c>
      <c r="BE3" s="100">
        <v>46154</v>
      </c>
      <c r="BF3" s="100">
        <v>46155</v>
      </c>
      <c r="BG3" s="100">
        <v>46156</v>
      </c>
      <c r="BH3" s="100">
        <v>46157</v>
      </c>
      <c r="BI3" s="100">
        <v>46158</v>
      </c>
      <c r="BJ3" s="100">
        <v>46159</v>
      </c>
      <c r="BK3" s="100">
        <v>46160</v>
      </c>
      <c r="BL3" s="100">
        <v>46161</v>
      </c>
      <c r="BM3" s="100">
        <v>46162</v>
      </c>
      <c r="BN3" s="100">
        <v>46163</v>
      </c>
      <c r="BO3" s="100">
        <v>46164</v>
      </c>
      <c r="BP3" s="100">
        <v>46165</v>
      </c>
      <c r="BQ3" s="100">
        <v>46166</v>
      </c>
      <c r="BR3" s="100">
        <v>46167</v>
      </c>
      <c r="BS3" s="100">
        <v>46168</v>
      </c>
      <c r="BT3" s="100">
        <v>46169</v>
      </c>
      <c r="BU3" s="100">
        <v>46170</v>
      </c>
      <c r="BV3" s="100">
        <v>46171</v>
      </c>
      <c r="BW3" s="45" t="s">
        <v>248</v>
      </c>
      <c r="BX3" s="46">
        <v>676</v>
      </c>
      <c r="BY3" s="46">
        <v>1042</v>
      </c>
      <c r="BZ3" s="46">
        <v>1702</v>
      </c>
      <c r="CA3" s="46">
        <v>1804</v>
      </c>
      <c r="CB3" s="46">
        <v>816</v>
      </c>
      <c r="CC3" s="46">
        <v>1540</v>
      </c>
      <c r="CD3" s="46">
        <v>336</v>
      </c>
      <c r="CE3" s="46">
        <v>1428</v>
      </c>
      <c r="CF3" s="46">
        <v>0</v>
      </c>
      <c r="CG3" s="46">
        <v>0</v>
      </c>
    </row>
    <row r="4" spans="1:85" ht="27.6" customHeight="1" x14ac:dyDescent="0.3">
      <c r="A4" s="10" t="str">
        <f>IF(Job_Master!A4="","",Job_Master!A4)</f>
        <v>BJ-104</v>
      </c>
      <c r="B4" s="10">
        <f>IF($A4="","",Job_Master!B4)</f>
        <v>28</v>
      </c>
      <c r="C4" s="10" t="str">
        <f>IF($A4="","",Job_Master!C4)</f>
        <v>2P</v>
      </c>
      <c r="D4" s="47">
        <f>IF($A4="","",Job_Master!D4)</f>
        <v>2</v>
      </c>
      <c r="E4" s="48" t="str">
        <f>IF($A4="","","EDM-MC-01")</f>
        <v>EDM-MC-01</v>
      </c>
      <c r="F4" s="105" t="str">
        <f>IF($E4="","",IFERROR(VLOOKUP($E4,Machine_List!$B:$G,6,0),""))</f>
        <v>General Workman</v>
      </c>
      <c r="G4" s="49">
        <f>IF($E4="","",IFERROR(VLOOKUP($E4,Machine_List!$B:$C,2,0),""))</f>
        <v>46092</v>
      </c>
      <c r="H4" s="48">
        <f>IF($E4="","",IFERROR(VLOOKUP($E4,Machine_List!$B:$D,3,0),""))</f>
        <v>6</v>
      </c>
      <c r="I4" s="46"/>
      <c r="J4" s="50">
        <f ca="1">IF($A4="","",IF($I4&lt;&gt;"",$I4,MAX(MAX(SPM_Plan!$M4,CARVING_Plan!$M4),IFERROR(LOOKUP(2,1/($E$3:INDIRECT("E"&amp;(ROW()-1))=$E4),$M$3:INDIRECT("M"&amp;(ROW()-1))),MAX(SPM_Plan!$M4,CARVING_Plan!$M4)))))</f>
        <v>46119.402777777766</v>
      </c>
      <c r="K4" s="48">
        <f>IF($A4="","",IFERROR(VLOOKUP(B4,CHOOSE(MATCH(C4,Settings!$L$4:$L$10,0),OPR_2P!$A$4:$I$18,SEG_6P!$A$4:$I$18,SOL_4P!$A$4:$I$18,RW_2P!$A$4:$I$18,RW2_4P!$A$4:$I$18,FLAP_4P!$A$4:$I$18,TUBE_4P!$A$4:$I$18),4,0),0))</f>
        <v>35</v>
      </c>
      <c r="L4" s="48">
        <f t="shared" ref="L4:L67" si="0">IF($A4="","",K4*D4)</f>
        <v>70</v>
      </c>
      <c r="M4" s="50">
        <f ca="1">IF($A4="","",IF(AND(ISNUMBER(G4),G4&gt;=J4,G4&lt;=(J4+(L4/(IF(F4="Contract Workman",Settings!$K$5,Settings!$K$4))))),J4+(L4/(IF(F4="Contract Workman",Settings!$K$5,Settings!$K$4)))+(H4/(IF(F4="Contract Workman",Settings!$K$5,Settings!$K$4))),J4+(L4/(IF(F4="Contract Workman",Settings!$K$5,Settings!$K$4)))))</f>
        <v>46122.643518518504</v>
      </c>
      <c r="N4" s="48" t="str">
        <f t="shared" ref="N4:N35" ca="1" si="1">IF($A4="","",IF(F4="Contract Workman",IF(AND(MOD(M4,1)&gt;=8/24,MOD(M4,1)&lt;20/24),"Shift S1","Shift S2"),IF(AND(MOD(M4,1)&gt;=7/24,MOD(M4,1)&lt;15/24),"Shift A",IF(AND(MOD(M4,1)&gt;=15/24,MOD(M4,1)&lt;23/24),"Shift B","Shift C"))))</f>
        <v>Shift B</v>
      </c>
      <c r="O4" s="51" t="str">
        <f>IF(B4="","", IF(IFERROR(ISNUMBER(SEARCH(B4, VLOOKUP(E4, Machine_List!$B:$J, 9, 0))), FALSE()), "✅ Machine OK", "❌ Sug: " &amp; IFERROR(INDEX(Machine_List!$B$20:$B$49, MATCH("*"&amp;B4&amp;"*", Machine_List!$J$20:$J$49, 0)), "Check Limits")))</f>
        <v>✅ Machine OK</v>
      </c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2"/>
      <c r="BK4" s="52"/>
      <c r="BL4" s="52"/>
      <c r="BM4" s="52"/>
      <c r="BW4" s="45" t="s">
        <v>249</v>
      </c>
      <c r="BX4" s="46">
        <v>19440</v>
      </c>
      <c r="BY4" s="46">
        <v>20088</v>
      </c>
      <c r="BZ4" s="46">
        <v>19440</v>
      </c>
      <c r="CA4" s="46">
        <v>20088</v>
      </c>
      <c r="CB4" s="46">
        <v>20088</v>
      </c>
      <c r="CC4" s="46">
        <v>19440</v>
      </c>
      <c r="CD4" s="46">
        <v>20088</v>
      </c>
      <c r="CE4" s="46">
        <v>19440</v>
      </c>
      <c r="CF4" s="46">
        <v>20088</v>
      </c>
      <c r="CG4" s="46">
        <v>20088</v>
      </c>
    </row>
    <row r="5" spans="1:85" ht="28.8" customHeight="1" x14ac:dyDescent="0.3">
      <c r="A5" s="10" t="str">
        <f>IF(Job_Master!A5="","",Job_Master!A5)</f>
        <v>BJ-101</v>
      </c>
      <c r="B5" s="10">
        <f>IF($A5="","",Job_Master!B5)</f>
        <v>42</v>
      </c>
      <c r="C5" s="10" t="str">
        <f>IF($A5="","",Job_Master!C5)</f>
        <v>SOL</v>
      </c>
      <c r="D5" s="10">
        <f>IF($A5="","",Job_Master!D5)</f>
        <v>4</v>
      </c>
      <c r="E5" s="48" t="str">
        <f>IF($A5="","","EDM-MC-09")</f>
        <v>EDM-MC-09</v>
      </c>
      <c r="F5" s="106" t="str">
        <f>IF($E5="","",IFERROR(VLOOKUP($E5,Machine_List!$B:$G,6,0),""))</f>
        <v>General Workman</v>
      </c>
      <c r="G5" s="53">
        <f>IF($E5="","",IFERROR(VLOOKUP($E5,Machine_List!$B:$C,2,0),""))</f>
        <v>46237</v>
      </c>
      <c r="H5" s="10">
        <f>IF($E5="","",IFERROR(VLOOKUP($E5,Machine_List!$B:$D,3,0),""))</f>
        <v>6</v>
      </c>
      <c r="I5" s="54"/>
      <c r="J5" s="55">
        <f ca="1">IF($A5="","",IF($I5&lt;&gt;"",$I5,MAX(MAX(SPM_Plan!$M5,CARVING_Plan!$M5),IFERROR(LOOKUP(2,1/($E$3:INDIRECT("E"&amp;(ROW()-1))=$E5),$M$3:INDIRECT("M"&amp;(ROW()-1))),MAX(SPM_Plan!$M5,CARVING_Plan!$M5)))))</f>
        <v>46131.069444444438</v>
      </c>
      <c r="K5" s="10">
        <f>IF($A5="","",IFERROR(VLOOKUP(B5,CHOOSE(MATCH(C5,Settings!$L$4:$L$10,0),OPR_2P!$A$4:$I$18,SEG_6P!$A$4:$I$18,SOL_4P!$A$4:$I$18,RW_2P!$A$4:$I$18,RW2_4P!$A$4:$I$18,FLAP_4P!$A$4:$I$18,TUBE_4P!$A$4:$I$18),4,0),0))</f>
        <v>63</v>
      </c>
      <c r="L5" s="10">
        <f t="shared" si="0"/>
        <v>252</v>
      </c>
      <c r="M5" s="55">
        <f ca="1">IF($A5="","",IF(AND(ISNUMBER(G5),G5&gt;=J5,G5&lt;=(J5+(L5/(IF(F5="Contract Workman",Settings!$K$5,Settings!$K$4))))),J5+(L5/(IF(F5="Contract Workman",Settings!$K$5,Settings!$K$4)))+(H5/(IF(F5="Contract Workman",Settings!$K$5,Settings!$K$4))),J5+(L5/(IF(F5="Contract Workman",Settings!$K$5,Settings!$K$4)))))</f>
        <v>46142.736111111102</v>
      </c>
      <c r="N5" s="10" t="str">
        <f t="shared" ca="1" si="1"/>
        <v>Shift B</v>
      </c>
      <c r="O5" s="51" t="str">
        <f>IF(B5="","", IF(IFERROR(ISNUMBER(SEARCH(B5, VLOOKUP(E5, Machine_List!$B:$J, 9, 0))), FALSE()), "✅ Machine OK", "❌ Sug: " &amp; IFERROR(INDEX(Machine_List!$B$20:$B$49, MATCH("*"&amp;B5&amp;"*", Machine_List!$J$20:$J$49, 0)), "Check Limits")))</f>
        <v>✅ Machine OK</v>
      </c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  <c r="BD5" s="52"/>
      <c r="BE5" s="52"/>
      <c r="BF5" s="52"/>
      <c r="BG5" s="52"/>
      <c r="BH5" s="52"/>
      <c r="BI5" s="52"/>
      <c r="BJ5" s="52"/>
      <c r="BK5" s="52"/>
      <c r="BL5" s="52"/>
      <c r="BM5" s="52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</row>
    <row r="6" spans="1:85" ht="28.8" customHeight="1" x14ac:dyDescent="0.3">
      <c r="A6" s="10" t="str">
        <f>IF(Job_Master!A6="","",Job_Master!A6)</f>
        <v>BJ-105</v>
      </c>
      <c r="B6" s="10">
        <f>IF($A6="","",Job_Master!B6)</f>
        <v>28</v>
      </c>
      <c r="C6" s="10" t="str">
        <f>IF($A6="","",Job_Master!C6)</f>
        <v>RW</v>
      </c>
      <c r="D6" s="10">
        <f>IF($A6="","",Job_Master!D6)</f>
        <v>2</v>
      </c>
      <c r="E6" s="48" t="str">
        <f>IF($A6="","","EDM-MC-02")</f>
        <v>EDM-MC-02</v>
      </c>
      <c r="F6" s="106" t="str">
        <f>IF($E6="","",IFERROR(VLOOKUP($E6,Machine_List!$B:$G,6,0),""))</f>
        <v>General Workman</v>
      </c>
      <c r="G6" s="53">
        <f>IF($E6="","",IFERROR(VLOOKUP($E6,Machine_List!$B:$C,2,0),""))</f>
        <v>46160</v>
      </c>
      <c r="H6" s="10">
        <f>IF($E6="","",IFERROR(VLOOKUP($E6,Machine_List!$B:$D,3,0),""))</f>
        <v>6</v>
      </c>
      <c r="I6" s="54"/>
      <c r="J6" s="55">
        <f ca="1">IF($A6="","",IF($I6&lt;&gt;"",$I6,MAX(MAX(SPM_Plan!$M6,CARVING_Plan!$M6),IFERROR(LOOKUP(2,1/($E$3:INDIRECT("E"&amp;(ROW()-1))=$E6),$M$3:INDIRECT("M"&amp;(ROW()-1))),MAX(SPM_Plan!$M6,CARVING_Plan!$M6)))))</f>
        <v>46118.569444444431</v>
      </c>
      <c r="K6" s="10">
        <f>IF($A6="","",IFERROR(VLOOKUP(B6,CHOOSE(MATCH(C6,Settings!$L$4:$L$10,0),OPR_2P!$A$4:$I$18,SEG_6P!$A$4:$I$18,SOL_4P!$A$4:$I$18,RW_2P!$A$4:$I$18,RW2_4P!$A$4:$I$18,FLAP_4P!$A$4:$I$18,TUBE_4P!$A$4:$I$18),4,0),0))</f>
        <v>36</v>
      </c>
      <c r="L6" s="10">
        <f t="shared" si="0"/>
        <v>72</v>
      </c>
      <c r="M6" s="55">
        <f ca="1">IF($A6="","",IF(AND(ISNUMBER(G6),G6&gt;=J6,G6&lt;=(J6+(L6/(IF(F6="Contract Workman",Settings!$K$5,Settings!$K$4))))),J6+(L6/(IF(F6="Contract Workman",Settings!$K$5,Settings!$K$4)))+(H6/(IF(F6="Contract Workman",Settings!$K$5,Settings!$K$4))),J6+(L6/(IF(F6="Contract Workman",Settings!$K$5,Settings!$K$4)))))</f>
        <v>46121.902777777766</v>
      </c>
      <c r="N6" s="10" t="str">
        <f t="shared" ca="1" si="1"/>
        <v>Shift B</v>
      </c>
      <c r="O6" s="51" t="str">
        <f>IF(B6="","", IF(IFERROR(ISNUMBER(SEARCH(B6, VLOOKUP(E6, Machine_List!$B:$J, 9, 0))), FALSE()), "✅ Machine OK", "❌ Sug: " &amp; IFERROR(INDEX(Machine_List!$B$20:$B$49, MATCH("*"&amp;B6&amp;"*", Machine_List!$J$20:$J$49, 0)), "Check Limits")))</f>
        <v>✅ Machine OK</v>
      </c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52"/>
      <c r="BJ6" s="52"/>
      <c r="BK6" s="52"/>
      <c r="BL6" s="52"/>
      <c r="BM6" s="52"/>
    </row>
    <row r="7" spans="1:85" ht="28.8" customHeight="1" x14ac:dyDescent="0.3">
      <c r="A7" s="10" t="str">
        <f>IF(Job_Master!A7="","",Job_Master!A7)</f>
        <v>BJ-100</v>
      </c>
      <c r="B7" s="10">
        <f>IF($A7="","",Job_Master!B7)</f>
        <v>25</v>
      </c>
      <c r="C7" s="10" t="str">
        <f>IF($A7="","",Job_Master!C7)</f>
        <v>SEG</v>
      </c>
      <c r="D7" s="10">
        <f>IF($A7="","",Job_Master!D7)</f>
        <v>6</v>
      </c>
      <c r="E7" s="48" t="str">
        <f>IF($A7="","","EDM-MC-01")</f>
        <v>EDM-MC-01</v>
      </c>
      <c r="F7" s="106" t="str">
        <f>IF($E7="","",IFERROR(VLOOKUP($E7,Machine_List!$B:$G,6,0),""))</f>
        <v>General Workman</v>
      </c>
      <c r="G7" s="53">
        <f>IF($E7="","",IFERROR(VLOOKUP($E7,Machine_List!$B:$C,2,0),""))</f>
        <v>46092</v>
      </c>
      <c r="H7" s="10">
        <f>IF($E7="","",IFERROR(VLOOKUP($E7,Machine_List!$B:$D,3,0),""))</f>
        <v>6</v>
      </c>
      <c r="I7" s="54"/>
      <c r="J7" s="55">
        <f ca="1">IF($A7="","",IF($I7&lt;&gt;"",$I7,MAX(MAX(SPM_Plan!$M7,CARVING_Plan!$M7),IFERROR(LOOKUP(2,1/($E$3:INDIRECT("E"&amp;(ROW()-1))=$E7),$M$3:INDIRECT("M"&amp;(ROW()-1))),MAX(SPM_Plan!$M7,CARVING_Plan!$M7)))))</f>
        <v>46133.384259259248</v>
      </c>
      <c r="K7" s="10">
        <f>IF($A7="","",IFERROR(VLOOKUP(B7,CHOOSE(MATCH(C7,Settings!$L$4:$L$10,0),OPR_2P!$A$4:$I$18,SEG_6P!$A$4:$I$18,SOL_4P!$A$4:$I$18,RW_2P!$A$4:$I$18,RW2_4P!$A$4:$I$18,FLAP_4P!$A$4:$I$18,TUBE_4P!$A$4:$I$18),4,0),0))</f>
        <v>26</v>
      </c>
      <c r="L7" s="10">
        <f t="shared" si="0"/>
        <v>156</v>
      </c>
      <c r="M7" s="55">
        <f ca="1">IF($A7="","",IF(AND(ISNUMBER(G7),G7&gt;=J7,G7&lt;=(J7+(L7/(IF(F7="Contract Workman",Settings!$K$5,Settings!$K$4))))),J7+(L7/(IF(F7="Contract Workman",Settings!$K$5,Settings!$K$4)))+(H7/(IF(F7="Contract Workman",Settings!$K$5,Settings!$K$4))),J7+(L7/(IF(F7="Contract Workman",Settings!$K$5,Settings!$K$4)))))</f>
        <v>46140.606481481467</v>
      </c>
      <c r="N7" s="10" t="str">
        <f t="shared" ca="1" si="1"/>
        <v>Shift A</v>
      </c>
      <c r="O7" s="51" t="str">
        <f>IF(B7="","", IF(IFERROR(ISNUMBER(SEARCH(B7, VLOOKUP(E7, Machine_List!$B:$J, 9, 0))), FALSE()), "✅ Machine OK", "❌ Sug: " &amp; IFERROR(INDEX(Machine_List!$B$20:$B$49, MATCH("*"&amp;B7&amp;"*", Machine_List!$J$20:$J$49, 0)), "Check Limits")))</f>
        <v>✅ Machine OK</v>
      </c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52"/>
      <c r="BJ7" s="52"/>
      <c r="BK7" s="52"/>
      <c r="BL7" s="52"/>
      <c r="BM7" s="52"/>
    </row>
    <row r="8" spans="1:85" ht="28.8" customHeight="1" x14ac:dyDescent="0.3">
      <c r="A8" s="10" t="str">
        <f>IF(Job_Master!A8="","",Job_Master!A8)</f>
        <v>BJ-102</v>
      </c>
      <c r="B8" s="10">
        <f>IF($A8="","",Job_Master!B8)</f>
        <v>34</v>
      </c>
      <c r="C8" s="10" t="str">
        <f>IF($A8="","",Job_Master!C8)</f>
        <v>SEG</v>
      </c>
      <c r="D8" s="10">
        <f>IF($A8="","",Job_Master!D8)</f>
        <v>6</v>
      </c>
      <c r="E8" s="48" t="str">
        <f>IF($A8="","","EDM-MC-10")</f>
        <v>EDM-MC-10</v>
      </c>
      <c r="F8" s="106" t="str">
        <f>IF($E8="","",IFERROR(VLOOKUP($E8,Machine_List!$B:$G,6,0),""))</f>
        <v>General Workman</v>
      </c>
      <c r="G8" s="53">
        <f>IF($E8="","",IFERROR(VLOOKUP($E8,Machine_List!$B:$C,2,0),""))</f>
        <v>46503</v>
      </c>
      <c r="H8" s="10">
        <f>IF($E8="","",IFERROR(VLOOKUP($E8,Machine_List!$B:$D,3,0),""))</f>
        <v>6</v>
      </c>
      <c r="I8" s="54"/>
      <c r="J8" s="55">
        <f ca="1">IF($A8="","",IF($I8&lt;&gt;"",$I8,MAX(MAX(SPM_Plan!$M8,CARVING_Plan!$M8),IFERROR(LOOKUP(2,1/($E$3:INDIRECT("E"&amp;(ROW()-1))=$E8),$M$3:INDIRECT("M"&amp;(ROW()-1))),MAX(SPM_Plan!$M8,CARVING_Plan!$M8)))))</f>
        <v>46136.347222222212</v>
      </c>
      <c r="K8" s="10">
        <f>IF($A8="","",IFERROR(VLOOKUP(B8,CHOOSE(MATCH(C8,Settings!$L$4:$L$10,0),OPR_2P!$A$4:$I$18,SEG_6P!$A$4:$I$18,SOL_4P!$A$4:$I$18,RW_2P!$A$4:$I$18,RW2_4P!$A$4:$I$18,FLAP_4P!$A$4:$I$18,TUBE_4P!$A$4:$I$18),4,0),0))</f>
        <v>48</v>
      </c>
      <c r="L8" s="10">
        <f t="shared" si="0"/>
        <v>288</v>
      </c>
      <c r="M8" s="55">
        <f ca="1">IF($A8="","",IF(AND(ISNUMBER(G8),G8&gt;=J8,G8&lt;=(J8+(L8/(IF(F8="Contract Workman",Settings!$K$5,Settings!$K$4))))),J8+(L8/(IF(F8="Contract Workman",Settings!$K$5,Settings!$K$4)))+(H8/(IF(F8="Contract Workman",Settings!$K$5,Settings!$K$4))),J8+(L8/(IF(F8="Contract Workman",Settings!$K$5,Settings!$K$4)))))</f>
        <v>46149.680555555547</v>
      </c>
      <c r="N8" s="10" t="str">
        <f t="shared" ca="1" si="1"/>
        <v>Shift B</v>
      </c>
      <c r="O8" s="51" t="str">
        <f>IF(B8="","", IF(IFERROR(ISNUMBER(SEARCH(B8, VLOOKUP(E8, Machine_List!$B:$J, 9, 0))), FALSE()), "✅ Machine OK", "❌ Sug: " &amp; IFERROR(INDEX(Machine_List!$B$20:$B$49, MATCH("*"&amp;B8&amp;"*", Machine_List!$J$20:$J$49, 0)), "Check Limits")))</f>
        <v>✅ Machine OK</v>
      </c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52"/>
      <c r="BL8" s="52"/>
      <c r="BM8" s="52"/>
    </row>
    <row r="9" spans="1:85" ht="28.8" customHeight="1" x14ac:dyDescent="0.3">
      <c r="A9" s="10" t="str">
        <f>IF(Job_Master!A9="","",Job_Master!A9)</f>
        <v>BJ-103</v>
      </c>
      <c r="B9" s="10">
        <f>IF($A9="","",Job_Master!B9)</f>
        <v>20</v>
      </c>
      <c r="C9" s="10" t="str">
        <f>IF($A9="","",Job_Master!C9)</f>
        <v>RW</v>
      </c>
      <c r="D9" s="10">
        <f>IF($A9="","",Job_Master!D9)</f>
        <v>2</v>
      </c>
      <c r="E9" s="48" t="str">
        <f>IF($A9="","","EDM-MC-03")</f>
        <v>EDM-MC-03</v>
      </c>
      <c r="F9" s="106" t="str">
        <f>IF($E9="","",IFERROR(VLOOKUP($E9,Machine_List!$B:$G,6,0),""))</f>
        <v>General Workman</v>
      </c>
      <c r="G9" s="53">
        <f>IF($E9="","",IFERROR(VLOOKUP($E9,Machine_List!$B:$C,2,0),""))</f>
        <v>46057</v>
      </c>
      <c r="H9" s="10">
        <f>IF($E9="","",IFERROR(VLOOKUP($E9,Machine_List!$B:$D,3,0),""))</f>
        <v>6</v>
      </c>
      <c r="I9" s="54"/>
      <c r="J9" s="55">
        <f ca="1">IF($A9="","",IF($I9&lt;&gt;"",$I9,MAX(MAX(SPM_Plan!$M9,CARVING_Plan!$M9),IFERROR(LOOKUP(2,1/($E$3:INDIRECT("E"&amp;(ROW()-1))=$E9),$M$3:INDIRECT("M"&amp;(ROW()-1))),MAX(SPM_Plan!$M9,CARVING_Plan!$M9)))))</f>
        <v>46120.699074074066</v>
      </c>
      <c r="K9" s="10">
        <f>IF($A9="","",IFERROR(VLOOKUP(B9,CHOOSE(MATCH(C9,Settings!$L$4:$L$10,0),OPR_2P!$A$4:$I$18,SEG_6P!$A$4:$I$18,SOL_4P!$A$4:$I$18,RW_2P!$A$4:$I$18,RW2_4P!$A$4:$I$18,FLAP_4P!$A$4:$I$18,TUBE_4P!$A$4:$I$18),4,0),0))</f>
        <v>22</v>
      </c>
      <c r="L9" s="10">
        <f t="shared" si="0"/>
        <v>44</v>
      </c>
      <c r="M9" s="55">
        <f ca="1">IF($A9="","",IF(AND(ISNUMBER(G9),G9&gt;=J9,G9&lt;=(J9+(L9/(IF(F9="Contract Workman",Settings!$K$5,Settings!$K$4))))),J9+(L9/(IF(F9="Contract Workman",Settings!$K$5,Settings!$K$4)))+(H9/(IF(F9="Contract Workman",Settings!$K$5,Settings!$K$4))),J9+(L9/(IF(F9="Contract Workman",Settings!$K$5,Settings!$K$4)))))</f>
        <v>46122.736111111102</v>
      </c>
      <c r="N9" s="10" t="str">
        <f t="shared" ca="1" si="1"/>
        <v>Shift B</v>
      </c>
      <c r="O9" s="51" t="str">
        <f>IF(B9="","", IF(IFERROR(ISNUMBER(SEARCH(B9, VLOOKUP(E9, Machine_List!$B:$J, 9, 0))), FALSE()), "✅ Machine OK", "❌ Sug: " &amp; IFERROR(INDEX(Machine_List!$B$20:$B$49, MATCH("*"&amp;B9&amp;"*", Machine_List!$J$20:$J$49, 0)), "Check Limits")))</f>
        <v>✅ Machine OK</v>
      </c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2"/>
      <c r="AQ9" s="52"/>
      <c r="AR9" s="52"/>
      <c r="AS9" s="52"/>
      <c r="AT9" s="52"/>
      <c r="AU9" s="52"/>
      <c r="AV9" s="52"/>
      <c r="AW9" s="52"/>
      <c r="AX9" s="52"/>
      <c r="AY9" s="52"/>
      <c r="AZ9" s="52"/>
      <c r="BA9" s="52"/>
      <c r="BB9" s="52"/>
      <c r="BC9" s="52"/>
      <c r="BD9" s="52"/>
      <c r="BE9" s="52"/>
      <c r="BF9" s="52"/>
      <c r="BG9" s="52"/>
      <c r="BH9" s="52"/>
      <c r="BI9" s="52"/>
      <c r="BJ9" s="52"/>
      <c r="BK9" s="52"/>
      <c r="BL9" s="52"/>
      <c r="BM9" s="52"/>
    </row>
    <row r="10" spans="1:85" ht="28.8" customHeight="1" x14ac:dyDescent="0.3">
      <c r="A10" s="10" t="str">
        <f>IF(Job_Master!A10="","",Job_Master!A10)</f>
        <v>BJ-108</v>
      </c>
      <c r="B10" s="10">
        <f>IF($A10="","",Job_Master!B10)</f>
        <v>70</v>
      </c>
      <c r="C10" s="10" t="str">
        <f>IF($A10="","",Job_Master!C10)</f>
        <v>RW</v>
      </c>
      <c r="D10" s="10">
        <f>IF($A10="","",Job_Master!D10)</f>
        <v>2</v>
      </c>
      <c r="E10" s="48" t="str">
        <f>IF($A10="","","EDM-MC-16")</f>
        <v>EDM-MC-16</v>
      </c>
      <c r="F10" s="106" t="str">
        <f>IF($E10="","",IFERROR(VLOOKUP($E10,Machine_List!$B:$G,6,0),""))</f>
        <v>General Workman</v>
      </c>
      <c r="G10" s="53">
        <f>IF($E10="","",IFERROR(VLOOKUP($E10,Machine_List!$B:$C,2,0),""))</f>
        <v>46105</v>
      </c>
      <c r="H10" s="10">
        <f>IF($E10="","",IFERROR(VLOOKUP($E10,Machine_List!$B:$D,3,0),""))</f>
        <v>6</v>
      </c>
      <c r="I10" s="54"/>
      <c r="J10" s="55">
        <f ca="1">IF($A10="","",IF($I10&lt;&gt;"",$I10,MAX(MAX(SPM_Plan!$M10,CARVING_Plan!$M10),IFERROR(LOOKUP(2,1/($E$3:INDIRECT("E"&amp;(ROW()-1))=$E10),$M$3:INDIRECT("M"&amp;(ROW()-1))),MAX(SPM_Plan!$M10,CARVING_Plan!$M10)))))</f>
        <v>46140.328703703701</v>
      </c>
      <c r="K10" s="10">
        <f>IF($A10="","",IFERROR(VLOOKUP(B10,CHOOSE(MATCH(C10,Settings!$L$4:$L$10,0),OPR_2P!$A$4:$I$18,SEG_6P!$A$4:$I$18,SOL_4P!$A$4:$I$18,RW_2P!$A$4:$I$18,RW2_4P!$A$4:$I$18,FLAP_4P!$A$4:$I$18,TUBE_4P!$A$4:$I$18),4,0),0))</f>
        <v>115</v>
      </c>
      <c r="L10" s="10">
        <f t="shared" si="0"/>
        <v>230</v>
      </c>
      <c r="M10" s="55">
        <f ca="1">IF($A10="","",IF(AND(ISNUMBER(G10),G10&gt;=J10,G10&lt;=(J10+(L10/(IF(F10="Contract Workman",Settings!$K$5,Settings!$K$4))))),J10+(L10/(IF(F10="Contract Workman",Settings!$K$5,Settings!$K$4)))+(H10/(IF(F10="Contract Workman",Settings!$K$5,Settings!$K$4))),J10+(L10/(IF(F10="Contract Workman",Settings!$K$5,Settings!$K$4)))))</f>
        <v>46150.976851851847</v>
      </c>
      <c r="N10" s="10" t="str">
        <f t="shared" ca="1" si="1"/>
        <v>Shift C</v>
      </c>
      <c r="O10" s="51" t="str">
        <f>IF(B10="","", IF(IFERROR(ISNUMBER(SEARCH(B10, VLOOKUP(E10, Machine_List!$B:$J, 9, 0))), FALSE()), "✅ Machine OK", "❌ Sug: " &amp; IFERROR(INDEX(Machine_List!$B$20:$B$49, MATCH("*"&amp;B10&amp;"*", Machine_List!$J$20:$J$49, 0)), "Check Limits")))</f>
        <v>✅ Machine OK</v>
      </c>
      <c r="P10" s="56"/>
      <c r="Q10" s="57"/>
      <c r="R10" s="57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2"/>
      <c r="BM10" s="52"/>
    </row>
    <row r="11" spans="1:85" ht="28.8" customHeight="1" x14ac:dyDescent="0.3">
      <c r="A11" s="10" t="str">
        <f>IF(Job_Master!A11="","",Job_Master!A11)</f>
        <v>BJ-106</v>
      </c>
      <c r="B11" s="10">
        <f>IF($A11="","",Job_Master!B11)</f>
        <v>15</v>
      </c>
      <c r="C11" s="10" t="str">
        <f>IF($A11="","",Job_Master!C11)</f>
        <v>RW</v>
      </c>
      <c r="D11" s="10">
        <f>IF($A11="","",Job_Master!D11)</f>
        <v>2</v>
      </c>
      <c r="E11" s="48" t="str">
        <f>IF($A11="","","EDM-MC-04")</f>
        <v>EDM-MC-04</v>
      </c>
      <c r="F11" s="106" t="str">
        <f>IF($E11="","",IFERROR(VLOOKUP($E11,Machine_List!$B:$G,6,0),""))</f>
        <v>General Workman</v>
      </c>
      <c r="G11" s="53">
        <f>IF($E11="","",IFERROR(VLOOKUP($E11,Machine_List!$B:$C,2,0),""))</f>
        <v>46111</v>
      </c>
      <c r="H11" s="10">
        <f>IF($E11="","",IFERROR(VLOOKUP($E11,Machine_List!$B:$D,3,0),""))</f>
        <v>6</v>
      </c>
      <c r="I11" s="54"/>
      <c r="J11" s="55">
        <f ca="1">IF($A11="","",IF($I11&lt;&gt;"",$I11,MAX(MAX(SPM_Plan!$M11,CARVING_Plan!$M11),IFERROR(LOOKUP(2,1/($E$3:INDIRECT("E"&amp;(ROW()-1))=$E11),$M$3:INDIRECT("M"&amp;(ROW()-1))),MAX(SPM_Plan!$M11,CARVING_Plan!$M11)))))</f>
        <v>46120.513888888883</v>
      </c>
      <c r="K11" s="10">
        <f>IF($A11="","",IFERROR(VLOOKUP(B11,CHOOSE(MATCH(C11,Settings!$L$4:$L$10,0),OPR_2P!$A$4:$I$18,SEG_6P!$A$4:$I$18,SOL_4P!$A$4:$I$18,RW_2P!$A$4:$I$18,RW2_4P!$A$4:$I$18,FLAP_4P!$A$4:$I$18,TUBE_4P!$A$4:$I$18),4,0),0))</f>
        <v>14</v>
      </c>
      <c r="L11" s="10">
        <f t="shared" si="0"/>
        <v>28</v>
      </c>
      <c r="M11" s="55">
        <f ca="1">IF($A11="","",IF(AND(ISNUMBER(G11),G11&gt;=J11,G11&lt;=(J11+(L11/(IF(F11="Contract Workman",Settings!$K$5,Settings!$K$4))))),J11+(L11/(IF(F11="Contract Workman",Settings!$K$5,Settings!$K$4)))+(H11/(IF(F11="Contract Workman",Settings!$K$5,Settings!$K$4))),J11+(L11/(IF(F11="Contract Workman",Settings!$K$5,Settings!$K$4)))))</f>
        <v>46121.810185185182</v>
      </c>
      <c r="N11" s="10" t="str">
        <f t="shared" ca="1" si="1"/>
        <v>Shift B</v>
      </c>
      <c r="O11" s="51" t="str">
        <f>IF(B11="","", IF(IFERROR(ISNUMBER(SEARCH(B11, VLOOKUP(E11, Machine_List!$B:$J, 9, 0))), FALSE()), "✅ Machine OK", "❌ Sug: " &amp; IFERROR(INDEX(Machine_List!$B$20:$B$49, MATCH("*"&amp;B11&amp;"*", Machine_List!$J$20:$J$49, 0)), "Check Limits")))</f>
        <v>✅ Machine OK</v>
      </c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  <c r="BM11" s="52"/>
    </row>
    <row r="12" spans="1:85" ht="28.8" customHeight="1" x14ac:dyDescent="0.3">
      <c r="A12" s="10" t="str">
        <f>IF(Job_Master!A12="","",Job_Master!A12)</f>
        <v>BJ-109</v>
      </c>
      <c r="B12" s="10">
        <f>IF($A12="","",Job_Master!B12)</f>
        <v>30</v>
      </c>
      <c r="C12" s="10" t="str">
        <f>IF($A12="","",Job_Master!C12)</f>
        <v>RW</v>
      </c>
      <c r="D12" s="10">
        <f>IF($A12="","",Job_Master!D12)</f>
        <v>2</v>
      </c>
      <c r="E12" s="48" t="str">
        <f>IF($A12="","","EDM-MC-11")</f>
        <v>EDM-MC-11</v>
      </c>
      <c r="F12" s="106" t="str">
        <f>IF($E12="","",IFERROR(VLOOKUP($E12,Machine_List!$B:$G,6,0),""))</f>
        <v>General Workman</v>
      </c>
      <c r="G12" s="53">
        <f>IF($E12="","",IFERROR(VLOOKUP($E12,Machine_List!$B:$C,2,0),""))</f>
        <v>46098</v>
      </c>
      <c r="H12" s="10">
        <f>IF($E12="","",IFERROR(VLOOKUP($E12,Machine_List!$B:$D,3,0),""))</f>
        <v>6</v>
      </c>
      <c r="I12" s="54"/>
      <c r="J12" s="55">
        <f ca="1">IF($A12="","",IF($I12&lt;&gt;"",$I12,MAX(MAX(SPM_Plan!$M12,CARVING_Plan!$M12),IFERROR(LOOKUP(2,1/($E$3:INDIRECT("E"&amp;(ROW()-1))=$E12),$M$3:INDIRECT("M"&amp;(ROW()-1))),MAX(SPM_Plan!$M12,CARVING_Plan!$M12)))))</f>
        <v>46126.810185185182</v>
      </c>
      <c r="K12" s="10">
        <f>IF($A12="","",IFERROR(VLOOKUP(B12,CHOOSE(MATCH(C12,Settings!$L$4:$L$10,0),OPR_2P!$A$4:$I$18,SEG_6P!$A$4:$I$18,SOL_4P!$A$4:$I$18,RW_2P!$A$4:$I$18,RW2_4P!$A$4:$I$18,FLAP_4P!$A$4:$I$18,TUBE_4P!$A$4:$I$18),4,0),0))</f>
        <v>30</v>
      </c>
      <c r="L12" s="10">
        <f t="shared" si="0"/>
        <v>60</v>
      </c>
      <c r="M12" s="55">
        <f ca="1">IF($A12="","",IF(AND(ISNUMBER(G12),G12&gt;=J12,G12&lt;=(J12+(L12/(IF(F12="Contract Workman",Settings!$K$5,Settings!$K$4))))),J12+(L12/(IF(F12="Contract Workman",Settings!$K$5,Settings!$K$4)))+(H12/(IF(F12="Contract Workman",Settings!$K$5,Settings!$K$4))),J12+(L12/(IF(F12="Contract Workman",Settings!$K$5,Settings!$K$4)))))</f>
        <v>46129.587962962964</v>
      </c>
      <c r="N12" s="10" t="str">
        <f t="shared" ca="1" si="1"/>
        <v>Shift A</v>
      </c>
      <c r="O12" s="51" t="str">
        <f>IF(B12="","", IF(IFERROR(ISNUMBER(SEARCH(B12, VLOOKUP(E12, Machine_List!$B:$J, 9, 0))), FALSE()), "✅ Machine OK", "❌ Sug: " &amp; IFERROR(INDEX(Machine_List!$B$20:$B$49, MATCH("*"&amp;B12&amp;"*", Machine_List!$J$20:$J$49, 0)), "Check Limits")))</f>
        <v>✅ Machine OK</v>
      </c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2"/>
      <c r="BD12" s="52"/>
      <c r="BE12" s="52"/>
      <c r="BF12" s="52"/>
      <c r="BG12" s="52"/>
      <c r="BH12" s="52"/>
      <c r="BI12" s="52"/>
      <c r="BJ12" s="52"/>
      <c r="BK12" s="52"/>
      <c r="BL12" s="52"/>
      <c r="BM12" s="52"/>
    </row>
    <row r="13" spans="1:85" ht="28.8" customHeight="1" x14ac:dyDescent="0.3">
      <c r="A13" s="10" t="str">
        <f>IF(Job_Master!A13="","",Job_Master!A13)</f>
        <v>BJ-110</v>
      </c>
      <c r="B13" s="10">
        <f>IF($A13="","",Job_Master!B13)</f>
        <v>17</v>
      </c>
      <c r="C13" s="10" t="str">
        <f>IF($A13="","",Job_Master!C13)</f>
        <v>2P</v>
      </c>
      <c r="D13" s="10">
        <f>IF($A13="","",Job_Master!D13)</f>
        <v>2</v>
      </c>
      <c r="E13" s="48" t="str">
        <f>IF($A13="","","EDM-MC-02")</f>
        <v>EDM-MC-02</v>
      </c>
      <c r="F13" s="106" t="str">
        <f>IF($E13="","",IFERROR(VLOOKUP($E13,Machine_List!$B:$G,6,0),""))</f>
        <v>General Workman</v>
      </c>
      <c r="G13" s="53">
        <f>IF($E13="","",IFERROR(VLOOKUP($E13,Machine_List!$B:$C,2,0),""))</f>
        <v>46160</v>
      </c>
      <c r="H13" s="10">
        <f>IF($E13="","",IFERROR(VLOOKUP($E13,Machine_List!$B:$D,3,0),""))</f>
        <v>6</v>
      </c>
      <c r="I13" s="54"/>
      <c r="J13" s="55">
        <f ca="1">IF($A13="","",IF($I13&lt;&gt;"",$I13,MAX(MAX(SPM_Plan!$M13,CARVING_Plan!$M13),IFERROR(LOOKUP(2,1/($E$3:INDIRECT("E"&amp;(ROW()-1))=$E13),$M$3:INDIRECT("M"&amp;(ROW()-1))),MAX(SPM_Plan!$M13,CARVING_Plan!$M13)))))</f>
        <v>46122.55092592592</v>
      </c>
      <c r="K13" s="10">
        <f>IF($A13="","",IFERROR(VLOOKUP(B13,CHOOSE(MATCH(C13,Settings!$L$4:$L$10,0),OPR_2P!$A$4:$I$18,SEG_6P!$A$4:$I$18,SOL_4P!$A$4:$I$18,RW_2P!$A$4:$I$18,RW2_4P!$A$4:$I$18,FLAP_4P!$A$4:$I$18,TUBE_4P!$A$4:$I$18),4,0),0))</f>
        <v>12</v>
      </c>
      <c r="L13" s="10">
        <f t="shared" si="0"/>
        <v>24</v>
      </c>
      <c r="M13" s="55">
        <f ca="1">IF($A13="","",IF(AND(ISNUMBER(G13),G13&gt;=J13,G13&lt;=(J13+(L13/(IF(F13="Contract Workman",Settings!$K$5,Settings!$K$4))))),J13+(L13/(IF(F13="Contract Workman",Settings!$K$5,Settings!$K$4)))+(H13/(IF(F13="Contract Workman",Settings!$K$5,Settings!$K$4))),J13+(L13/(IF(F13="Contract Workman",Settings!$K$5,Settings!$K$4)))))</f>
        <v>46123.662037037029</v>
      </c>
      <c r="N13" s="10" t="str">
        <f t="shared" ca="1" si="1"/>
        <v>Shift B</v>
      </c>
      <c r="O13" s="51" t="str">
        <f>IF(B13="","", IF(IFERROR(ISNUMBER(SEARCH(B13, VLOOKUP(E13, Machine_List!$B:$J, 9, 0))), FALSE()), "✅ Machine OK", "❌ Sug: " &amp; IFERROR(INDEX(Machine_List!$B$20:$B$49, MATCH("*"&amp;B13&amp;"*", Machine_List!$J$20:$J$49, 0)), "Check Limits")))</f>
        <v>✅ Machine OK</v>
      </c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2"/>
      <c r="BD13" s="52"/>
      <c r="BE13" s="52"/>
      <c r="BF13" s="52"/>
      <c r="BG13" s="52"/>
      <c r="BH13" s="52"/>
      <c r="BI13" s="52"/>
      <c r="BJ13" s="52"/>
      <c r="BK13" s="52"/>
      <c r="BL13" s="52"/>
      <c r="BM13" s="52"/>
    </row>
    <row r="14" spans="1:85" ht="28.8" customHeight="1" x14ac:dyDescent="0.3">
      <c r="A14" s="10" t="str">
        <f>IF(Job_Master!A14="","",Job_Master!A14)</f>
        <v>BJ-111</v>
      </c>
      <c r="B14" s="10">
        <f>IF($A14="","",Job_Master!B14)</f>
        <v>25</v>
      </c>
      <c r="C14" s="10" t="str">
        <f>IF($A14="","",Job_Master!C14)</f>
        <v>RW</v>
      </c>
      <c r="D14" s="10">
        <f>IF($A14="","",Job_Master!D14)</f>
        <v>2</v>
      </c>
      <c r="E14" s="48" t="str">
        <f>IF($A14="","","EDM-MC-02")</f>
        <v>EDM-MC-02</v>
      </c>
      <c r="F14" s="106" t="str">
        <f>IF($E14="","",IFERROR(VLOOKUP($E14,Machine_List!$B:$G,6,0),""))</f>
        <v>General Workman</v>
      </c>
      <c r="G14" s="53">
        <f>IF($E14="","",IFERROR(VLOOKUP($E14,Machine_List!$B:$C,2,0),""))</f>
        <v>46160</v>
      </c>
      <c r="H14" s="10">
        <f>IF($E14="","",IFERROR(VLOOKUP($E14,Machine_List!$B:$D,3,0),""))</f>
        <v>6</v>
      </c>
      <c r="I14" s="54"/>
      <c r="J14" s="55">
        <f ca="1">IF($A14="","",IF($I14&lt;&gt;"",$I14,MAX(MAX(SPM_Plan!$M14,CARVING_Plan!$M14),IFERROR(LOOKUP(2,1/($E$3:INDIRECT("E"&amp;(ROW()-1))=$E14),$M$3:INDIRECT("M"&amp;(ROW()-1))),MAX(SPM_Plan!$M14,CARVING_Plan!$M14)))))</f>
        <v>46125.791666666664</v>
      </c>
      <c r="K14" s="10">
        <f>IF($A14="","",IFERROR(VLOOKUP(B14,CHOOSE(MATCH(C14,Settings!$L$4:$L$10,0),OPR_2P!$A$4:$I$18,SEG_6P!$A$4:$I$18,SOL_4P!$A$4:$I$18,RW_2P!$A$4:$I$18,RW2_4P!$A$4:$I$18,FLAP_4P!$A$4:$I$18,TUBE_4P!$A$4:$I$18),4,0),0))</f>
        <v>35</v>
      </c>
      <c r="L14" s="10">
        <f t="shared" si="0"/>
        <v>70</v>
      </c>
      <c r="M14" s="55">
        <f ca="1">IF($A14="","",IF(AND(ISNUMBER(G14),G14&gt;=J14,G14&lt;=(J14+(L14/(IF(F14="Contract Workman",Settings!$K$5,Settings!$K$4))))),J14+(L14/(IF(F14="Contract Workman",Settings!$K$5,Settings!$K$4)))+(H14/(IF(F14="Contract Workman",Settings!$K$5,Settings!$K$4))),J14+(L14/(IF(F14="Contract Workman",Settings!$K$5,Settings!$K$4)))))</f>
        <v>46129.032407407401</v>
      </c>
      <c r="N14" s="10" t="str">
        <f t="shared" ca="1" si="1"/>
        <v>Shift C</v>
      </c>
      <c r="O14" s="51" t="str">
        <f>IF(B14="","", IF(IFERROR(ISNUMBER(SEARCH(B14, VLOOKUP(E14, Machine_List!$B:$J, 9, 0))), FALSE()), "✅ Machine OK", "❌ Sug: " &amp; IFERROR(INDEX(Machine_List!$B$20:$B$49, MATCH("*"&amp;B14&amp;"*", Machine_List!$J$20:$J$49, 0)), "Check Limits")))</f>
        <v>✅ Machine OK</v>
      </c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2"/>
      <c r="AQ14" s="52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2"/>
      <c r="BD14" s="52"/>
      <c r="BE14" s="52"/>
      <c r="BF14" s="52"/>
      <c r="BG14" s="52"/>
      <c r="BH14" s="52"/>
      <c r="BI14" s="52"/>
      <c r="BJ14" s="52"/>
      <c r="BK14" s="52"/>
      <c r="BL14" s="52"/>
      <c r="BM14" s="52"/>
    </row>
    <row r="15" spans="1:85" ht="28.8" customHeight="1" x14ac:dyDescent="0.3">
      <c r="A15" s="10" t="str">
        <f>IF(Job_Master!A15="","",Job_Master!A15)</f>
        <v>BJ-107</v>
      </c>
      <c r="B15" s="10">
        <f>IF($A15="","",Job_Master!B15)</f>
        <v>20</v>
      </c>
      <c r="C15" s="10" t="str">
        <f>IF($A15="","",Job_Master!C15)</f>
        <v>SEG</v>
      </c>
      <c r="D15" s="10">
        <f>IF($A15="","",Job_Master!D15)</f>
        <v>6</v>
      </c>
      <c r="E15" s="48" t="str">
        <f>IF($A15="","","EDM-MC-02")</f>
        <v>EDM-MC-02</v>
      </c>
      <c r="F15" s="106" t="str">
        <f>IF($E15="","",IFERROR(VLOOKUP($E15,Machine_List!$B:$G,6,0),""))</f>
        <v>General Workman</v>
      </c>
      <c r="G15" s="53">
        <f>IF($E15="","",IFERROR(VLOOKUP($E15,Machine_List!$B:$C,2,0),""))</f>
        <v>46160</v>
      </c>
      <c r="H15" s="10">
        <f>IF($E15="","",IFERROR(VLOOKUP($E15,Machine_List!$B:$D,3,0),""))</f>
        <v>6</v>
      </c>
      <c r="I15" s="54"/>
      <c r="J15" s="55">
        <f ca="1">IF($A15="","",IF($I15&lt;&gt;"",$I15,MAX(MAX(SPM_Plan!$M15,CARVING_Plan!$M15),IFERROR(LOOKUP(2,1/($E$3:INDIRECT("E"&amp;(ROW()-1))=$E15),$M$3:INDIRECT("M"&amp;(ROW()-1))),MAX(SPM_Plan!$M15,CARVING_Plan!$M15)))))</f>
        <v>46135.791666666657</v>
      </c>
      <c r="K15" s="10">
        <f>IF($A15="","",IFERROR(VLOOKUP(B15,CHOOSE(MATCH(C15,Settings!$L$4:$L$10,0),OPR_2P!$A$4:$I$18,SEG_6P!$A$4:$I$18,SOL_4P!$A$4:$I$18,RW_2P!$A$4:$I$18,RW2_4P!$A$4:$I$18,FLAP_4P!$A$4:$I$18,TUBE_4P!$A$4:$I$18),4,0),0))</f>
        <v>17</v>
      </c>
      <c r="L15" s="10">
        <f t="shared" si="0"/>
        <v>102</v>
      </c>
      <c r="M15" s="55">
        <f ca="1">IF($A15="","",IF(AND(ISNUMBER(G15),G15&gt;=J15,G15&lt;=(J15+(L15/(IF(F15="Contract Workman",Settings!$K$5,Settings!$K$4))))),J15+(L15/(IF(F15="Contract Workman",Settings!$K$5,Settings!$K$4)))+(H15/(IF(F15="Contract Workman",Settings!$K$5,Settings!$K$4))),J15+(L15/(IF(F15="Contract Workman",Settings!$K$5,Settings!$K$4)))))</f>
        <v>46140.513888888876</v>
      </c>
      <c r="N15" s="10" t="str">
        <f t="shared" ca="1" si="1"/>
        <v>Shift A</v>
      </c>
      <c r="O15" s="51" t="str">
        <f>IF(B15="","", IF(IFERROR(ISNUMBER(SEARCH(B15, VLOOKUP(E15, Machine_List!$B:$J, 9, 0))), FALSE()), "✅ Machine OK", "❌ Sug: " &amp; IFERROR(INDEX(Machine_List!$B$20:$B$49, MATCH("*"&amp;B15&amp;"*", Machine_List!$J$20:$J$49, 0)), "Check Limits")))</f>
        <v>✅ Machine OK</v>
      </c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2"/>
      <c r="BC15" s="52"/>
      <c r="BD15" s="52"/>
      <c r="BE15" s="52"/>
      <c r="BF15" s="52"/>
      <c r="BG15" s="52"/>
      <c r="BH15" s="52"/>
      <c r="BI15" s="52"/>
      <c r="BJ15" s="52"/>
      <c r="BK15" s="52"/>
      <c r="BL15" s="52"/>
      <c r="BM15" s="52"/>
    </row>
    <row r="16" spans="1:85" ht="28.8" customHeight="1" x14ac:dyDescent="0.3">
      <c r="A16" s="10" t="str">
        <f>IF(Job_Master!A16="","",Job_Master!A16)</f>
        <v>BJ-112</v>
      </c>
      <c r="B16" s="10">
        <f>IF($A16="","",Job_Master!B16)</f>
        <v>17</v>
      </c>
      <c r="C16" s="10" t="str">
        <f>IF($A16="","",Job_Master!C16)</f>
        <v>2P</v>
      </c>
      <c r="D16" s="10">
        <f>IF($A16="","",Job_Master!D16)</f>
        <v>2</v>
      </c>
      <c r="E16" s="48" t="str">
        <f>IF($A16="","","EDM-MC-03")</f>
        <v>EDM-MC-03</v>
      </c>
      <c r="F16" s="106" t="str">
        <f>IF($E16="","",IFERROR(VLOOKUP($E16,Machine_List!$B:$G,6,0),""))</f>
        <v>General Workman</v>
      </c>
      <c r="G16" s="53">
        <f>IF($E16="","",IFERROR(VLOOKUP($E16,Machine_List!$B:$C,2,0),""))</f>
        <v>46057</v>
      </c>
      <c r="H16" s="10">
        <f>IF($E16="","",IFERROR(VLOOKUP($E16,Machine_List!$B:$D,3,0),""))</f>
        <v>6</v>
      </c>
      <c r="I16" s="54"/>
      <c r="J16" s="55">
        <f ca="1">IF($A16="","",IF($I16&lt;&gt;"",$I16,MAX(MAX(SPM_Plan!$M16,CARVING_Plan!$M16),IFERROR(LOOKUP(2,1/($E$3:INDIRECT("E"&amp;(ROW()-1))=$E16),$M$3:INDIRECT("M"&amp;(ROW()-1))),MAX(SPM_Plan!$M16,CARVING_Plan!$M16)))))</f>
        <v>46135.236111111102</v>
      </c>
      <c r="K16" s="10">
        <f>IF($A16="","",IFERROR(VLOOKUP(B16,CHOOSE(MATCH(C16,Settings!$L$4:$L$10,0),OPR_2P!$A$4:$I$18,SEG_6P!$A$4:$I$18,SOL_4P!$A$4:$I$18,RW_2P!$A$4:$I$18,RW2_4P!$A$4:$I$18,FLAP_4P!$A$4:$I$18,TUBE_4P!$A$4:$I$18),4,0),0))</f>
        <v>12</v>
      </c>
      <c r="L16" s="10">
        <f t="shared" si="0"/>
        <v>24</v>
      </c>
      <c r="M16" s="55">
        <f ca="1">IF($A16="","",IF(AND(ISNUMBER(G16),G16&gt;=J16,G16&lt;=(J16+(L16/(IF(F16="Contract Workman",Settings!$K$5,Settings!$K$4))))),J16+(L16/(IF(F16="Contract Workman",Settings!$K$5,Settings!$K$4)))+(H16/(IF(F16="Contract Workman",Settings!$K$5,Settings!$K$4))),J16+(L16/(IF(F16="Contract Workman",Settings!$K$5,Settings!$K$4)))))</f>
        <v>46136.347222222212</v>
      </c>
      <c r="N16" s="10" t="str">
        <f t="shared" ca="1" si="1"/>
        <v>Shift A</v>
      </c>
      <c r="O16" s="51" t="str">
        <f>IF(B16="","", IF(IFERROR(ISNUMBER(SEARCH(B16, VLOOKUP(E16, Machine_List!$B:$J, 9, 0))), FALSE()), "✅ Machine OK", "❌ Sug: " &amp; IFERROR(INDEX(Machine_List!$B$20:$B$49, MATCH("*"&amp;B16&amp;"*", Machine_List!$J$20:$J$49, 0)), "Check Limits")))</f>
        <v>✅ Machine OK</v>
      </c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  <c r="BD16" s="52"/>
      <c r="BE16" s="52"/>
      <c r="BF16" s="52"/>
      <c r="BG16" s="52"/>
      <c r="BH16" s="52"/>
      <c r="BI16" s="52"/>
      <c r="BJ16" s="52"/>
      <c r="BK16" s="52"/>
      <c r="BL16" s="52"/>
      <c r="BM16" s="52"/>
    </row>
    <row r="17" spans="1:65" ht="28.8" customHeight="1" x14ac:dyDescent="0.3">
      <c r="A17" s="10" t="str">
        <f>IF(Job_Master!A17="","",Job_Master!A17)</f>
        <v>BJ-114</v>
      </c>
      <c r="B17" s="10">
        <f>IF($A17="","",Job_Master!B17)</f>
        <v>50</v>
      </c>
      <c r="C17" s="10" t="str">
        <f>IF($A17="","",Job_Master!C17)</f>
        <v>SEG</v>
      </c>
      <c r="D17" s="10">
        <f>IF($A17="","",Job_Master!D17)</f>
        <v>6</v>
      </c>
      <c r="E17" s="48" t="str">
        <f>IF($A17="","","EDM-MC-16")</f>
        <v>EDM-MC-16</v>
      </c>
      <c r="F17" s="106" t="str">
        <f>IF($E17="","",IFERROR(VLOOKUP($E17,Machine_List!$B:$G,6,0),""))</f>
        <v>General Workman</v>
      </c>
      <c r="G17" s="53">
        <f>IF($E17="","",IFERROR(VLOOKUP($E17,Machine_List!$B:$C,2,0),""))</f>
        <v>46105</v>
      </c>
      <c r="H17" s="10">
        <f>IF($E17="","",IFERROR(VLOOKUP($E17,Machine_List!$B:$D,3,0),""))</f>
        <v>6</v>
      </c>
      <c r="I17" s="54"/>
      <c r="J17" s="55">
        <f ca="1">IF($A17="","",IF($I17&lt;&gt;"",$I17,MAX(MAX(SPM_Plan!$M17,CARVING_Plan!$M17),IFERROR(LOOKUP(2,1/($E$3:INDIRECT("E"&amp;(ROW()-1))=$E17),$M$3:INDIRECT("M"&amp;(ROW()-1))),MAX(SPM_Plan!$M17,CARVING_Plan!$M17)))))</f>
        <v>46165.05092592592</v>
      </c>
      <c r="K17" s="10">
        <f>IF($A17="","",IFERROR(VLOOKUP(B17,CHOOSE(MATCH(C17,Settings!$L$4:$L$10,0),OPR_2P!$A$4:$I$18,SEG_6P!$A$4:$I$18,SOL_4P!$A$4:$I$18,RW_2P!$A$4:$I$18,RW2_4P!$A$4:$I$18,FLAP_4P!$A$4:$I$18,TUBE_4P!$A$4:$I$18),4,0),0))</f>
        <v>67</v>
      </c>
      <c r="L17" s="10">
        <f t="shared" si="0"/>
        <v>402</v>
      </c>
      <c r="M17" s="55">
        <f ca="1">IF($A17="","",IF(AND(ISNUMBER(G17),G17&gt;=J17,G17&lt;=(J17+(L17/(IF(F17="Contract Workman",Settings!$K$5,Settings!$K$4))))),J17+(L17/(IF(F17="Contract Workman",Settings!$K$5,Settings!$K$4)))+(H17/(IF(F17="Contract Workman",Settings!$K$5,Settings!$K$4))),J17+(L17/(IF(F17="Contract Workman",Settings!$K$5,Settings!$K$4)))))</f>
        <v>46183.662037037029</v>
      </c>
      <c r="N17" s="10" t="str">
        <f t="shared" ca="1" si="1"/>
        <v>Shift B</v>
      </c>
      <c r="O17" s="51" t="str">
        <f>IF(B17="","", IF(IFERROR(ISNUMBER(SEARCH(B17, VLOOKUP(E17, Machine_List!$B:$J, 9, 0))), FALSE()), "✅ Machine OK", "❌ Sug: " &amp; IFERROR(INDEX(Machine_List!$B$20:$B$49, MATCH("*"&amp;B17&amp;"*", Machine_List!$J$20:$J$49, 0)), "Check Limits")))</f>
        <v>✅ Machine OK</v>
      </c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2"/>
      <c r="BF17" s="52"/>
      <c r="BG17" s="52"/>
      <c r="BH17" s="52"/>
      <c r="BI17" s="52"/>
      <c r="BJ17" s="52"/>
      <c r="BK17" s="52"/>
      <c r="BL17" s="52"/>
      <c r="BM17" s="52"/>
    </row>
    <row r="18" spans="1:65" ht="28.8" customHeight="1" x14ac:dyDescent="0.3">
      <c r="A18" s="10" t="str">
        <f>IF(Job_Master!A18="","",Job_Master!A18)</f>
        <v>BJ-115</v>
      </c>
      <c r="B18" s="10">
        <f>IF($A18="","",Job_Master!B18)</f>
        <v>46</v>
      </c>
      <c r="C18" s="10" t="str">
        <f>IF($A18="","",Job_Master!C18)</f>
        <v>2P</v>
      </c>
      <c r="D18" s="10">
        <f>IF($A18="","",Job_Master!D18)</f>
        <v>2</v>
      </c>
      <c r="E18" s="48" t="str">
        <f>IF($A18="","","EDM-MC-11")</f>
        <v>EDM-MC-11</v>
      </c>
      <c r="F18" s="106" t="str">
        <f>IF($E18="","",IFERROR(VLOOKUP($E18,Machine_List!$B:$G,6,0),""))</f>
        <v>General Workman</v>
      </c>
      <c r="G18" s="53">
        <f>IF($E18="","",IFERROR(VLOOKUP($E18,Machine_List!$B:$C,2,0),""))</f>
        <v>46098</v>
      </c>
      <c r="H18" s="10">
        <f>IF($E18="","",IFERROR(VLOOKUP($E18,Machine_List!$B:$D,3,0),""))</f>
        <v>6</v>
      </c>
      <c r="I18" s="54"/>
      <c r="J18" s="55">
        <f ca="1">IF($A18="","",IF($I18&lt;&gt;"",$I18,MAX(MAX(SPM_Plan!$M18,CARVING_Plan!$M18),IFERROR(LOOKUP(2,1/($E$3:INDIRECT("E"&amp;(ROW()-1))=$E18),$M$3:INDIRECT("M"&amp;(ROW()-1))),MAX(SPM_Plan!$M18,CARVING_Plan!$M18)))))</f>
        <v>46133.569444444445</v>
      </c>
      <c r="K18" s="10">
        <f>IF($A18="","",IFERROR(VLOOKUP(B18,CHOOSE(MATCH(C18,Settings!$L$4:$L$10,0),OPR_2P!$A$4:$I$18,SEG_6P!$A$4:$I$18,SOL_4P!$A$4:$I$18,RW_2P!$A$4:$I$18,RW2_4P!$A$4:$I$18,FLAP_4P!$A$4:$I$18,TUBE_4P!$A$4:$I$18),4,0),0))</f>
        <v>72</v>
      </c>
      <c r="L18" s="10">
        <f t="shared" si="0"/>
        <v>144</v>
      </c>
      <c r="M18" s="55">
        <f ca="1">IF($A18="","",IF(AND(ISNUMBER(G18),G18&gt;=J18,G18&lt;=(J18+(L18/(IF(F18="Contract Workman",Settings!$K$5,Settings!$K$4))))),J18+(L18/(IF(F18="Contract Workman",Settings!$K$5,Settings!$K$4)))+(H18/(IF(F18="Contract Workman",Settings!$K$5,Settings!$K$4))),J18+(L18/(IF(F18="Contract Workman",Settings!$K$5,Settings!$K$4)))))</f>
        <v>46140.236111111109</v>
      </c>
      <c r="N18" s="10" t="str">
        <f t="shared" ca="1" si="1"/>
        <v>Shift C</v>
      </c>
      <c r="O18" s="51" t="str">
        <f>IF(B18="","", IF(IFERROR(ISNUMBER(SEARCH(B18, VLOOKUP(E18, Machine_List!$B:$J, 9, 0))), FALSE()), "✅ Machine OK", "❌ Sug: " &amp; IFERROR(INDEX(Machine_List!$B$20:$B$49, MATCH("*"&amp;B18&amp;"*", Machine_List!$J$20:$J$49, 0)), "Check Limits")))</f>
        <v>✅ Machine OK</v>
      </c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52"/>
      <c r="BE18" s="52"/>
      <c r="BF18" s="52"/>
      <c r="BG18" s="52"/>
      <c r="BH18" s="52"/>
      <c r="BI18" s="52"/>
      <c r="BJ18" s="52"/>
      <c r="BK18" s="52"/>
      <c r="BL18" s="52"/>
      <c r="BM18" s="52"/>
    </row>
    <row r="19" spans="1:65" ht="28.8" customHeight="1" x14ac:dyDescent="0.3">
      <c r="A19" s="10" t="str">
        <f>IF(Job_Master!A19="","",Job_Master!A19)</f>
        <v>BJ-116</v>
      </c>
      <c r="B19" s="10">
        <f>IF($A19="","",Job_Master!B19)</f>
        <v>54</v>
      </c>
      <c r="C19" s="10" t="str">
        <f>IF($A19="","",Job_Master!C19)</f>
        <v>2P</v>
      </c>
      <c r="D19" s="10">
        <f>IF($A19="","",Job_Master!D19)</f>
        <v>2</v>
      </c>
      <c r="E19" s="48" t="str">
        <f>IF($A19="","","EDM-MC-17")</f>
        <v>EDM-MC-17</v>
      </c>
      <c r="F19" s="106" t="str">
        <f>IF($E19="","",IFERROR(VLOOKUP($E19,Machine_List!$B:$G,6,0),""))</f>
        <v>General Workman</v>
      </c>
      <c r="G19" s="53">
        <f>IF($E19="","",IFERROR(VLOOKUP($E19,Machine_List!$B:$C,2,0),""))</f>
        <v>46504</v>
      </c>
      <c r="H19" s="10">
        <f>IF($E19="","",IFERROR(VLOOKUP($E19,Machine_List!$B:$D,3,0),""))</f>
        <v>6</v>
      </c>
      <c r="I19" s="54"/>
      <c r="J19" s="55">
        <f ca="1">IF($A19="","",IF($I19&lt;&gt;"",$I19,MAX(MAX(SPM_Plan!$M19,CARVING_Plan!$M19),IFERROR(LOOKUP(2,1/($E$3:INDIRECT("E"&amp;(ROW()-1))=$E19),$M$3:INDIRECT("M"&amp;(ROW()-1))),MAX(SPM_Plan!$M19,CARVING_Plan!$M19)))))</f>
        <v>46144.495370370365</v>
      </c>
      <c r="K19" s="10">
        <f>IF($A19="","",IFERROR(VLOOKUP(B19,CHOOSE(MATCH(C19,Settings!$L$4:$L$10,0),OPR_2P!$A$4:$I$18,SEG_6P!$A$4:$I$18,SOL_4P!$A$4:$I$18,RW_2P!$A$4:$I$18,RW2_4P!$A$4:$I$18,FLAP_4P!$A$4:$I$18,TUBE_4P!$A$4:$I$18),4,0),0))</f>
        <v>92</v>
      </c>
      <c r="L19" s="10">
        <f t="shared" si="0"/>
        <v>184</v>
      </c>
      <c r="M19" s="55">
        <f ca="1">IF($A19="","",IF(AND(ISNUMBER(G19),G19&gt;=J19,G19&lt;=(J19+(L19/(IF(F19="Contract Workman",Settings!$K$5,Settings!$K$4))))),J19+(L19/(IF(F19="Contract Workman",Settings!$K$5,Settings!$K$4)))+(H19/(IF(F19="Contract Workman",Settings!$K$5,Settings!$K$4))),J19+(L19/(IF(F19="Contract Workman",Settings!$K$5,Settings!$K$4)))))</f>
        <v>46153.013888888883</v>
      </c>
      <c r="N19" s="10" t="str">
        <f t="shared" ca="1" si="1"/>
        <v>Shift C</v>
      </c>
      <c r="O19" s="51" t="str">
        <f>IF(B19="","", IF(IFERROR(ISNUMBER(SEARCH(B19, VLOOKUP(E19, Machine_List!$B:$J, 9, 0))), FALSE()), "✅ Machine OK", "❌ Sug: " &amp; IFERROR(INDEX(Machine_List!$B$20:$B$49, MATCH("*"&amp;B19&amp;"*", Machine_List!$J$20:$J$49, 0)), "Check Limits")))</f>
        <v>✅ Machine OK</v>
      </c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2"/>
      <c r="AQ19" s="52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2"/>
      <c r="BD19" s="52"/>
      <c r="BE19" s="52"/>
      <c r="BF19" s="52"/>
      <c r="BG19" s="52"/>
      <c r="BH19" s="52"/>
      <c r="BI19" s="52"/>
      <c r="BJ19" s="52"/>
      <c r="BK19" s="52"/>
      <c r="BL19" s="52"/>
      <c r="BM19" s="52"/>
    </row>
    <row r="20" spans="1:65" ht="28.8" customHeight="1" x14ac:dyDescent="0.3">
      <c r="A20" s="10" t="str">
        <f>IF(Job_Master!A20="","",Job_Master!A20)</f>
        <v>BJ-118</v>
      </c>
      <c r="B20" s="10">
        <f>IF($A20="","",Job_Master!B20)</f>
        <v>28</v>
      </c>
      <c r="C20" s="10" t="str">
        <f>IF($A20="","",Job_Master!C20)</f>
        <v>SOL</v>
      </c>
      <c r="D20" s="10">
        <f>IF($A20="","",Job_Master!D20)</f>
        <v>4</v>
      </c>
      <c r="E20" s="48" t="str">
        <f>IF($A20="","","EDM-MC-01")</f>
        <v>EDM-MC-01</v>
      </c>
      <c r="F20" s="106" t="str">
        <f>IF($E20="","",IFERROR(VLOOKUP($E20,Machine_List!$B:$G,6,0),""))</f>
        <v>General Workman</v>
      </c>
      <c r="G20" s="53">
        <f>IF($E20="","",IFERROR(VLOOKUP($E20,Machine_List!$B:$C,2,0),""))</f>
        <v>46092</v>
      </c>
      <c r="H20" s="10">
        <f>IF($E20="","",IFERROR(VLOOKUP($E20,Machine_List!$B:$D,3,0),""))</f>
        <v>6</v>
      </c>
      <c r="I20" s="54"/>
      <c r="J20" s="55">
        <f ca="1">IF($A20="","",IF($I20&lt;&gt;"",$I20,MAX(MAX(SPM_Plan!$M20,CARVING_Plan!$M20),IFERROR(LOOKUP(2,1/($E$3:INDIRECT("E"&amp;(ROW()-1))=$E20),$M$3:INDIRECT("M"&amp;(ROW()-1))),MAX(SPM_Plan!$M20,CARVING_Plan!$M20)))))</f>
        <v>46142.458333333321</v>
      </c>
      <c r="K20" s="10">
        <f>IF($A20="","",IFERROR(VLOOKUP(B20,CHOOSE(MATCH(C20,Settings!$L$4:$L$10,0),OPR_2P!$A$4:$I$18,SEG_6P!$A$4:$I$18,SOL_4P!$A$4:$I$18,RW_2P!$A$4:$I$18,RW2_4P!$A$4:$I$18,FLAP_4P!$A$4:$I$18,TUBE_4P!$A$4:$I$18),4,0),0))</f>
        <v>22</v>
      </c>
      <c r="L20" s="10">
        <f t="shared" si="0"/>
        <v>88</v>
      </c>
      <c r="M20" s="55">
        <f ca="1">IF($A20="","",IF(AND(ISNUMBER(G20),G20&gt;=J20,G20&lt;=(J20+(L20/(IF(F20="Contract Workman",Settings!$K$5,Settings!$K$4))))),J20+(L20/(IF(F20="Contract Workman",Settings!$K$5,Settings!$K$4)))+(H20/(IF(F20="Contract Workman",Settings!$K$5,Settings!$K$4))),J20+(L20/(IF(F20="Contract Workman",Settings!$K$5,Settings!$K$4)))))</f>
        <v>46146.532407407394</v>
      </c>
      <c r="N20" s="10" t="str">
        <f t="shared" ca="1" si="1"/>
        <v>Shift A</v>
      </c>
      <c r="O20" s="51" t="str">
        <f>IF(B20="","", IF(IFERROR(ISNUMBER(SEARCH(B20, VLOOKUP(E20, Machine_List!$B:$J, 9, 0))), FALSE()), "✅ Machine OK", "❌ Sug: " &amp; IFERROR(INDEX(Machine_List!$B$20:$B$49, MATCH("*"&amp;B20&amp;"*", Machine_List!$J$20:$J$49, 0)), "Check Limits")))</f>
        <v>✅ Machine OK</v>
      </c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2"/>
      <c r="AQ20" s="52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2"/>
      <c r="BC20" s="52"/>
      <c r="BD20" s="52"/>
      <c r="BE20" s="52"/>
      <c r="BF20" s="52"/>
      <c r="BG20" s="52"/>
      <c r="BH20" s="52"/>
      <c r="BI20" s="52"/>
      <c r="BJ20" s="52"/>
      <c r="BK20" s="52"/>
      <c r="BL20" s="52"/>
      <c r="BM20" s="52"/>
    </row>
    <row r="21" spans="1:65" ht="28.8" customHeight="1" x14ac:dyDescent="0.3">
      <c r="A21" s="10" t="str">
        <f>IF(Job_Master!A21="","",Job_Master!A21)</f>
        <v>BJ-119</v>
      </c>
      <c r="B21" s="10">
        <f>IF($A21="","",Job_Master!B21)</f>
        <v>63</v>
      </c>
      <c r="C21" s="10" t="str">
        <f>IF($A21="","",Job_Master!C21)</f>
        <v>SOL</v>
      </c>
      <c r="D21" s="10">
        <f>IF($A21="","",Job_Master!D21)</f>
        <v>4</v>
      </c>
      <c r="E21" s="48" t="str">
        <f>IF($A21="","","EDM-MC-17")</f>
        <v>EDM-MC-17</v>
      </c>
      <c r="F21" s="106" t="str">
        <f>IF($E21="","",IFERROR(VLOOKUP($E21,Machine_List!$B:$G,6,0),""))</f>
        <v>General Workman</v>
      </c>
      <c r="G21" s="53">
        <f>IF($E21="","",IFERROR(VLOOKUP($E21,Machine_List!$B:$C,2,0),""))</f>
        <v>46504</v>
      </c>
      <c r="H21" s="10">
        <f>IF($E21="","",IFERROR(VLOOKUP($E21,Machine_List!$B:$D,3,0),""))</f>
        <v>6</v>
      </c>
      <c r="I21" s="54"/>
      <c r="J21" s="55">
        <f ca="1">IF($A21="","",IF($I21&lt;&gt;"",$I21,MAX(MAX(SPM_Plan!$M21,CARVING_Plan!$M21),IFERROR(LOOKUP(2,1/($E$3:INDIRECT("E"&amp;(ROW()-1))=$E21),$M$3:INDIRECT("M"&amp;(ROW()-1))),MAX(SPM_Plan!$M21,CARVING_Plan!$M21)))))</f>
        <v>46167.273148148139</v>
      </c>
      <c r="K21" s="10">
        <f>IF($A21="","",IFERROR(VLOOKUP(B21,CHOOSE(MATCH(C21,Settings!$L$4:$L$10,0),OPR_2P!$A$4:$I$18,SEG_6P!$A$4:$I$18,SOL_4P!$A$4:$I$18,RW_2P!$A$4:$I$18,RW2_4P!$A$4:$I$18,FLAP_4P!$A$4:$I$18,TUBE_4P!$A$4:$I$18),4,0),0))</f>
        <v>84</v>
      </c>
      <c r="L21" s="10">
        <f t="shared" si="0"/>
        <v>336</v>
      </c>
      <c r="M21" s="55">
        <f ca="1">IF($A21="","",IF(AND(ISNUMBER(G21),G21&gt;=J21,G21&lt;=(J21+(L21/(IF(F21="Contract Workman",Settings!$K$5,Settings!$K$4))))),J21+(L21/(IF(F21="Contract Workman",Settings!$K$5,Settings!$K$4)))+(H21/(IF(F21="Contract Workman",Settings!$K$5,Settings!$K$4))),J21+(L21/(IF(F21="Contract Workman",Settings!$K$5,Settings!$K$4)))))</f>
        <v>46182.828703703693</v>
      </c>
      <c r="N21" s="10" t="str">
        <f t="shared" ca="1" si="1"/>
        <v>Shift B</v>
      </c>
      <c r="O21" s="51" t="str">
        <f>IF(B21="","", IF(IFERROR(ISNUMBER(SEARCH(B21, VLOOKUP(E21, Machine_List!$B:$J, 9, 0))), FALSE()), "✅ Machine OK", "❌ Sug: " &amp; IFERROR(INDEX(Machine_List!$B$20:$B$49, MATCH("*"&amp;B21&amp;"*", Machine_List!$J$20:$J$49, 0)), "Check Limits")))</f>
        <v>✅ Machine OK</v>
      </c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2"/>
      <c r="AQ21" s="52"/>
      <c r="AR21" s="52"/>
      <c r="AS21" s="52"/>
      <c r="AT21" s="52"/>
      <c r="AU21" s="52"/>
      <c r="AV21" s="52"/>
      <c r="AW21" s="52"/>
      <c r="AX21" s="52"/>
      <c r="AY21" s="52"/>
      <c r="AZ21" s="52"/>
      <c r="BA21" s="52"/>
      <c r="BB21" s="52"/>
      <c r="BC21" s="52"/>
      <c r="BD21" s="52"/>
      <c r="BE21" s="52"/>
      <c r="BF21" s="52"/>
      <c r="BG21" s="52"/>
      <c r="BH21" s="52"/>
      <c r="BI21" s="52"/>
      <c r="BJ21" s="52"/>
      <c r="BK21" s="52"/>
      <c r="BL21" s="52"/>
      <c r="BM21" s="52"/>
    </row>
    <row r="22" spans="1:65" ht="28.8" customHeight="1" x14ac:dyDescent="0.3">
      <c r="A22" s="10" t="str">
        <f>IF(Job_Master!A22="","",Job_Master!A22)</f>
        <v>BJ-120</v>
      </c>
      <c r="B22" s="10">
        <f>IF($A22="","",Job_Master!B22)</f>
        <v>46</v>
      </c>
      <c r="C22" s="10" t="str">
        <f>IF($A22="","",Job_Master!C22)</f>
        <v>2P</v>
      </c>
      <c r="D22" s="10">
        <f>IF($A22="","",Job_Master!D22)</f>
        <v>2</v>
      </c>
      <c r="E22" s="48" t="str">
        <f>IF($A22="","","EDM-MC-09")</f>
        <v>EDM-MC-09</v>
      </c>
      <c r="F22" s="106" t="str">
        <f>IF($E22="","",IFERROR(VLOOKUP($E22,Machine_List!$B:$G,6,0),""))</f>
        <v>General Workman</v>
      </c>
      <c r="G22" s="53">
        <f>IF($E22="","",IFERROR(VLOOKUP($E22,Machine_List!$B:$C,2,0),""))</f>
        <v>46237</v>
      </c>
      <c r="H22" s="10">
        <f>IF($E22="","",IFERROR(VLOOKUP($E22,Machine_List!$B:$D,3,0),""))</f>
        <v>6</v>
      </c>
      <c r="I22" s="54"/>
      <c r="J22" s="55">
        <f ca="1">IF($A22="","",IF($I22&lt;&gt;"",$I22,MAX(MAX(SPM_Plan!$M22,CARVING_Plan!$M22),IFERROR(LOOKUP(2,1/($E$3:INDIRECT("E"&amp;(ROW()-1))=$E22),$M$3:INDIRECT("M"&amp;(ROW()-1))),MAX(SPM_Plan!$M22,CARVING_Plan!$M22)))))</f>
        <v>46143.013888888891</v>
      </c>
      <c r="K22" s="10">
        <f>IF($A22="","",IFERROR(VLOOKUP(B22,CHOOSE(MATCH(C22,Settings!$L$4:$L$10,0),OPR_2P!$A$4:$I$18,SEG_6P!$A$4:$I$18,SOL_4P!$A$4:$I$18,RW_2P!$A$4:$I$18,RW2_4P!$A$4:$I$18,FLAP_4P!$A$4:$I$18,TUBE_4P!$A$4:$I$18),4,0),0))</f>
        <v>72</v>
      </c>
      <c r="L22" s="10">
        <f t="shared" si="0"/>
        <v>144</v>
      </c>
      <c r="M22" s="55">
        <f ca="1">IF($A22="","",IF(AND(ISNUMBER(G22),G22&gt;=J22,G22&lt;=(J22+(L22/(IF(F22="Contract Workman",Settings!$K$5,Settings!$K$4))))),J22+(L22/(IF(F22="Contract Workman",Settings!$K$5,Settings!$K$4)))+(H22/(IF(F22="Contract Workman",Settings!$K$5,Settings!$K$4))),J22+(L22/(IF(F22="Contract Workman",Settings!$K$5,Settings!$K$4)))))</f>
        <v>46149.680555555555</v>
      </c>
      <c r="N22" s="10" t="str">
        <f t="shared" ca="1" si="1"/>
        <v>Shift B</v>
      </c>
      <c r="O22" s="51" t="str">
        <f>IF(B22="","", IF(IFERROR(ISNUMBER(SEARCH(B22, VLOOKUP(E22, Machine_List!$B:$J, 9, 0))), FALSE()), "✅ Machine OK", "❌ Sug: " &amp; IFERROR(INDEX(Machine_List!$B$20:$B$49, MATCH("*"&amp;B22&amp;"*", Machine_List!$J$20:$J$49, 0)), "Check Limits")))</f>
        <v>✅ Machine OK</v>
      </c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2"/>
      <c r="AP22" s="52"/>
      <c r="AQ22" s="52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52"/>
      <c r="BC22" s="52"/>
      <c r="BD22" s="52"/>
      <c r="BE22" s="52"/>
      <c r="BF22" s="52"/>
      <c r="BG22" s="52"/>
      <c r="BH22" s="52"/>
      <c r="BI22" s="52"/>
      <c r="BJ22" s="52"/>
      <c r="BK22" s="52"/>
      <c r="BL22" s="52"/>
      <c r="BM22" s="52"/>
    </row>
    <row r="23" spans="1:65" ht="28.8" customHeight="1" x14ac:dyDescent="0.3">
      <c r="A23" s="10" t="str">
        <f>IF(Job_Master!A23="","",Job_Master!A23)</f>
        <v>BJ-113</v>
      </c>
      <c r="B23" s="10">
        <f>IF($A23="","",Job_Master!B23)</f>
        <v>9</v>
      </c>
      <c r="C23" s="10" t="str">
        <f>IF($A23="","",Job_Master!C23)</f>
        <v>SEG</v>
      </c>
      <c r="D23" s="10">
        <f>IF($A23="","",Job_Master!D23)</f>
        <v>6</v>
      </c>
      <c r="E23" s="48" t="str">
        <f>IF($A23="","","EDM-MC-03")</f>
        <v>EDM-MC-03</v>
      </c>
      <c r="F23" s="106" t="str">
        <f>IF($E23="","",IFERROR(VLOOKUP($E23,Machine_List!$B:$G,6,0),""))</f>
        <v>General Workman</v>
      </c>
      <c r="G23" s="53">
        <f>IF($E23="","",IFERROR(VLOOKUP($E23,Machine_List!$B:$C,2,0),""))</f>
        <v>46057</v>
      </c>
      <c r="H23" s="10">
        <f>IF($E23="","",IFERROR(VLOOKUP($E23,Machine_List!$B:$D,3,0),""))</f>
        <v>6</v>
      </c>
      <c r="I23" s="54"/>
      <c r="J23" s="55">
        <f ca="1">IF($A23="","",IF($I23&lt;&gt;"",$I23,MAX(MAX(SPM_Plan!$M23,CARVING_Plan!$M23),IFERROR(LOOKUP(2,1/($E$3:INDIRECT("E"&amp;(ROW()-1))=$E23),$M$3:INDIRECT("M"&amp;(ROW()-1))),MAX(SPM_Plan!$M23,CARVING_Plan!$M23)))))</f>
        <v>46136.347222222212</v>
      </c>
      <c r="K23" s="10">
        <f>IF($A23="","",IFERROR(VLOOKUP(B23,CHOOSE(MATCH(C23,Settings!$L$4:$L$10,0),OPR_2P!$A$4:$I$18,SEG_6P!$A$4:$I$18,SOL_4P!$A$4:$I$18,RW_2P!$A$4:$I$18,RW2_4P!$A$4:$I$18,FLAP_4P!$A$4:$I$18,TUBE_4P!$A$4:$I$18),4,0),0))</f>
        <v>7</v>
      </c>
      <c r="L23" s="10">
        <f t="shared" si="0"/>
        <v>42</v>
      </c>
      <c r="M23" s="55">
        <f ca="1">IF($A23="","",IF(AND(ISNUMBER(G23),G23&gt;=J23,G23&lt;=(J23+(L23/(IF(F23="Contract Workman",Settings!$K$5,Settings!$K$4))))),J23+(L23/(IF(F23="Contract Workman",Settings!$K$5,Settings!$K$4)))+(H23/(IF(F23="Contract Workman",Settings!$K$5,Settings!$K$4))),J23+(L23/(IF(F23="Contract Workman",Settings!$K$5,Settings!$K$4)))))</f>
        <v>46138.291666666657</v>
      </c>
      <c r="N23" s="10" t="str">
        <f t="shared" ca="1" si="1"/>
        <v>Shift C</v>
      </c>
      <c r="O23" s="51" t="str">
        <f>IF(B23="","", IF(IFERROR(ISNUMBER(SEARCH(B23, VLOOKUP(E23, Machine_List!$B:$J, 9, 0))), FALSE()), "✅ Machine OK", "❌ Sug: " &amp; IFERROR(INDEX(Machine_List!$B$20:$B$49, MATCH("*"&amp;B23&amp;"*", Machine_List!$J$20:$J$49, 0)), "Check Limits")))</f>
        <v>✅ Machine OK</v>
      </c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2"/>
      <c r="AQ23" s="52"/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 s="52"/>
      <c r="BC23" s="52"/>
      <c r="BD23" s="52"/>
      <c r="BE23" s="52"/>
      <c r="BF23" s="52"/>
      <c r="BG23" s="52"/>
      <c r="BH23" s="52"/>
      <c r="BI23" s="52"/>
      <c r="BJ23" s="52"/>
      <c r="BK23" s="52"/>
      <c r="BL23" s="52"/>
      <c r="BM23" s="52"/>
    </row>
    <row r="24" spans="1:65" ht="28.8" customHeight="1" x14ac:dyDescent="0.3">
      <c r="A24" s="10" t="str">
        <f>IF(Job_Master!A24="","",Job_Master!A24)</f>
        <v>BJ-121</v>
      </c>
      <c r="B24" s="10">
        <f>IF($A24="","",Job_Master!B24)</f>
        <v>57</v>
      </c>
      <c r="C24" s="10" t="str">
        <f>IF($A24="","",Job_Master!C24)</f>
        <v>RW</v>
      </c>
      <c r="D24" s="10">
        <f>IF($A24="","",Job_Master!D24)</f>
        <v>2</v>
      </c>
      <c r="E24" s="48" t="str">
        <f>IF($A24="","","EDM-MC-18")</f>
        <v>EDM-MC-18</v>
      </c>
      <c r="F24" s="106" t="str">
        <f>IF($E24="","",IFERROR(VLOOKUP($E24,Machine_List!$B:$G,6,0),""))</f>
        <v>General Workman</v>
      </c>
      <c r="G24" s="53">
        <f>IF($E24="","",IFERROR(VLOOKUP($E24,Machine_List!$B:$C,2,0),""))</f>
        <v>46225</v>
      </c>
      <c r="H24" s="10">
        <f>IF($E24="","",IFERROR(VLOOKUP($E24,Machine_List!$B:$D,3,0),""))</f>
        <v>6</v>
      </c>
      <c r="I24" s="54"/>
      <c r="J24" s="55">
        <f ca="1">IF($A24="","",IF($I24&lt;&gt;"",$I24,MAX(MAX(SPM_Plan!$M24,CARVING_Plan!$M24),IFERROR(LOOKUP(2,1/($E$3:INDIRECT("E"&amp;(ROW()-1))=$E24),$M$3:INDIRECT("M"&amp;(ROW()-1))),MAX(SPM_Plan!$M24,CARVING_Plan!$M24)))))</f>
        <v>46152.458333333321</v>
      </c>
      <c r="K24" s="10">
        <f>IF($A24="","",IFERROR(VLOOKUP(B24,CHOOSE(MATCH(C24,Settings!$L$4:$L$10,0),OPR_2P!$A$4:$I$18,SEG_6P!$A$4:$I$18,SOL_4P!$A$4:$I$18,RW_2P!$A$4:$I$18,RW2_4P!$A$4:$I$18,FLAP_4P!$A$4:$I$18,TUBE_4P!$A$4:$I$18),4,0),0))</f>
        <v>63</v>
      </c>
      <c r="L24" s="10">
        <f t="shared" si="0"/>
        <v>126</v>
      </c>
      <c r="M24" s="55">
        <f ca="1">IF($A24="","",IF(AND(ISNUMBER(G24),G24&gt;=J24,G24&lt;=(J24+(L24/(IF(F24="Contract Workman",Settings!$K$5,Settings!$K$4))))),J24+(L24/(IF(F24="Contract Workman",Settings!$K$5,Settings!$K$4)))+(H24/(IF(F24="Contract Workman",Settings!$K$5,Settings!$K$4))),J24+(L24/(IF(F24="Contract Workman",Settings!$K$5,Settings!$K$4)))))</f>
        <v>46158.291666666657</v>
      </c>
      <c r="N24" s="10" t="str">
        <f t="shared" ca="1" si="1"/>
        <v>Shift C</v>
      </c>
      <c r="O24" s="51" t="str">
        <f>IF(B24="","", IF(IFERROR(ISNUMBER(SEARCH(B24, VLOOKUP(E24, Machine_List!$B:$J, 9, 0))), FALSE()), "✅ Machine OK", "❌ Sug: " &amp; IFERROR(INDEX(Machine_List!$B$20:$B$49, MATCH("*"&amp;B24&amp;"*", Machine_List!$J$20:$J$49, 0)), "Check Limits")))</f>
        <v>✅ Machine OK</v>
      </c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2"/>
      <c r="AP24" s="52"/>
      <c r="AQ24" s="52"/>
      <c r="AR24" s="52"/>
      <c r="AS24" s="52"/>
      <c r="AT24" s="52"/>
      <c r="AU24" s="52"/>
      <c r="AV24" s="52"/>
      <c r="AW24" s="52"/>
      <c r="AX24" s="52"/>
      <c r="AY24" s="52"/>
      <c r="AZ24" s="52"/>
      <c r="BA24" s="52"/>
      <c r="BB24" s="52"/>
      <c r="BC24" s="52"/>
      <c r="BD24" s="52"/>
      <c r="BE24" s="52"/>
      <c r="BF24" s="52"/>
      <c r="BG24" s="52"/>
      <c r="BH24" s="52"/>
      <c r="BI24" s="52"/>
      <c r="BJ24" s="52"/>
      <c r="BK24" s="52"/>
      <c r="BL24" s="52"/>
      <c r="BM24" s="52"/>
    </row>
    <row r="25" spans="1:65" ht="28.8" customHeight="1" x14ac:dyDescent="0.3">
      <c r="A25" s="10" t="str">
        <f>IF(Job_Master!A25="","",Job_Master!A25)</f>
        <v>BJ-123</v>
      </c>
      <c r="B25" s="10">
        <f>IF($A25="","",Job_Master!B25)</f>
        <v>46</v>
      </c>
      <c r="C25" s="10" t="str">
        <f>IF($A25="","",Job_Master!C25)</f>
        <v>RW</v>
      </c>
      <c r="D25" s="10">
        <f>IF($A25="","",Job_Master!D25)</f>
        <v>2</v>
      </c>
      <c r="E25" s="48" t="str">
        <f>IF($A25="","","EDM-MC-10")</f>
        <v>EDM-MC-10</v>
      </c>
      <c r="F25" s="106" t="str">
        <f>IF($E25="","",IFERROR(VLOOKUP($E25,Machine_List!$B:$G,6,0),""))</f>
        <v>General Workman</v>
      </c>
      <c r="G25" s="53">
        <f>IF($E25="","",IFERROR(VLOOKUP($E25,Machine_List!$B:$C,2,0),""))</f>
        <v>46503</v>
      </c>
      <c r="H25" s="10">
        <f>IF($E25="","",IFERROR(VLOOKUP($E25,Machine_List!$B:$D,3,0),""))</f>
        <v>6</v>
      </c>
      <c r="I25" s="54"/>
      <c r="J25" s="55">
        <f ca="1">IF($A25="","",IF($I25&lt;&gt;"",$I25,MAX(MAX(SPM_Plan!$M25,CARVING_Plan!$M25),IFERROR(LOOKUP(2,1/($E$3:INDIRECT("E"&amp;(ROW()-1))=$E25),$M$3:INDIRECT("M"&amp;(ROW()-1))),MAX(SPM_Plan!$M25,CARVING_Plan!$M25)))))</f>
        <v>46149.680555555547</v>
      </c>
      <c r="K25" s="10">
        <f>IF($A25="","",IFERROR(VLOOKUP(B25,CHOOSE(MATCH(C25,Settings!$L$4:$L$10,0),OPR_2P!$A$4:$I$18,SEG_6P!$A$4:$I$18,SOL_4P!$A$4:$I$18,RW_2P!$A$4:$I$18,RW2_4P!$A$4:$I$18,FLAP_4P!$A$4:$I$18,TUBE_4P!$A$4:$I$18),4,0),0))</f>
        <v>62</v>
      </c>
      <c r="L25" s="10">
        <f t="shared" si="0"/>
        <v>124</v>
      </c>
      <c r="M25" s="55">
        <f ca="1">IF($A25="","",IF(AND(ISNUMBER(G25),G25&gt;=J25,G25&lt;=(J25+(L25/(IF(F25="Contract Workman",Settings!$K$5,Settings!$K$4))))),J25+(L25/(IF(F25="Contract Workman",Settings!$K$5,Settings!$K$4)))+(H25/(IF(F25="Contract Workman",Settings!$K$5,Settings!$K$4))),J25+(L25/(IF(F25="Contract Workman",Settings!$K$5,Settings!$K$4)))))</f>
        <v>46155.421296296285</v>
      </c>
      <c r="N25" s="10" t="str">
        <f t="shared" ca="1" si="1"/>
        <v>Shift A</v>
      </c>
      <c r="O25" s="51" t="str">
        <f>IF(B25="","", IF(IFERROR(ISNUMBER(SEARCH(B25, VLOOKUP(E25, Machine_List!$B:$J, 9, 0))), FALSE()), "✅ Machine OK", "❌ Sug: " &amp; IFERROR(INDEX(Machine_List!$B$20:$B$49, MATCH("*"&amp;B25&amp;"*", Machine_List!$J$20:$J$49, 0)), "Check Limits")))</f>
        <v>✅ Machine OK</v>
      </c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52"/>
      <c r="BC25" s="52"/>
      <c r="BD25" s="52"/>
      <c r="BE25" s="52"/>
      <c r="BF25" s="52"/>
      <c r="BG25" s="52"/>
      <c r="BH25" s="52"/>
      <c r="BI25" s="52"/>
      <c r="BJ25" s="52"/>
      <c r="BK25" s="52"/>
      <c r="BL25" s="52"/>
      <c r="BM25" s="52"/>
    </row>
    <row r="26" spans="1:65" ht="28.8" customHeight="1" x14ac:dyDescent="0.3">
      <c r="A26" s="10" t="str">
        <f>IF(Job_Master!A26="","",Job_Master!A26)</f>
        <v>BJ-117</v>
      </c>
      <c r="B26" s="10">
        <f>IF($A26="","",Job_Master!B26)</f>
        <v>15</v>
      </c>
      <c r="C26" s="10" t="str">
        <f>IF($A26="","",Job_Master!C26)</f>
        <v>RW</v>
      </c>
      <c r="D26" s="10">
        <f>IF($A26="","",Job_Master!D26)</f>
        <v>2</v>
      </c>
      <c r="E26" s="48" t="str">
        <f>IF($A26="","","EDM-MC-04")</f>
        <v>EDM-MC-04</v>
      </c>
      <c r="F26" s="106" t="str">
        <f>IF($E26="","",IFERROR(VLOOKUP($E26,Machine_List!$B:$G,6,0),""))</f>
        <v>General Workman</v>
      </c>
      <c r="G26" s="53">
        <f>IF($E26="","",IFERROR(VLOOKUP($E26,Machine_List!$B:$C,2,0),""))</f>
        <v>46111</v>
      </c>
      <c r="H26" s="10">
        <f>IF($E26="","",IFERROR(VLOOKUP($E26,Machine_List!$B:$D,3,0),""))</f>
        <v>6</v>
      </c>
      <c r="I26" s="54"/>
      <c r="J26" s="55">
        <f ca="1">IF($A26="","",IF($I26&lt;&gt;"",$I26,MAX(MAX(SPM_Plan!$M26,CARVING_Plan!$M26),IFERROR(LOOKUP(2,1/($E$3:INDIRECT("E"&amp;(ROW()-1))=$E26),$M$3:INDIRECT("M"&amp;(ROW()-1))),MAX(SPM_Plan!$M26,CARVING_Plan!$M26)))))</f>
        <v>46136.25462962962</v>
      </c>
      <c r="K26" s="10">
        <f>IF($A26="","",IFERROR(VLOOKUP(B26,CHOOSE(MATCH(C26,Settings!$L$4:$L$10,0),OPR_2P!$A$4:$I$18,SEG_6P!$A$4:$I$18,SOL_4P!$A$4:$I$18,RW_2P!$A$4:$I$18,RW2_4P!$A$4:$I$18,FLAP_4P!$A$4:$I$18,TUBE_4P!$A$4:$I$18),4,0),0))</f>
        <v>14</v>
      </c>
      <c r="L26" s="10">
        <f t="shared" si="0"/>
        <v>28</v>
      </c>
      <c r="M26" s="55">
        <f ca="1">IF($A26="","",IF(AND(ISNUMBER(G26),G26&gt;=J26,G26&lt;=(J26+(L26/(IF(F26="Contract Workman",Settings!$K$5,Settings!$K$4))))),J26+(L26/(IF(F26="Contract Workman",Settings!$K$5,Settings!$K$4)))+(H26/(IF(F26="Contract Workman",Settings!$K$5,Settings!$K$4))),J26+(L26/(IF(F26="Contract Workman",Settings!$K$5,Settings!$K$4)))))</f>
        <v>46137.55092592592</v>
      </c>
      <c r="N26" s="10" t="str">
        <f t="shared" ca="1" si="1"/>
        <v>Shift A</v>
      </c>
      <c r="O26" s="51" t="str">
        <f>IF(B26="","", IF(IFERROR(ISNUMBER(SEARCH(B26, VLOOKUP(E26, Machine_List!$B:$J, 9, 0))), FALSE()), "✅ Machine OK", "❌ Sug: " &amp; IFERROR(INDEX(Machine_List!$B$20:$B$49, MATCH("*"&amp;B26&amp;"*", Machine_List!$J$20:$J$49, 0)), "Check Limits")))</f>
        <v>✅ Machine OK</v>
      </c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2"/>
      <c r="BF26" s="52"/>
      <c r="BG26" s="52"/>
      <c r="BH26" s="52"/>
      <c r="BI26" s="52"/>
      <c r="BJ26" s="52"/>
      <c r="BK26" s="52"/>
      <c r="BL26" s="52"/>
      <c r="BM26" s="52"/>
    </row>
    <row r="27" spans="1:65" ht="28.8" customHeight="1" x14ac:dyDescent="0.3">
      <c r="A27" s="10" t="str">
        <f>IF(Job_Master!A27="","",Job_Master!A27)</f>
        <v>BJ-122</v>
      </c>
      <c r="B27" s="10">
        <f>IF($A27="","",Job_Master!B27)</f>
        <v>54</v>
      </c>
      <c r="C27" s="10" t="str">
        <f>IF($A27="","",Job_Master!C27)</f>
        <v>SOL</v>
      </c>
      <c r="D27" s="10">
        <f>IF($A27="","",Job_Master!D27)</f>
        <v>4</v>
      </c>
      <c r="E27" s="48" t="str">
        <f>IF($A27="","","EDM-MC-16")</f>
        <v>EDM-MC-16</v>
      </c>
      <c r="F27" s="106" t="str">
        <f>IF($E27="","",IFERROR(VLOOKUP($E27,Machine_List!$B:$G,6,0),""))</f>
        <v>General Workman</v>
      </c>
      <c r="G27" s="53">
        <f>IF($E27="","",IFERROR(VLOOKUP($E27,Machine_List!$B:$C,2,0),""))</f>
        <v>46105</v>
      </c>
      <c r="H27" s="10">
        <f>IF($E27="","",IFERROR(VLOOKUP($E27,Machine_List!$B:$D,3,0),""))</f>
        <v>6</v>
      </c>
      <c r="I27" s="54"/>
      <c r="J27" s="55">
        <f ca="1">IF($A27="","",IF($I27&lt;&gt;"",$I27,MAX(MAX(SPM_Plan!$M27,CARVING_Plan!$M27),IFERROR(LOOKUP(2,1/($E$3:INDIRECT("E"&amp;(ROW()-1))=$E27),$M$3:INDIRECT("M"&amp;(ROW()-1))),MAX(SPM_Plan!$M27,CARVING_Plan!$M27)))))</f>
        <v>46183.662037037029</v>
      </c>
      <c r="K27" s="10">
        <f>IF($A27="","",IFERROR(VLOOKUP(B27,CHOOSE(MATCH(C27,Settings!$L$4:$L$10,0),OPR_2P!$A$4:$I$18,SEG_6P!$A$4:$I$18,SOL_4P!$A$4:$I$18,RW_2P!$A$4:$I$18,RW2_4P!$A$4:$I$18,FLAP_4P!$A$4:$I$18,TUBE_4P!$A$4:$I$18),4,0),0))</f>
        <v>80</v>
      </c>
      <c r="L27" s="10">
        <f t="shared" si="0"/>
        <v>320</v>
      </c>
      <c r="M27" s="55">
        <f ca="1">IF($A27="","",IF(AND(ISNUMBER(G27),G27&gt;=J27,G27&lt;=(J27+(L27/(IF(F27="Contract Workman",Settings!$K$5,Settings!$K$4))))),J27+(L27/(IF(F27="Contract Workman",Settings!$K$5,Settings!$K$4)))+(H27/(IF(F27="Contract Workman",Settings!$K$5,Settings!$K$4))),J27+(L27/(IF(F27="Contract Workman",Settings!$K$5,Settings!$K$4)))))</f>
        <v>46198.476851851847</v>
      </c>
      <c r="N27" s="10" t="str">
        <f t="shared" ca="1" si="1"/>
        <v>Shift A</v>
      </c>
      <c r="O27" s="51" t="str">
        <f>IF(B27="","", IF(IFERROR(ISNUMBER(SEARCH(B27, VLOOKUP(E27, Machine_List!$B:$J, 9, 0))), FALSE()), "✅ Machine OK", "❌ Sug: " &amp; IFERROR(INDEX(Machine_List!$B$20:$B$49, MATCH("*"&amp;B27&amp;"*", Machine_List!$J$20:$J$49, 0)), "Check Limits")))</f>
        <v>✅ Machine OK</v>
      </c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2"/>
      <c r="AQ27" s="52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52"/>
      <c r="BC27" s="52"/>
      <c r="BD27" s="52"/>
      <c r="BE27" s="52"/>
      <c r="BF27" s="52"/>
      <c r="BG27" s="52"/>
      <c r="BH27" s="52"/>
      <c r="BI27" s="52"/>
      <c r="BJ27" s="52"/>
      <c r="BK27" s="52"/>
      <c r="BL27" s="52"/>
      <c r="BM27" s="52"/>
    </row>
    <row r="28" spans="1:65" ht="28.8" customHeight="1" x14ac:dyDescent="0.3">
      <c r="A28" s="10" t="str">
        <f>IF(Job_Master!A28="","",Job_Master!A28)</f>
        <v>BJ-124</v>
      </c>
      <c r="B28" s="10">
        <f>IF($A28="","",Job_Master!B28)</f>
        <v>42</v>
      </c>
      <c r="C28" s="10" t="str">
        <f>IF($A28="","",Job_Master!C28)</f>
        <v>2P</v>
      </c>
      <c r="D28" s="10">
        <f>IF($A28="","",Job_Master!D28)</f>
        <v>2</v>
      </c>
      <c r="E28" s="48" t="str">
        <f>IF($A28="","","EDM-MC-09")</f>
        <v>EDM-MC-09</v>
      </c>
      <c r="F28" s="106" t="str">
        <f>IF($E28="","",IFERROR(VLOOKUP($E28,Machine_List!$B:$G,6,0),""))</f>
        <v>General Workman</v>
      </c>
      <c r="G28" s="53">
        <f>IF($E28="","",IFERROR(VLOOKUP($E28,Machine_List!$B:$C,2,0),""))</f>
        <v>46237</v>
      </c>
      <c r="H28" s="10">
        <f>IF($E28="","",IFERROR(VLOOKUP($E28,Machine_List!$B:$D,3,0),""))</f>
        <v>6</v>
      </c>
      <c r="I28" s="54"/>
      <c r="J28" s="55">
        <f ca="1">IF($A28="","",IF($I28&lt;&gt;"",$I28,MAX(MAX(SPM_Plan!$M28,CARVING_Plan!$M28),IFERROR(LOOKUP(2,1/($E$3:INDIRECT("E"&amp;(ROW()-1))=$E28),$M$3:INDIRECT("M"&amp;(ROW()-1))),MAX(SPM_Plan!$M28,CARVING_Plan!$M28)))))</f>
        <v>46150.143518518526</v>
      </c>
      <c r="K28" s="10">
        <f>IF($A28="","",IFERROR(VLOOKUP(B28,CHOOSE(MATCH(C28,Settings!$L$4:$L$10,0),OPR_2P!$A$4:$I$18,SEG_6P!$A$4:$I$18,SOL_4P!$A$4:$I$18,RW_2P!$A$4:$I$18,RW2_4P!$A$4:$I$18,FLAP_4P!$A$4:$I$18,TUBE_4P!$A$4:$I$18),4,0),0))</f>
        <v>61</v>
      </c>
      <c r="L28" s="10">
        <f t="shared" si="0"/>
        <v>122</v>
      </c>
      <c r="M28" s="55">
        <f ca="1">IF($A28="","",IF(AND(ISNUMBER(G28),G28&gt;=J28,G28&lt;=(J28+(L28/(IF(F28="Contract Workman",Settings!$K$5,Settings!$K$4))))),J28+(L28/(IF(F28="Contract Workman",Settings!$K$5,Settings!$K$4)))+(H28/(IF(F28="Contract Workman",Settings!$K$5,Settings!$K$4))),J28+(L28/(IF(F28="Contract Workman",Settings!$K$5,Settings!$K$4)))))</f>
        <v>46155.791666666672</v>
      </c>
      <c r="N28" s="10" t="str">
        <f t="shared" ca="1" si="1"/>
        <v>Shift B</v>
      </c>
      <c r="O28" s="51" t="str">
        <f>IF(B28="","", IF(IFERROR(ISNUMBER(SEARCH(B28, VLOOKUP(E28, Machine_List!$B:$J, 9, 0))), FALSE()), "✅ Machine OK", "❌ Sug: " &amp; IFERROR(INDEX(Machine_List!$B$20:$B$49, MATCH("*"&amp;B28&amp;"*", Machine_List!$J$20:$J$49, 0)), "Check Limits")))</f>
        <v>✅ Machine OK</v>
      </c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2"/>
      <c r="AO28" s="52"/>
      <c r="AP28" s="52"/>
      <c r="AQ28" s="52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52"/>
      <c r="BC28" s="52"/>
      <c r="BD28" s="52"/>
      <c r="BE28" s="52"/>
      <c r="BF28" s="52"/>
      <c r="BG28" s="52"/>
      <c r="BH28" s="52"/>
      <c r="BI28" s="52"/>
      <c r="BJ28" s="52"/>
      <c r="BK28" s="52"/>
      <c r="BL28" s="52"/>
      <c r="BM28" s="52"/>
    </row>
    <row r="29" spans="1:65" ht="28.8" customHeight="1" x14ac:dyDescent="0.3">
      <c r="A29" s="10" t="str">
        <f>IF(Job_Master!A29="","",Job_Master!A29)</f>
        <v>BJ-126</v>
      </c>
      <c r="B29" s="10">
        <f>IF($A29="","",Job_Master!B29)</f>
        <v>42</v>
      </c>
      <c r="C29" s="10" t="str">
        <f>IF($A29="","",Job_Master!C29)</f>
        <v>2P</v>
      </c>
      <c r="D29" s="10">
        <f>IF($A29="","",Job_Master!D29)</f>
        <v>2</v>
      </c>
      <c r="E29" s="48" t="str">
        <f>IF($A29="","","EDM-MC-10")</f>
        <v>EDM-MC-10</v>
      </c>
      <c r="F29" s="106" t="str">
        <f>IF($E29="","",IFERROR(VLOOKUP($E29,Machine_List!$B:$G,6,0),""))</f>
        <v>General Workman</v>
      </c>
      <c r="G29" s="53">
        <f>IF($E29="","",IFERROR(VLOOKUP($E29,Machine_List!$B:$C,2,0),""))</f>
        <v>46503</v>
      </c>
      <c r="H29" s="10">
        <f>IF($E29="","",IFERROR(VLOOKUP($E29,Machine_List!$B:$D,3,0),""))</f>
        <v>6</v>
      </c>
      <c r="I29" s="54"/>
      <c r="J29" s="55">
        <f ca="1">IF($A29="","",IF($I29&lt;&gt;"",$I29,MAX(MAX(SPM_Plan!$M29,CARVING_Plan!$M29),IFERROR(LOOKUP(2,1/($E$3:INDIRECT("E"&amp;(ROW()-1))=$E29),$M$3:INDIRECT("M"&amp;(ROW()-1))),MAX(SPM_Plan!$M29,CARVING_Plan!$M29)))))</f>
        <v>46155.421296296285</v>
      </c>
      <c r="K29" s="10">
        <f>IF($A29="","",IFERROR(VLOOKUP(B29,CHOOSE(MATCH(C29,Settings!$L$4:$L$10,0),OPR_2P!$A$4:$I$18,SEG_6P!$A$4:$I$18,SOL_4P!$A$4:$I$18,RW_2P!$A$4:$I$18,RW2_4P!$A$4:$I$18,FLAP_4P!$A$4:$I$18,TUBE_4P!$A$4:$I$18),4,0),0))</f>
        <v>61</v>
      </c>
      <c r="L29" s="10">
        <f t="shared" si="0"/>
        <v>122</v>
      </c>
      <c r="M29" s="55">
        <f ca="1">IF($A29="","",IF(AND(ISNUMBER(G29),G29&gt;=J29,G29&lt;=(J29+(L29/(IF(F29="Contract Workman",Settings!$K$5,Settings!$K$4))))),J29+(L29/(IF(F29="Contract Workman",Settings!$K$5,Settings!$K$4)))+(H29/(IF(F29="Contract Workman",Settings!$K$5,Settings!$K$4))),J29+(L29/(IF(F29="Contract Workman",Settings!$K$5,Settings!$K$4)))))</f>
        <v>46161.069444444431</v>
      </c>
      <c r="N29" s="10" t="str">
        <f t="shared" ca="1" si="1"/>
        <v>Shift C</v>
      </c>
      <c r="O29" s="51" t="str">
        <f>IF(B29="","", IF(IFERROR(ISNUMBER(SEARCH(B29, VLOOKUP(E29, Machine_List!$B:$J, 9, 0))), FALSE()), "✅ Machine OK", "❌ Sug: " &amp; IFERROR(INDEX(Machine_List!$B$20:$B$49, MATCH("*"&amp;B29&amp;"*", Machine_List!$J$20:$J$49, 0)), "Check Limits")))</f>
        <v>✅ Machine OK</v>
      </c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2"/>
      <c r="AQ29" s="52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52"/>
      <c r="BC29" s="52"/>
      <c r="BD29" s="52"/>
      <c r="BE29" s="52"/>
      <c r="BF29" s="52"/>
      <c r="BG29" s="52"/>
      <c r="BH29" s="52"/>
      <c r="BI29" s="52"/>
      <c r="BJ29" s="52"/>
      <c r="BK29" s="52"/>
      <c r="BL29" s="52"/>
      <c r="BM29" s="52"/>
    </row>
    <row r="30" spans="1:65" ht="28.8" customHeight="1" x14ac:dyDescent="0.3">
      <c r="A30" s="10" t="str">
        <f>IF(Job_Master!A30="","",Job_Master!A30)</f>
        <v>BJ-127</v>
      </c>
      <c r="B30" s="10">
        <f>IF($A30="","",Job_Master!B30)</f>
        <v>15</v>
      </c>
      <c r="C30" s="10" t="str">
        <f>IF($A30="","",Job_Master!C30)</f>
        <v>RW</v>
      </c>
      <c r="D30" s="10">
        <f>IF($A30="","",Job_Master!D30)</f>
        <v>2</v>
      </c>
      <c r="E30" s="48" t="str">
        <f>IF($A30="","","EDM-MC-03")</f>
        <v>EDM-MC-03</v>
      </c>
      <c r="F30" s="106" t="str">
        <f>IF($E30="","",IFERROR(VLOOKUP($E30,Machine_List!$B:$G,6,0),""))</f>
        <v>General Workman</v>
      </c>
      <c r="G30" s="53">
        <f>IF($E30="","",IFERROR(VLOOKUP($E30,Machine_List!$B:$C,2,0),""))</f>
        <v>46057</v>
      </c>
      <c r="H30" s="10">
        <f>IF($E30="","",IFERROR(VLOOKUP($E30,Machine_List!$B:$D,3,0),""))</f>
        <v>6</v>
      </c>
      <c r="I30" s="54"/>
      <c r="J30" s="55">
        <f ca="1">IF($A30="","",IF($I30&lt;&gt;"",$I30,MAX(MAX(SPM_Plan!$M30,CARVING_Plan!$M30),IFERROR(LOOKUP(2,1/($E$3:INDIRECT("E"&amp;(ROW()-1))=$E30),$M$3:INDIRECT("M"&amp;(ROW()-1))),MAX(SPM_Plan!$M30,CARVING_Plan!$M30)))))</f>
        <v>46138.291666666657</v>
      </c>
      <c r="K30" s="10">
        <f>IF($A30="","",IFERROR(VLOOKUP(B30,CHOOSE(MATCH(C30,Settings!$L$4:$L$10,0),OPR_2P!$A$4:$I$18,SEG_6P!$A$4:$I$18,SOL_4P!$A$4:$I$18,RW_2P!$A$4:$I$18,RW2_4P!$A$4:$I$18,FLAP_4P!$A$4:$I$18,TUBE_4P!$A$4:$I$18),4,0),0))</f>
        <v>14</v>
      </c>
      <c r="L30" s="10">
        <f t="shared" si="0"/>
        <v>28</v>
      </c>
      <c r="M30" s="55">
        <f ca="1">IF($A30="","",IF(AND(ISNUMBER(G30),G30&gt;=J30,G30&lt;=(J30+(L30/(IF(F30="Contract Workman",Settings!$K$5,Settings!$K$4))))),J30+(L30/(IF(F30="Contract Workman",Settings!$K$5,Settings!$K$4)))+(H30/(IF(F30="Contract Workman",Settings!$K$5,Settings!$K$4))),J30+(L30/(IF(F30="Contract Workman",Settings!$K$5,Settings!$K$4)))))</f>
        <v>46139.587962962956</v>
      </c>
      <c r="N30" s="10" t="str">
        <f t="shared" ca="1" si="1"/>
        <v>Shift A</v>
      </c>
      <c r="O30" s="51" t="str">
        <f>IF(B30="","", IF(IFERROR(ISNUMBER(SEARCH(B30, VLOOKUP(E30, Machine_List!$B:$J, 9, 0))), FALSE()), "✅ Machine OK", "❌ Sug: " &amp; IFERROR(INDEX(Machine_List!$B$20:$B$49, MATCH("*"&amp;B30&amp;"*", Machine_List!$J$20:$J$49, 0)), "Check Limits")))</f>
        <v>✅ Machine OK</v>
      </c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P30" s="52"/>
      <c r="AQ30" s="52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52"/>
      <c r="BC30" s="52"/>
      <c r="BD30" s="52"/>
      <c r="BE30" s="52"/>
      <c r="BF30" s="52"/>
      <c r="BG30" s="52"/>
      <c r="BH30" s="52"/>
      <c r="BI30" s="52"/>
      <c r="BJ30" s="52"/>
      <c r="BK30" s="52"/>
      <c r="BL30" s="52"/>
      <c r="BM30" s="52"/>
    </row>
    <row r="31" spans="1:65" ht="28.8" customHeight="1" x14ac:dyDescent="0.3">
      <c r="A31" s="10" t="str">
        <f>IF(Job_Master!A31="","",Job_Master!A31)</f>
        <v>BJ-128</v>
      </c>
      <c r="B31" s="10">
        <f>IF($A31="","",Job_Master!B31)</f>
        <v>46</v>
      </c>
      <c r="C31" s="10" t="str">
        <f>IF($A31="","",Job_Master!C31)</f>
        <v>2P</v>
      </c>
      <c r="D31" s="10">
        <f>IF($A31="","",Job_Master!D31)</f>
        <v>2</v>
      </c>
      <c r="E31" s="48" t="str">
        <f>IF($A31="","","EDM-MC-09")</f>
        <v>EDM-MC-09</v>
      </c>
      <c r="F31" s="106" t="str">
        <f>IF($E31="","",IFERROR(VLOOKUP($E31,Machine_List!$B:$G,6,0),""))</f>
        <v>General Workman</v>
      </c>
      <c r="G31" s="53">
        <f>IF($E31="","",IFERROR(VLOOKUP($E31,Machine_List!$B:$C,2,0),""))</f>
        <v>46237</v>
      </c>
      <c r="H31" s="10">
        <f>IF($E31="","",IFERROR(VLOOKUP($E31,Machine_List!$B:$D,3,0),""))</f>
        <v>6</v>
      </c>
      <c r="I31" s="54"/>
      <c r="J31" s="55">
        <f ca="1">IF($A31="","",IF($I31&lt;&gt;"",$I31,MAX(MAX(SPM_Plan!$M31,CARVING_Plan!$M31),IFERROR(LOOKUP(2,1/($E$3:INDIRECT("E"&amp;(ROW()-1))=$E31),$M$3:INDIRECT("M"&amp;(ROW()-1))),MAX(SPM_Plan!$M31,CARVING_Plan!$M31)))))</f>
        <v>46160.050925925934</v>
      </c>
      <c r="K31" s="10">
        <f>IF($A31="","",IFERROR(VLOOKUP(B31,CHOOSE(MATCH(C31,Settings!$L$4:$L$10,0),OPR_2P!$A$4:$I$18,SEG_6P!$A$4:$I$18,SOL_4P!$A$4:$I$18,RW_2P!$A$4:$I$18,RW2_4P!$A$4:$I$18,FLAP_4P!$A$4:$I$18,TUBE_4P!$A$4:$I$18),4,0),0))</f>
        <v>72</v>
      </c>
      <c r="L31" s="10">
        <f t="shared" si="0"/>
        <v>144</v>
      </c>
      <c r="M31" s="55">
        <f ca="1">IF($A31="","",IF(AND(ISNUMBER(G31),G31&gt;=J31,G31&lt;=(J31+(L31/(IF(F31="Contract Workman",Settings!$K$5,Settings!$K$4))))),J31+(L31/(IF(F31="Contract Workman",Settings!$K$5,Settings!$K$4)))+(H31/(IF(F31="Contract Workman",Settings!$K$5,Settings!$K$4))),J31+(L31/(IF(F31="Contract Workman",Settings!$K$5,Settings!$K$4)))))</f>
        <v>46166.717592592599</v>
      </c>
      <c r="N31" s="10" t="str">
        <f t="shared" ca="1" si="1"/>
        <v>Shift B</v>
      </c>
      <c r="O31" s="51" t="str">
        <f>IF(B31="","", IF(IFERROR(ISNUMBER(SEARCH(B31, VLOOKUP(E31, Machine_List!$B:$J, 9, 0))), FALSE()), "✅ Machine OK", "❌ Sug: " &amp; IFERROR(INDEX(Machine_List!$B$20:$B$49, MATCH("*"&amp;B31&amp;"*", Machine_List!$J$20:$J$49, 0)), "Check Limits")))</f>
        <v>✅ Machine OK</v>
      </c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2"/>
      <c r="BC31" s="52"/>
      <c r="BD31" s="52"/>
      <c r="BE31" s="52"/>
      <c r="BF31" s="52"/>
      <c r="BG31" s="52"/>
      <c r="BH31" s="52"/>
      <c r="BI31" s="52"/>
      <c r="BJ31" s="52"/>
      <c r="BK31" s="52"/>
      <c r="BL31" s="52"/>
      <c r="BM31" s="52"/>
    </row>
    <row r="32" spans="1:65" ht="28.8" customHeight="1" x14ac:dyDescent="0.3">
      <c r="A32" s="10" t="str">
        <f>IF(Job_Master!A32="","",Job_Master!A32)</f>
        <v>BJ-125</v>
      </c>
      <c r="B32" s="10">
        <f>IF($A32="","",Job_Master!B32)</f>
        <v>25</v>
      </c>
      <c r="C32" s="10" t="str">
        <f>IF($A32="","",Job_Master!C32)</f>
        <v>SEG</v>
      </c>
      <c r="D32" s="10">
        <f>IF($A32="","",Job_Master!D32)</f>
        <v>6</v>
      </c>
      <c r="E32" s="48" t="str">
        <f>IF($A32="","","EDM-MC-01")</f>
        <v>EDM-MC-01</v>
      </c>
      <c r="F32" s="106" t="str">
        <f>IF($E32="","",IFERROR(VLOOKUP($E32,Machine_List!$B:$G,6,0),""))</f>
        <v>General Workman</v>
      </c>
      <c r="G32" s="53">
        <f>IF($E32="","",IFERROR(VLOOKUP($E32,Machine_List!$B:$C,2,0),""))</f>
        <v>46092</v>
      </c>
      <c r="H32" s="10">
        <f>IF($E32="","",IFERROR(VLOOKUP($E32,Machine_List!$B:$D,3,0),""))</f>
        <v>6</v>
      </c>
      <c r="I32" s="54"/>
      <c r="J32" s="55">
        <f ca="1">IF($A32="","",IF($I32&lt;&gt;"",$I32,MAX(MAX(SPM_Plan!$M32,CARVING_Plan!$M32),IFERROR(LOOKUP(2,1/($E$3:INDIRECT("E"&amp;(ROW()-1))=$E32),$M$3:INDIRECT("M"&amp;(ROW()-1))),MAX(SPM_Plan!$M32,CARVING_Plan!$M32)))))</f>
        <v>46153.199074074073</v>
      </c>
      <c r="K32" s="10">
        <f>IF($A32="","",IFERROR(VLOOKUP(B32,CHOOSE(MATCH(C32,Settings!$L$4:$L$10,0),OPR_2P!$A$4:$I$18,SEG_6P!$A$4:$I$18,SOL_4P!$A$4:$I$18,RW_2P!$A$4:$I$18,RW2_4P!$A$4:$I$18,FLAP_4P!$A$4:$I$18,TUBE_4P!$A$4:$I$18),4,0),0))</f>
        <v>26</v>
      </c>
      <c r="L32" s="10">
        <f t="shared" si="0"/>
        <v>156</v>
      </c>
      <c r="M32" s="55">
        <f ca="1">IF($A32="","",IF(AND(ISNUMBER(G32),G32&gt;=J32,G32&lt;=(J32+(L32/(IF(F32="Contract Workman",Settings!$K$5,Settings!$K$4))))),J32+(L32/(IF(F32="Contract Workman",Settings!$K$5,Settings!$K$4)))+(H32/(IF(F32="Contract Workman",Settings!$K$5,Settings!$K$4))),J32+(L32/(IF(F32="Contract Workman",Settings!$K$5,Settings!$K$4)))))</f>
        <v>46160.421296296292</v>
      </c>
      <c r="N32" s="10" t="str">
        <f t="shared" ca="1" si="1"/>
        <v>Shift A</v>
      </c>
      <c r="O32" s="51" t="str">
        <f>IF(B32="","", IF(IFERROR(ISNUMBER(SEARCH(B32, VLOOKUP(E32, Machine_List!$B:$J, 9, 0))), FALSE()), "✅ Machine OK", "❌ Sug: " &amp; IFERROR(INDEX(Machine_List!$B$20:$B$49, MATCH("*"&amp;B32&amp;"*", Machine_List!$J$20:$J$49, 0)), "Check Limits")))</f>
        <v>✅ Machine OK</v>
      </c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2"/>
      <c r="AO32" s="52"/>
      <c r="AP32" s="52"/>
      <c r="AQ32" s="52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52"/>
      <c r="BC32" s="52"/>
      <c r="BD32" s="52"/>
      <c r="BE32" s="52"/>
      <c r="BF32" s="52"/>
      <c r="BG32" s="52"/>
      <c r="BH32" s="52"/>
      <c r="BI32" s="52"/>
      <c r="BJ32" s="52"/>
      <c r="BK32" s="52"/>
      <c r="BL32" s="52"/>
      <c r="BM32" s="52"/>
    </row>
    <row r="33" spans="1:65" ht="28.8" customHeight="1" x14ac:dyDescent="0.3">
      <c r="A33" s="10" t="str">
        <f>IF(Job_Master!A33="","",Job_Master!A33)</f>
        <v>BJ-129</v>
      </c>
      <c r="B33" s="10">
        <f>IF($A33="","",Job_Master!B33)</f>
        <v>9</v>
      </c>
      <c r="C33" s="10" t="str">
        <f>IF($A33="","",Job_Master!C33)</f>
        <v>RW</v>
      </c>
      <c r="D33" s="10">
        <f>IF($A33="","",Job_Master!D33)</f>
        <v>2</v>
      </c>
      <c r="E33" s="48" t="str">
        <f>IF($A33="","","EDM-MC-02")</f>
        <v>EDM-MC-02</v>
      </c>
      <c r="F33" s="106" t="str">
        <f>IF($E33="","",IFERROR(VLOOKUP($E33,Machine_List!$B:$G,6,0),""))</f>
        <v>General Workman</v>
      </c>
      <c r="G33" s="53">
        <f>IF($E33="","",IFERROR(VLOOKUP($E33,Machine_List!$B:$C,2,0),""))</f>
        <v>46160</v>
      </c>
      <c r="H33" s="10">
        <f>IF($E33="","",IFERROR(VLOOKUP($E33,Machine_List!$B:$D,3,0),""))</f>
        <v>6</v>
      </c>
      <c r="I33" s="54"/>
      <c r="J33" s="55">
        <f ca="1">IF($A33="","",IF($I33&lt;&gt;"",$I33,MAX(MAX(SPM_Plan!$M33,CARVING_Plan!$M33),IFERROR(LOOKUP(2,1/($E$3:INDIRECT("E"&amp;(ROW()-1))=$E33),$M$3:INDIRECT("M"&amp;(ROW()-1))),MAX(SPM_Plan!$M33,CARVING_Plan!$M33)))))</f>
        <v>46146.717592592591</v>
      </c>
      <c r="K33" s="10">
        <f>IF($A33="","",IFERROR(VLOOKUP(B33,CHOOSE(MATCH(C33,Settings!$L$4:$L$10,0),OPR_2P!$A$4:$I$18,SEG_6P!$A$4:$I$18,SOL_4P!$A$4:$I$18,RW_2P!$A$4:$I$18,RW2_4P!$A$4:$I$18,FLAP_4P!$A$4:$I$18,TUBE_4P!$A$4:$I$18),4,0),0))</f>
        <v>2</v>
      </c>
      <c r="L33" s="10">
        <f t="shared" si="0"/>
        <v>4</v>
      </c>
      <c r="M33" s="55">
        <f ca="1">IF($A33="","",IF(AND(ISNUMBER(G33),G33&gt;=J33,G33&lt;=(J33+(L33/(IF(F33="Contract Workman",Settings!$K$5,Settings!$K$4))))),J33+(L33/(IF(F33="Contract Workman",Settings!$K$5,Settings!$K$4)))+(H33/(IF(F33="Contract Workman",Settings!$K$5,Settings!$K$4))),J33+(L33/(IF(F33="Contract Workman",Settings!$K$5,Settings!$K$4)))))</f>
        <v>46146.902777777774</v>
      </c>
      <c r="N33" s="10" t="str">
        <f t="shared" ca="1" si="1"/>
        <v>Shift B</v>
      </c>
      <c r="O33" s="51" t="str">
        <f>IF(B33="","", IF(IFERROR(ISNUMBER(SEARCH(B33, VLOOKUP(E33, Machine_List!$B:$J, 9, 0))), FALSE()), "✅ Machine OK", "❌ Sug: " &amp; IFERROR(INDEX(Machine_List!$B$20:$B$49, MATCH("*"&amp;B33&amp;"*", Machine_List!$J$20:$J$49, 0)), "Check Limits")))</f>
        <v>✅ Machine OK</v>
      </c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2"/>
      <c r="AQ33" s="52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/>
      <c r="BD33" s="52"/>
      <c r="BE33" s="52"/>
      <c r="BF33" s="52"/>
      <c r="BG33" s="52"/>
      <c r="BH33" s="52"/>
      <c r="BI33" s="52"/>
      <c r="BJ33" s="52"/>
      <c r="BK33" s="52"/>
      <c r="BL33" s="52"/>
      <c r="BM33" s="52"/>
    </row>
    <row r="34" spans="1:65" ht="28.8" customHeight="1" x14ac:dyDescent="0.3">
      <c r="A34" s="10" t="str">
        <f>IF(Job_Master!A34="","",Job_Master!A34)</f>
        <v>BJ-130</v>
      </c>
      <c r="B34" s="10">
        <f>IF($A34="","",Job_Master!B34)</f>
        <v>57</v>
      </c>
      <c r="C34" s="10" t="str">
        <f>IF($A34="","",Job_Master!C34)</f>
        <v>RW</v>
      </c>
      <c r="D34" s="10">
        <f>IF($A34="","",Job_Master!D34)</f>
        <v>2</v>
      </c>
      <c r="E34" s="48" t="str">
        <f>IF($A34="","","EDM-MC-18")</f>
        <v>EDM-MC-18</v>
      </c>
      <c r="F34" s="106" t="str">
        <f>IF($E34="","",IFERROR(VLOOKUP($E34,Machine_List!$B:$G,6,0),""))</f>
        <v>General Workman</v>
      </c>
      <c r="G34" s="53">
        <f>IF($E34="","",IFERROR(VLOOKUP($E34,Machine_List!$B:$C,2,0),""))</f>
        <v>46225</v>
      </c>
      <c r="H34" s="10">
        <f>IF($E34="","",IFERROR(VLOOKUP($E34,Machine_List!$B:$D,3,0),""))</f>
        <v>6</v>
      </c>
      <c r="I34" s="54"/>
      <c r="J34" s="55">
        <f ca="1">IF($A34="","",IF($I34&lt;&gt;"",$I34,MAX(MAX(SPM_Plan!$M34,CARVING_Plan!$M34),IFERROR(LOOKUP(2,1/($E$3:INDIRECT("E"&amp;(ROW()-1))=$E34),$M$3:INDIRECT("M"&amp;(ROW()-1))),MAX(SPM_Plan!$M34,CARVING_Plan!$M34)))))</f>
        <v>46162.458333333321</v>
      </c>
      <c r="K34" s="10">
        <f>IF($A34="","",IFERROR(VLOOKUP(B34,CHOOSE(MATCH(C34,Settings!$L$4:$L$10,0),OPR_2P!$A$4:$I$18,SEG_6P!$A$4:$I$18,SOL_4P!$A$4:$I$18,RW_2P!$A$4:$I$18,RW2_4P!$A$4:$I$18,FLAP_4P!$A$4:$I$18,TUBE_4P!$A$4:$I$18),4,0),0))</f>
        <v>63</v>
      </c>
      <c r="L34" s="10">
        <f t="shared" si="0"/>
        <v>126</v>
      </c>
      <c r="M34" s="55">
        <f ca="1">IF($A34="","",IF(AND(ISNUMBER(G34),G34&gt;=J34,G34&lt;=(J34+(L34/(IF(F34="Contract Workman",Settings!$K$5,Settings!$K$4))))),J34+(L34/(IF(F34="Contract Workman",Settings!$K$5,Settings!$K$4)))+(H34/(IF(F34="Contract Workman",Settings!$K$5,Settings!$K$4))),J34+(L34/(IF(F34="Contract Workman",Settings!$K$5,Settings!$K$4)))))</f>
        <v>46168.291666666657</v>
      </c>
      <c r="N34" s="10" t="str">
        <f t="shared" ca="1" si="1"/>
        <v>Shift C</v>
      </c>
      <c r="O34" s="51" t="str">
        <f>IF(B34="","", IF(IFERROR(ISNUMBER(SEARCH(B34, VLOOKUP(E34, Machine_List!$B:$J, 9, 0))), FALSE()), "✅ Machine OK", "❌ Sug: " &amp; IFERROR(INDEX(Machine_List!$B$20:$B$49, MATCH("*"&amp;B34&amp;"*", Machine_List!$J$20:$J$49, 0)), "Check Limits")))</f>
        <v>✅ Machine OK</v>
      </c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2"/>
      <c r="AO34" s="52"/>
      <c r="AP34" s="52"/>
      <c r="AQ34" s="52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52"/>
      <c r="BC34" s="52"/>
      <c r="BD34" s="52"/>
      <c r="BE34" s="52"/>
      <c r="BF34" s="52"/>
      <c r="BG34" s="52"/>
      <c r="BH34" s="52"/>
      <c r="BI34" s="52"/>
      <c r="BJ34" s="52"/>
      <c r="BK34" s="52"/>
      <c r="BL34" s="52"/>
      <c r="BM34" s="52"/>
    </row>
    <row r="35" spans="1:65" ht="28.8" customHeight="1" x14ac:dyDescent="0.3">
      <c r="A35" s="10" t="str">
        <f>IF(Job_Master!A35="","",Job_Master!A35)</f>
        <v>BJ-133</v>
      </c>
      <c r="B35" s="10">
        <f>IF($A35="","",Job_Master!B35)</f>
        <v>25</v>
      </c>
      <c r="C35" s="10" t="str">
        <f>IF($A35="","",Job_Master!C35)</f>
        <v>RW</v>
      </c>
      <c r="D35" s="10">
        <f>IF($A35="","",Job_Master!D35)</f>
        <v>2</v>
      </c>
      <c r="E35" s="48" t="str">
        <f>IF($A35="","","EDM-MC-02")</f>
        <v>EDM-MC-02</v>
      </c>
      <c r="F35" s="106" t="str">
        <f>IF($E35="","",IFERROR(VLOOKUP($E35,Machine_List!$B:$G,6,0),""))</f>
        <v>General Workman</v>
      </c>
      <c r="G35" s="53">
        <f>IF($E35="","",IFERROR(VLOOKUP($E35,Machine_List!$B:$C,2,0),""))</f>
        <v>46160</v>
      </c>
      <c r="H35" s="10">
        <f>IF($E35="","",IFERROR(VLOOKUP($E35,Machine_List!$B:$D,3,0),""))</f>
        <v>6</v>
      </c>
      <c r="I35" s="54"/>
      <c r="J35" s="55">
        <f ca="1">IF($A35="","",IF($I35&lt;&gt;"",$I35,MAX(MAX(SPM_Plan!$M35,CARVING_Plan!$M35),IFERROR(LOOKUP(2,1/($E$3:INDIRECT("E"&amp;(ROW()-1))=$E35),$M$3:INDIRECT("M"&amp;(ROW()-1))),MAX(SPM_Plan!$M35,CARVING_Plan!$M35)))))</f>
        <v>46149.495370370372</v>
      </c>
      <c r="K35" s="10">
        <f>IF($A35="","",IFERROR(VLOOKUP(B35,CHOOSE(MATCH(C35,Settings!$L$4:$L$10,0),OPR_2P!$A$4:$I$18,SEG_6P!$A$4:$I$18,SOL_4P!$A$4:$I$18,RW_2P!$A$4:$I$18,RW2_4P!$A$4:$I$18,FLAP_4P!$A$4:$I$18,TUBE_4P!$A$4:$I$18),4,0),0))</f>
        <v>35</v>
      </c>
      <c r="L35" s="10">
        <f t="shared" si="0"/>
        <v>70</v>
      </c>
      <c r="M35" s="55">
        <f ca="1">IF($A35="","",IF(AND(ISNUMBER(G35),G35&gt;=J35,G35&lt;=(J35+(L35/(IF(F35="Contract Workman",Settings!$K$5,Settings!$K$4))))),J35+(L35/(IF(F35="Contract Workman",Settings!$K$5,Settings!$K$4)))+(H35/(IF(F35="Contract Workman",Settings!$K$5,Settings!$K$4))),J35+(L35/(IF(F35="Contract Workman",Settings!$K$5,Settings!$K$4)))))</f>
        <v>46152.736111111109</v>
      </c>
      <c r="N35" s="10" t="str">
        <f t="shared" ca="1" si="1"/>
        <v>Shift B</v>
      </c>
      <c r="O35" s="51" t="str">
        <f>IF(B35="","", IF(IFERROR(ISNUMBER(SEARCH(B35, VLOOKUP(E35, Machine_List!$B:$J, 9, 0))), FALSE()), "✅ Machine OK", "❌ Sug: " &amp; IFERROR(INDEX(Machine_List!$B$20:$B$49, MATCH("*"&amp;B35&amp;"*", Machine_List!$J$20:$J$49, 0)), "Check Limits")))</f>
        <v>✅ Machine OK</v>
      </c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2"/>
      <c r="BF35" s="52"/>
      <c r="BG35" s="52"/>
      <c r="BH35" s="52"/>
      <c r="BI35" s="52"/>
      <c r="BJ35" s="52"/>
      <c r="BK35" s="52"/>
      <c r="BL35" s="52"/>
      <c r="BM35" s="52"/>
    </row>
    <row r="36" spans="1:65" ht="28.8" customHeight="1" x14ac:dyDescent="0.3">
      <c r="A36" s="10" t="str">
        <f>IF(Job_Master!A36="","",Job_Master!A36)</f>
        <v>BJ-131</v>
      </c>
      <c r="B36" s="10">
        <f>IF($A36="","",Job_Master!B36)</f>
        <v>70</v>
      </c>
      <c r="C36" s="10" t="str">
        <f>IF($A36="","",Job_Master!C36)</f>
        <v>2P</v>
      </c>
      <c r="D36" s="10">
        <f>IF($A36="","",Job_Master!D36)</f>
        <v>2</v>
      </c>
      <c r="E36" s="48" t="str">
        <f>IF($A36="","","EDM-MC-18")</f>
        <v>EDM-MC-18</v>
      </c>
      <c r="F36" s="106" t="str">
        <f>IF($E36="","",IFERROR(VLOOKUP($E36,Machine_List!$B:$G,6,0),""))</f>
        <v>General Workman</v>
      </c>
      <c r="G36" s="53">
        <f>IF($E36="","",IFERROR(VLOOKUP($E36,Machine_List!$B:$C,2,0),""))</f>
        <v>46225</v>
      </c>
      <c r="H36" s="10">
        <f>IF($E36="","",IFERROR(VLOOKUP($E36,Machine_List!$B:$D,3,0),""))</f>
        <v>6</v>
      </c>
      <c r="I36" s="54"/>
      <c r="J36" s="55">
        <f ca="1">IF($A36="","",IF($I36&lt;&gt;"",$I36,MAX(MAX(SPM_Plan!$M36,CARVING_Plan!$M36),IFERROR(LOOKUP(2,1/($E$3:INDIRECT("E"&amp;(ROW()-1))=$E36),$M$3:INDIRECT("M"&amp;(ROW()-1))),MAX(SPM_Plan!$M36,CARVING_Plan!$M36)))))</f>
        <v>46177.921296296285</v>
      </c>
      <c r="K36" s="10">
        <f>IF($A36="","",IFERROR(VLOOKUP(B36,CHOOSE(MATCH(C36,Settings!$L$4:$L$10,0),OPR_2P!$A$4:$I$18,SEG_6P!$A$4:$I$18,SOL_4P!$A$4:$I$18,RW_2P!$A$4:$I$18,RW2_4P!$A$4:$I$18,FLAP_4P!$A$4:$I$18,TUBE_4P!$A$4:$I$18),4,0),0))</f>
        <v>75</v>
      </c>
      <c r="L36" s="10">
        <f t="shared" si="0"/>
        <v>150</v>
      </c>
      <c r="M36" s="55">
        <f ca="1">IF($A36="","",IF(AND(ISNUMBER(G36),G36&gt;=J36,G36&lt;=(J36+(L36/(IF(F36="Contract Workman",Settings!$K$5,Settings!$K$4))))),J36+(L36/(IF(F36="Contract Workman",Settings!$K$5,Settings!$K$4)))+(H36/(IF(F36="Contract Workman",Settings!$K$5,Settings!$K$4))),J36+(L36/(IF(F36="Contract Workman",Settings!$K$5,Settings!$K$4)))))</f>
        <v>46184.86574074073</v>
      </c>
      <c r="N36" s="10" t="str">
        <f t="shared" ref="N36:N67" ca="1" si="2">IF($A36="","",IF(F36="Contract Workman",IF(AND(MOD(M36,1)&gt;=8/24,MOD(M36,1)&lt;20/24),"Shift S1","Shift S2"),IF(AND(MOD(M36,1)&gt;=7/24,MOD(M36,1)&lt;15/24),"Shift A",IF(AND(MOD(M36,1)&gt;=15/24,MOD(M36,1)&lt;23/24),"Shift B","Shift C"))))</f>
        <v>Shift B</v>
      </c>
      <c r="O36" s="51" t="str">
        <f>IF(B36="","", IF(IFERROR(ISNUMBER(SEARCH(B36, VLOOKUP(E36, Machine_List!$B:$J, 9, 0))), FALSE()), "✅ Machine OK", "❌ Sug: " &amp; IFERROR(INDEX(Machine_List!$B$20:$B$49, MATCH("*"&amp;B36&amp;"*", Machine_List!$J$20:$J$49, 0)), "Check Limits")))</f>
        <v>✅ Machine OK</v>
      </c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2"/>
      <c r="AN36" s="52"/>
      <c r="AO36" s="52"/>
      <c r="AP36" s="52"/>
      <c r="AQ36" s="52"/>
      <c r="AR36" s="52"/>
      <c r="AS36" s="52"/>
      <c r="AT36" s="52"/>
      <c r="AU36" s="52"/>
      <c r="AV36" s="52"/>
      <c r="AW36" s="52"/>
      <c r="AX36" s="52"/>
      <c r="AY36" s="52"/>
      <c r="AZ36" s="52"/>
      <c r="BA36" s="52"/>
      <c r="BB36" s="52"/>
      <c r="BC36" s="52"/>
      <c r="BD36" s="52"/>
      <c r="BE36" s="52"/>
      <c r="BF36" s="52"/>
      <c r="BG36" s="52"/>
      <c r="BH36" s="52"/>
      <c r="BI36" s="52"/>
      <c r="BJ36" s="52"/>
      <c r="BK36" s="52"/>
      <c r="BL36" s="52"/>
      <c r="BM36" s="52"/>
    </row>
    <row r="37" spans="1:65" ht="28.8" customHeight="1" x14ac:dyDescent="0.3">
      <c r="A37" s="10" t="str">
        <f>IF(Job_Master!A37="","",Job_Master!A37)</f>
        <v>BJ-134</v>
      </c>
      <c r="B37" s="10">
        <f>IF($A37="","",Job_Master!B37)</f>
        <v>15</v>
      </c>
      <c r="C37" s="10" t="str">
        <f>IF($A37="","",Job_Master!C37)</f>
        <v>RW</v>
      </c>
      <c r="D37" s="10">
        <f>IF($A37="","",Job_Master!D37)</f>
        <v>2</v>
      </c>
      <c r="E37" s="48" t="str">
        <f>IF($A37="","","EDM-MC-03")</f>
        <v>EDM-MC-03</v>
      </c>
      <c r="F37" s="106" t="str">
        <f>IF($E37="","",IFERROR(VLOOKUP($E37,Machine_List!$B:$G,6,0),""))</f>
        <v>General Workman</v>
      </c>
      <c r="G37" s="53">
        <f>IF($E37="","",IFERROR(VLOOKUP($E37,Machine_List!$B:$C,2,0),""))</f>
        <v>46057</v>
      </c>
      <c r="H37" s="10">
        <f>IF($E37="","",IFERROR(VLOOKUP($E37,Machine_List!$B:$D,3,0),""))</f>
        <v>6</v>
      </c>
      <c r="I37" s="54"/>
      <c r="J37" s="55">
        <f ca="1">IF($A37="","",IF($I37&lt;&gt;"",$I37,MAX(MAX(SPM_Plan!$M37,CARVING_Plan!$M37),IFERROR(LOOKUP(2,1/($E$3:INDIRECT("E"&amp;(ROW()-1))=$E37),$M$3:INDIRECT("M"&amp;(ROW()-1))),MAX(SPM_Plan!$M37,CARVING_Plan!$M37)))))</f>
        <v>46150.884259259263</v>
      </c>
      <c r="K37" s="10">
        <f>IF($A37="","",IFERROR(VLOOKUP(B37,CHOOSE(MATCH(C37,Settings!$L$4:$L$10,0),OPR_2P!$A$4:$I$18,SEG_6P!$A$4:$I$18,SOL_4P!$A$4:$I$18,RW_2P!$A$4:$I$18,RW2_4P!$A$4:$I$18,FLAP_4P!$A$4:$I$18,TUBE_4P!$A$4:$I$18),4,0),0))</f>
        <v>14</v>
      </c>
      <c r="L37" s="10">
        <f t="shared" si="0"/>
        <v>28</v>
      </c>
      <c r="M37" s="55">
        <f ca="1">IF($A37="","",IF(AND(ISNUMBER(G37),G37&gt;=J37,G37&lt;=(J37+(L37/(IF(F37="Contract Workman",Settings!$K$5,Settings!$K$4))))),J37+(L37/(IF(F37="Contract Workman",Settings!$K$5,Settings!$K$4)))+(H37/(IF(F37="Contract Workman",Settings!$K$5,Settings!$K$4))),J37+(L37/(IF(F37="Contract Workman",Settings!$K$5,Settings!$K$4)))))</f>
        <v>46152.180555555562</v>
      </c>
      <c r="N37" s="10" t="str">
        <f t="shared" ca="1" si="2"/>
        <v>Shift C</v>
      </c>
      <c r="O37" s="51" t="str">
        <f>IF(B37="","", IF(IFERROR(ISNUMBER(SEARCH(B37, VLOOKUP(E37, Machine_List!$B:$J, 9, 0))), FALSE()), "✅ Machine OK", "❌ Sug: " &amp; IFERROR(INDEX(Machine_List!$B$20:$B$49, MATCH("*"&amp;B37&amp;"*", Machine_List!$J$20:$J$49, 0)), "Check Limits")))</f>
        <v>✅ Machine OK</v>
      </c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2"/>
      <c r="AN37" s="52"/>
      <c r="AO37" s="52"/>
      <c r="AP37" s="52"/>
      <c r="AQ37" s="52"/>
      <c r="AR37" s="52"/>
      <c r="AS37" s="52"/>
      <c r="AT37" s="52"/>
      <c r="AU37" s="52"/>
      <c r="AV37" s="52"/>
      <c r="AW37" s="52"/>
      <c r="AX37" s="52"/>
      <c r="AY37" s="52"/>
      <c r="AZ37" s="52"/>
      <c r="BA37" s="52"/>
      <c r="BB37" s="52"/>
      <c r="BC37" s="52"/>
      <c r="BD37" s="52"/>
      <c r="BE37" s="52"/>
      <c r="BF37" s="52"/>
      <c r="BG37" s="52"/>
      <c r="BH37" s="52"/>
      <c r="BI37" s="52"/>
      <c r="BJ37" s="52"/>
      <c r="BK37" s="52"/>
      <c r="BL37" s="52"/>
      <c r="BM37" s="52"/>
    </row>
    <row r="38" spans="1:65" ht="28.8" customHeight="1" x14ac:dyDescent="0.3">
      <c r="A38" s="10" t="str">
        <f>IF(Job_Master!A38="","",Job_Master!A38)</f>
        <v>BJ-135</v>
      </c>
      <c r="B38" s="10">
        <f>IF($A38="","",Job_Master!B38)</f>
        <v>28</v>
      </c>
      <c r="C38" s="10" t="str">
        <f>IF($A38="","",Job_Master!C38)</f>
        <v>2P</v>
      </c>
      <c r="D38" s="10">
        <f>IF($A38="","",Job_Master!D38)</f>
        <v>2</v>
      </c>
      <c r="E38" s="48" t="str">
        <f>IF($A38="","","EDM-MC-02")</f>
        <v>EDM-MC-02</v>
      </c>
      <c r="F38" s="106" t="str">
        <f>IF($E38="","",IFERROR(VLOOKUP($E38,Machine_List!$B:$G,6,0),""))</f>
        <v>General Workman</v>
      </c>
      <c r="G38" s="53">
        <f>IF($E38="","",IFERROR(VLOOKUP($E38,Machine_List!$B:$C,2,0),""))</f>
        <v>46160</v>
      </c>
      <c r="H38" s="10">
        <f>IF($E38="","",IFERROR(VLOOKUP($E38,Machine_List!$B:$D,3,0),""))</f>
        <v>6</v>
      </c>
      <c r="I38" s="54"/>
      <c r="J38" s="55">
        <f ca="1">IF($A38="","",IF($I38&lt;&gt;"",$I38,MAX(MAX(SPM_Plan!$M38,CARVING_Plan!$M38),IFERROR(LOOKUP(2,1/($E$3:INDIRECT("E"&amp;(ROW()-1))=$E38),$M$3:INDIRECT("M"&amp;(ROW()-1))),MAX(SPM_Plan!$M38,CARVING_Plan!$M38)))))</f>
        <v>46154.402777777781</v>
      </c>
      <c r="K38" s="10">
        <f>IF($A38="","",IFERROR(VLOOKUP(B38,CHOOSE(MATCH(C38,Settings!$L$4:$L$10,0),OPR_2P!$A$4:$I$18,SEG_6P!$A$4:$I$18,SOL_4P!$A$4:$I$18,RW_2P!$A$4:$I$18,RW2_4P!$A$4:$I$18,FLAP_4P!$A$4:$I$18,TUBE_4P!$A$4:$I$18),4,0),0))</f>
        <v>35</v>
      </c>
      <c r="L38" s="10">
        <f t="shared" si="0"/>
        <v>70</v>
      </c>
      <c r="M38" s="55">
        <f ca="1">IF($A38="","",IF(AND(ISNUMBER(G38),G38&gt;=J38,G38&lt;=(J38+(L38/(IF(F38="Contract Workman",Settings!$K$5,Settings!$K$4))))),J38+(L38/(IF(F38="Contract Workman",Settings!$K$5,Settings!$K$4)))+(H38/(IF(F38="Contract Workman",Settings!$K$5,Settings!$K$4))),J38+(L38/(IF(F38="Contract Workman",Settings!$K$5,Settings!$K$4)))))</f>
        <v>46157.643518518518</v>
      </c>
      <c r="N38" s="10" t="str">
        <f t="shared" ca="1" si="2"/>
        <v>Shift B</v>
      </c>
      <c r="O38" s="51" t="str">
        <f>IF(B38="","", IF(IFERROR(ISNUMBER(SEARCH(B38, VLOOKUP(E38, Machine_List!$B:$J, 9, 0))), FALSE()), "✅ Machine OK", "❌ Sug: " &amp; IFERROR(INDEX(Machine_List!$B$20:$B$49, MATCH("*"&amp;B38&amp;"*", Machine_List!$J$20:$J$49, 0)), "Check Limits")))</f>
        <v>✅ Machine OK</v>
      </c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2"/>
      <c r="AN38" s="52"/>
      <c r="AO38" s="52"/>
      <c r="AP38" s="52"/>
      <c r="AQ38" s="52"/>
      <c r="AR38" s="52"/>
      <c r="AS38" s="52"/>
      <c r="AT38" s="52"/>
      <c r="AU38" s="52"/>
      <c r="AV38" s="52"/>
      <c r="AW38" s="52"/>
      <c r="AX38" s="52"/>
      <c r="AY38" s="52"/>
      <c r="AZ38" s="52"/>
      <c r="BA38" s="52"/>
      <c r="BB38" s="52"/>
      <c r="BC38" s="52"/>
      <c r="BD38" s="52"/>
      <c r="BE38" s="52"/>
      <c r="BF38" s="52"/>
      <c r="BG38" s="52"/>
      <c r="BH38" s="52"/>
      <c r="BI38" s="52"/>
      <c r="BJ38" s="52"/>
      <c r="BK38" s="52"/>
      <c r="BL38" s="52"/>
      <c r="BM38" s="52"/>
    </row>
    <row r="39" spans="1:65" ht="28.8" customHeight="1" x14ac:dyDescent="0.3">
      <c r="A39" s="10" t="str">
        <f>IF(Job_Master!A39="","",Job_Master!A39)</f>
        <v>BJ-132</v>
      </c>
      <c r="B39" s="10">
        <f>IF($A39="","",Job_Master!B39)</f>
        <v>57</v>
      </c>
      <c r="C39" s="10" t="str">
        <f>IF($A39="","",Job_Master!C39)</f>
        <v>SOL</v>
      </c>
      <c r="D39" s="10">
        <f>IF($A39="","",Job_Master!D39)</f>
        <v>4</v>
      </c>
      <c r="E39" s="48" t="str">
        <f>IF($A39="","","EDM-MC-16")</f>
        <v>EDM-MC-16</v>
      </c>
      <c r="F39" s="106" t="str">
        <f>IF($E39="","",IFERROR(VLOOKUP($E39,Machine_List!$B:$G,6,0),""))</f>
        <v>General Workman</v>
      </c>
      <c r="G39" s="53">
        <f>IF($E39="","",IFERROR(VLOOKUP($E39,Machine_List!$B:$C,2,0),""))</f>
        <v>46105</v>
      </c>
      <c r="H39" s="10">
        <f>IF($E39="","",IFERROR(VLOOKUP($E39,Machine_List!$B:$D,3,0),""))</f>
        <v>6</v>
      </c>
      <c r="I39" s="54"/>
      <c r="J39" s="55">
        <f ca="1">IF($A39="","",IF($I39&lt;&gt;"",$I39,MAX(MAX(SPM_Plan!$M39,CARVING_Plan!$M39),IFERROR(LOOKUP(2,1/($E$3:INDIRECT("E"&amp;(ROW()-1))=$E39),$M$3:INDIRECT("M"&amp;(ROW()-1))),MAX(SPM_Plan!$M39,CARVING_Plan!$M39)))))</f>
        <v>46198.93981481481</v>
      </c>
      <c r="K39" s="10">
        <f>IF($A39="","",IFERROR(VLOOKUP(B39,CHOOSE(MATCH(C39,Settings!$L$4:$L$10,0),OPR_2P!$A$4:$I$18,SEG_6P!$A$4:$I$18,SOL_4P!$A$4:$I$18,RW_2P!$A$4:$I$18,RW2_4P!$A$4:$I$18,FLAP_4P!$A$4:$I$18,TUBE_4P!$A$4:$I$18),4,0),0))</f>
        <v>56</v>
      </c>
      <c r="L39" s="10">
        <f t="shared" si="0"/>
        <v>224</v>
      </c>
      <c r="M39" s="55">
        <f ca="1">IF($A39="","",IF(AND(ISNUMBER(G39),G39&gt;=J39,G39&lt;=(J39+(L39/(IF(F39="Contract Workman",Settings!$K$5,Settings!$K$4))))),J39+(L39/(IF(F39="Contract Workman",Settings!$K$5,Settings!$K$4)))+(H39/(IF(F39="Contract Workman",Settings!$K$5,Settings!$K$4))),J39+(L39/(IF(F39="Contract Workman",Settings!$K$5,Settings!$K$4)))))</f>
        <v>46209.310185185182</v>
      </c>
      <c r="N39" s="10" t="str">
        <f t="shared" ca="1" si="2"/>
        <v>Shift A</v>
      </c>
      <c r="O39" s="51" t="str">
        <f>IF(B39="","", IF(IFERROR(ISNUMBER(SEARCH(B39, VLOOKUP(E39, Machine_List!$B:$J, 9, 0))), FALSE()), "✅ Machine OK", "❌ Sug: " &amp; IFERROR(INDEX(Machine_List!$B$20:$B$49, MATCH("*"&amp;B39&amp;"*", Machine_List!$J$20:$J$49, 0)), "Check Limits")))</f>
        <v>✅ Machine OK</v>
      </c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2"/>
      <c r="AN39" s="52"/>
      <c r="AO39" s="52"/>
      <c r="AP39" s="52"/>
      <c r="AQ39" s="52"/>
      <c r="AR39" s="52"/>
      <c r="AS39" s="52"/>
      <c r="AT39" s="52"/>
      <c r="AU39" s="52"/>
      <c r="AV39" s="52"/>
      <c r="AW39" s="52"/>
      <c r="AX39" s="52"/>
      <c r="AY39" s="52"/>
      <c r="AZ39" s="52"/>
      <c r="BA39" s="52"/>
      <c r="BB39" s="52"/>
      <c r="BC39" s="52"/>
      <c r="BD39" s="52"/>
      <c r="BE39" s="52"/>
      <c r="BF39" s="52"/>
      <c r="BG39" s="52"/>
      <c r="BH39" s="52"/>
      <c r="BI39" s="52"/>
      <c r="BJ39" s="52"/>
      <c r="BK39" s="52"/>
      <c r="BL39" s="52"/>
      <c r="BM39" s="52"/>
    </row>
    <row r="40" spans="1:65" ht="28.8" customHeight="1" x14ac:dyDescent="0.3">
      <c r="A40" s="10" t="str">
        <f>IF(Job_Master!A40="","",Job_Master!A40)</f>
        <v>BJ-136</v>
      </c>
      <c r="B40" s="10">
        <f>IF($A40="","",Job_Master!B40)</f>
        <v>20</v>
      </c>
      <c r="C40" s="10" t="str">
        <f>IF($A40="","",Job_Master!C40)</f>
        <v>RW</v>
      </c>
      <c r="D40" s="10">
        <f>IF($A40="","",Job_Master!D40)</f>
        <v>2</v>
      </c>
      <c r="E40" s="48" t="str">
        <f>IF($A40="","","EDM-MC-03")</f>
        <v>EDM-MC-03</v>
      </c>
      <c r="F40" s="106" t="str">
        <f>IF($E40="","",IFERROR(VLOOKUP($E40,Machine_List!$B:$G,6,0),""))</f>
        <v>General Workman</v>
      </c>
      <c r="G40" s="53">
        <f>IF($E40="","",IFERROR(VLOOKUP($E40,Machine_List!$B:$C,2,0),""))</f>
        <v>46057</v>
      </c>
      <c r="H40" s="10">
        <f>IF($E40="","",IFERROR(VLOOKUP($E40,Machine_List!$B:$D,3,0),""))</f>
        <v>6</v>
      </c>
      <c r="I40" s="54"/>
      <c r="J40" s="55">
        <f ca="1">IF($A40="","",IF($I40&lt;&gt;"",$I40,MAX(MAX(SPM_Plan!$M40,CARVING_Plan!$M40),IFERROR(LOOKUP(2,1/($E$3:INDIRECT("E"&amp;(ROW()-1))=$E40),$M$3:INDIRECT("M"&amp;(ROW()-1))),MAX(SPM_Plan!$M40,CARVING_Plan!$M40)))))</f>
        <v>46157.365740740745</v>
      </c>
      <c r="K40" s="10">
        <f>IF($A40="","",IFERROR(VLOOKUP(B40,CHOOSE(MATCH(C40,Settings!$L$4:$L$10,0),OPR_2P!$A$4:$I$18,SEG_6P!$A$4:$I$18,SOL_4P!$A$4:$I$18,RW_2P!$A$4:$I$18,RW2_4P!$A$4:$I$18,FLAP_4P!$A$4:$I$18,TUBE_4P!$A$4:$I$18),4,0),0))</f>
        <v>22</v>
      </c>
      <c r="L40" s="10">
        <f t="shared" si="0"/>
        <v>44</v>
      </c>
      <c r="M40" s="55">
        <f ca="1">IF($A40="","",IF(AND(ISNUMBER(G40),G40&gt;=J40,G40&lt;=(J40+(L40/(IF(F40="Contract Workman",Settings!$K$5,Settings!$K$4))))),J40+(L40/(IF(F40="Contract Workman",Settings!$K$5,Settings!$K$4)))+(H40/(IF(F40="Contract Workman",Settings!$K$5,Settings!$K$4))),J40+(L40/(IF(F40="Contract Workman",Settings!$K$5,Settings!$K$4)))))</f>
        <v>46159.402777777781</v>
      </c>
      <c r="N40" s="10" t="str">
        <f t="shared" ca="1" si="2"/>
        <v>Shift A</v>
      </c>
      <c r="O40" s="51" t="str">
        <f>IF(B40="","", IF(IFERROR(ISNUMBER(SEARCH(B40, VLOOKUP(E40, Machine_List!$B:$J, 9, 0))), FALSE()), "✅ Machine OK", "❌ Sug: " &amp; IFERROR(INDEX(Machine_List!$B$20:$B$49, MATCH("*"&amp;B40&amp;"*", Machine_List!$J$20:$J$49, 0)), "Check Limits")))</f>
        <v>✅ Machine OK</v>
      </c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2"/>
      <c r="AN40" s="52"/>
      <c r="AO40" s="52"/>
      <c r="AP40" s="52"/>
      <c r="AQ40" s="52"/>
      <c r="AR40" s="52"/>
      <c r="AS40" s="52"/>
      <c r="AT40" s="52"/>
      <c r="AU40" s="52"/>
      <c r="AV40" s="52"/>
      <c r="AW40" s="52"/>
      <c r="AX40" s="52"/>
      <c r="AY40" s="52"/>
      <c r="AZ40" s="52"/>
      <c r="BA40" s="52"/>
      <c r="BB40" s="52"/>
      <c r="BC40" s="52"/>
      <c r="BD40" s="52"/>
      <c r="BE40" s="52"/>
      <c r="BF40" s="52"/>
      <c r="BG40" s="52"/>
      <c r="BH40" s="52"/>
      <c r="BI40" s="52"/>
      <c r="BJ40" s="52"/>
      <c r="BK40" s="52"/>
      <c r="BL40" s="52"/>
      <c r="BM40" s="52"/>
    </row>
    <row r="41" spans="1:65" ht="28.8" customHeight="1" x14ac:dyDescent="0.3">
      <c r="A41" s="10" t="str">
        <f>IF(Job_Master!A41="","",Job_Master!A41)</f>
        <v>BJ-137</v>
      </c>
      <c r="B41" s="10">
        <f>IF($A41="","",Job_Master!B41)</f>
        <v>34</v>
      </c>
      <c r="C41" s="10" t="str">
        <f>IF($A41="","",Job_Master!C41)</f>
        <v>RW</v>
      </c>
      <c r="D41" s="10">
        <f>IF($A41="","",Job_Master!D41)</f>
        <v>2</v>
      </c>
      <c r="E41" s="48" t="str">
        <f>IF($A41="","","EDM-MC-10")</f>
        <v>EDM-MC-10</v>
      </c>
      <c r="F41" s="106" t="str">
        <f>IF($E41="","",IFERROR(VLOOKUP($E41,Machine_List!$B:$G,6,0),""))</f>
        <v>General Workman</v>
      </c>
      <c r="G41" s="53">
        <f>IF($E41="","",IFERROR(VLOOKUP($E41,Machine_List!$B:$C,2,0),""))</f>
        <v>46503</v>
      </c>
      <c r="H41" s="10">
        <f>IF($E41="","",IFERROR(VLOOKUP($E41,Machine_List!$B:$D,3,0),""))</f>
        <v>6</v>
      </c>
      <c r="I41" s="54"/>
      <c r="J41" s="55">
        <f ca="1">IF($A41="","",IF($I41&lt;&gt;"",$I41,MAX(MAX(SPM_Plan!$M41,CARVING_Plan!$M41),IFERROR(LOOKUP(2,1/($E$3:INDIRECT("E"&amp;(ROW()-1))=$E41),$M$3:INDIRECT("M"&amp;(ROW()-1))),MAX(SPM_Plan!$M41,CARVING_Plan!$M41)))))</f>
        <v>46162.550925925927</v>
      </c>
      <c r="K41" s="10">
        <f>IF($A41="","",IFERROR(VLOOKUP(B41,CHOOSE(MATCH(C41,Settings!$L$4:$L$10,0),OPR_2P!$A$4:$I$18,SEG_6P!$A$4:$I$18,SOL_4P!$A$4:$I$18,RW_2P!$A$4:$I$18,RW2_4P!$A$4:$I$18,FLAP_4P!$A$4:$I$18,TUBE_4P!$A$4:$I$18),4,0),0))</f>
        <v>36</v>
      </c>
      <c r="L41" s="10">
        <f t="shared" si="0"/>
        <v>72</v>
      </c>
      <c r="M41" s="55">
        <f ca="1">IF($A41="","",IF(AND(ISNUMBER(G41),G41&gt;=J41,G41&lt;=(J41+(L41/(IF(F41="Contract Workman",Settings!$K$5,Settings!$K$4))))),J41+(L41/(IF(F41="Contract Workman",Settings!$K$5,Settings!$K$4)))+(H41/(IF(F41="Contract Workman",Settings!$K$5,Settings!$K$4))),J41+(L41/(IF(F41="Contract Workman",Settings!$K$5,Settings!$K$4)))))</f>
        <v>46165.884259259263</v>
      </c>
      <c r="N41" s="10" t="str">
        <f t="shared" ca="1" si="2"/>
        <v>Shift B</v>
      </c>
      <c r="O41" s="51" t="str">
        <f>IF(B41="","", IF(IFERROR(ISNUMBER(SEARCH(B41, VLOOKUP(E41, Machine_List!$B:$J, 9, 0))), FALSE()), "✅ Machine OK", "❌ Sug: " &amp; IFERROR(INDEX(Machine_List!$B$20:$B$49, MATCH("*"&amp;B41&amp;"*", Machine_List!$J$20:$J$49, 0)), "Check Limits")))</f>
        <v>✅ Machine OK</v>
      </c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2"/>
      <c r="AN41" s="52"/>
      <c r="AO41" s="52"/>
      <c r="AP41" s="52"/>
      <c r="AQ41" s="52"/>
      <c r="AR41" s="52"/>
      <c r="AS41" s="52"/>
      <c r="AT41" s="52"/>
      <c r="AU41" s="52"/>
      <c r="AV41" s="52"/>
      <c r="AW41" s="52"/>
      <c r="AX41" s="52"/>
      <c r="AY41" s="52"/>
      <c r="AZ41" s="52"/>
      <c r="BA41" s="52"/>
      <c r="BB41" s="52"/>
      <c r="BC41" s="52"/>
      <c r="BD41" s="52"/>
      <c r="BE41" s="52"/>
      <c r="BF41" s="52"/>
      <c r="BG41" s="52"/>
      <c r="BH41" s="52"/>
      <c r="BI41" s="52"/>
      <c r="BJ41" s="52"/>
      <c r="BK41" s="52"/>
      <c r="BL41" s="52"/>
      <c r="BM41" s="52"/>
    </row>
    <row r="42" spans="1:65" ht="28.8" customHeight="1" x14ac:dyDescent="0.3">
      <c r="A42" s="10" t="str">
        <f>IF(Job_Master!A42="","",Job_Master!A42)</f>
        <v>BJ-140</v>
      </c>
      <c r="B42" s="10">
        <f>IF($A42="","",Job_Master!B42)</f>
        <v>54</v>
      </c>
      <c r="C42" s="10" t="str">
        <f>IF($A42="","",Job_Master!C42)</f>
        <v>RW</v>
      </c>
      <c r="D42" s="10">
        <f>IF($A42="","",Job_Master!D42)</f>
        <v>2</v>
      </c>
      <c r="E42" s="48" t="str">
        <f>IF($A42="","","EDM-MC-19")</f>
        <v>EDM-MC-19</v>
      </c>
      <c r="F42" s="106" t="str">
        <f>IF($E42="","",IFERROR(VLOOKUP($E42,Machine_List!$B:$G,6,0),""))</f>
        <v>General Workman</v>
      </c>
      <c r="G42" s="53">
        <f>IF($E42="","",IFERROR(VLOOKUP($E42,Machine_List!$B:$C,2,0),""))</f>
        <v>46263</v>
      </c>
      <c r="H42" s="10">
        <f>IF($E42="","",IFERROR(VLOOKUP($E42,Machine_List!$B:$D,3,0),""))</f>
        <v>6</v>
      </c>
      <c r="I42" s="54"/>
      <c r="J42" s="55">
        <f ca="1">IF($A42="","",IF($I42&lt;&gt;"",$I42,MAX(MAX(SPM_Plan!$M42,CARVING_Plan!$M42),IFERROR(LOOKUP(2,1/($E$3:INDIRECT("E"&amp;(ROW()-1))=$E42),$M$3:INDIRECT("M"&amp;(ROW()-1))),MAX(SPM_Plan!$M42,CARVING_Plan!$M42)))))</f>
        <v>46169.958333333321</v>
      </c>
      <c r="K42" s="10">
        <f>IF($A42="","",IFERROR(VLOOKUP(B42,CHOOSE(MATCH(C42,Settings!$L$4:$L$10,0),OPR_2P!$A$4:$I$18,SEG_6P!$A$4:$I$18,SOL_4P!$A$4:$I$18,RW_2P!$A$4:$I$18,RW2_4P!$A$4:$I$18,FLAP_4P!$A$4:$I$18,TUBE_4P!$A$4:$I$18),4,0),0))</f>
        <v>76</v>
      </c>
      <c r="L42" s="10">
        <f t="shared" si="0"/>
        <v>152</v>
      </c>
      <c r="M42" s="55">
        <f ca="1">IF($A42="","",IF(AND(ISNUMBER(G42),G42&gt;=J42,G42&lt;=(J42+(L42/(IF(F42="Contract Workman",Settings!$K$5,Settings!$K$4))))),J42+(L42/(IF(F42="Contract Workman",Settings!$K$5,Settings!$K$4)))+(H42/(IF(F42="Contract Workman",Settings!$K$5,Settings!$K$4))),J42+(L42/(IF(F42="Contract Workman",Settings!$K$5,Settings!$K$4)))))</f>
        <v>46176.995370370358</v>
      </c>
      <c r="N42" s="10" t="str">
        <f t="shared" ca="1" si="2"/>
        <v>Shift C</v>
      </c>
      <c r="O42" s="51" t="str">
        <f>IF(B42="","", IF(IFERROR(ISNUMBER(SEARCH(B42, VLOOKUP(E42, Machine_List!$B:$J, 9, 0))), FALSE()), "✅ Machine OK", "❌ Sug: " &amp; IFERROR(INDEX(Machine_List!$B$20:$B$49, MATCH("*"&amp;B42&amp;"*", Machine_List!$J$20:$J$49, 0)), "Check Limits")))</f>
        <v>✅ Machine OK</v>
      </c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2"/>
      <c r="AN42" s="52"/>
      <c r="AO42" s="52"/>
      <c r="AP42" s="52"/>
      <c r="AQ42" s="52"/>
      <c r="AR42" s="52"/>
      <c r="AS42" s="52"/>
      <c r="AT42" s="52"/>
      <c r="AU42" s="52"/>
      <c r="AV42" s="52"/>
      <c r="AW42" s="52"/>
      <c r="AX42" s="52"/>
      <c r="AY42" s="52"/>
      <c r="AZ42" s="52"/>
      <c r="BA42" s="52"/>
      <c r="BB42" s="52"/>
      <c r="BC42" s="52"/>
      <c r="BD42" s="52"/>
      <c r="BE42" s="52"/>
      <c r="BF42" s="52"/>
      <c r="BG42" s="52"/>
      <c r="BH42" s="52"/>
      <c r="BI42" s="52"/>
      <c r="BJ42" s="52"/>
      <c r="BK42" s="52"/>
      <c r="BL42" s="52"/>
      <c r="BM42" s="52"/>
    </row>
    <row r="43" spans="1:65" ht="28.8" customHeight="1" x14ac:dyDescent="0.3">
      <c r="A43" s="10" t="str">
        <f>IF(Job_Master!A43="","",Job_Master!A43)</f>
        <v>BJ-138</v>
      </c>
      <c r="B43" s="10">
        <f>IF($A43="","",Job_Master!B43)</f>
        <v>9</v>
      </c>
      <c r="C43" s="10" t="str">
        <f>IF($A43="","",Job_Master!C43)</f>
        <v>RW</v>
      </c>
      <c r="D43" s="10">
        <f>IF($A43="","",Job_Master!D43)</f>
        <v>2</v>
      </c>
      <c r="E43" s="48" t="str">
        <f>IF($A43="","","EDM-MC-04")</f>
        <v>EDM-MC-04</v>
      </c>
      <c r="F43" s="106" t="str">
        <f>IF($E43="","",IFERROR(VLOOKUP($E43,Machine_List!$B:$G,6,0),""))</f>
        <v>General Workman</v>
      </c>
      <c r="G43" s="53">
        <f>IF($E43="","",IFERROR(VLOOKUP($E43,Machine_List!$B:$C,2,0),""))</f>
        <v>46111</v>
      </c>
      <c r="H43" s="10">
        <f>IF($E43="","",IFERROR(VLOOKUP($E43,Machine_List!$B:$D,3,0),""))</f>
        <v>6</v>
      </c>
      <c r="I43" s="54"/>
      <c r="J43" s="55">
        <f ca="1">IF($A43="","",IF($I43&lt;&gt;"",$I43,MAX(MAX(SPM_Plan!$M43,CARVING_Plan!$M43),IFERROR(LOOKUP(2,1/($E$3:INDIRECT("E"&amp;(ROW()-1))=$E43),$M$3:INDIRECT("M"&amp;(ROW()-1))),MAX(SPM_Plan!$M43,CARVING_Plan!$M43)))))</f>
        <v>46153.384259259255</v>
      </c>
      <c r="K43" s="10">
        <f>IF($A43="","",IFERROR(VLOOKUP(B43,CHOOSE(MATCH(C43,Settings!$L$4:$L$10,0),OPR_2P!$A$4:$I$18,SEG_6P!$A$4:$I$18,SOL_4P!$A$4:$I$18,RW_2P!$A$4:$I$18,RW2_4P!$A$4:$I$18,FLAP_4P!$A$4:$I$18,TUBE_4P!$A$4:$I$18),4,0),0))</f>
        <v>2</v>
      </c>
      <c r="L43" s="10">
        <f t="shared" si="0"/>
        <v>4</v>
      </c>
      <c r="M43" s="55">
        <f ca="1">IF($A43="","",IF(AND(ISNUMBER(G43),G43&gt;=J43,G43&lt;=(J43+(L43/(IF(F43="Contract Workman",Settings!$K$5,Settings!$K$4))))),J43+(L43/(IF(F43="Contract Workman",Settings!$K$5,Settings!$K$4)))+(H43/(IF(F43="Contract Workman",Settings!$K$5,Settings!$K$4))),J43+(L43/(IF(F43="Contract Workman",Settings!$K$5,Settings!$K$4)))))</f>
        <v>46153.569444444438</v>
      </c>
      <c r="N43" s="10" t="str">
        <f t="shared" ca="1" si="2"/>
        <v>Shift A</v>
      </c>
      <c r="O43" s="51" t="str">
        <f>IF(B43="","", IF(IFERROR(ISNUMBER(SEARCH(B43, VLOOKUP(E43, Machine_List!$B:$J, 9, 0))), FALSE()), "✅ Machine OK", "❌ Sug: " &amp; IFERROR(INDEX(Machine_List!$B$20:$B$49, MATCH("*"&amp;B43&amp;"*", Machine_List!$J$20:$J$49, 0)), "Check Limits")))</f>
        <v>✅ Machine OK</v>
      </c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52"/>
      <c r="AN43" s="52"/>
      <c r="AO43" s="52"/>
      <c r="AP43" s="52"/>
      <c r="AQ43" s="52"/>
      <c r="AR43" s="52"/>
      <c r="AS43" s="52"/>
      <c r="AT43" s="52"/>
      <c r="AU43" s="52"/>
      <c r="AV43" s="52"/>
      <c r="AW43" s="52"/>
      <c r="AX43" s="52"/>
      <c r="AY43" s="52"/>
      <c r="AZ43" s="52"/>
      <c r="BA43" s="52"/>
      <c r="BB43" s="52"/>
      <c r="BC43" s="52"/>
      <c r="BD43" s="52"/>
      <c r="BE43" s="52"/>
      <c r="BF43" s="52"/>
      <c r="BG43" s="52"/>
      <c r="BH43" s="52"/>
      <c r="BI43" s="52"/>
      <c r="BJ43" s="52"/>
      <c r="BK43" s="52"/>
      <c r="BL43" s="52"/>
      <c r="BM43" s="52"/>
    </row>
    <row r="44" spans="1:65" ht="28.8" customHeight="1" x14ac:dyDescent="0.3">
      <c r="A44" s="10" t="str">
        <f>IF(Job_Master!A44="","",Job_Master!A44)</f>
        <v>BJ-144</v>
      </c>
      <c r="B44" s="10">
        <f>IF($A44="","",Job_Master!B44)</f>
        <v>63</v>
      </c>
      <c r="C44" s="10" t="str">
        <f>IF($A44="","",Job_Master!C44)</f>
        <v>RW</v>
      </c>
      <c r="D44" s="10">
        <f>IF($A44="","",Job_Master!D44)</f>
        <v>2</v>
      </c>
      <c r="E44" s="48" t="str">
        <f>IF($A44="","","EDM-MC-17")</f>
        <v>EDM-MC-17</v>
      </c>
      <c r="F44" s="106" t="str">
        <f>IF($E44="","",IFERROR(VLOOKUP($E44,Machine_List!$B:$G,6,0),""))</f>
        <v>General Workman</v>
      </c>
      <c r="G44" s="53">
        <f>IF($E44="","",IFERROR(VLOOKUP($E44,Machine_List!$B:$C,2,0),""))</f>
        <v>46504</v>
      </c>
      <c r="H44" s="10">
        <f>IF($E44="","",IFERROR(VLOOKUP($E44,Machine_List!$B:$D,3,0),""))</f>
        <v>6</v>
      </c>
      <c r="I44" s="54"/>
      <c r="J44" s="55">
        <f ca="1">IF($A44="","",IF($I44&lt;&gt;"",$I44,MAX(MAX(SPM_Plan!$M44,CARVING_Plan!$M44),IFERROR(LOOKUP(2,1/($E$3:INDIRECT("E"&amp;(ROW()-1))=$E44),$M$3:INDIRECT("M"&amp;(ROW()-1))),MAX(SPM_Plan!$M44,CARVING_Plan!$M44)))))</f>
        <v>46187.550925925912</v>
      </c>
      <c r="K44" s="10">
        <f>IF($A44="","",IFERROR(VLOOKUP(B44,CHOOSE(MATCH(C44,Settings!$L$4:$L$10,0),OPR_2P!$A$4:$I$18,SEG_6P!$A$4:$I$18,SOL_4P!$A$4:$I$18,RW_2P!$A$4:$I$18,RW2_4P!$A$4:$I$18,FLAP_4P!$A$4:$I$18,TUBE_4P!$A$4:$I$18),4,0),0))</f>
        <v>64</v>
      </c>
      <c r="L44" s="10">
        <f t="shared" si="0"/>
        <v>128</v>
      </c>
      <c r="M44" s="55">
        <f ca="1">IF($A44="","",IF(AND(ISNUMBER(G44),G44&gt;=J44,G44&lt;=(J44+(L44/(IF(F44="Contract Workman",Settings!$K$5,Settings!$K$4))))),J44+(L44/(IF(F44="Contract Workman",Settings!$K$5,Settings!$K$4)))+(H44/(IF(F44="Contract Workman",Settings!$K$5,Settings!$K$4))),J44+(L44/(IF(F44="Contract Workman",Settings!$K$5,Settings!$K$4)))))</f>
        <v>46193.476851851839</v>
      </c>
      <c r="N44" s="10" t="str">
        <f t="shared" ca="1" si="2"/>
        <v>Shift A</v>
      </c>
      <c r="O44" s="51" t="str">
        <f>IF(B44="","", IF(IFERROR(ISNUMBER(SEARCH(B44, VLOOKUP(E44, Machine_List!$B:$J, 9, 0))), FALSE()), "✅ Machine OK", "❌ Sug: " &amp; IFERROR(INDEX(Machine_List!$B$20:$B$49, MATCH("*"&amp;B44&amp;"*", Machine_List!$J$20:$J$49, 0)), "Check Limits")))</f>
        <v>✅ Machine OK</v>
      </c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2"/>
      <c r="AN44" s="52"/>
      <c r="AO44" s="52"/>
      <c r="AP44" s="52"/>
      <c r="AQ44" s="52"/>
      <c r="AR44" s="52"/>
      <c r="AS44" s="52"/>
      <c r="AT44" s="52"/>
      <c r="AU44" s="52"/>
      <c r="AV44" s="52"/>
      <c r="AW44" s="52"/>
      <c r="AX44" s="52"/>
      <c r="AY44" s="52"/>
      <c r="AZ44" s="52"/>
      <c r="BA44" s="52"/>
      <c r="BB44" s="52"/>
      <c r="BC44" s="52"/>
      <c r="BD44" s="52"/>
      <c r="BE44" s="52"/>
      <c r="BF44" s="52"/>
      <c r="BG44" s="52"/>
      <c r="BH44" s="52"/>
      <c r="BI44" s="52"/>
      <c r="BJ44" s="52"/>
      <c r="BK44" s="52"/>
      <c r="BL44" s="52"/>
      <c r="BM44" s="52"/>
    </row>
    <row r="45" spans="1:65" ht="28.8" customHeight="1" x14ac:dyDescent="0.3">
      <c r="A45" s="10" t="str">
        <f>IF(Job_Master!A45="","",Job_Master!A45)</f>
        <v>BJ-146</v>
      </c>
      <c r="B45" s="10">
        <f>IF($A45="","",Job_Master!B45)</f>
        <v>20</v>
      </c>
      <c r="C45" s="10" t="str">
        <f>IF($A45="","",Job_Master!C45)</f>
        <v>RW</v>
      </c>
      <c r="D45" s="10">
        <f>IF($A45="","",Job_Master!D45)</f>
        <v>2</v>
      </c>
      <c r="E45" s="48" t="str">
        <f>IF($A45="","","EDM-MC-02")</f>
        <v>EDM-MC-02</v>
      </c>
      <c r="F45" s="106" t="str">
        <f>IF($E45="","",IFERROR(VLOOKUP($E45,Machine_List!$B:$G,6,0),""))</f>
        <v>General Workman</v>
      </c>
      <c r="G45" s="53">
        <f>IF($E45="","",IFERROR(VLOOKUP($E45,Machine_List!$B:$C,2,0),""))</f>
        <v>46160</v>
      </c>
      <c r="H45" s="10">
        <f>IF($E45="","",IFERROR(VLOOKUP($E45,Machine_List!$B:$D,3,0),""))</f>
        <v>6</v>
      </c>
      <c r="I45" s="54"/>
      <c r="J45" s="55">
        <f ca="1">IF($A45="","",IF($I45&lt;&gt;"",$I45,MAX(MAX(SPM_Plan!$M45,CARVING_Plan!$M45),IFERROR(LOOKUP(2,1/($E$3:INDIRECT("E"&amp;(ROW()-1))=$E45),$M$3:INDIRECT("M"&amp;(ROW()-1))),MAX(SPM_Plan!$M45,CARVING_Plan!$M45)))))</f>
        <v>46157.643518518518</v>
      </c>
      <c r="K45" s="10">
        <f>IF($A45="","",IFERROR(VLOOKUP(B45,CHOOSE(MATCH(C45,Settings!$L$4:$L$10,0),OPR_2P!$A$4:$I$18,SEG_6P!$A$4:$I$18,SOL_4P!$A$4:$I$18,RW_2P!$A$4:$I$18,RW2_4P!$A$4:$I$18,FLAP_4P!$A$4:$I$18,TUBE_4P!$A$4:$I$18),4,0),0))</f>
        <v>22</v>
      </c>
      <c r="L45" s="10">
        <f t="shared" si="0"/>
        <v>44</v>
      </c>
      <c r="M45" s="55">
        <f ca="1">IF($A45="","",IF(AND(ISNUMBER(G45),G45&gt;=J45,G45&lt;=(J45+(L45/(IF(F45="Contract Workman",Settings!$K$5,Settings!$K$4))))),J45+(L45/(IF(F45="Contract Workman",Settings!$K$5,Settings!$K$4)))+(H45/(IF(F45="Contract Workman",Settings!$K$5,Settings!$K$4))),J45+(L45/(IF(F45="Contract Workman",Settings!$K$5,Settings!$K$4)))))</f>
        <v>46159.680555555555</v>
      </c>
      <c r="N45" s="10" t="str">
        <f t="shared" ca="1" si="2"/>
        <v>Shift B</v>
      </c>
      <c r="O45" s="51" t="str">
        <f>IF(B45="","", IF(IFERROR(ISNUMBER(SEARCH(B45, VLOOKUP(E45, Machine_List!$B:$J, 9, 0))), FALSE()), "✅ Machine OK", "❌ Sug: " &amp; IFERROR(INDEX(Machine_List!$B$20:$B$49, MATCH("*"&amp;B45&amp;"*", Machine_List!$J$20:$J$49, 0)), "Check Limits")))</f>
        <v>✅ Machine OK</v>
      </c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2"/>
      <c r="AN45" s="52"/>
      <c r="AO45" s="52"/>
      <c r="AP45" s="52"/>
      <c r="AQ45" s="52"/>
      <c r="AR45" s="52"/>
      <c r="AS45" s="52"/>
      <c r="AT45" s="52"/>
      <c r="AU45" s="52"/>
      <c r="AV45" s="52"/>
      <c r="AW45" s="52"/>
      <c r="AX45" s="52"/>
      <c r="AY45" s="52"/>
      <c r="AZ45" s="52"/>
      <c r="BA45" s="52"/>
      <c r="BB45" s="52"/>
      <c r="BC45" s="52"/>
      <c r="BD45" s="52"/>
      <c r="BE45" s="52"/>
      <c r="BF45" s="52"/>
      <c r="BG45" s="52"/>
      <c r="BH45" s="52"/>
      <c r="BI45" s="52"/>
      <c r="BJ45" s="52"/>
      <c r="BK45" s="52"/>
      <c r="BL45" s="52"/>
      <c r="BM45" s="52"/>
    </row>
    <row r="46" spans="1:65" ht="28.8" customHeight="1" x14ac:dyDescent="0.3">
      <c r="A46" s="10" t="str">
        <f>IF(Job_Master!A46="","",Job_Master!A46)</f>
        <v>BJ-139</v>
      </c>
      <c r="B46" s="10">
        <f>IF($A46="","",Job_Master!B46)</f>
        <v>15</v>
      </c>
      <c r="C46" s="10" t="str">
        <f>IF($A46="","",Job_Master!C46)</f>
        <v>RW</v>
      </c>
      <c r="D46" s="10">
        <f>IF($A46="","",Job_Master!D46)</f>
        <v>2</v>
      </c>
      <c r="E46" s="48" t="str">
        <f>IF($A46="","","EDM-MC-03")</f>
        <v>EDM-MC-03</v>
      </c>
      <c r="F46" s="106" t="str">
        <f>IF($E46="","",IFERROR(VLOOKUP($E46,Machine_List!$B:$G,6,0),""))</f>
        <v>General Workman</v>
      </c>
      <c r="G46" s="53">
        <f>IF($E46="","",IFERROR(VLOOKUP($E46,Machine_List!$B:$C,2,0),""))</f>
        <v>46057</v>
      </c>
      <c r="H46" s="10">
        <f>IF($E46="","",IFERROR(VLOOKUP($E46,Machine_List!$B:$D,3,0),""))</f>
        <v>6</v>
      </c>
      <c r="I46" s="54"/>
      <c r="J46" s="55">
        <f ca="1">IF($A46="","",IF($I46&lt;&gt;"",$I46,MAX(MAX(SPM_Plan!$M46,CARVING_Plan!$M46),IFERROR(LOOKUP(2,1/($E$3:INDIRECT("E"&amp;(ROW()-1))=$E46),$M$3:INDIRECT("M"&amp;(ROW()-1))),MAX(SPM_Plan!$M46,CARVING_Plan!$M46)))))</f>
        <v>46159.402777777781</v>
      </c>
      <c r="K46" s="10">
        <f>IF($A46="","",IFERROR(VLOOKUP(B46,CHOOSE(MATCH(C46,Settings!$L$4:$L$10,0),OPR_2P!$A$4:$I$18,SEG_6P!$A$4:$I$18,SOL_4P!$A$4:$I$18,RW_2P!$A$4:$I$18,RW2_4P!$A$4:$I$18,FLAP_4P!$A$4:$I$18,TUBE_4P!$A$4:$I$18),4,0),0))</f>
        <v>14</v>
      </c>
      <c r="L46" s="10">
        <f t="shared" si="0"/>
        <v>28</v>
      </c>
      <c r="M46" s="55">
        <f ca="1">IF($A46="","",IF(AND(ISNUMBER(G46),G46&gt;=J46,G46&lt;=(J46+(L46/(IF(F46="Contract Workman",Settings!$K$5,Settings!$K$4))))),J46+(L46/(IF(F46="Contract Workman",Settings!$K$5,Settings!$K$4)))+(H46/(IF(F46="Contract Workman",Settings!$K$5,Settings!$K$4))),J46+(L46/(IF(F46="Contract Workman",Settings!$K$5,Settings!$K$4)))))</f>
        <v>46160.69907407408</v>
      </c>
      <c r="N46" s="10" t="str">
        <f t="shared" ca="1" si="2"/>
        <v>Shift B</v>
      </c>
      <c r="O46" s="51" t="str">
        <f>IF(B46="","", IF(IFERROR(ISNUMBER(SEARCH(B46, VLOOKUP(E46, Machine_List!$B:$J, 9, 0))), FALSE()), "✅ Machine OK", "❌ Sug: " &amp; IFERROR(INDEX(Machine_List!$B$20:$B$49, MATCH("*"&amp;B46&amp;"*", Machine_List!$J$20:$J$49, 0)), "Check Limits")))</f>
        <v>✅ Machine OK</v>
      </c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2"/>
      <c r="AN46" s="52"/>
      <c r="AO46" s="52"/>
      <c r="AP46" s="52"/>
      <c r="AQ46" s="52"/>
      <c r="AR46" s="52"/>
      <c r="AS46" s="52"/>
      <c r="AT46" s="52"/>
      <c r="AU46" s="52"/>
      <c r="AV46" s="52"/>
      <c r="AW46" s="52"/>
      <c r="AX46" s="52"/>
      <c r="AY46" s="52"/>
      <c r="AZ46" s="52"/>
      <c r="BA46" s="52"/>
      <c r="BB46" s="52"/>
      <c r="BC46" s="52"/>
      <c r="BD46" s="52"/>
      <c r="BE46" s="52"/>
      <c r="BF46" s="52"/>
      <c r="BG46" s="52"/>
      <c r="BH46" s="52"/>
      <c r="BI46" s="52"/>
      <c r="BJ46" s="52"/>
      <c r="BK46" s="52"/>
      <c r="BL46" s="52"/>
      <c r="BM46" s="52"/>
    </row>
    <row r="47" spans="1:65" ht="28.8" customHeight="1" x14ac:dyDescent="0.3">
      <c r="A47" s="10" t="str">
        <f>IF(Job_Master!A47="","",Job_Master!A47)</f>
        <v>BJ-141</v>
      </c>
      <c r="B47" s="10">
        <f>IF($A47="","",Job_Master!B47)</f>
        <v>50</v>
      </c>
      <c r="C47" s="10" t="str">
        <f>IF($A47="","",Job_Master!C47)</f>
        <v>SOL</v>
      </c>
      <c r="D47" s="10">
        <f>IF($A47="","",Job_Master!D47)</f>
        <v>4</v>
      </c>
      <c r="E47" s="48" t="str">
        <f>IF($A47="","","EDM-MC-17")</f>
        <v>EDM-MC-17</v>
      </c>
      <c r="F47" s="106" t="str">
        <f>IF($E47="","",IFERROR(VLOOKUP($E47,Machine_List!$B:$G,6,0),""))</f>
        <v>General Workman</v>
      </c>
      <c r="G47" s="53">
        <f>IF($E47="","",IFERROR(VLOOKUP($E47,Machine_List!$B:$C,2,0),""))</f>
        <v>46504</v>
      </c>
      <c r="H47" s="10">
        <f>IF($E47="","",IFERROR(VLOOKUP($E47,Machine_List!$B:$D,3,0),""))</f>
        <v>6</v>
      </c>
      <c r="I47" s="54"/>
      <c r="J47" s="55">
        <f ca="1">IF($A47="","",IF($I47&lt;&gt;"",$I47,MAX(MAX(SPM_Plan!$M47,CARVING_Plan!$M47),IFERROR(LOOKUP(2,1/($E$3:INDIRECT("E"&amp;(ROW()-1))=$E47),$M$3:INDIRECT("M"&amp;(ROW()-1))),MAX(SPM_Plan!$M47,CARVING_Plan!$M47)))))</f>
        <v>46217.273148148146</v>
      </c>
      <c r="K47" s="10">
        <f>IF($A47="","",IFERROR(VLOOKUP(B47,CHOOSE(MATCH(C47,Settings!$L$4:$L$10,0),OPR_2P!$A$4:$I$18,SEG_6P!$A$4:$I$18,SOL_4P!$A$4:$I$18,RW_2P!$A$4:$I$18,RW2_4P!$A$4:$I$18,FLAP_4P!$A$4:$I$18,TUBE_4P!$A$4:$I$18),4,0),0))</f>
        <v>49</v>
      </c>
      <c r="L47" s="10">
        <f t="shared" si="0"/>
        <v>196</v>
      </c>
      <c r="M47" s="55">
        <f ca="1">IF($A47="","",IF(AND(ISNUMBER(G47),G47&gt;=J47,G47&lt;=(J47+(L47/(IF(F47="Contract Workman",Settings!$K$5,Settings!$K$4))))),J47+(L47/(IF(F47="Contract Workman",Settings!$K$5,Settings!$K$4)))+(H47/(IF(F47="Contract Workman",Settings!$K$5,Settings!$K$4))),J47+(L47/(IF(F47="Contract Workman",Settings!$K$5,Settings!$K$4)))))</f>
        <v>46226.347222222219</v>
      </c>
      <c r="N47" s="10" t="str">
        <f t="shared" ca="1" si="2"/>
        <v>Shift A</v>
      </c>
      <c r="O47" s="51" t="str">
        <f>IF(B47="","", IF(IFERROR(ISNUMBER(SEARCH(B47, VLOOKUP(E47, Machine_List!$B:$J, 9, 0))), FALSE()), "✅ Machine OK", "❌ Sug: " &amp; IFERROR(INDEX(Machine_List!$B$20:$B$49, MATCH("*"&amp;B47&amp;"*", Machine_List!$J$20:$J$49, 0)), "Check Limits")))</f>
        <v>✅ Machine OK</v>
      </c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2"/>
      <c r="AN47" s="52"/>
      <c r="AO47" s="52"/>
      <c r="AP47" s="52"/>
      <c r="AQ47" s="52"/>
      <c r="AR47" s="52"/>
      <c r="AS47" s="52"/>
      <c r="AT47" s="52"/>
      <c r="AU47" s="52"/>
      <c r="AV47" s="52"/>
      <c r="AW47" s="52"/>
      <c r="AX47" s="52"/>
      <c r="AY47" s="52"/>
      <c r="AZ47" s="52"/>
      <c r="BA47" s="52"/>
      <c r="BB47" s="52"/>
      <c r="BC47" s="52"/>
      <c r="BD47" s="52"/>
      <c r="BE47" s="52"/>
      <c r="BF47" s="52"/>
      <c r="BG47" s="52"/>
      <c r="BH47" s="52"/>
      <c r="BI47" s="52"/>
      <c r="BJ47" s="52"/>
      <c r="BK47" s="52"/>
      <c r="BL47" s="52"/>
      <c r="BM47" s="52"/>
    </row>
    <row r="48" spans="1:65" ht="28.8" customHeight="1" x14ac:dyDescent="0.3">
      <c r="A48" s="10" t="str">
        <f>IF(Job_Master!A48="","",Job_Master!A48)</f>
        <v>BJ-142</v>
      </c>
      <c r="B48" s="10">
        <f>IF($A48="","",Job_Master!B48)</f>
        <v>9</v>
      </c>
      <c r="C48" s="10" t="str">
        <f>IF($A48="","",Job_Master!C48)</f>
        <v>RW</v>
      </c>
      <c r="D48" s="10">
        <f>IF($A48="","",Job_Master!D48)</f>
        <v>2</v>
      </c>
      <c r="E48" s="48" t="str">
        <f>IF($A48="","","EDM-MC-04")</f>
        <v>EDM-MC-04</v>
      </c>
      <c r="F48" s="106" t="str">
        <f>IF($E48="","",IFERROR(VLOOKUP($E48,Machine_List!$B:$G,6,0),""))</f>
        <v>General Workman</v>
      </c>
      <c r="G48" s="53">
        <f>IF($E48="","",IFERROR(VLOOKUP($E48,Machine_List!$B:$C,2,0),""))</f>
        <v>46111</v>
      </c>
      <c r="H48" s="10">
        <f>IF($E48="","",IFERROR(VLOOKUP($E48,Machine_List!$B:$D,3,0),""))</f>
        <v>6</v>
      </c>
      <c r="I48" s="54"/>
      <c r="J48" s="55">
        <f ca="1">IF($A48="","",IF($I48&lt;&gt;"",$I48,MAX(MAX(SPM_Plan!$M48,CARVING_Plan!$M48),IFERROR(LOOKUP(2,1/($E$3:INDIRECT("E"&amp;(ROW()-1))=$E48),$M$3:INDIRECT("M"&amp;(ROW()-1))),MAX(SPM_Plan!$M48,CARVING_Plan!$M48)))))</f>
        <v>46158.847222222234</v>
      </c>
      <c r="K48" s="10">
        <f>IF($A48="","",IFERROR(VLOOKUP(B48,CHOOSE(MATCH(C48,Settings!$L$4:$L$10,0),OPR_2P!$A$4:$I$18,SEG_6P!$A$4:$I$18,SOL_4P!$A$4:$I$18,RW_2P!$A$4:$I$18,RW2_4P!$A$4:$I$18,FLAP_4P!$A$4:$I$18,TUBE_4P!$A$4:$I$18),4,0),0))</f>
        <v>2</v>
      </c>
      <c r="L48" s="10">
        <f t="shared" si="0"/>
        <v>4</v>
      </c>
      <c r="M48" s="55">
        <f ca="1">IF($A48="","",IF(AND(ISNUMBER(G48),G48&gt;=J48,G48&lt;=(J48+(L48/(IF(F48="Contract Workman",Settings!$K$5,Settings!$K$4))))),J48+(L48/(IF(F48="Contract Workman",Settings!$K$5,Settings!$K$4)))+(H48/(IF(F48="Contract Workman",Settings!$K$5,Settings!$K$4))),J48+(L48/(IF(F48="Contract Workman",Settings!$K$5,Settings!$K$4)))))</f>
        <v>46159.032407407416</v>
      </c>
      <c r="N48" s="10" t="str">
        <f t="shared" ca="1" si="2"/>
        <v>Shift C</v>
      </c>
      <c r="O48" s="51" t="str">
        <f>IF(B48="","", IF(IFERROR(ISNUMBER(SEARCH(B48, VLOOKUP(E48, Machine_List!$B:$J, 9, 0))), FALSE()), "✅ Machine OK", "❌ Sug: " &amp; IFERROR(INDEX(Machine_List!$B$20:$B$49, MATCH("*"&amp;B48&amp;"*", Machine_List!$J$20:$J$49, 0)), "Check Limits")))</f>
        <v>✅ Machine OK</v>
      </c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2"/>
      <c r="AN48" s="52"/>
      <c r="AO48" s="52"/>
      <c r="AP48" s="52"/>
      <c r="AQ48" s="52"/>
      <c r="AR48" s="52"/>
      <c r="AS48" s="52"/>
      <c r="AT48" s="52"/>
      <c r="AU48" s="52"/>
      <c r="AV48" s="52"/>
      <c r="AW48" s="52"/>
      <c r="AX48" s="52"/>
      <c r="AY48" s="52"/>
      <c r="AZ48" s="52"/>
      <c r="BA48" s="52"/>
      <c r="BB48" s="52"/>
      <c r="BC48" s="52"/>
      <c r="BD48" s="52"/>
      <c r="BE48" s="52"/>
      <c r="BF48" s="52"/>
      <c r="BG48" s="52"/>
      <c r="BH48" s="52"/>
      <c r="BI48" s="52"/>
      <c r="BJ48" s="52"/>
      <c r="BK48" s="52"/>
      <c r="BL48" s="52"/>
      <c r="BM48" s="52"/>
    </row>
    <row r="49" spans="1:65" ht="28.8" customHeight="1" x14ac:dyDescent="0.3">
      <c r="A49" s="10" t="str">
        <f>IF(Job_Master!A49="","",Job_Master!A49)</f>
        <v>BJ-147</v>
      </c>
      <c r="B49" s="10">
        <f>IF($A49="","",Job_Master!B49)</f>
        <v>34</v>
      </c>
      <c r="C49" s="10" t="str">
        <f>IF($A49="","",Job_Master!C49)</f>
        <v>SOL</v>
      </c>
      <c r="D49" s="10">
        <f>IF($A49="","",Job_Master!D49)</f>
        <v>4</v>
      </c>
      <c r="E49" s="48" t="str">
        <f>IF($A49="","","EDM-MC-09")</f>
        <v>EDM-MC-09</v>
      </c>
      <c r="F49" s="106" t="str">
        <f>IF($E49="","",IFERROR(VLOOKUP($E49,Machine_List!$B:$G,6,0),""))</f>
        <v>General Workman</v>
      </c>
      <c r="G49" s="53">
        <f>IF($E49="","",IFERROR(VLOOKUP($E49,Machine_List!$B:$C,2,0),""))</f>
        <v>46237</v>
      </c>
      <c r="H49" s="10">
        <f>IF($E49="","",IFERROR(VLOOKUP($E49,Machine_List!$B:$D,3,0),""))</f>
        <v>6</v>
      </c>
      <c r="I49" s="54"/>
      <c r="J49" s="55">
        <f ca="1">IF($A49="","",IF($I49&lt;&gt;"",$I49,MAX(MAX(SPM_Plan!$M49,CARVING_Plan!$M49),IFERROR(LOOKUP(2,1/($E$3:INDIRECT("E"&amp;(ROW()-1))=$E49),$M$3:INDIRECT("M"&amp;(ROW()-1))),MAX(SPM_Plan!$M49,CARVING_Plan!$M49)))))</f>
        <v>46175.328703703715</v>
      </c>
      <c r="K49" s="10">
        <f>IF($A49="","",IFERROR(VLOOKUP(B49,CHOOSE(MATCH(C49,Settings!$L$4:$L$10,0),OPR_2P!$A$4:$I$18,SEG_6P!$A$4:$I$18,SOL_4P!$A$4:$I$18,RW_2P!$A$4:$I$18,RW2_4P!$A$4:$I$18,FLAP_4P!$A$4:$I$18,TUBE_4P!$A$4:$I$18),4,0),0))</f>
        <v>33</v>
      </c>
      <c r="L49" s="10">
        <f t="shared" si="0"/>
        <v>132</v>
      </c>
      <c r="M49" s="55">
        <f ca="1">IF($A49="","",IF(AND(ISNUMBER(G49),G49&gt;=J49,G49&lt;=(J49+(L49/(IF(F49="Contract Workman",Settings!$K$5,Settings!$K$4))))),J49+(L49/(IF(F49="Contract Workman",Settings!$K$5,Settings!$K$4)))+(H49/(IF(F49="Contract Workman",Settings!$K$5,Settings!$K$4))),J49+(L49/(IF(F49="Contract Workman",Settings!$K$5,Settings!$K$4)))))</f>
        <v>46181.439814814825</v>
      </c>
      <c r="N49" s="10" t="str">
        <f t="shared" ca="1" si="2"/>
        <v>Shift A</v>
      </c>
      <c r="O49" s="51" t="str">
        <f>IF(B49="","", IF(IFERROR(ISNUMBER(SEARCH(B49, VLOOKUP(E49, Machine_List!$B:$J, 9, 0))), FALSE()), "✅ Machine OK", "❌ Sug: " &amp; IFERROR(INDEX(Machine_List!$B$20:$B$49, MATCH("*"&amp;B49&amp;"*", Machine_List!$J$20:$J$49, 0)), "Check Limits")))</f>
        <v>✅ Machine OK</v>
      </c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O49" s="52"/>
      <c r="AP49" s="52"/>
      <c r="AQ49" s="52"/>
      <c r="AR49" s="52"/>
      <c r="AS49" s="52"/>
      <c r="AT49" s="52"/>
      <c r="AU49" s="52"/>
      <c r="AV49" s="52"/>
      <c r="AW49" s="52"/>
      <c r="AX49" s="52"/>
      <c r="AY49" s="52"/>
      <c r="AZ49" s="52"/>
      <c r="BA49" s="52"/>
      <c r="BB49" s="52"/>
      <c r="BC49" s="52"/>
      <c r="BD49" s="52"/>
      <c r="BE49" s="52"/>
      <c r="BF49" s="52"/>
      <c r="BG49" s="52"/>
      <c r="BH49" s="52"/>
      <c r="BI49" s="52"/>
      <c r="BJ49" s="52"/>
      <c r="BK49" s="52"/>
      <c r="BL49" s="52"/>
      <c r="BM49" s="52"/>
    </row>
    <row r="50" spans="1:65" ht="28.8" customHeight="1" x14ac:dyDescent="0.3">
      <c r="A50" s="10" t="str">
        <f>IF(Job_Master!A50="","",Job_Master!A50)</f>
        <v>BJ-150</v>
      </c>
      <c r="B50" s="10">
        <f>IF($A50="","",Job_Master!B50)</f>
        <v>34</v>
      </c>
      <c r="C50" s="10" t="str">
        <f>IF($A50="","",Job_Master!C50)</f>
        <v>SOL</v>
      </c>
      <c r="D50" s="10">
        <f>IF($A50="","",Job_Master!D50)</f>
        <v>4</v>
      </c>
      <c r="E50" s="48" t="str">
        <f>IF($A50="","","EDM-MC-09")</f>
        <v>EDM-MC-09</v>
      </c>
      <c r="F50" s="106" t="str">
        <f>IF($E50="","",IFERROR(VLOOKUP($E50,Machine_List!$B:$G,6,0),""))</f>
        <v>General Workman</v>
      </c>
      <c r="G50" s="53">
        <f>IF($E50="","",IFERROR(VLOOKUP($E50,Machine_List!$B:$C,2,0),""))</f>
        <v>46237</v>
      </c>
      <c r="H50" s="10">
        <f>IF($E50="","",IFERROR(VLOOKUP($E50,Machine_List!$B:$D,3,0),""))</f>
        <v>6</v>
      </c>
      <c r="I50" s="54"/>
      <c r="J50" s="55">
        <f ca="1">IF($A50="","",IF($I50&lt;&gt;"",$I50,MAX(MAX(SPM_Plan!$M50,CARVING_Plan!$M50),IFERROR(LOOKUP(2,1/($E$3:INDIRECT("E"&amp;(ROW()-1))=$E50),$M$3:INDIRECT("M"&amp;(ROW()-1))),MAX(SPM_Plan!$M50,CARVING_Plan!$M50)))))</f>
        <v>46187.365740740752</v>
      </c>
      <c r="K50" s="10">
        <f>IF($A50="","",IFERROR(VLOOKUP(B50,CHOOSE(MATCH(C50,Settings!$L$4:$L$10,0),OPR_2P!$A$4:$I$18,SEG_6P!$A$4:$I$18,SOL_4P!$A$4:$I$18,RW_2P!$A$4:$I$18,RW2_4P!$A$4:$I$18,FLAP_4P!$A$4:$I$18,TUBE_4P!$A$4:$I$18),4,0),0))</f>
        <v>33</v>
      </c>
      <c r="L50" s="10">
        <f t="shared" si="0"/>
        <v>132</v>
      </c>
      <c r="M50" s="55">
        <f ca="1">IF($A50="","",IF(AND(ISNUMBER(G50),G50&gt;=J50,G50&lt;=(J50+(L50/(IF(F50="Contract Workman",Settings!$K$5,Settings!$K$4))))),J50+(L50/(IF(F50="Contract Workman",Settings!$K$5,Settings!$K$4)))+(H50/(IF(F50="Contract Workman",Settings!$K$5,Settings!$K$4))),J50+(L50/(IF(F50="Contract Workman",Settings!$K$5,Settings!$K$4)))))</f>
        <v>46193.476851851861</v>
      </c>
      <c r="N50" s="10" t="str">
        <f t="shared" ca="1" si="2"/>
        <v>Shift A</v>
      </c>
      <c r="O50" s="51" t="str">
        <f>IF(B50="","", IF(IFERROR(ISNUMBER(SEARCH(B50, VLOOKUP(E50, Machine_List!$B:$J, 9, 0))), FALSE()), "✅ Machine OK", "❌ Sug: " &amp; IFERROR(INDEX(Machine_List!$B$20:$B$49, MATCH("*"&amp;B50&amp;"*", Machine_List!$J$20:$J$49, 0)), "Check Limits")))</f>
        <v>✅ Machine OK</v>
      </c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  <c r="AK50" s="52"/>
      <c r="AL50" s="52"/>
      <c r="AM50" s="52"/>
      <c r="AN50" s="52"/>
      <c r="AO50" s="52"/>
      <c r="AP50" s="52"/>
      <c r="AQ50" s="52"/>
      <c r="AR50" s="52"/>
      <c r="AS50" s="52"/>
      <c r="AT50" s="52"/>
      <c r="AU50" s="52"/>
      <c r="AV50" s="52"/>
      <c r="AW50" s="52"/>
      <c r="AX50" s="52"/>
      <c r="AY50" s="52"/>
      <c r="AZ50" s="52"/>
      <c r="BA50" s="52"/>
      <c r="BB50" s="52"/>
      <c r="BC50" s="52"/>
      <c r="BD50" s="52"/>
      <c r="BE50" s="52"/>
      <c r="BF50" s="52"/>
      <c r="BG50" s="52"/>
      <c r="BH50" s="52"/>
      <c r="BI50" s="52"/>
      <c r="BJ50" s="52"/>
      <c r="BK50" s="52"/>
      <c r="BL50" s="52"/>
      <c r="BM50" s="52"/>
    </row>
    <row r="51" spans="1:65" ht="28.8" customHeight="1" x14ac:dyDescent="0.3">
      <c r="A51" s="10" t="str">
        <f>IF(Job_Master!A51="","",Job_Master!A51)</f>
        <v>BJ-151</v>
      </c>
      <c r="B51" s="10">
        <f>IF($A51="","",Job_Master!B51)</f>
        <v>25</v>
      </c>
      <c r="C51" s="10" t="str">
        <f>IF($A51="","",Job_Master!C51)</f>
        <v>SOL</v>
      </c>
      <c r="D51" s="10">
        <f>IF($A51="","",Job_Master!D51)</f>
        <v>4</v>
      </c>
      <c r="E51" s="48" t="str">
        <f>IF($A51="","","EDM-MC-01")</f>
        <v>EDM-MC-01</v>
      </c>
      <c r="F51" s="106" t="str">
        <f>IF($E51="","",IFERROR(VLOOKUP($E51,Machine_List!$B:$G,6,0),""))</f>
        <v>General Workman</v>
      </c>
      <c r="G51" s="53">
        <f>IF($E51="","",IFERROR(VLOOKUP($E51,Machine_List!$B:$C,2,0),""))</f>
        <v>46092</v>
      </c>
      <c r="H51" s="10">
        <f>IF($E51="","",IFERROR(VLOOKUP($E51,Machine_List!$B:$D,3,0),""))</f>
        <v>6</v>
      </c>
      <c r="I51" s="54"/>
      <c r="J51" s="55">
        <f ca="1">IF($A51="","",IF($I51&lt;&gt;"",$I51,MAX(MAX(SPM_Plan!$M51,CARVING_Plan!$M51),IFERROR(LOOKUP(2,1/($E$3:INDIRECT("E"&amp;(ROW()-1))=$E51),$M$3:INDIRECT("M"&amp;(ROW()-1))),MAX(SPM_Plan!$M51,CARVING_Plan!$M51)))))</f>
        <v>46166.162037037051</v>
      </c>
      <c r="K51" s="10">
        <f>IF($A51="","",IFERROR(VLOOKUP(B51,CHOOSE(MATCH(C51,Settings!$L$4:$L$10,0),OPR_2P!$A$4:$I$18,SEG_6P!$A$4:$I$18,SOL_4P!$A$4:$I$18,RW_2P!$A$4:$I$18,RW2_4P!$A$4:$I$18,FLAP_4P!$A$4:$I$18,TUBE_4P!$A$4:$I$18),4,0),0))</f>
        <v>36</v>
      </c>
      <c r="L51" s="10">
        <f t="shared" si="0"/>
        <v>144</v>
      </c>
      <c r="M51" s="55">
        <f ca="1">IF($A51="","",IF(AND(ISNUMBER(G51),G51&gt;=J51,G51&lt;=(J51+(L51/(IF(F51="Contract Workman",Settings!$K$5,Settings!$K$4))))),J51+(L51/(IF(F51="Contract Workman",Settings!$K$5,Settings!$K$4)))+(H51/(IF(F51="Contract Workman",Settings!$K$5,Settings!$K$4))),J51+(L51/(IF(F51="Contract Workman",Settings!$K$5,Settings!$K$4)))))</f>
        <v>46172.828703703715</v>
      </c>
      <c r="N51" s="10" t="str">
        <f t="shared" ca="1" si="2"/>
        <v>Shift B</v>
      </c>
      <c r="O51" s="51" t="str">
        <f>IF(B51="","", IF(IFERROR(ISNUMBER(SEARCH(B51, VLOOKUP(E51, Machine_List!$B:$J, 9, 0))), FALSE()), "✅ Machine OK", "❌ Sug: " &amp; IFERROR(INDEX(Machine_List!$B$20:$B$49, MATCH("*"&amp;B51&amp;"*", Machine_List!$J$20:$J$49, 0)), "Check Limits")))</f>
        <v>✅ Machine OK</v>
      </c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L51" s="52"/>
      <c r="AM51" s="52"/>
      <c r="AN51" s="52"/>
      <c r="AO51" s="52"/>
      <c r="AP51" s="52"/>
      <c r="AQ51" s="52"/>
      <c r="AR51" s="52"/>
      <c r="AS51" s="52"/>
      <c r="AT51" s="52"/>
      <c r="AU51" s="52"/>
      <c r="AV51" s="52"/>
      <c r="AW51" s="52"/>
      <c r="AX51" s="52"/>
      <c r="AY51" s="52"/>
      <c r="AZ51" s="52"/>
      <c r="BA51" s="52"/>
      <c r="BB51" s="52"/>
      <c r="BC51" s="52"/>
      <c r="BD51" s="52"/>
      <c r="BE51" s="52"/>
      <c r="BF51" s="52"/>
      <c r="BG51" s="52"/>
      <c r="BH51" s="52"/>
      <c r="BI51" s="52"/>
      <c r="BJ51" s="52"/>
      <c r="BK51" s="52"/>
      <c r="BL51" s="52"/>
      <c r="BM51" s="52"/>
    </row>
    <row r="52" spans="1:65" ht="28.8" customHeight="1" x14ac:dyDescent="0.3">
      <c r="A52" s="10" t="str">
        <f>IF(Job_Master!A52="","",Job_Master!A52)</f>
        <v>BJ-152</v>
      </c>
      <c r="B52" s="10">
        <f>IF($A52="","",Job_Master!B52)</f>
        <v>34</v>
      </c>
      <c r="C52" s="10" t="str">
        <f>IF($A52="","",Job_Master!C52)</f>
        <v>2P</v>
      </c>
      <c r="D52" s="10">
        <f>IF($A52="","",Job_Master!D52)</f>
        <v>2</v>
      </c>
      <c r="E52" s="48" t="str">
        <f>IF($A52="","","EDM-MC-10")</f>
        <v>EDM-MC-10</v>
      </c>
      <c r="F52" s="106" t="str">
        <f>IF($E52="","",IFERROR(VLOOKUP($E52,Machine_List!$B:$G,6,0),""))</f>
        <v>General Workman</v>
      </c>
      <c r="G52" s="53">
        <f>IF($E52="","",IFERROR(VLOOKUP($E52,Machine_List!$B:$C,2,0),""))</f>
        <v>46503</v>
      </c>
      <c r="H52" s="10">
        <f>IF($E52="","",IFERROR(VLOOKUP($E52,Machine_List!$B:$D,3,0),""))</f>
        <v>6</v>
      </c>
      <c r="I52" s="54"/>
      <c r="J52" s="55">
        <f ca="1">IF($A52="","",IF($I52&lt;&gt;"",$I52,MAX(MAX(SPM_Plan!$M52,CARVING_Plan!$M52),IFERROR(LOOKUP(2,1/($E$3:INDIRECT("E"&amp;(ROW()-1))=$E52),$M$3:INDIRECT("M"&amp;(ROW()-1))),MAX(SPM_Plan!$M52,CARVING_Plan!$M52)))))</f>
        <v>46177.365740740752</v>
      </c>
      <c r="K52" s="10">
        <f>IF($A52="","",IFERROR(VLOOKUP(B52,CHOOSE(MATCH(C52,Settings!$L$4:$L$10,0),OPR_2P!$A$4:$I$18,SEG_6P!$A$4:$I$18,SOL_4P!$A$4:$I$18,RW_2P!$A$4:$I$18,RW2_4P!$A$4:$I$18,FLAP_4P!$A$4:$I$18,TUBE_4P!$A$4:$I$18),4,0),0))</f>
        <v>54</v>
      </c>
      <c r="L52" s="10">
        <f t="shared" si="0"/>
        <v>108</v>
      </c>
      <c r="M52" s="55">
        <f ca="1">IF($A52="","",IF(AND(ISNUMBER(G52),G52&gt;=J52,G52&lt;=(J52+(L52/(IF(F52="Contract Workman",Settings!$K$5,Settings!$K$4))))),J52+(L52/(IF(F52="Contract Workman",Settings!$K$5,Settings!$K$4)))+(H52/(IF(F52="Contract Workman",Settings!$K$5,Settings!$K$4))),J52+(L52/(IF(F52="Contract Workman",Settings!$K$5,Settings!$K$4)))))</f>
        <v>46182.365740740752</v>
      </c>
      <c r="N52" s="10" t="str">
        <f t="shared" ca="1" si="2"/>
        <v>Shift A</v>
      </c>
      <c r="O52" s="51" t="str">
        <f>IF(B52="","", IF(IFERROR(ISNUMBER(SEARCH(B52, VLOOKUP(E52, Machine_List!$B:$J, 9, 0))), FALSE()), "✅ Machine OK", "❌ Sug: " &amp; IFERROR(INDEX(Machine_List!$B$20:$B$49, MATCH("*"&amp;B52&amp;"*", Machine_List!$J$20:$J$49, 0)), "Check Limits")))</f>
        <v>✅ Machine OK</v>
      </c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  <c r="AK52" s="52"/>
      <c r="AL52" s="52"/>
      <c r="AM52" s="52"/>
      <c r="AN52" s="52"/>
      <c r="AO52" s="52"/>
      <c r="AP52" s="52"/>
      <c r="AQ52" s="52"/>
      <c r="AR52" s="52"/>
      <c r="AS52" s="52"/>
      <c r="AT52" s="52"/>
      <c r="AU52" s="52"/>
      <c r="AV52" s="52"/>
      <c r="AW52" s="52"/>
      <c r="AX52" s="52"/>
      <c r="AY52" s="52"/>
      <c r="AZ52" s="52"/>
      <c r="BA52" s="52"/>
      <c r="BB52" s="52"/>
      <c r="BC52" s="52"/>
      <c r="BD52" s="52"/>
      <c r="BE52" s="52"/>
      <c r="BF52" s="52"/>
      <c r="BG52" s="52"/>
      <c r="BH52" s="52"/>
      <c r="BI52" s="52"/>
      <c r="BJ52" s="52"/>
      <c r="BK52" s="52"/>
      <c r="BL52" s="52"/>
      <c r="BM52" s="52"/>
    </row>
    <row r="53" spans="1:65" ht="28.8" customHeight="1" x14ac:dyDescent="0.3">
      <c r="A53" s="10" t="str">
        <f>IF(Job_Master!A53="","",Job_Master!A53)</f>
        <v>BJ-143</v>
      </c>
      <c r="B53" s="10">
        <f>IF($A53="","",Job_Master!B53)</f>
        <v>17</v>
      </c>
      <c r="C53" s="10" t="str">
        <f>IF($A53="","",Job_Master!C53)</f>
        <v>SOL</v>
      </c>
      <c r="D53" s="10">
        <f>IF($A53="","",Job_Master!D53)</f>
        <v>4</v>
      </c>
      <c r="E53" s="48" t="str">
        <f>IF($A53="","","EDM-MC-02")</f>
        <v>EDM-MC-02</v>
      </c>
      <c r="F53" s="106" t="str">
        <f>IF($E53="","",IFERROR(VLOOKUP($E53,Machine_List!$B:$G,6,0),""))</f>
        <v>General Workman</v>
      </c>
      <c r="G53" s="53">
        <f>IF($E53="","",IFERROR(VLOOKUP($E53,Machine_List!$B:$C,2,0),""))</f>
        <v>46160</v>
      </c>
      <c r="H53" s="10">
        <f>IF($E53="","",IFERROR(VLOOKUP($E53,Machine_List!$B:$D,3,0),""))</f>
        <v>6</v>
      </c>
      <c r="I53" s="54"/>
      <c r="J53" s="55">
        <f ca="1">IF($A53="","",IF($I53&lt;&gt;"",$I53,MAX(MAX(SPM_Plan!$M53,CARVING_Plan!$M53),IFERROR(LOOKUP(2,1/($E$3:INDIRECT("E"&amp;(ROW()-1))=$E53),$M$3:INDIRECT("M"&amp;(ROW()-1))),MAX(SPM_Plan!$M53,CARVING_Plan!$M53)))))</f>
        <v>46168.56944444446</v>
      </c>
      <c r="K53" s="10">
        <f>IF($A53="","",IFERROR(VLOOKUP(B53,CHOOSE(MATCH(C53,Settings!$L$4:$L$10,0),OPR_2P!$A$4:$I$18,SEG_6P!$A$4:$I$18,SOL_4P!$A$4:$I$18,RW_2P!$A$4:$I$18,RW2_4P!$A$4:$I$18,FLAP_4P!$A$4:$I$18,TUBE_4P!$A$4:$I$18),4,0),0))</f>
        <v>11</v>
      </c>
      <c r="L53" s="10">
        <f t="shared" si="0"/>
        <v>44</v>
      </c>
      <c r="M53" s="55">
        <f ca="1">IF($A53="","",IF(AND(ISNUMBER(G53),G53&gt;=J53,G53&lt;=(J53+(L53/(IF(F53="Contract Workman",Settings!$K$5,Settings!$K$4))))),J53+(L53/(IF(F53="Contract Workman",Settings!$K$5,Settings!$K$4)))+(H53/(IF(F53="Contract Workman",Settings!$K$5,Settings!$K$4))),J53+(L53/(IF(F53="Contract Workman",Settings!$K$5,Settings!$K$4)))))</f>
        <v>46170.606481481496</v>
      </c>
      <c r="N53" s="10" t="str">
        <f t="shared" ca="1" si="2"/>
        <v>Shift A</v>
      </c>
      <c r="O53" s="51" t="str">
        <f>IF(B53="","", IF(IFERROR(ISNUMBER(SEARCH(B53, VLOOKUP(E53, Machine_List!$B:$J, 9, 0))), FALSE()), "✅ Machine OK", "❌ Sug: " &amp; IFERROR(INDEX(Machine_List!$B$20:$B$49, MATCH("*"&amp;B53&amp;"*", Machine_List!$J$20:$J$49, 0)), "Check Limits")))</f>
        <v>✅ Machine OK</v>
      </c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52"/>
      <c r="AN53" s="52"/>
      <c r="AO53" s="52"/>
      <c r="AP53" s="52"/>
      <c r="AQ53" s="52"/>
      <c r="AR53" s="52"/>
      <c r="AS53" s="52"/>
      <c r="AT53" s="52"/>
      <c r="AU53" s="52"/>
      <c r="AV53" s="52"/>
      <c r="AW53" s="52"/>
      <c r="AX53" s="52"/>
      <c r="AY53" s="52"/>
      <c r="AZ53" s="52"/>
      <c r="BA53" s="52"/>
      <c r="BB53" s="52"/>
      <c r="BC53" s="52"/>
      <c r="BD53" s="52"/>
      <c r="BE53" s="52"/>
      <c r="BF53" s="52"/>
      <c r="BG53" s="52"/>
      <c r="BH53" s="52"/>
      <c r="BI53" s="52"/>
      <c r="BJ53" s="52"/>
      <c r="BK53" s="52"/>
      <c r="BL53" s="52"/>
      <c r="BM53" s="52"/>
    </row>
    <row r="54" spans="1:65" ht="28.8" customHeight="1" x14ac:dyDescent="0.3">
      <c r="A54" s="10" t="str">
        <f>IF(Job_Master!A54="","",Job_Master!A54)</f>
        <v>BJ-154</v>
      </c>
      <c r="B54" s="10">
        <f>IF($A54="","",Job_Master!B54)</f>
        <v>25</v>
      </c>
      <c r="C54" s="10" t="str">
        <f>IF($A54="","",Job_Master!C54)</f>
        <v>RW</v>
      </c>
      <c r="D54" s="10">
        <f>IF($A54="","",Job_Master!D54)</f>
        <v>2</v>
      </c>
      <c r="E54" s="48" t="str">
        <f>IF($A54="","","EDM-MC-01")</f>
        <v>EDM-MC-01</v>
      </c>
      <c r="F54" s="106" t="str">
        <f>IF($E54="","",IFERROR(VLOOKUP($E54,Machine_List!$B:$G,6,0),""))</f>
        <v>General Workman</v>
      </c>
      <c r="G54" s="53">
        <f>IF($E54="","",IFERROR(VLOOKUP($E54,Machine_List!$B:$C,2,0),""))</f>
        <v>46092</v>
      </c>
      <c r="H54" s="10">
        <f>IF($E54="","",IFERROR(VLOOKUP($E54,Machine_List!$B:$D,3,0),""))</f>
        <v>6</v>
      </c>
      <c r="I54" s="54"/>
      <c r="J54" s="55">
        <f ca="1">IF($A54="","",IF($I54&lt;&gt;"",$I54,MAX(MAX(SPM_Plan!$M54,CARVING_Plan!$M54),IFERROR(LOOKUP(2,1/($E$3:INDIRECT("E"&amp;(ROW()-1))=$E54),$M$3:INDIRECT("M"&amp;(ROW()-1))),MAX(SPM_Plan!$M54,CARVING_Plan!$M54)))))</f>
        <v>46172.828703703715</v>
      </c>
      <c r="K54" s="10">
        <f>IF($A54="","",IFERROR(VLOOKUP(B54,CHOOSE(MATCH(C54,Settings!$L$4:$L$10,0),OPR_2P!$A$4:$I$18,SEG_6P!$A$4:$I$18,SOL_4P!$A$4:$I$18,RW_2P!$A$4:$I$18,RW2_4P!$A$4:$I$18,FLAP_4P!$A$4:$I$18,TUBE_4P!$A$4:$I$18),4,0),0))</f>
        <v>35</v>
      </c>
      <c r="L54" s="10">
        <f t="shared" si="0"/>
        <v>70</v>
      </c>
      <c r="M54" s="55">
        <f ca="1">IF($A54="","",IF(AND(ISNUMBER(G54),G54&gt;=J54,G54&lt;=(J54+(L54/(IF(F54="Contract Workman",Settings!$K$5,Settings!$K$4))))),J54+(L54/(IF(F54="Contract Workman",Settings!$K$5,Settings!$K$4)))+(H54/(IF(F54="Contract Workman",Settings!$K$5,Settings!$K$4))),J54+(L54/(IF(F54="Contract Workman",Settings!$K$5,Settings!$K$4)))))</f>
        <v>46176.069444444453</v>
      </c>
      <c r="N54" s="10" t="str">
        <f t="shared" ca="1" si="2"/>
        <v>Shift C</v>
      </c>
      <c r="O54" s="51" t="str">
        <f>IF(B54="","", IF(IFERROR(ISNUMBER(SEARCH(B54, VLOOKUP(E54, Machine_List!$B:$J, 9, 0))), FALSE()), "✅ Machine OK", "❌ Sug: " &amp; IFERROR(INDEX(Machine_List!$B$20:$B$49, MATCH("*"&amp;B54&amp;"*", Machine_List!$J$20:$J$49, 0)), "Check Limits")))</f>
        <v>✅ Machine OK</v>
      </c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  <c r="AK54" s="52"/>
      <c r="AL54" s="52"/>
      <c r="AM54" s="52"/>
      <c r="AN54" s="52"/>
      <c r="AO54" s="52"/>
      <c r="AP54" s="52"/>
      <c r="AQ54" s="52"/>
      <c r="AR54" s="52"/>
      <c r="AS54" s="52"/>
      <c r="AT54" s="52"/>
      <c r="AU54" s="52"/>
      <c r="AV54" s="52"/>
      <c r="AW54" s="52"/>
      <c r="AX54" s="52"/>
      <c r="AY54" s="52"/>
      <c r="AZ54" s="52"/>
      <c r="BA54" s="52"/>
      <c r="BB54" s="52"/>
      <c r="BC54" s="52"/>
      <c r="BD54" s="52"/>
      <c r="BE54" s="52"/>
      <c r="BF54" s="52"/>
      <c r="BG54" s="52"/>
      <c r="BH54" s="52"/>
      <c r="BI54" s="52"/>
      <c r="BJ54" s="52"/>
      <c r="BK54" s="52"/>
      <c r="BL54" s="52"/>
      <c r="BM54" s="52"/>
    </row>
    <row r="55" spans="1:65" ht="28.8" customHeight="1" x14ac:dyDescent="0.3">
      <c r="A55" s="10" t="str">
        <f>IF(Job_Master!A55="","",Job_Master!A55)</f>
        <v>BJ-156</v>
      </c>
      <c r="B55" s="10">
        <f>IF($A55="","",Job_Master!B55)</f>
        <v>25</v>
      </c>
      <c r="C55" s="10" t="str">
        <f>IF($A55="","",Job_Master!C55)</f>
        <v>2P</v>
      </c>
      <c r="D55" s="10">
        <f>IF($A55="","",Job_Master!D55)</f>
        <v>2</v>
      </c>
      <c r="E55" s="48" t="str">
        <f>IF($A55="","","EDM-MC-02")</f>
        <v>EDM-MC-02</v>
      </c>
      <c r="F55" s="106" t="str">
        <f>IF($E55="","",IFERROR(VLOOKUP($E55,Machine_List!$B:$G,6,0),""))</f>
        <v>General Workman</v>
      </c>
      <c r="G55" s="53">
        <f>IF($E55="","",IFERROR(VLOOKUP($E55,Machine_List!$B:$C,2,0),""))</f>
        <v>46160</v>
      </c>
      <c r="H55" s="10">
        <f>IF($E55="","",IFERROR(VLOOKUP($E55,Machine_List!$B:$D,3,0),""))</f>
        <v>6</v>
      </c>
      <c r="I55" s="54"/>
      <c r="J55" s="55">
        <f ca="1">IF($A55="","",IF($I55&lt;&gt;"",$I55,MAX(MAX(SPM_Plan!$M55,CARVING_Plan!$M55),IFERROR(LOOKUP(2,1/($E$3:INDIRECT("E"&amp;(ROW()-1))=$E55),$M$3:INDIRECT("M"&amp;(ROW()-1))),MAX(SPM_Plan!$M55,CARVING_Plan!$M55)))))</f>
        <v>46174.680555555577</v>
      </c>
      <c r="K55" s="10">
        <f>IF($A55="","",IFERROR(VLOOKUP(B55,CHOOSE(MATCH(C55,Settings!$L$4:$L$10,0),OPR_2P!$A$4:$I$18,SEG_6P!$A$4:$I$18,SOL_4P!$A$4:$I$18,RW_2P!$A$4:$I$18,RW2_4P!$A$4:$I$18,FLAP_4P!$A$4:$I$18,TUBE_4P!$A$4:$I$18),4,0),0))</f>
        <v>24</v>
      </c>
      <c r="L55" s="10">
        <f t="shared" si="0"/>
        <v>48</v>
      </c>
      <c r="M55" s="55">
        <f ca="1">IF($A55="","",IF(AND(ISNUMBER(G55),G55&gt;=J55,G55&lt;=(J55+(L55/(IF(F55="Contract Workman",Settings!$K$5,Settings!$K$4))))),J55+(L55/(IF(F55="Contract Workman",Settings!$K$5,Settings!$K$4)))+(H55/(IF(F55="Contract Workman",Settings!$K$5,Settings!$K$4))),J55+(L55/(IF(F55="Contract Workman",Settings!$K$5,Settings!$K$4)))))</f>
        <v>46176.902777777796</v>
      </c>
      <c r="N55" s="10" t="str">
        <f t="shared" ca="1" si="2"/>
        <v>Shift B</v>
      </c>
      <c r="O55" s="51" t="str">
        <f>IF(B55="","", IF(IFERROR(ISNUMBER(SEARCH(B55, VLOOKUP(E55, Machine_List!$B:$J, 9, 0))), FALSE()), "✅ Machine OK", "❌ Sug: " &amp; IFERROR(INDEX(Machine_List!$B$20:$B$49, MATCH("*"&amp;B55&amp;"*", Machine_List!$J$20:$J$49, 0)), "Check Limits")))</f>
        <v>✅ Machine OK</v>
      </c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  <c r="AK55" s="52"/>
      <c r="AL55" s="52"/>
      <c r="AM55" s="52"/>
      <c r="AN55" s="52"/>
      <c r="AO55" s="52"/>
      <c r="AP55" s="52"/>
      <c r="AQ55" s="52"/>
      <c r="AR55" s="52"/>
      <c r="AS55" s="52"/>
      <c r="AT55" s="52"/>
      <c r="AU55" s="52"/>
      <c r="AV55" s="52"/>
      <c r="AW55" s="52"/>
      <c r="AX55" s="52"/>
      <c r="AY55" s="52"/>
      <c r="AZ55" s="52"/>
      <c r="BA55" s="52"/>
      <c r="BB55" s="52"/>
      <c r="BC55" s="52"/>
      <c r="BD55" s="52"/>
      <c r="BE55" s="52"/>
      <c r="BF55" s="52"/>
      <c r="BG55" s="52"/>
      <c r="BH55" s="52"/>
      <c r="BI55" s="52"/>
      <c r="BJ55" s="52"/>
      <c r="BK55" s="52"/>
      <c r="BL55" s="52"/>
      <c r="BM55" s="52"/>
    </row>
    <row r="56" spans="1:65" ht="28.8" customHeight="1" x14ac:dyDescent="0.3">
      <c r="A56" s="10" t="str">
        <f>IF(Job_Master!A56="","",Job_Master!A56)</f>
        <v>BJ-145</v>
      </c>
      <c r="B56" s="10">
        <f>IF($A56="","",Job_Master!B56)</f>
        <v>15</v>
      </c>
      <c r="C56" s="10" t="str">
        <f>IF($A56="","",Job_Master!C56)</f>
        <v>2P</v>
      </c>
      <c r="D56" s="10">
        <f>IF($A56="","",Job_Master!D56)</f>
        <v>2</v>
      </c>
      <c r="E56" s="48" t="str">
        <f>IF($A56="","","EDM-MC-01")</f>
        <v>EDM-MC-01</v>
      </c>
      <c r="F56" s="106" t="str">
        <f>IF($E56="","",IFERROR(VLOOKUP($E56,Machine_List!$B:$G,6,0),""))</f>
        <v>General Workman</v>
      </c>
      <c r="G56" s="53">
        <f>IF($E56="","",IFERROR(VLOOKUP($E56,Machine_List!$B:$C,2,0),""))</f>
        <v>46092</v>
      </c>
      <c r="H56" s="10">
        <f>IF($E56="","",IFERROR(VLOOKUP($E56,Machine_List!$B:$D,3,0),""))</f>
        <v>6</v>
      </c>
      <c r="I56" s="54"/>
      <c r="J56" s="55">
        <f ca="1">IF($A56="","",IF($I56&lt;&gt;"",$I56,MAX(MAX(SPM_Plan!$M56,CARVING_Plan!$M56),IFERROR(LOOKUP(2,1/($E$3:INDIRECT("E"&amp;(ROW()-1))=$E56),$M$3:INDIRECT("M"&amp;(ROW()-1))),MAX(SPM_Plan!$M56,CARVING_Plan!$M56)))))</f>
        <v>46176.71759259262</v>
      </c>
      <c r="K56" s="10">
        <f>IF($A56="","",IFERROR(VLOOKUP(B56,CHOOSE(MATCH(C56,Settings!$L$4:$L$10,0),OPR_2P!$A$4:$I$18,SEG_6P!$A$4:$I$18,SOL_4P!$A$4:$I$18,RW_2P!$A$4:$I$18,RW2_4P!$A$4:$I$18,FLAP_4P!$A$4:$I$18,TUBE_4P!$A$4:$I$18),4,0),0))</f>
        <v>12</v>
      </c>
      <c r="L56" s="10">
        <f t="shared" si="0"/>
        <v>24</v>
      </c>
      <c r="M56" s="55">
        <f ca="1">IF($A56="","",IF(AND(ISNUMBER(G56),G56&gt;=J56,G56&lt;=(J56+(L56/(IF(F56="Contract Workman",Settings!$K$5,Settings!$K$4))))),J56+(L56/(IF(F56="Contract Workman",Settings!$K$5,Settings!$K$4)))+(H56/(IF(F56="Contract Workman",Settings!$K$5,Settings!$K$4))),J56+(L56/(IF(F56="Contract Workman",Settings!$K$5,Settings!$K$4)))))</f>
        <v>46177.82870370373</v>
      </c>
      <c r="N56" s="10" t="str">
        <f t="shared" ca="1" si="2"/>
        <v>Shift B</v>
      </c>
      <c r="O56" s="51" t="str">
        <f>IF(B56="","", IF(IFERROR(ISNUMBER(SEARCH(B56, VLOOKUP(E56, Machine_List!$B:$J, 9, 0))), FALSE()), "✅ Machine OK", "❌ Sug: " &amp; IFERROR(INDEX(Machine_List!$B$20:$B$49, MATCH("*"&amp;B56&amp;"*", Machine_List!$J$20:$J$49, 0)), "Check Limits")))</f>
        <v>✅ Machine OK</v>
      </c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  <c r="AK56" s="52"/>
      <c r="AL56" s="52"/>
      <c r="AM56" s="52"/>
      <c r="AN56" s="52"/>
      <c r="AO56" s="52"/>
      <c r="AP56" s="52"/>
      <c r="AQ56" s="52"/>
      <c r="AR56" s="52"/>
      <c r="AS56" s="52"/>
      <c r="AT56" s="52"/>
      <c r="AU56" s="52"/>
      <c r="AV56" s="52"/>
      <c r="AW56" s="52"/>
      <c r="AX56" s="52"/>
      <c r="AY56" s="52"/>
      <c r="AZ56" s="52"/>
      <c r="BA56" s="52"/>
      <c r="BB56" s="52"/>
      <c r="BC56" s="52"/>
      <c r="BD56" s="52"/>
      <c r="BE56" s="52"/>
      <c r="BF56" s="52"/>
      <c r="BG56" s="52"/>
      <c r="BH56" s="52"/>
      <c r="BI56" s="52"/>
      <c r="BJ56" s="52"/>
      <c r="BK56" s="52"/>
      <c r="BL56" s="52"/>
      <c r="BM56" s="52"/>
    </row>
    <row r="57" spans="1:65" ht="28.8" customHeight="1" x14ac:dyDescent="0.3">
      <c r="A57" s="10" t="str">
        <f>IF(Job_Master!A57="","",Job_Master!A57)</f>
        <v>BJ-153</v>
      </c>
      <c r="B57" s="10">
        <f>IF($A57="","",Job_Master!B57)</f>
        <v>34</v>
      </c>
      <c r="C57" s="10" t="str">
        <f>IF($A57="","",Job_Master!C57)</f>
        <v>SEG</v>
      </c>
      <c r="D57" s="10">
        <f>IF($A57="","",Job_Master!D57)</f>
        <v>6</v>
      </c>
      <c r="E57" s="48" t="str">
        <f>IF($A57="","","EDM-MC-09")</f>
        <v>EDM-MC-09</v>
      </c>
      <c r="F57" s="106" t="str">
        <f>IF($E57="","",IFERROR(VLOOKUP($E57,Machine_List!$B:$G,6,0),""))</f>
        <v>General Workman</v>
      </c>
      <c r="G57" s="53">
        <f>IF($E57="","",IFERROR(VLOOKUP($E57,Machine_List!$B:$C,2,0),""))</f>
        <v>46237</v>
      </c>
      <c r="H57" s="10">
        <f>IF($E57="","",IFERROR(VLOOKUP($E57,Machine_List!$B:$D,3,0),""))</f>
        <v>6</v>
      </c>
      <c r="I57" s="54"/>
      <c r="J57" s="55">
        <f ca="1">IF($A57="","",IF($I57&lt;&gt;"",$I57,MAX(MAX(SPM_Plan!$M57,CARVING_Plan!$M57),IFERROR(LOOKUP(2,1/($E$3:INDIRECT("E"&amp;(ROW()-1))=$E57),$M$3:INDIRECT("M"&amp;(ROW()-1))),MAX(SPM_Plan!$M57,CARVING_Plan!$M57)))))</f>
        <v>46195.791666666679</v>
      </c>
      <c r="K57" s="10">
        <f>IF($A57="","",IFERROR(VLOOKUP(B57,CHOOSE(MATCH(C57,Settings!$L$4:$L$10,0),OPR_2P!$A$4:$I$18,SEG_6P!$A$4:$I$18,SOL_4P!$A$4:$I$18,RW_2P!$A$4:$I$18,RW2_4P!$A$4:$I$18,FLAP_4P!$A$4:$I$18,TUBE_4P!$A$4:$I$18),4,0),0))</f>
        <v>48</v>
      </c>
      <c r="L57" s="10">
        <f t="shared" si="0"/>
        <v>288</v>
      </c>
      <c r="M57" s="55">
        <f ca="1">IF($A57="","",IF(AND(ISNUMBER(G57),G57&gt;=J57,G57&lt;=(J57+(L57/(IF(F57="Contract Workman",Settings!$K$5,Settings!$K$4))))),J57+(L57/(IF(F57="Contract Workman",Settings!$K$5,Settings!$K$4)))+(H57/(IF(F57="Contract Workman",Settings!$K$5,Settings!$K$4))),J57+(L57/(IF(F57="Contract Workman",Settings!$K$5,Settings!$K$4)))))</f>
        <v>46209.125000000015</v>
      </c>
      <c r="N57" s="10" t="str">
        <f t="shared" ca="1" si="2"/>
        <v>Shift C</v>
      </c>
      <c r="O57" s="51" t="str">
        <f>IF(B57="","", IF(IFERROR(ISNUMBER(SEARCH(B57, VLOOKUP(E57, Machine_List!$B:$J, 9, 0))), FALSE()), "✅ Machine OK", "❌ Sug: " &amp; IFERROR(INDEX(Machine_List!$B$20:$B$49, MATCH("*"&amp;B57&amp;"*", Machine_List!$J$20:$J$49, 0)), "Check Limits")))</f>
        <v>✅ Machine OK</v>
      </c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  <c r="AK57" s="52"/>
      <c r="AL57" s="52"/>
      <c r="AM57" s="52"/>
      <c r="AN57" s="52"/>
      <c r="AO57" s="52"/>
      <c r="AP57" s="52"/>
      <c r="AQ57" s="52"/>
      <c r="AR57" s="52"/>
      <c r="AS57" s="52"/>
      <c r="AT57" s="52"/>
      <c r="AU57" s="52"/>
      <c r="AV57" s="52"/>
      <c r="AW57" s="52"/>
      <c r="AX57" s="52"/>
      <c r="AY57" s="52"/>
      <c r="AZ57" s="52"/>
      <c r="BA57" s="52"/>
      <c r="BB57" s="52"/>
      <c r="BC57" s="52"/>
      <c r="BD57" s="52"/>
      <c r="BE57" s="52"/>
      <c r="BF57" s="52"/>
      <c r="BG57" s="52"/>
      <c r="BH57" s="52"/>
      <c r="BI57" s="52"/>
      <c r="BJ57" s="52"/>
      <c r="BK57" s="52"/>
      <c r="BL57" s="52"/>
      <c r="BM57" s="52"/>
    </row>
    <row r="58" spans="1:65" ht="28.8" customHeight="1" x14ac:dyDescent="0.3">
      <c r="A58" s="10" t="str">
        <f>IF(Job_Master!A58="","",Job_Master!A58)</f>
        <v>BJ-160</v>
      </c>
      <c r="B58" s="10">
        <f>IF($A58="","",Job_Master!B58)</f>
        <v>34</v>
      </c>
      <c r="C58" s="10" t="str">
        <f>IF($A58="","",Job_Master!C58)</f>
        <v>2P</v>
      </c>
      <c r="D58" s="10">
        <f>IF($A58="","",Job_Master!D58)</f>
        <v>2</v>
      </c>
      <c r="E58" s="48" t="str">
        <f>IF($A58="","","EDM-MC-10")</f>
        <v>EDM-MC-10</v>
      </c>
      <c r="F58" s="106" t="str">
        <f>IF($E58="","",IFERROR(VLOOKUP($E58,Machine_List!$B:$G,6,0),""))</f>
        <v>General Workman</v>
      </c>
      <c r="G58" s="53">
        <f>IF($E58="","",IFERROR(VLOOKUP($E58,Machine_List!$B:$C,2,0),""))</f>
        <v>46503</v>
      </c>
      <c r="H58" s="10">
        <f>IF($E58="","",IFERROR(VLOOKUP($E58,Machine_List!$B:$D,3,0),""))</f>
        <v>6</v>
      </c>
      <c r="I58" s="54"/>
      <c r="J58" s="55">
        <f ca="1">IF($A58="","",IF($I58&lt;&gt;"",$I58,MAX(MAX(SPM_Plan!$M58,CARVING_Plan!$M58),IFERROR(LOOKUP(2,1/($E$3:INDIRECT("E"&amp;(ROW()-1))=$E58),$M$3:INDIRECT("M"&amp;(ROW()-1))),MAX(SPM_Plan!$M58,CARVING_Plan!$M58)))))</f>
        <v>46191.99537037038</v>
      </c>
      <c r="K58" s="10">
        <f>IF($A58="","",IFERROR(VLOOKUP(B58,CHOOSE(MATCH(C58,Settings!$L$4:$L$10,0),OPR_2P!$A$4:$I$18,SEG_6P!$A$4:$I$18,SOL_4P!$A$4:$I$18,RW_2P!$A$4:$I$18,RW2_4P!$A$4:$I$18,FLAP_4P!$A$4:$I$18,TUBE_4P!$A$4:$I$18),4,0),0))</f>
        <v>54</v>
      </c>
      <c r="L58" s="10">
        <f t="shared" si="0"/>
        <v>108</v>
      </c>
      <c r="M58" s="55">
        <f ca="1">IF($A58="","",IF(AND(ISNUMBER(G58),G58&gt;=J58,G58&lt;=(J58+(L58/(IF(F58="Contract Workman",Settings!$K$5,Settings!$K$4))))),J58+(L58/(IF(F58="Contract Workman",Settings!$K$5,Settings!$K$4)))+(H58/(IF(F58="Contract Workman",Settings!$K$5,Settings!$K$4))),J58+(L58/(IF(F58="Contract Workman",Settings!$K$5,Settings!$K$4)))))</f>
        <v>46196.99537037038</v>
      </c>
      <c r="N58" s="10" t="str">
        <f t="shared" ca="1" si="2"/>
        <v>Shift C</v>
      </c>
      <c r="O58" s="51" t="str">
        <f>IF(B58="","", IF(IFERROR(ISNUMBER(SEARCH(B58, VLOOKUP(E58, Machine_List!$B:$J, 9, 0))), FALSE()), "✅ Machine OK", "❌ Sug: " &amp; IFERROR(INDEX(Machine_List!$B$20:$B$49, MATCH("*"&amp;B58&amp;"*", Machine_List!$J$20:$J$49, 0)), "Check Limits")))</f>
        <v>✅ Machine OK</v>
      </c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52"/>
      <c r="AK58" s="52"/>
      <c r="AL58" s="52"/>
      <c r="AM58" s="52"/>
      <c r="AN58" s="52"/>
      <c r="AO58" s="52"/>
      <c r="AP58" s="52"/>
      <c r="AQ58" s="52"/>
      <c r="AR58" s="52"/>
      <c r="AS58" s="52"/>
      <c r="AT58" s="52"/>
      <c r="AU58" s="52"/>
      <c r="AV58" s="52"/>
      <c r="AW58" s="52"/>
      <c r="AX58" s="52"/>
      <c r="AY58" s="52"/>
      <c r="AZ58" s="52"/>
      <c r="BA58" s="52"/>
      <c r="BB58" s="52"/>
      <c r="BC58" s="52"/>
      <c r="BD58" s="52"/>
      <c r="BE58" s="52"/>
      <c r="BF58" s="52"/>
      <c r="BG58" s="52"/>
      <c r="BH58" s="52"/>
      <c r="BI58" s="52"/>
      <c r="BJ58" s="52"/>
      <c r="BK58" s="52"/>
      <c r="BL58" s="52"/>
      <c r="BM58" s="52"/>
    </row>
    <row r="59" spans="1:65" ht="28.8" customHeight="1" x14ac:dyDescent="0.3">
      <c r="A59" s="10" t="str">
        <f>IF(Job_Master!A59="","",Job_Master!A59)</f>
        <v>BJ-158</v>
      </c>
      <c r="B59" s="10">
        <f>IF($A59="","",Job_Master!B59)</f>
        <v>54</v>
      </c>
      <c r="C59" s="10" t="str">
        <f>IF($A59="","",Job_Master!C59)</f>
        <v>2P</v>
      </c>
      <c r="D59" s="10">
        <f>IF($A59="","",Job_Master!D59)</f>
        <v>2</v>
      </c>
      <c r="E59" s="48" t="str">
        <f>IF($A59="","","EDM-MC-16")</f>
        <v>EDM-MC-16</v>
      </c>
      <c r="F59" s="106" t="str">
        <f>IF($E59="","",IFERROR(VLOOKUP($E59,Machine_List!$B:$G,6,0),""))</f>
        <v>General Workman</v>
      </c>
      <c r="G59" s="53">
        <f>IF($E59="","",IFERROR(VLOOKUP($E59,Machine_List!$B:$C,2,0),""))</f>
        <v>46105</v>
      </c>
      <c r="H59" s="10">
        <f>IF($E59="","",IFERROR(VLOOKUP($E59,Machine_List!$B:$D,3,0),""))</f>
        <v>6</v>
      </c>
      <c r="I59" s="54"/>
      <c r="J59" s="55">
        <f ca="1">IF($A59="","",IF($I59&lt;&gt;"",$I59,MAX(MAX(SPM_Plan!$M59,CARVING_Plan!$M59),IFERROR(LOOKUP(2,1/($E$3:INDIRECT("E"&amp;(ROW()-1))=$E59),$M$3:INDIRECT("M"&amp;(ROW()-1))),MAX(SPM_Plan!$M59,CARVING_Plan!$M59)))))</f>
        <v>46209.310185185182</v>
      </c>
      <c r="K59" s="10">
        <f>IF($A59="","",IFERROR(VLOOKUP(B59,CHOOSE(MATCH(C59,Settings!$L$4:$L$10,0),OPR_2P!$A$4:$I$18,SEG_6P!$A$4:$I$18,SOL_4P!$A$4:$I$18,RW_2P!$A$4:$I$18,RW2_4P!$A$4:$I$18,FLAP_4P!$A$4:$I$18,TUBE_4P!$A$4:$I$18),4,0),0))</f>
        <v>92</v>
      </c>
      <c r="L59" s="10">
        <f t="shared" si="0"/>
        <v>184</v>
      </c>
      <c r="M59" s="55">
        <f ca="1">IF($A59="","",IF(AND(ISNUMBER(G59),G59&gt;=J59,G59&lt;=(J59+(L59/(IF(F59="Contract Workman",Settings!$K$5,Settings!$K$4))))),J59+(L59/(IF(F59="Contract Workman",Settings!$K$5,Settings!$K$4)))+(H59/(IF(F59="Contract Workman",Settings!$K$5,Settings!$K$4))),J59+(L59/(IF(F59="Contract Workman",Settings!$K$5,Settings!$K$4)))))</f>
        <v>46217.828703703701</v>
      </c>
      <c r="N59" s="10" t="str">
        <f t="shared" ca="1" si="2"/>
        <v>Shift B</v>
      </c>
      <c r="O59" s="51" t="str">
        <f>IF(B59="","", IF(IFERROR(ISNUMBER(SEARCH(B59, VLOOKUP(E59, Machine_List!$B:$J, 9, 0))), FALSE()), "✅ Machine OK", "❌ Sug: " &amp; IFERROR(INDEX(Machine_List!$B$20:$B$49, MATCH("*"&amp;B59&amp;"*", Machine_List!$J$20:$J$49, 0)), "Check Limits")))</f>
        <v>✅ Machine OK</v>
      </c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  <c r="AK59" s="52"/>
      <c r="AL59" s="52"/>
      <c r="AM59" s="52"/>
      <c r="AN59" s="52"/>
      <c r="AO59" s="52"/>
      <c r="AP59" s="52"/>
      <c r="AQ59" s="52"/>
      <c r="AR59" s="52"/>
      <c r="AS59" s="52"/>
      <c r="AT59" s="52"/>
      <c r="AU59" s="52"/>
      <c r="AV59" s="52"/>
      <c r="AW59" s="52"/>
      <c r="AX59" s="52"/>
      <c r="AY59" s="52"/>
      <c r="AZ59" s="52"/>
      <c r="BA59" s="52"/>
      <c r="BB59" s="52"/>
      <c r="BC59" s="52"/>
      <c r="BD59" s="52"/>
      <c r="BE59" s="52"/>
      <c r="BF59" s="52"/>
      <c r="BG59" s="52"/>
      <c r="BH59" s="52"/>
      <c r="BI59" s="52"/>
      <c r="BJ59" s="52"/>
      <c r="BK59" s="52"/>
      <c r="BL59" s="52"/>
      <c r="BM59" s="52"/>
    </row>
    <row r="60" spans="1:65" ht="28.8" customHeight="1" x14ac:dyDescent="0.3">
      <c r="A60" s="10" t="str">
        <f>IF(Job_Master!A60="","",Job_Master!A60)</f>
        <v>BJ-157</v>
      </c>
      <c r="B60" s="10">
        <f>IF($A60="","",Job_Master!B60)</f>
        <v>50</v>
      </c>
      <c r="C60" s="10" t="str">
        <f>IF($A60="","",Job_Master!C60)</f>
        <v>SEG</v>
      </c>
      <c r="D60" s="10">
        <f>IF($A60="","",Job_Master!D60)</f>
        <v>6</v>
      </c>
      <c r="E60" s="48" t="str">
        <f>IF($A60="","","EDM-MC-16")</f>
        <v>EDM-MC-16</v>
      </c>
      <c r="F60" s="106" t="str">
        <f>IF($E60="","",IFERROR(VLOOKUP($E60,Machine_List!$B:$G,6,0),""))</f>
        <v>General Workman</v>
      </c>
      <c r="G60" s="53">
        <f>IF($E60="","",IFERROR(VLOOKUP($E60,Machine_List!$B:$C,2,0),""))</f>
        <v>46105</v>
      </c>
      <c r="H60" s="10">
        <f>IF($E60="","",IFERROR(VLOOKUP($E60,Machine_List!$B:$D,3,0),""))</f>
        <v>6</v>
      </c>
      <c r="I60" s="54"/>
      <c r="J60" s="55">
        <f ca="1">IF($A60="","",IF($I60&lt;&gt;"",$I60,MAX(MAX(SPM_Plan!$M60,CARVING_Plan!$M60),IFERROR(LOOKUP(2,1/($E$3:INDIRECT("E"&amp;(ROW()-1))=$E60),$M$3:INDIRECT("M"&amp;(ROW()-1))),MAX(SPM_Plan!$M60,CARVING_Plan!$M60)))))</f>
        <v>46241.995370370365</v>
      </c>
      <c r="K60" s="10">
        <f>IF($A60="","",IFERROR(VLOOKUP(B60,CHOOSE(MATCH(C60,Settings!$L$4:$L$10,0),OPR_2P!$A$4:$I$18,SEG_6P!$A$4:$I$18,SOL_4P!$A$4:$I$18,RW_2P!$A$4:$I$18,RW2_4P!$A$4:$I$18,FLAP_4P!$A$4:$I$18,TUBE_4P!$A$4:$I$18),4,0),0))</f>
        <v>67</v>
      </c>
      <c r="L60" s="10">
        <f t="shared" si="0"/>
        <v>402</v>
      </c>
      <c r="M60" s="55">
        <f ca="1">IF($A60="","",IF(AND(ISNUMBER(G60),G60&gt;=J60,G60&lt;=(J60+(L60/(IF(F60="Contract Workman",Settings!$K$5,Settings!$K$4))))),J60+(L60/(IF(F60="Contract Workman",Settings!$K$5,Settings!$K$4)))+(H60/(IF(F60="Contract Workman",Settings!$K$5,Settings!$K$4))),J60+(L60/(IF(F60="Contract Workman",Settings!$K$5,Settings!$K$4)))))</f>
        <v>46260.606481481474</v>
      </c>
      <c r="N60" s="10" t="str">
        <f t="shared" ca="1" si="2"/>
        <v>Shift A</v>
      </c>
      <c r="O60" s="51" t="str">
        <f>IF(B60="","", IF(IFERROR(ISNUMBER(SEARCH(B60, VLOOKUP(E60, Machine_List!$B:$J, 9, 0))), FALSE()), "✅ Machine OK", "❌ Sug: " &amp; IFERROR(INDEX(Machine_List!$B$20:$B$49, MATCH("*"&amp;B60&amp;"*", Machine_List!$J$20:$J$49, 0)), "Check Limits")))</f>
        <v>✅ Machine OK</v>
      </c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52"/>
      <c r="AN60" s="52"/>
      <c r="AO60" s="52"/>
      <c r="AP60" s="52"/>
      <c r="AQ60" s="52"/>
      <c r="AR60" s="52"/>
      <c r="AS60" s="52"/>
      <c r="AT60" s="52"/>
      <c r="AU60" s="52"/>
      <c r="AV60" s="52"/>
      <c r="AW60" s="52"/>
      <c r="AX60" s="52"/>
      <c r="AY60" s="52"/>
      <c r="AZ60" s="52"/>
      <c r="BA60" s="52"/>
      <c r="BB60" s="52"/>
      <c r="BC60" s="52"/>
      <c r="BD60" s="52"/>
      <c r="BE60" s="52"/>
      <c r="BF60" s="52"/>
      <c r="BG60" s="52"/>
      <c r="BH60" s="52"/>
      <c r="BI60" s="52"/>
      <c r="BJ60" s="52"/>
      <c r="BK60" s="52"/>
      <c r="BL60" s="52"/>
      <c r="BM60" s="52"/>
    </row>
    <row r="61" spans="1:65" ht="28.8" customHeight="1" x14ac:dyDescent="0.3">
      <c r="A61" s="10" t="str">
        <f>IF(Job_Master!A61="","",Job_Master!A61)</f>
        <v>BJ-159</v>
      </c>
      <c r="B61" s="10">
        <f>IF($A61="","",Job_Master!B61)</f>
        <v>54</v>
      </c>
      <c r="C61" s="10" t="str">
        <f>IF($A61="","",Job_Master!C61)</f>
        <v>RW</v>
      </c>
      <c r="D61" s="10">
        <f>IF($A61="","",Job_Master!D61)</f>
        <v>2</v>
      </c>
      <c r="E61" s="48" t="str">
        <f>IF($A61="","","EDM-MC-18")</f>
        <v>EDM-MC-18</v>
      </c>
      <c r="F61" s="106" t="str">
        <f>IF($E61="","",IFERROR(VLOOKUP($E61,Machine_List!$B:$G,6,0),""))</f>
        <v>General Workman</v>
      </c>
      <c r="G61" s="53">
        <f>IF($E61="","",IFERROR(VLOOKUP($E61,Machine_List!$B:$C,2,0),""))</f>
        <v>46225</v>
      </c>
      <c r="H61" s="10">
        <f>IF($E61="","",IFERROR(VLOOKUP($E61,Machine_List!$B:$D,3,0),""))</f>
        <v>6</v>
      </c>
      <c r="I61" s="54"/>
      <c r="J61" s="55">
        <f ca="1">IF($A61="","",IF($I61&lt;&gt;"",$I61,MAX(MAX(SPM_Plan!$M61,CARVING_Plan!$M61),IFERROR(LOOKUP(2,1/($E$3:INDIRECT("E"&amp;(ROW()-1))=$E61),$M$3:INDIRECT("M"&amp;(ROW()-1))),MAX(SPM_Plan!$M61,CARVING_Plan!$M61)))))</f>
        <v>46204.032407407394</v>
      </c>
      <c r="K61" s="10">
        <f>IF($A61="","",IFERROR(VLOOKUP(B61,CHOOSE(MATCH(C61,Settings!$L$4:$L$10,0),OPR_2P!$A$4:$I$18,SEG_6P!$A$4:$I$18,SOL_4P!$A$4:$I$18,RW_2P!$A$4:$I$18,RW2_4P!$A$4:$I$18,FLAP_4P!$A$4:$I$18,TUBE_4P!$A$4:$I$18),4,0),0))</f>
        <v>76</v>
      </c>
      <c r="L61" s="10">
        <f t="shared" si="0"/>
        <v>152</v>
      </c>
      <c r="M61" s="55">
        <f ca="1">IF($A61="","",IF(AND(ISNUMBER(G61),G61&gt;=J61,G61&lt;=(J61+(L61/(IF(F61="Contract Workman",Settings!$K$5,Settings!$K$4))))),J61+(L61/(IF(F61="Contract Workman",Settings!$K$5,Settings!$K$4)))+(H61/(IF(F61="Contract Workman",Settings!$K$5,Settings!$K$4))),J61+(L61/(IF(F61="Contract Workman",Settings!$K$5,Settings!$K$4)))))</f>
        <v>46211.069444444431</v>
      </c>
      <c r="N61" s="10" t="str">
        <f t="shared" ca="1" si="2"/>
        <v>Shift C</v>
      </c>
      <c r="O61" s="51" t="str">
        <f>IF(B61="","", IF(IFERROR(ISNUMBER(SEARCH(B61, VLOOKUP(E61, Machine_List!$B:$J, 9, 0))), FALSE()), "✅ Machine OK", "❌ Sug: " &amp; IFERROR(INDEX(Machine_List!$B$20:$B$49, MATCH("*"&amp;B61&amp;"*", Machine_List!$J$20:$J$49, 0)), "Check Limits")))</f>
        <v>✅ Machine OK</v>
      </c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52"/>
      <c r="AG61" s="52"/>
      <c r="AH61" s="52"/>
      <c r="AI61" s="52"/>
      <c r="AJ61" s="52"/>
      <c r="AK61" s="52"/>
      <c r="AL61" s="52"/>
      <c r="AM61" s="52"/>
      <c r="AN61" s="52"/>
      <c r="AO61" s="52"/>
      <c r="AP61" s="52"/>
      <c r="AQ61" s="52"/>
      <c r="AR61" s="52"/>
      <c r="AS61" s="52"/>
      <c r="AT61" s="52"/>
      <c r="AU61" s="52"/>
      <c r="AV61" s="52"/>
      <c r="AW61" s="52"/>
      <c r="AX61" s="52"/>
      <c r="AY61" s="52"/>
      <c r="AZ61" s="52"/>
      <c r="BA61" s="52"/>
      <c r="BB61" s="52"/>
      <c r="BC61" s="52"/>
      <c r="BD61" s="52"/>
      <c r="BE61" s="52"/>
      <c r="BF61" s="52"/>
      <c r="BG61" s="52"/>
      <c r="BH61" s="52"/>
      <c r="BI61" s="52"/>
      <c r="BJ61" s="52"/>
      <c r="BK61" s="52"/>
      <c r="BL61" s="52"/>
      <c r="BM61" s="52"/>
    </row>
    <row r="62" spans="1:65" ht="28.8" customHeight="1" x14ac:dyDescent="0.3">
      <c r="A62" s="10" t="str">
        <f>IF(Job_Master!A62="","",Job_Master!A62)</f>
        <v>BJ-148</v>
      </c>
      <c r="B62" s="10">
        <f>IF($A62="","",Job_Master!B62)</f>
        <v>9</v>
      </c>
      <c r="C62" s="10" t="str">
        <f>IF($A62="","",Job_Master!C62)</f>
        <v>SEG</v>
      </c>
      <c r="D62" s="10">
        <f>IF($A62="","",Job_Master!D62)</f>
        <v>6</v>
      </c>
      <c r="E62" s="48" t="str">
        <f>IF($A62="","","EDM-MC-02")</f>
        <v>EDM-MC-02</v>
      </c>
      <c r="F62" s="106" t="str">
        <f>IF($E62="","",IFERROR(VLOOKUP($E62,Machine_List!$B:$G,6,0),""))</f>
        <v>General Workman</v>
      </c>
      <c r="G62" s="53">
        <f>IF($E62="","",IFERROR(VLOOKUP($E62,Machine_List!$B:$C,2,0),""))</f>
        <v>46160</v>
      </c>
      <c r="H62" s="10">
        <f>IF($E62="","",IFERROR(VLOOKUP($E62,Machine_List!$B:$D,3,0),""))</f>
        <v>6</v>
      </c>
      <c r="I62" s="54"/>
      <c r="J62" s="55">
        <f ca="1">IF($A62="","",IF($I62&lt;&gt;"",$I62,MAX(MAX(SPM_Plan!$M62,CARVING_Plan!$M62),IFERROR(LOOKUP(2,1/($E$3:INDIRECT("E"&amp;(ROW()-1))=$E62),$M$3:INDIRECT("M"&amp;(ROW()-1))),MAX(SPM_Plan!$M62,CARVING_Plan!$M62)))))</f>
        <v>46178.939814814839</v>
      </c>
      <c r="K62" s="10">
        <f>IF($A62="","",IFERROR(VLOOKUP(B62,CHOOSE(MATCH(C62,Settings!$L$4:$L$10,0),OPR_2P!$A$4:$I$18,SEG_6P!$A$4:$I$18,SOL_4P!$A$4:$I$18,RW_2P!$A$4:$I$18,RW2_4P!$A$4:$I$18,FLAP_4P!$A$4:$I$18,TUBE_4P!$A$4:$I$18),4,0),0))</f>
        <v>7</v>
      </c>
      <c r="L62" s="10">
        <f t="shared" si="0"/>
        <v>42</v>
      </c>
      <c r="M62" s="55">
        <f ca="1">IF($A62="","",IF(AND(ISNUMBER(G62),G62&gt;=J62,G62&lt;=(J62+(L62/(IF(F62="Contract Workman",Settings!$K$5,Settings!$K$4))))),J62+(L62/(IF(F62="Contract Workman",Settings!$K$5,Settings!$K$4)))+(H62/(IF(F62="Contract Workman",Settings!$K$5,Settings!$K$4))),J62+(L62/(IF(F62="Contract Workman",Settings!$K$5,Settings!$K$4)))))</f>
        <v>46180.884259259285</v>
      </c>
      <c r="N62" s="10" t="str">
        <f t="shared" ca="1" si="2"/>
        <v>Shift B</v>
      </c>
      <c r="O62" s="51" t="str">
        <f>IF(B62="","", IF(IFERROR(ISNUMBER(SEARCH(B62, VLOOKUP(E62, Machine_List!$B:$J, 9, 0))), FALSE()), "✅ Machine OK", "❌ Sug: " &amp; IFERROR(INDEX(Machine_List!$B$20:$B$49, MATCH("*"&amp;B62&amp;"*", Machine_List!$J$20:$J$49, 0)), "Check Limits")))</f>
        <v>✅ Machine OK</v>
      </c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52"/>
      <c r="AK62" s="52"/>
      <c r="AL62" s="52"/>
      <c r="AM62" s="52"/>
      <c r="AN62" s="52"/>
      <c r="AO62" s="52"/>
      <c r="AP62" s="52"/>
      <c r="AQ62" s="52"/>
      <c r="AR62" s="52"/>
      <c r="AS62" s="52"/>
      <c r="AT62" s="52"/>
      <c r="AU62" s="52"/>
      <c r="AV62" s="52"/>
      <c r="AW62" s="52"/>
      <c r="AX62" s="52"/>
      <c r="AY62" s="52"/>
      <c r="AZ62" s="52"/>
      <c r="BA62" s="52"/>
      <c r="BB62" s="52"/>
      <c r="BC62" s="52"/>
      <c r="BD62" s="52"/>
      <c r="BE62" s="52"/>
      <c r="BF62" s="52"/>
      <c r="BG62" s="52"/>
      <c r="BH62" s="52"/>
      <c r="BI62" s="52"/>
      <c r="BJ62" s="52"/>
      <c r="BK62" s="52"/>
      <c r="BL62" s="52"/>
      <c r="BM62" s="52"/>
    </row>
    <row r="63" spans="1:65" ht="28.8" customHeight="1" x14ac:dyDescent="0.3">
      <c r="A63" s="10" t="str">
        <f>IF(Job_Master!A63="","",Job_Master!A63)</f>
        <v>BJ-161</v>
      </c>
      <c r="B63" s="10">
        <f>IF($A63="","",Job_Master!B63)</f>
        <v>30</v>
      </c>
      <c r="C63" s="10" t="str">
        <f>IF($A63="","",Job_Master!C63)</f>
        <v>SEG</v>
      </c>
      <c r="D63" s="10">
        <f>IF($A63="","",Job_Master!D63)</f>
        <v>6</v>
      </c>
      <c r="E63" s="48" t="str">
        <f>IF($A63="","","EDM-MC-10")</f>
        <v>EDM-MC-10</v>
      </c>
      <c r="F63" s="106" t="str">
        <f>IF($E63="","",IFERROR(VLOOKUP($E63,Machine_List!$B:$G,6,0),""))</f>
        <v>General Workman</v>
      </c>
      <c r="G63" s="53">
        <f>IF($E63="","",IFERROR(VLOOKUP($E63,Machine_List!$B:$C,2,0),""))</f>
        <v>46503</v>
      </c>
      <c r="H63" s="10">
        <f>IF($E63="","",IFERROR(VLOOKUP($E63,Machine_List!$B:$D,3,0),""))</f>
        <v>6</v>
      </c>
      <c r="I63" s="54"/>
      <c r="J63" s="55">
        <f ca="1">IF($A63="","",IF($I63&lt;&gt;"",$I63,MAX(MAX(SPM_Plan!$M63,CARVING_Plan!$M63),IFERROR(LOOKUP(2,1/($E$3:INDIRECT("E"&amp;(ROW()-1))=$E63),$M$3:INDIRECT("M"&amp;(ROW()-1))),MAX(SPM_Plan!$M63,CARVING_Plan!$M63)))))</f>
        <v>46201.99537037038</v>
      </c>
      <c r="K63" s="10">
        <f>IF($A63="","",IFERROR(VLOOKUP(B63,CHOOSE(MATCH(C63,Settings!$L$4:$L$10,0),OPR_2P!$A$4:$I$18,SEG_6P!$A$4:$I$18,SOL_4P!$A$4:$I$18,RW_2P!$A$4:$I$18,RW2_4P!$A$4:$I$18,FLAP_4P!$A$4:$I$18,TUBE_4P!$A$4:$I$18),4,0),0))</f>
        <v>27</v>
      </c>
      <c r="L63" s="10">
        <f t="shared" si="0"/>
        <v>162</v>
      </c>
      <c r="M63" s="55">
        <f ca="1">IF($A63="","",IF(AND(ISNUMBER(G63),G63&gt;=J63,G63&lt;=(J63+(L63/(IF(F63="Contract Workman",Settings!$K$5,Settings!$K$4))))),J63+(L63/(IF(F63="Contract Workman",Settings!$K$5,Settings!$K$4)))+(H63/(IF(F63="Contract Workman",Settings!$K$5,Settings!$K$4))),J63+(L63/(IF(F63="Contract Workman",Settings!$K$5,Settings!$K$4)))))</f>
        <v>46209.49537037038</v>
      </c>
      <c r="N63" s="10" t="str">
        <f t="shared" ca="1" si="2"/>
        <v>Shift A</v>
      </c>
      <c r="O63" s="51" t="str">
        <f>IF(B63="","", IF(IFERROR(ISNUMBER(SEARCH(B63, VLOOKUP(E63, Machine_List!$B:$J, 9, 0))), FALSE()), "✅ Machine OK", "❌ Sug: " &amp; IFERROR(INDEX(Machine_List!$B$20:$B$49, MATCH("*"&amp;B63&amp;"*", Machine_List!$J$20:$J$49, 0)), "Check Limits")))</f>
        <v>✅ Machine OK</v>
      </c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52"/>
      <c r="AK63" s="52"/>
      <c r="AL63" s="52"/>
      <c r="AM63" s="52"/>
      <c r="AN63" s="52"/>
      <c r="AO63" s="52"/>
      <c r="AP63" s="52"/>
      <c r="AQ63" s="52"/>
      <c r="AR63" s="52"/>
      <c r="AS63" s="52"/>
      <c r="AT63" s="52"/>
      <c r="AU63" s="52"/>
      <c r="AV63" s="52"/>
      <c r="AW63" s="52"/>
      <c r="AX63" s="52"/>
      <c r="AY63" s="52"/>
      <c r="AZ63" s="52"/>
      <c r="BA63" s="52"/>
      <c r="BB63" s="52"/>
      <c r="BC63" s="52"/>
      <c r="BD63" s="52"/>
      <c r="BE63" s="52"/>
      <c r="BF63" s="52"/>
      <c r="BG63" s="52"/>
      <c r="BH63" s="52"/>
      <c r="BI63" s="52"/>
      <c r="BJ63" s="52"/>
      <c r="BK63" s="52"/>
      <c r="BL63" s="52"/>
      <c r="BM63" s="52"/>
    </row>
    <row r="64" spans="1:65" ht="28.8" customHeight="1" x14ac:dyDescent="0.3">
      <c r="A64" s="10" t="str">
        <f>IF(Job_Master!A64="","",Job_Master!A64)</f>
        <v>BJ-149</v>
      </c>
      <c r="B64" s="10">
        <f>IF($A64="","",Job_Master!B64)</f>
        <v>9</v>
      </c>
      <c r="C64" s="10" t="str">
        <f>IF($A64="","",Job_Master!C64)</f>
        <v>2P</v>
      </c>
      <c r="D64" s="10">
        <f>IF($A64="","",Job_Master!D64)</f>
        <v>2</v>
      </c>
      <c r="E64" s="48" t="str">
        <f>IF($A64="","","EDM-MC-01")</f>
        <v>EDM-MC-01</v>
      </c>
      <c r="F64" s="106" t="str">
        <f>IF($E64="","",IFERROR(VLOOKUP($E64,Machine_List!$B:$G,6,0),""))</f>
        <v>General Workman</v>
      </c>
      <c r="G64" s="53">
        <f>IF($E64="","",IFERROR(VLOOKUP($E64,Machine_List!$B:$C,2,0),""))</f>
        <v>46092</v>
      </c>
      <c r="H64" s="10">
        <f>IF($E64="","",IFERROR(VLOOKUP($E64,Machine_List!$B:$D,3,0),""))</f>
        <v>6</v>
      </c>
      <c r="I64" s="54"/>
      <c r="J64" s="55">
        <f ca="1">IF($A64="","",IF($I64&lt;&gt;"",$I64,MAX(MAX(SPM_Plan!$M64,CARVING_Plan!$M64),IFERROR(LOOKUP(2,1/($E$3:INDIRECT("E"&amp;(ROW()-1))=$E64),$M$3:INDIRECT("M"&amp;(ROW()-1))),MAX(SPM_Plan!$M64,CARVING_Plan!$M64)))))</f>
        <v>46179.495370370394</v>
      </c>
      <c r="K64" s="10">
        <f>IF($A64="","",IFERROR(VLOOKUP(B64,CHOOSE(MATCH(C64,Settings!$L$4:$L$10,0),OPR_2P!$A$4:$I$18,SEG_6P!$A$4:$I$18,SOL_4P!$A$4:$I$18,RW_2P!$A$4:$I$18,RW2_4P!$A$4:$I$18,FLAP_4P!$A$4:$I$18,TUBE_4P!$A$4:$I$18),4,0),0))</f>
        <v>6</v>
      </c>
      <c r="L64" s="10">
        <f t="shared" si="0"/>
        <v>12</v>
      </c>
      <c r="M64" s="55">
        <f ca="1">IF($A64="","",IF(AND(ISNUMBER(G64),G64&gt;=J64,G64&lt;=(J64+(L64/(IF(F64="Contract Workman",Settings!$K$5,Settings!$K$4))))),J64+(L64/(IF(F64="Contract Workman",Settings!$K$5,Settings!$K$4)))+(H64/(IF(F64="Contract Workman",Settings!$K$5,Settings!$K$4))),J64+(L64/(IF(F64="Contract Workman",Settings!$K$5,Settings!$K$4)))))</f>
        <v>46180.050925925949</v>
      </c>
      <c r="N64" s="10" t="str">
        <f t="shared" ca="1" si="2"/>
        <v>Shift C</v>
      </c>
      <c r="O64" s="51" t="str">
        <f>IF(B64="","", IF(IFERROR(ISNUMBER(SEARCH(B64, VLOOKUP(E64, Machine_List!$B:$J, 9, 0))), FALSE()), "✅ Machine OK", "❌ Sug: " &amp; IFERROR(INDEX(Machine_List!$B$20:$B$49, MATCH("*"&amp;B64&amp;"*", Machine_List!$J$20:$J$49, 0)), "Check Limits")))</f>
        <v>✅ Machine OK</v>
      </c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2"/>
      <c r="AJ64" s="52"/>
      <c r="AK64" s="52"/>
      <c r="AL64" s="52"/>
      <c r="AM64" s="52"/>
      <c r="AN64" s="52"/>
      <c r="AO64" s="52"/>
      <c r="AP64" s="52"/>
      <c r="AQ64" s="52"/>
      <c r="AR64" s="52"/>
      <c r="AS64" s="52"/>
      <c r="AT64" s="52"/>
      <c r="AU64" s="52"/>
      <c r="AV64" s="52"/>
      <c r="AW64" s="52"/>
      <c r="AX64" s="52"/>
      <c r="AY64" s="52"/>
      <c r="AZ64" s="52"/>
      <c r="BA64" s="52"/>
      <c r="BB64" s="52"/>
      <c r="BC64" s="52"/>
      <c r="BD64" s="52"/>
      <c r="BE64" s="52"/>
      <c r="BF64" s="52"/>
      <c r="BG64" s="52"/>
      <c r="BH64" s="52"/>
      <c r="BI64" s="52"/>
      <c r="BJ64" s="52"/>
      <c r="BK64" s="52"/>
      <c r="BL64" s="52"/>
      <c r="BM64" s="52"/>
    </row>
    <row r="65" spans="1:65" ht="28.8" customHeight="1" x14ac:dyDescent="0.3">
      <c r="A65" s="10" t="str">
        <f>IF(Job_Master!A65="","",Job_Master!A65)</f>
        <v>BJ-163</v>
      </c>
      <c r="B65" s="10">
        <f>IF($A65="","",Job_Master!B65)</f>
        <v>70</v>
      </c>
      <c r="C65" s="10" t="str">
        <f>IF($A65="","",Job_Master!C65)</f>
        <v>SOL</v>
      </c>
      <c r="D65" s="10">
        <f>IF($A65="","",Job_Master!D65)</f>
        <v>4</v>
      </c>
      <c r="E65" s="48" t="str">
        <f>IF($A65="","","EDM-MC-17")</f>
        <v>EDM-MC-17</v>
      </c>
      <c r="F65" s="106" t="str">
        <f>IF($E65="","",IFERROR(VLOOKUP($E65,Machine_List!$B:$G,6,0),""))</f>
        <v>General Workman</v>
      </c>
      <c r="G65" s="53">
        <f>IF($E65="","",IFERROR(VLOOKUP($E65,Machine_List!$B:$C,2,0),""))</f>
        <v>46504</v>
      </c>
      <c r="H65" s="10">
        <f>IF($E65="","",IFERROR(VLOOKUP($E65,Machine_List!$B:$D,3,0),""))</f>
        <v>6</v>
      </c>
      <c r="I65" s="54"/>
      <c r="J65" s="55">
        <f ca="1">IF($A65="","",IF($I65&lt;&gt;"",$I65,MAX(MAX(SPM_Plan!$M65,CARVING_Plan!$M65),IFERROR(LOOKUP(2,1/($E$3:INDIRECT("E"&amp;(ROW()-1))=$E65),$M$3:INDIRECT("M"&amp;(ROW()-1))),MAX(SPM_Plan!$M65,CARVING_Plan!$M65)))))</f>
        <v>46228.662037037022</v>
      </c>
      <c r="K65" s="10">
        <f>IF($A65="","",IFERROR(VLOOKUP(B65,CHOOSE(MATCH(C65,Settings!$L$4:$L$10,0),OPR_2P!$A$4:$I$18,SEG_6P!$A$4:$I$18,SOL_4P!$A$4:$I$18,RW_2P!$A$4:$I$18,RW2_4P!$A$4:$I$18,FLAP_4P!$A$4:$I$18,TUBE_4P!$A$4:$I$18),4,0),0))</f>
        <v>99</v>
      </c>
      <c r="L65" s="10">
        <f t="shared" si="0"/>
        <v>396</v>
      </c>
      <c r="M65" s="55">
        <f ca="1">IF($A65="","",IF(AND(ISNUMBER(G65),G65&gt;=J65,G65&lt;=(J65+(L65/(IF(F65="Contract Workman",Settings!$K$5,Settings!$K$4))))),J65+(L65/(IF(F65="Contract Workman",Settings!$K$5,Settings!$K$4)))+(H65/(IF(F65="Contract Workman",Settings!$K$5,Settings!$K$4))),J65+(L65/(IF(F65="Contract Workman",Settings!$K$5,Settings!$K$4)))))</f>
        <v>46246.995370370358</v>
      </c>
      <c r="N65" s="10" t="str">
        <f t="shared" ca="1" si="2"/>
        <v>Shift C</v>
      </c>
      <c r="O65" s="51" t="str">
        <f>IF(B65="","", IF(IFERROR(ISNUMBER(SEARCH(B65, VLOOKUP(E65, Machine_List!$B:$J, 9, 0))), FALSE()), "✅ Machine OK", "❌ Sug: " &amp; IFERROR(INDEX(Machine_List!$B$20:$B$49, MATCH("*"&amp;B65&amp;"*", Machine_List!$J$20:$J$49, 0)), "Check Limits")))</f>
        <v>✅ Machine OK</v>
      </c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52"/>
      <c r="AG65" s="52"/>
      <c r="AH65" s="52"/>
      <c r="AI65" s="52"/>
      <c r="AJ65" s="52"/>
      <c r="AK65" s="52"/>
      <c r="AL65" s="52"/>
      <c r="AM65" s="52"/>
      <c r="AN65" s="52"/>
      <c r="AO65" s="52"/>
      <c r="AP65" s="52"/>
      <c r="AQ65" s="52"/>
      <c r="AR65" s="52"/>
      <c r="AS65" s="52"/>
      <c r="AT65" s="52"/>
      <c r="AU65" s="52"/>
      <c r="AV65" s="52"/>
      <c r="AW65" s="52"/>
      <c r="AX65" s="52"/>
      <c r="AY65" s="52"/>
      <c r="AZ65" s="52"/>
      <c r="BA65" s="52"/>
      <c r="BB65" s="52"/>
      <c r="BC65" s="52"/>
      <c r="BD65" s="52"/>
      <c r="BE65" s="52"/>
      <c r="BF65" s="52"/>
      <c r="BG65" s="52"/>
      <c r="BH65" s="52"/>
      <c r="BI65" s="52"/>
      <c r="BJ65" s="52"/>
      <c r="BK65" s="52"/>
      <c r="BL65" s="52"/>
      <c r="BM65" s="52"/>
    </row>
    <row r="66" spans="1:65" ht="28.8" customHeight="1" x14ac:dyDescent="0.3">
      <c r="A66" s="10" t="str">
        <f>IF(Job_Master!A66="","",Job_Master!A66)</f>
        <v>BJ-164</v>
      </c>
      <c r="B66" s="10">
        <f>IF($A66="","",Job_Master!B66)</f>
        <v>42</v>
      </c>
      <c r="C66" s="10" t="str">
        <f>IF($A66="","",Job_Master!C66)</f>
        <v>SOL</v>
      </c>
      <c r="D66" s="10">
        <f>IF($A66="","",Job_Master!D66)</f>
        <v>4</v>
      </c>
      <c r="E66" s="48" t="str">
        <f>IF($A66="","","EDM-MC-09")</f>
        <v>EDM-MC-09</v>
      </c>
      <c r="F66" s="106" t="str">
        <f>IF($E66="","",IFERROR(VLOOKUP($E66,Machine_List!$B:$G,6,0),""))</f>
        <v>General Workman</v>
      </c>
      <c r="G66" s="53">
        <f>IF($E66="","",IFERROR(VLOOKUP($E66,Machine_List!$B:$C,2,0),""))</f>
        <v>46237</v>
      </c>
      <c r="H66" s="10">
        <f>IF($E66="","",IFERROR(VLOOKUP($E66,Machine_List!$B:$D,3,0),""))</f>
        <v>6</v>
      </c>
      <c r="I66" s="54"/>
      <c r="J66" s="55">
        <f ca="1">IF($A66="","",IF($I66&lt;&gt;"",$I66,MAX(MAX(SPM_Plan!$M66,CARVING_Plan!$M66),IFERROR(LOOKUP(2,1/($E$3:INDIRECT("E"&amp;(ROW()-1))=$E66),$M$3:INDIRECT("M"&amp;(ROW()-1))),MAX(SPM_Plan!$M66,CARVING_Plan!$M66)))))</f>
        <v>46209.125000000015</v>
      </c>
      <c r="K66" s="10">
        <f>IF($A66="","",IFERROR(VLOOKUP(B66,CHOOSE(MATCH(C66,Settings!$L$4:$L$10,0),OPR_2P!$A$4:$I$18,SEG_6P!$A$4:$I$18,SOL_4P!$A$4:$I$18,RW_2P!$A$4:$I$18,RW2_4P!$A$4:$I$18,FLAP_4P!$A$4:$I$18,TUBE_4P!$A$4:$I$18),4,0),0))</f>
        <v>63</v>
      </c>
      <c r="L66" s="10">
        <f t="shared" si="0"/>
        <v>252</v>
      </c>
      <c r="M66" s="55">
        <f ca="1">IF($A66="","",IF(AND(ISNUMBER(G66),G66&gt;=J66,G66&lt;=(J66+(L66/(IF(F66="Contract Workman",Settings!$K$5,Settings!$K$4))))),J66+(L66/(IF(F66="Contract Workman",Settings!$K$5,Settings!$K$4)))+(H66/(IF(F66="Contract Workman",Settings!$K$5,Settings!$K$4))),J66+(L66/(IF(F66="Contract Workman",Settings!$K$5,Settings!$K$4)))))</f>
        <v>46220.791666666679</v>
      </c>
      <c r="N66" s="10" t="str">
        <f t="shared" ca="1" si="2"/>
        <v>Shift B</v>
      </c>
      <c r="O66" s="51" t="str">
        <f>IF(B66="","", IF(IFERROR(ISNUMBER(SEARCH(B66, VLOOKUP(E66, Machine_List!$B:$J, 9, 0))), FALSE()), "✅ Machine OK", "❌ Sug: " &amp; IFERROR(INDEX(Machine_List!$B$20:$B$49, MATCH("*"&amp;B66&amp;"*", Machine_List!$J$20:$J$49, 0)), "Check Limits")))</f>
        <v>✅ Machine OK</v>
      </c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2"/>
      <c r="AJ66" s="52"/>
      <c r="AK66" s="52"/>
      <c r="AL66" s="52"/>
      <c r="AM66" s="52"/>
      <c r="AN66" s="52"/>
      <c r="AO66" s="52"/>
      <c r="AP66" s="52"/>
      <c r="AQ66" s="52"/>
      <c r="AR66" s="52"/>
      <c r="AS66" s="52"/>
      <c r="AT66" s="52"/>
      <c r="AU66" s="52"/>
      <c r="AV66" s="52"/>
      <c r="AW66" s="52"/>
      <c r="AX66" s="52"/>
      <c r="AY66" s="52"/>
      <c r="AZ66" s="52"/>
      <c r="BA66" s="52"/>
      <c r="BB66" s="52"/>
      <c r="BC66" s="52"/>
      <c r="BD66" s="52"/>
      <c r="BE66" s="52"/>
      <c r="BF66" s="52"/>
      <c r="BG66" s="52"/>
      <c r="BH66" s="52"/>
      <c r="BI66" s="52"/>
      <c r="BJ66" s="52"/>
      <c r="BK66" s="52"/>
      <c r="BL66" s="52"/>
      <c r="BM66" s="52"/>
    </row>
    <row r="67" spans="1:65" ht="28.8" customHeight="1" x14ac:dyDescent="0.3">
      <c r="A67" s="10" t="str">
        <f>IF(Job_Master!A67="","",Job_Master!A67)</f>
        <v>BJ-168</v>
      </c>
      <c r="B67" s="10">
        <f>IF($A67="","",Job_Master!B67)</f>
        <v>20</v>
      </c>
      <c r="C67" s="10" t="str">
        <f>IF($A67="","",Job_Master!C67)</f>
        <v>2P</v>
      </c>
      <c r="D67" s="10">
        <f>IF($A67="","",Job_Master!D67)</f>
        <v>2</v>
      </c>
      <c r="E67" s="48" t="str">
        <f>IF($A67="","","EDM-MC-01")</f>
        <v>EDM-MC-01</v>
      </c>
      <c r="F67" s="106" t="str">
        <f>IF($E67="","",IFERROR(VLOOKUP($E67,Machine_List!$B:$G,6,0),""))</f>
        <v>General Workman</v>
      </c>
      <c r="G67" s="53">
        <f>IF($E67="","",IFERROR(VLOOKUP($E67,Machine_List!$B:$C,2,0),""))</f>
        <v>46092</v>
      </c>
      <c r="H67" s="10">
        <f>IF($E67="","",IFERROR(VLOOKUP($E67,Machine_List!$B:$D,3,0),""))</f>
        <v>6</v>
      </c>
      <c r="I67" s="54"/>
      <c r="J67" s="55">
        <f ca="1">IF($A67="","",IF($I67&lt;&gt;"",$I67,MAX(MAX(SPM_Plan!$M67,CARVING_Plan!$M67),IFERROR(LOOKUP(2,1/($E$3:INDIRECT("E"&amp;(ROW()-1))=$E67),$M$3:INDIRECT("M"&amp;(ROW()-1))),MAX(SPM_Plan!$M67,CARVING_Plan!$M67)))))</f>
        <v>46182.365740740766</v>
      </c>
      <c r="K67" s="10">
        <f>IF($A67="","",IFERROR(VLOOKUP(B67,CHOOSE(MATCH(C67,Settings!$L$4:$L$10,0),OPR_2P!$A$4:$I$18,SEG_6P!$A$4:$I$18,SOL_4P!$A$4:$I$18,RW_2P!$A$4:$I$18,RW2_4P!$A$4:$I$18,FLAP_4P!$A$4:$I$18,TUBE_4P!$A$4:$I$18),4,0),0))</f>
        <v>20</v>
      </c>
      <c r="L67" s="10">
        <f t="shared" si="0"/>
        <v>40</v>
      </c>
      <c r="M67" s="55">
        <f ca="1">IF($A67="","",IF(AND(ISNUMBER(G67),G67&gt;=J67,G67&lt;=(J67+(L67/(IF(F67="Contract Workman",Settings!$K$5,Settings!$K$4))))),J67+(L67/(IF(F67="Contract Workman",Settings!$K$5,Settings!$K$4)))+(H67/(IF(F67="Contract Workman",Settings!$K$5,Settings!$K$4))),J67+(L67/(IF(F67="Contract Workman",Settings!$K$5,Settings!$K$4)))))</f>
        <v>46184.21759259262</v>
      </c>
      <c r="N67" s="10" t="str">
        <f t="shared" ca="1" si="2"/>
        <v>Shift C</v>
      </c>
      <c r="O67" s="51" t="str">
        <f>IF(B67="","", IF(IFERROR(ISNUMBER(SEARCH(B67, VLOOKUP(E67, Machine_List!$B:$J, 9, 0))), FALSE()), "✅ Machine OK", "❌ Sug: " &amp; IFERROR(INDEX(Machine_List!$B$20:$B$49, MATCH("*"&amp;B67&amp;"*", Machine_List!$J$20:$J$49, 0)), "Check Limits")))</f>
        <v>✅ Machine OK</v>
      </c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52"/>
      <c r="AG67" s="52"/>
      <c r="AH67" s="52"/>
      <c r="AI67" s="52"/>
      <c r="AJ67" s="52"/>
      <c r="AK67" s="52"/>
      <c r="AL67" s="52"/>
      <c r="AM67" s="52"/>
      <c r="AN67" s="52"/>
      <c r="AO67" s="52"/>
      <c r="AP67" s="52"/>
      <c r="AQ67" s="52"/>
      <c r="AR67" s="52"/>
      <c r="AS67" s="52"/>
      <c r="AT67" s="52"/>
      <c r="AU67" s="52"/>
      <c r="AV67" s="52"/>
      <c r="AW67" s="52"/>
      <c r="AX67" s="52"/>
      <c r="AY67" s="52"/>
      <c r="AZ67" s="52"/>
      <c r="BA67" s="52"/>
      <c r="BB67" s="52"/>
      <c r="BC67" s="52"/>
      <c r="BD67" s="52"/>
      <c r="BE67" s="52"/>
      <c r="BF67" s="52"/>
      <c r="BG67" s="52"/>
      <c r="BH67" s="52"/>
      <c r="BI67" s="52"/>
      <c r="BJ67" s="52"/>
      <c r="BK67" s="52"/>
      <c r="BL67" s="52"/>
      <c r="BM67" s="52"/>
    </row>
    <row r="68" spans="1:65" ht="28.8" customHeight="1" x14ac:dyDescent="0.3">
      <c r="A68" s="10" t="str">
        <f>IF(Job_Master!A68="","",Job_Master!A68)</f>
        <v>BJ-155</v>
      </c>
      <c r="B68" s="10">
        <f>IF($A68="","",Job_Master!B68)</f>
        <v>17</v>
      </c>
      <c r="C68" s="10" t="str">
        <f>IF($A68="","",Job_Master!C68)</f>
        <v>RW</v>
      </c>
      <c r="D68" s="10">
        <f>IF($A68="","",Job_Master!D68)</f>
        <v>2</v>
      </c>
      <c r="E68" s="48" t="str">
        <f>IF($A68="","","EDM-MC-02")</f>
        <v>EDM-MC-02</v>
      </c>
      <c r="F68" s="106" t="str">
        <f>IF($E68="","",IFERROR(VLOOKUP($E68,Machine_List!$B:$G,6,0),""))</f>
        <v>General Workman</v>
      </c>
      <c r="G68" s="53">
        <f>IF($E68="","",IFERROR(VLOOKUP($E68,Machine_List!$B:$C,2,0),""))</f>
        <v>46160</v>
      </c>
      <c r="H68" s="10">
        <f>IF($E68="","",IFERROR(VLOOKUP($E68,Machine_List!$B:$D,3,0),""))</f>
        <v>6</v>
      </c>
      <c r="I68" s="54"/>
      <c r="J68" s="55">
        <f ca="1">IF($A68="","",IF($I68&lt;&gt;"",$I68,MAX(MAX(SPM_Plan!$M68,CARVING_Plan!$M68),IFERROR(LOOKUP(2,1/($E$3:INDIRECT("E"&amp;(ROW()-1))=$E68),$M$3:INDIRECT("M"&amp;(ROW()-1))),MAX(SPM_Plan!$M68,CARVING_Plan!$M68)))))</f>
        <v>46183.939814814839</v>
      </c>
      <c r="K68" s="10">
        <f>IF($A68="","",IFERROR(VLOOKUP(B68,CHOOSE(MATCH(C68,Settings!$L$4:$L$10,0),OPR_2P!$A$4:$I$18,SEG_6P!$A$4:$I$18,SOL_4P!$A$4:$I$18,RW_2P!$A$4:$I$18,RW2_4P!$A$4:$I$18,FLAP_4P!$A$4:$I$18,TUBE_4P!$A$4:$I$18),4,0),0))</f>
        <v>19</v>
      </c>
      <c r="L68" s="10">
        <f t="shared" ref="L68:L131" si="3">IF($A68="","",K68*D68)</f>
        <v>38</v>
      </c>
      <c r="M68" s="55">
        <f ca="1">IF($A68="","",IF(AND(ISNUMBER(G68),G68&gt;=J68,G68&lt;=(J68+(L68/(IF(F68="Contract Workman",Settings!$K$5,Settings!$K$4))))),J68+(L68/(IF(F68="Contract Workman",Settings!$K$5,Settings!$K$4)))+(H68/(IF(F68="Contract Workman",Settings!$K$5,Settings!$K$4))),J68+(L68/(IF(F68="Contract Workman",Settings!$K$5,Settings!$K$4)))))</f>
        <v>46185.699074074102</v>
      </c>
      <c r="N68" s="10" t="str">
        <f t="shared" ref="N68:N99" ca="1" si="4">IF($A68="","",IF(F68="Contract Workman",IF(AND(MOD(M68,1)&gt;=8/24,MOD(M68,1)&lt;20/24),"Shift S1","Shift S2"),IF(AND(MOD(M68,1)&gt;=7/24,MOD(M68,1)&lt;15/24),"Shift A",IF(AND(MOD(M68,1)&gt;=15/24,MOD(M68,1)&lt;23/24),"Shift B","Shift C"))))</f>
        <v>Shift B</v>
      </c>
      <c r="O68" s="51" t="str">
        <f>IF(B68="","", IF(IFERROR(ISNUMBER(SEARCH(B68, VLOOKUP(E68, Machine_List!$B:$J, 9, 0))), FALSE()), "✅ Machine OK", "❌ Sug: " &amp; IFERROR(INDEX(Machine_List!$B$20:$B$49, MATCH("*"&amp;B68&amp;"*", Machine_List!$J$20:$J$49, 0)), "Check Limits")))</f>
        <v>✅ Machine OK</v>
      </c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2"/>
      <c r="AJ68" s="52"/>
      <c r="AK68" s="52"/>
      <c r="AL68" s="52"/>
      <c r="AM68" s="52"/>
      <c r="AN68" s="52"/>
      <c r="AO68" s="52"/>
      <c r="AP68" s="52"/>
      <c r="AQ68" s="52"/>
      <c r="AR68" s="52"/>
      <c r="AS68" s="52"/>
      <c r="AT68" s="52"/>
      <c r="AU68" s="52"/>
      <c r="AV68" s="52"/>
      <c r="AW68" s="52"/>
      <c r="AX68" s="52"/>
      <c r="AY68" s="52"/>
      <c r="AZ68" s="52"/>
      <c r="BA68" s="52"/>
      <c r="BB68" s="52"/>
      <c r="BC68" s="52"/>
      <c r="BD68" s="52"/>
      <c r="BE68" s="52"/>
      <c r="BF68" s="52"/>
      <c r="BG68" s="52"/>
      <c r="BH68" s="52"/>
      <c r="BI68" s="52"/>
      <c r="BJ68" s="52"/>
      <c r="BK68" s="52"/>
      <c r="BL68" s="52"/>
      <c r="BM68" s="52"/>
    </row>
    <row r="69" spans="1:65" ht="28.8" customHeight="1" x14ac:dyDescent="0.3">
      <c r="A69" s="10" t="str">
        <f>IF(Job_Master!A69="","",Job_Master!A69)</f>
        <v>BJ-167</v>
      </c>
      <c r="B69" s="10">
        <f>IF($A69="","",Job_Master!B69)</f>
        <v>54</v>
      </c>
      <c r="C69" s="10" t="str">
        <f>IF($A69="","",Job_Master!C69)</f>
        <v>2P</v>
      </c>
      <c r="D69" s="10">
        <f>IF($A69="","",Job_Master!D69)</f>
        <v>2</v>
      </c>
      <c r="E69" s="48" t="str">
        <f>IF($A69="","","EDM-MC-18")</f>
        <v>EDM-MC-18</v>
      </c>
      <c r="F69" s="106" t="str">
        <f>IF($E69="","",IFERROR(VLOOKUP($E69,Machine_List!$B:$G,6,0),""))</f>
        <v>General Workman</v>
      </c>
      <c r="G69" s="53">
        <f>IF($E69="","",IFERROR(VLOOKUP($E69,Machine_List!$B:$C,2,0),""))</f>
        <v>46225</v>
      </c>
      <c r="H69" s="10">
        <f>IF($E69="","",IFERROR(VLOOKUP($E69,Machine_List!$B:$D,3,0),""))</f>
        <v>6</v>
      </c>
      <c r="I69" s="54"/>
      <c r="J69" s="55">
        <f ca="1">IF($A69="","",IF($I69&lt;&gt;"",$I69,MAX(MAX(SPM_Plan!$M69,CARVING_Plan!$M69),IFERROR(LOOKUP(2,1/($E$3:INDIRECT("E"&amp;(ROW()-1))=$E69),$M$3:INDIRECT("M"&amp;(ROW()-1))),MAX(SPM_Plan!$M69,CARVING_Plan!$M69)))))</f>
        <v>46217.550925925949</v>
      </c>
      <c r="K69" s="10">
        <f>IF($A69="","",IFERROR(VLOOKUP(B69,CHOOSE(MATCH(C69,Settings!$L$4:$L$10,0),OPR_2P!$A$4:$I$18,SEG_6P!$A$4:$I$18,SOL_4P!$A$4:$I$18,RW_2P!$A$4:$I$18,RW2_4P!$A$4:$I$18,FLAP_4P!$A$4:$I$18,TUBE_4P!$A$4:$I$18),4,0),0))</f>
        <v>92</v>
      </c>
      <c r="L69" s="10">
        <f t="shared" si="3"/>
        <v>184</v>
      </c>
      <c r="M69" s="55">
        <f ca="1">IF($A69="","",IF(AND(ISNUMBER(G69),G69&gt;=J69,G69&lt;=(J69+(L69/(IF(F69="Contract Workman",Settings!$K$5,Settings!$K$4))))),J69+(L69/(IF(F69="Contract Workman",Settings!$K$5,Settings!$K$4)))+(H69/(IF(F69="Contract Workman",Settings!$K$5,Settings!$K$4))),J69+(L69/(IF(F69="Contract Workman",Settings!$K$5,Settings!$K$4)))))</f>
        <v>46226.347222222248</v>
      </c>
      <c r="N69" s="10" t="str">
        <f t="shared" ca="1" si="4"/>
        <v>Shift A</v>
      </c>
      <c r="O69" s="51" t="str">
        <f>IF(B69="","", IF(IFERROR(ISNUMBER(SEARCH(B69, VLOOKUP(E69, Machine_List!$B:$J, 9, 0))), FALSE()), "✅ Machine OK", "❌ Sug: " &amp; IFERROR(INDEX(Machine_List!$B$20:$B$49, MATCH("*"&amp;B69&amp;"*", Machine_List!$J$20:$J$49, 0)), "Check Limits")))</f>
        <v>✅ Machine OK</v>
      </c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  <c r="AK69" s="52"/>
      <c r="AL69" s="52"/>
      <c r="AM69" s="52"/>
      <c r="AN69" s="52"/>
      <c r="AO69" s="52"/>
      <c r="AP69" s="52"/>
      <c r="AQ69" s="52"/>
      <c r="AR69" s="52"/>
      <c r="AS69" s="52"/>
      <c r="AT69" s="52"/>
      <c r="AU69" s="52"/>
      <c r="AV69" s="52"/>
      <c r="AW69" s="52"/>
      <c r="AX69" s="52"/>
      <c r="AY69" s="52"/>
      <c r="AZ69" s="52"/>
      <c r="BA69" s="52"/>
      <c r="BB69" s="52"/>
      <c r="BC69" s="52"/>
      <c r="BD69" s="52"/>
      <c r="BE69" s="52"/>
      <c r="BF69" s="52"/>
      <c r="BG69" s="52"/>
      <c r="BH69" s="52"/>
      <c r="BI69" s="52"/>
      <c r="BJ69" s="52"/>
      <c r="BK69" s="52"/>
      <c r="BL69" s="52"/>
      <c r="BM69" s="52"/>
    </row>
    <row r="70" spans="1:65" ht="28.8" customHeight="1" x14ac:dyDescent="0.3">
      <c r="A70" s="10" t="str">
        <f>IF(Job_Master!A70="","",Job_Master!A70)</f>
        <v>BJ-166</v>
      </c>
      <c r="B70" s="10">
        <f>IF($A70="","",Job_Master!B70)</f>
        <v>50</v>
      </c>
      <c r="C70" s="10" t="str">
        <f>IF($A70="","",Job_Master!C70)</f>
        <v>SOL</v>
      </c>
      <c r="D70" s="10">
        <f>IF($A70="","",Job_Master!D70)</f>
        <v>4</v>
      </c>
      <c r="E70" s="48" t="str">
        <f>IF($A70="","","EDM-MC-16")</f>
        <v>EDM-MC-16</v>
      </c>
      <c r="F70" s="106" t="str">
        <f>IF($E70="","",IFERROR(VLOOKUP($E70,Machine_List!$B:$G,6,0),""))</f>
        <v>General Workman</v>
      </c>
      <c r="G70" s="53">
        <f>IF($E70="","",IFERROR(VLOOKUP($E70,Machine_List!$B:$C,2,0),""))</f>
        <v>46105</v>
      </c>
      <c r="H70" s="10">
        <f>IF($E70="","",IFERROR(VLOOKUP($E70,Machine_List!$B:$D,3,0),""))</f>
        <v>6</v>
      </c>
      <c r="I70" s="54"/>
      <c r="J70" s="55">
        <f ca="1">IF($A70="","",IF($I70&lt;&gt;"",$I70,MAX(MAX(SPM_Plan!$M70,CARVING_Plan!$M70),IFERROR(LOOKUP(2,1/($E$3:INDIRECT("E"&amp;(ROW()-1))=$E70),$M$3:INDIRECT("M"&amp;(ROW()-1))),MAX(SPM_Plan!$M70,CARVING_Plan!$M70)))))</f>
        <v>46260.606481481474</v>
      </c>
      <c r="K70" s="10">
        <f>IF($A70="","",IFERROR(VLOOKUP(B70,CHOOSE(MATCH(C70,Settings!$L$4:$L$10,0),OPR_2P!$A$4:$I$18,SEG_6P!$A$4:$I$18,SOL_4P!$A$4:$I$18,RW_2P!$A$4:$I$18,RW2_4P!$A$4:$I$18,FLAP_4P!$A$4:$I$18,TUBE_4P!$A$4:$I$18),4,0),0))</f>
        <v>49</v>
      </c>
      <c r="L70" s="10">
        <f t="shared" si="3"/>
        <v>196</v>
      </c>
      <c r="M70" s="55">
        <f ca="1">IF($A70="","",IF(AND(ISNUMBER(G70),G70&gt;=J70,G70&lt;=(J70+(L70/(IF(F70="Contract Workman",Settings!$K$5,Settings!$K$4))))),J70+(L70/(IF(F70="Contract Workman",Settings!$K$5,Settings!$K$4)))+(H70/(IF(F70="Contract Workman",Settings!$K$5,Settings!$K$4))),J70+(L70/(IF(F70="Contract Workman",Settings!$K$5,Settings!$K$4)))))</f>
        <v>46269.680555555547</v>
      </c>
      <c r="N70" s="10" t="str">
        <f t="shared" ca="1" si="4"/>
        <v>Shift B</v>
      </c>
      <c r="O70" s="51" t="str">
        <f>IF(B70="","", IF(IFERROR(ISNUMBER(SEARCH(B70, VLOOKUP(E70, Machine_List!$B:$J, 9, 0))), FALSE()), "✅ Machine OK", "❌ Sug: " &amp; IFERROR(INDEX(Machine_List!$B$20:$B$49, MATCH("*"&amp;B70&amp;"*", Machine_List!$J$20:$J$49, 0)), "Check Limits")))</f>
        <v>✅ Machine OK</v>
      </c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52"/>
      <c r="AJ70" s="52"/>
      <c r="AK70" s="52"/>
      <c r="AL70" s="52"/>
      <c r="AM70" s="52"/>
      <c r="AN70" s="52"/>
      <c r="AO70" s="52"/>
      <c r="AP70" s="52"/>
      <c r="AQ70" s="52"/>
      <c r="AR70" s="52"/>
      <c r="AS70" s="52"/>
      <c r="AT70" s="52"/>
      <c r="AU70" s="52"/>
      <c r="AV70" s="52"/>
      <c r="AW70" s="52"/>
      <c r="AX70" s="52"/>
      <c r="AY70" s="52"/>
      <c r="AZ70" s="52"/>
      <c r="BA70" s="52"/>
      <c r="BB70" s="52"/>
      <c r="BC70" s="52"/>
      <c r="BD70" s="52"/>
      <c r="BE70" s="52"/>
      <c r="BF70" s="52"/>
      <c r="BG70" s="52"/>
      <c r="BH70" s="52"/>
      <c r="BI70" s="52"/>
      <c r="BJ70" s="52"/>
      <c r="BK70" s="52"/>
      <c r="BL70" s="52"/>
      <c r="BM70" s="52"/>
    </row>
    <row r="71" spans="1:65" ht="28.8" customHeight="1" x14ac:dyDescent="0.3">
      <c r="A71" s="10" t="str">
        <f>IF(Job_Master!A71="","",Job_Master!A71)</f>
        <v>BJ-162</v>
      </c>
      <c r="B71" s="10">
        <f>IF($A71="","",Job_Master!B71)</f>
        <v>17</v>
      </c>
      <c r="C71" s="10" t="str">
        <f>IF($A71="","",Job_Master!C71)</f>
        <v>SOL</v>
      </c>
      <c r="D71" s="10">
        <f>IF($A71="","",Job_Master!D71)</f>
        <v>4</v>
      </c>
      <c r="E71" s="48" t="str">
        <f>IF($A71="","","EDM-MC-01")</f>
        <v>EDM-MC-01</v>
      </c>
      <c r="F71" s="106" t="str">
        <f>IF($E71="","",IFERROR(VLOOKUP($E71,Machine_List!$B:$G,6,0),""))</f>
        <v>General Workman</v>
      </c>
      <c r="G71" s="53">
        <f>IF($E71="","",IFERROR(VLOOKUP($E71,Machine_List!$B:$C,2,0),""))</f>
        <v>46092</v>
      </c>
      <c r="H71" s="10">
        <f>IF($E71="","",IFERROR(VLOOKUP($E71,Machine_List!$B:$D,3,0),""))</f>
        <v>6</v>
      </c>
      <c r="I71" s="54"/>
      <c r="J71" s="55">
        <f ca="1">IF($A71="","",IF($I71&lt;&gt;"",$I71,MAX(MAX(SPM_Plan!$M71,CARVING_Plan!$M71),IFERROR(LOOKUP(2,1/($E$3:INDIRECT("E"&amp;(ROW()-1))=$E71),$M$3:INDIRECT("M"&amp;(ROW()-1))),MAX(SPM_Plan!$M71,CARVING_Plan!$M71)))))</f>
        <v>46186.347222222248</v>
      </c>
      <c r="K71" s="10">
        <f>IF($A71="","",IFERROR(VLOOKUP(B71,CHOOSE(MATCH(C71,Settings!$L$4:$L$10,0),OPR_2P!$A$4:$I$18,SEG_6P!$A$4:$I$18,SOL_4P!$A$4:$I$18,RW_2P!$A$4:$I$18,RW2_4P!$A$4:$I$18,FLAP_4P!$A$4:$I$18,TUBE_4P!$A$4:$I$18),4,0),0))</f>
        <v>11</v>
      </c>
      <c r="L71" s="10">
        <f t="shared" si="3"/>
        <v>44</v>
      </c>
      <c r="M71" s="55">
        <f ca="1">IF($A71="","",IF(AND(ISNUMBER(G71),G71&gt;=J71,G71&lt;=(J71+(L71/(IF(F71="Contract Workman",Settings!$K$5,Settings!$K$4))))),J71+(L71/(IF(F71="Contract Workman",Settings!$K$5,Settings!$K$4)))+(H71/(IF(F71="Contract Workman",Settings!$K$5,Settings!$K$4))),J71+(L71/(IF(F71="Contract Workman",Settings!$K$5,Settings!$K$4)))))</f>
        <v>46188.384259259285</v>
      </c>
      <c r="N71" s="10" t="str">
        <f t="shared" ca="1" si="4"/>
        <v>Shift A</v>
      </c>
      <c r="O71" s="51" t="str">
        <f>IF(B71="","", IF(IFERROR(ISNUMBER(SEARCH(B71, VLOOKUP(E71, Machine_List!$B:$J, 9, 0))), FALSE()), "✅ Machine OK", "❌ Sug: " &amp; IFERROR(INDEX(Machine_List!$B$20:$B$49, MATCH("*"&amp;B71&amp;"*", Machine_List!$J$20:$J$49, 0)), "Check Limits")))</f>
        <v>✅ Machine OK</v>
      </c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  <c r="AH71" s="52"/>
      <c r="AI71" s="52"/>
      <c r="AJ71" s="52"/>
      <c r="AK71" s="52"/>
      <c r="AL71" s="52"/>
      <c r="AM71" s="52"/>
      <c r="AN71" s="52"/>
      <c r="AO71" s="52"/>
      <c r="AP71" s="52"/>
      <c r="AQ71" s="52"/>
      <c r="AR71" s="52"/>
      <c r="AS71" s="52"/>
      <c r="AT71" s="52"/>
      <c r="AU71" s="52"/>
      <c r="AV71" s="52"/>
      <c r="AW71" s="52"/>
      <c r="AX71" s="52"/>
      <c r="AY71" s="52"/>
      <c r="AZ71" s="52"/>
      <c r="BA71" s="52"/>
      <c r="BB71" s="52"/>
      <c r="BC71" s="52"/>
      <c r="BD71" s="52"/>
      <c r="BE71" s="52"/>
      <c r="BF71" s="52"/>
      <c r="BG71" s="52"/>
      <c r="BH71" s="52"/>
      <c r="BI71" s="52"/>
      <c r="BJ71" s="52"/>
      <c r="BK71" s="52"/>
      <c r="BL71" s="52"/>
      <c r="BM71" s="52"/>
    </row>
    <row r="72" spans="1:65" ht="28.8" customHeight="1" x14ac:dyDescent="0.3">
      <c r="A72" s="10" t="str">
        <f>IF(Job_Master!A72="","",Job_Master!A72)</f>
        <v>BJ-165</v>
      </c>
      <c r="B72" s="10">
        <f>IF($A72="","",Job_Master!B72)</f>
        <v>17</v>
      </c>
      <c r="C72" s="10" t="str">
        <f>IF($A72="","",Job_Master!C72)</f>
        <v>2P</v>
      </c>
      <c r="D72" s="10">
        <f>IF($A72="","",Job_Master!D72)</f>
        <v>2</v>
      </c>
      <c r="E72" s="48" t="str">
        <f>IF($A72="","","EDM-MC-02")</f>
        <v>EDM-MC-02</v>
      </c>
      <c r="F72" s="106" t="str">
        <f>IF($E72="","",IFERROR(VLOOKUP($E72,Machine_List!$B:$G,6,0),""))</f>
        <v>General Workman</v>
      </c>
      <c r="G72" s="53">
        <f>IF($E72="","",IFERROR(VLOOKUP($E72,Machine_List!$B:$C,2,0),""))</f>
        <v>46160</v>
      </c>
      <c r="H72" s="10">
        <f>IF($E72="","",IFERROR(VLOOKUP($E72,Machine_List!$B:$D,3,0),""))</f>
        <v>6</v>
      </c>
      <c r="I72" s="54"/>
      <c r="J72" s="55">
        <f ca="1">IF($A72="","",IF($I72&lt;&gt;"",$I72,MAX(MAX(SPM_Plan!$M72,CARVING_Plan!$M72),IFERROR(LOOKUP(2,1/($E$3:INDIRECT("E"&amp;(ROW()-1))=$E72),$M$3:INDIRECT("M"&amp;(ROW()-1))),MAX(SPM_Plan!$M72,CARVING_Plan!$M72)))))</f>
        <v>46188.199074074102</v>
      </c>
      <c r="K72" s="10">
        <f>IF($A72="","",IFERROR(VLOOKUP(B72,CHOOSE(MATCH(C72,Settings!$L$4:$L$10,0),OPR_2P!$A$4:$I$18,SEG_6P!$A$4:$I$18,SOL_4P!$A$4:$I$18,RW_2P!$A$4:$I$18,RW2_4P!$A$4:$I$18,FLAP_4P!$A$4:$I$18,TUBE_4P!$A$4:$I$18),4,0),0))</f>
        <v>12</v>
      </c>
      <c r="L72" s="10">
        <f t="shared" si="3"/>
        <v>24</v>
      </c>
      <c r="M72" s="55">
        <f ca="1">IF($A72="","",IF(AND(ISNUMBER(G72),G72&gt;=J72,G72&lt;=(J72+(L72/(IF(F72="Contract Workman",Settings!$K$5,Settings!$K$4))))),J72+(L72/(IF(F72="Contract Workman",Settings!$K$5,Settings!$K$4)))+(H72/(IF(F72="Contract Workman",Settings!$K$5,Settings!$K$4))),J72+(L72/(IF(F72="Contract Workman",Settings!$K$5,Settings!$K$4)))))</f>
        <v>46189.310185185212</v>
      </c>
      <c r="N72" s="10" t="str">
        <f t="shared" ca="1" si="4"/>
        <v>Shift A</v>
      </c>
      <c r="O72" s="51" t="str">
        <f>IF(B72="","", IF(IFERROR(ISNUMBER(SEARCH(B72, VLOOKUP(E72, Machine_List!$B:$J, 9, 0))), FALSE()), "✅ Machine OK", "❌ Sug: " &amp; IFERROR(INDEX(Machine_List!$B$20:$B$49, MATCH("*"&amp;B72&amp;"*", Machine_List!$J$20:$J$49, 0)), "Check Limits")))</f>
        <v>✅ Machine OK</v>
      </c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2"/>
      <c r="AJ72" s="52"/>
      <c r="AK72" s="52"/>
      <c r="AL72" s="52"/>
      <c r="AM72" s="52"/>
      <c r="AN72" s="52"/>
      <c r="AO72" s="52"/>
      <c r="AP72" s="52"/>
      <c r="AQ72" s="52"/>
      <c r="AR72" s="52"/>
      <c r="AS72" s="52"/>
      <c r="AT72" s="52"/>
      <c r="AU72" s="52"/>
      <c r="AV72" s="52"/>
      <c r="AW72" s="52"/>
      <c r="AX72" s="52"/>
      <c r="AY72" s="52"/>
      <c r="AZ72" s="52"/>
      <c r="BA72" s="52"/>
      <c r="BB72" s="52"/>
      <c r="BC72" s="52"/>
      <c r="BD72" s="52"/>
      <c r="BE72" s="52"/>
      <c r="BF72" s="52"/>
      <c r="BG72" s="52"/>
      <c r="BH72" s="52"/>
      <c r="BI72" s="52"/>
      <c r="BJ72" s="52"/>
      <c r="BK72" s="52"/>
      <c r="BL72" s="52"/>
      <c r="BM72" s="52"/>
    </row>
    <row r="73" spans="1:65" ht="28.8" customHeight="1" x14ac:dyDescent="0.3">
      <c r="A73" s="10" t="str">
        <f>IF(Job_Master!A73="","",Job_Master!A73)</f>
        <v>BJ-169</v>
      </c>
      <c r="B73" s="10">
        <f>IF($A73="","",Job_Master!B73)</f>
        <v>17</v>
      </c>
      <c r="C73" s="10" t="str">
        <f>IF($A73="","",Job_Master!C73)</f>
        <v>SEG</v>
      </c>
      <c r="D73" s="10">
        <f>IF($A73="","",Job_Master!D73)</f>
        <v>6</v>
      </c>
      <c r="E73" s="48" t="str">
        <f>IF($A73="","","EDM-MC-01")</f>
        <v>EDM-MC-01</v>
      </c>
      <c r="F73" s="106" t="str">
        <f>IF($E73="","",IFERROR(VLOOKUP($E73,Machine_List!$B:$G,6,0),""))</f>
        <v>General Workman</v>
      </c>
      <c r="G73" s="53">
        <f>IF($E73="","",IFERROR(VLOOKUP($E73,Machine_List!$B:$C,2,0),""))</f>
        <v>46092</v>
      </c>
      <c r="H73" s="10">
        <f>IF($E73="","",IFERROR(VLOOKUP($E73,Machine_List!$B:$D,3,0),""))</f>
        <v>6</v>
      </c>
      <c r="I73" s="54"/>
      <c r="J73" s="55">
        <f ca="1">IF($A73="","",IF($I73&lt;&gt;"",$I73,MAX(MAX(SPM_Plan!$M73,CARVING_Plan!$M73),IFERROR(LOOKUP(2,1/($E$3:INDIRECT("E"&amp;(ROW()-1))=$E73),$M$3:INDIRECT("M"&amp;(ROW()-1))),MAX(SPM_Plan!$M73,CARVING_Plan!$M73)))))</f>
        <v>46193.476851851883</v>
      </c>
      <c r="K73" s="10">
        <f>IF($A73="","",IFERROR(VLOOKUP(B73,CHOOSE(MATCH(C73,Settings!$L$4:$L$10,0),OPR_2P!$A$4:$I$18,SEG_6P!$A$4:$I$18,SOL_4P!$A$4:$I$18,RW_2P!$A$4:$I$18,RW2_4P!$A$4:$I$18,FLAP_4P!$A$4:$I$18,TUBE_4P!$A$4:$I$18),4,0),0))</f>
        <v>20</v>
      </c>
      <c r="L73" s="10">
        <f t="shared" si="3"/>
        <v>120</v>
      </c>
      <c r="M73" s="55">
        <f ca="1">IF($A73="","",IF(AND(ISNUMBER(G73),G73&gt;=J73,G73&lt;=(J73+(L73/(IF(F73="Contract Workman",Settings!$K$5,Settings!$K$4))))),J73+(L73/(IF(F73="Contract Workman",Settings!$K$5,Settings!$K$4)))+(H73/(IF(F73="Contract Workman",Settings!$K$5,Settings!$K$4))),J73+(L73/(IF(F73="Contract Workman",Settings!$K$5,Settings!$K$4)))))</f>
        <v>46199.032407407438</v>
      </c>
      <c r="N73" s="10" t="str">
        <f t="shared" ca="1" si="4"/>
        <v>Shift C</v>
      </c>
      <c r="O73" s="51" t="str">
        <f>IF(B73="","", IF(IFERROR(ISNUMBER(SEARCH(B73, VLOOKUP(E73, Machine_List!$B:$J, 9, 0))), FALSE()), "✅ Machine OK", "❌ Sug: " &amp; IFERROR(INDEX(Machine_List!$B$20:$B$49, MATCH("*"&amp;B73&amp;"*", Machine_List!$J$20:$J$49, 0)), "Check Limits")))</f>
        <v>✅ Machine OK</v>
      </c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  <c r="AE73" s="52"/>
      <c r="AF73" s="52"/>
      <c r="AG73" s="52"/>
      <c r="AH73" s="52"/>
      <c r="AI73" s="52"/>
      <c r="AJ73" s="52"/>
      <c r="AK73" s="52"/>
      <c r="AL73" s="52"/>
      <c r="AM73" s="52"/>
      <c r="AN73" s="52"/>
      <c r="AO73" s="52"/>
      <c r="AP73" s="52"/>
      <c r="AQ73" s="52"/>
      <c r="AR73" s="52"/>
      <c r="AS73" s="52"/>
      <c r="AT73" s="52"/>
      <c r="AU73" s="52"/>
      <c r="AV73" s="52"/>
      <c r="AW73" s="52"/>
      <c r="AX73" s="52"/>
      <c r="AY73" s="52"/>
      <c r="AZ73" s="52"/>
      <c r="BA73" s="52"/>
      <c r="BB73" s="52"/>
      <c r="BC73" s="52"/>
      <c r="BD73" s="52"/>
      <c r="BE73" s="52"/>
      <c r="BF73" s="52"/>
      <c r="BG73" s="52"/>
      <c r="BH73" s="52"/>
      <c r="BI73" s="52"/>
      <c r="BJ73" s="52"/>
      <c r="BK73" s="52"/>
      <c r="BL73" s="52"/>
      <c r="BM73" s="52"/>
    </row>
    <row r="74" spans="1:65" x14ac:dyDescent="0.3">
      <c r="A74" s="10" t="str">
        <f>IF(Job_Master!A74="","",Job_Master!A74)</f>
        <v>BJ-170</v>
      </c>
      <c r="B74" s="10">
        <f>IF($A74="","",Job_Master!B74)</f>
        <v>20</v>
      </c>
      <c r="C74" s="10" t="str">
        <f>IF($A74="","",Job_Master!C74)</f>
        <v>SOL</v>
      </c>
      <c r="D74" s="10">
        <f>IF($A74="","",Job_Master!D74)</f>
        <v>4</v>
      </c>
      <c r="E74" s="48" t="str">
        <f>IF($A74="","",IFERROR(INDEX(Machine_List!$B$20:$B$49,MATCH("*"&amp;$B74&amp;"*",Machine_List!$J$20:$J$49,0)),"NO COMPATIBLE MACHINE"))</f>
        <v>EDM-MC-01</v>
      </c>
      <c r="F74" s="106" t="str">
        <f>IF($E74="","",IFERROR(VLOOKUP($E74,Machine_List!$B:$G,6,0),""))</f>
        <v>General Workman</v>
      </c>
      <c r="G74" s="53">
        <f>IF($E74="","",IFERROR(VLOOKUP($E74,Machine_List!$B:$C,2,0),""))</f>
        <v>46092</v>
      </c>
      <c r="H74" s="10">
        <f>IF($E74="","",IFERROR(VLOOKUP($E74,Machine_List!$B:$D,3,0),""))</f>
        <v>6</v>
      </c>
      <c r="I74" s="54"/>
      <c r="J74" s="55">
        <f ca="1">IF($A74="","",IF($I74&lt;&gt;"",$I74,MAX(MAX(SPM_Plan!$M74,CARVING_Plan!$M74),IFERROR(LOOKUP(2,1/($E$3:INDIRECT("E"&amp;(ROW()-1))=$E74),$M$3:INDIRECT("M"&amp;(ROW()-1))),MAX(SPM_Plan!$M74,CARVING_Plan!$M74)))))</f>
        <v>46263.291666666664</v>
      </c>
      <c r="K74" s="10">
        <f>IF($A74="","",IFERROR(VLOOKUP(B74,CHOOSE(MATCH(C74,Settings!$L$4:$L$10,0),OPR_2P!$A$4:$I$18,SEG_6P!$A$4:$I$18,SOL_4P!$A$4:$I$18,RW_2P!$A$4:$I$18,RW2_4P!$A$4:$I$18,FLAP_4P!$A$4:$I$18,TUBE_4P!$A$4:$I$18),4,0),0))</f>
        <v>21</v>
      </c>
      <c r="L74" s="10">
        <f t="shared" si="3"/>
        <v>84</v>
      </c>
      <c r="M74" s="55">
        <f ca="1">IF($A74="","",IF(AND(ISNUMBER(G74),G74&gt;=J74,G74&lt;=(J74+(L74/(IF(F74="Contract Workman",Settings!$K$5,Settings!$K$4))))),J74+(L74/(IF(F74="Contract Workman",Settings!$K$5,Settings!$K$4)))+(H74/(IF(F74="Contract Workman",Settings!$K$5,Settings!$K$4))),J74+(L74/(IF(F74="Contract Workman",Settings!$K$5,Settings!$K$4)))))</f>
        <v>46267.180555555555</v>
      </c>
      <c r="N74" s="10" t="str">
        <f t="shared" ca="1" si="4"/>
        <v>Shift C</v>
      </c>
      <c r="O74" s="51" t="str">
        <f>IF(B74="","", IF(IFERROR(ISNUMBER(SEARCH(B74, VLOOKUP(E74, Machine_List!$B:$J, 9, 0))), FALSE()), "✅ Machine OK", "❌ Sug: " &amp; IFERROR(INDEX(Machine_List!$B$20:$B$49, MATCH("*"&amp;B74&amp;"*", Machine_List!$J$20:$J$49, 0)), "Check Limits")))</f>
        <v>✅ Machine OK</v>
      </c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2"/>
      <c r="AF74" s="52"/>
      <c r="AG74" s="52"/>
      <c r="AH74" s="52"/>
      <c r="AI74" s="52"/>
      <c r="AJ74" s="52"/>
      <c r="AK74" s="52"/>
      <c r="AL74" s="52"/>
      <c r="AM74" s="52"/>
      <c r="AN74" s="52"/>
      <c r="AO74" s="52"/>
      <c r="AP74" s="52"/>
      <c r="AQ74" s="52"/>
      <c r="AR74" s="52"/>
      <c r="AS74" s="52"/>
      <c r="AT74" s="52"/>
      <c r="AU74" s="52"/>
      <c r="AV74" s="52"/>
      <c r="AW74" s="52"/>
      <c r="AX74" s="52"/>
      <c r="AY74" s="52"/>
      <c r="AZ74" s="52"/>
      <c r="BA74" s="52"/>
      <c r="BB74" s="52"/>
      <c r="BC74" s="52"/>
      <c r="BD74" s="52"/>
      <c r="BE74" s="52"/>
      <c r="BF74" s="52"/>
      <c r="BG74" s="52"/>
      <c r="BH74" s="52"/>
      <c r="BI74" s="52"/>
      <c r="BJ74" s="52"/>
      <c r="BK74" s="52"/>
      <c r="BL74" s="52"/>
      <c r="BM74" s="52"/>
    </row>
    <row r="75" spans="1:65" x14ac:dyDescent="0.3">
      <c r="A75" s="10" t="str">
        <f>IF(Job_Master!A75="","",Job_Master!A75)</f>
        <v/>
      </c>
      <c r="B75" s="10" t="str">
        <f>IF($A75="","",Job_Master!B75)</f>
        <v/>
      </c>
      <c r="C75" s="10" t="str">
        <f>IF($A75="","",Job_Master!C75)</f>
        <v/>
      </c>
      <c r="D75" s="10" t="str">
        <f>IF($A75="","",Job_Master!D75)</f>
        <v/>
      </c>
      <c r="E75" s="48" t="str">
        <f>IF($A75="","",IFERROR(INDEX(Machine_List!$B$20:$B$49,MATCH("*"&amp;$B75&amp;"*",Machine_List!$J$20:$J$49,0)),"NO COMPATIBLE MACHINE"))</f>
        <v/>
      </c>
      <c r="F75" s="106" t="str">
        <f>IF($E75="","",IFERROR(VLOOKUP($E75,Machine_List!$B:$G,6,0),""))</f>
        <v/>
      </c>
      <c r="G75" s="53" t="str">
        <f>IF($E75="","",IFERROR(VLOOKUP($E75,Machine_List!$B:$C,2,0),""))</f>
        <v/>
      </c>
      <c r="H75" s="10" t="str">
        <f>IF($E75="","",IFERROR(VLOOKUP($E75,Machine_List!$B:$D,3,0),""))</f>
        <v/>
      </c>
      <c r="I75" s="54"/>
      <c r="J75" s="55" t="str">
        <f ca="1">IF($A75="","",IF($I75&lt;&gt;"",$I75,MAX(MAX(SPM_Plan!$M75,CARVING_Plan!$M75),IFERROR(LOOKUP(2,1/($E$3:INDIRECT("E"&amp;(ROW()-1))=$E75),$M$3:INDIRECT("M"&amp;(ROW()-1))),MAX(SPM_Plan!$M75,CARVING_Plan!$M75)))))</f>
        <v/>
      </c>
      <c r="K75" s="10" t="str">
        <f>IF($A75="","",IFERROR(VLOOKUP(B75,CHOOSE(MATCH(C75,Settings!$L$4:$L$10,0),OPR_2P!$A$4:$I$18,SEG_6P!$A$4:$I$18,SOL_4P!$A$4:$I$18,RW_2P!$A$4:$I$18,RW2_4P!$A$4:$I$18,FLAP_4P!$A$4:$I$18,TUBE_4P!$A$4:$I$18),4,0),0))</f>
        <v/>
      </c>
      <c r="L75" s="10" t="str">
        <f t="shared" si="3"/>
        <v/>
      </c>
      <c r="M75" s="55" t="str">
        <f>IF($A75="","",IF(AND(ISNUMBER(G75),G75&gt;=J75,G75&lt;=(J75+(L75/(IF(F75="Contract Workman",Settings!$K$5,Settings!$K$4))))),J75+(L75/(IF(F75="Contract Workman",Settings!$K$5,Settings!$K$4)))+(H75/(IF(F75="Contract Workman",Settings!$K$5,Settings!$K$4))),J75+(L75/(IF(F75="Contract Workman",Settings!$K$5,Settings!$K$4)))))</f>
        <v/>
      </c>
      <c r="N75" s="10" t="str">
        <f t="shared" si="4"/>
        <v/>
      </c>
      <c r="O75" s="51" t="str">
        <f>IF(B75="","", IF(IFERROR(ISNUMBER(SEARCH(B75, VLOOKUP(E75, Machine_List!$B:$J, 9, 0))), FALSE()), "✅ Machine OK", "❌ Sug: " &amp; IFERROR(INDEX(Machine_List!$B$20:$B$49, MATCH("*"&amp;B75&amp;"*", Machine_List!$J$20:$J$49, 0)), "Check Limits")))</f>
        <v/>
      </c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52"/>
      <c r="AJ75" s="52"/>
      <c r="AK75" s="52"/>
      <c r="AL75" s="52"/>
      <c r="AM75" s="52"/>
      <c r="AN75" s="52"/>
      <c r="AO75" s="52"/>
      <c r="AP75" s="52"/>
      <c r="AQ75" s="52"/>
      <c r="AR75" s="52"/>
      <c r="AS75" s="52"/>
      <c r="AT75" s="52"/>
      <c r="AU75" s="52"/>
      <c r="AV75" s="52"/>
      <c r="AW75" s="52"/>
      <c r="AX75" s="52"/>
      <c r="AY75" s="52"/>
      <c r="AZ75" s="52"/>
      <c r="BA75" s="52"/>
      <c r="BB75" s="52"/>
      <c r="BC75" s="52"/>
      <c r="BD75" s="52"/>
      <c r="BE75" s="52"/>
      <c r="BF75" s="52"/>
      <c r="BG75" s="52"/>
      <c r="BH75" s="52"/>
      <c r="BI75" s="52"/>
      <c r="BJ75" s="52"/>
      <c r="BK75" s="52"/>
      <c r="BL75" s="52"/>
      <c r="BM75" s="52"/>
    </row>
    <row r="76" spans="1:65" x14ac:dyDescent="0.3">
      <c r="A76" s="10" t="str">
        <f>IF(Job_Master!A76="","",Job_Master!A76)</f>
        <v/>
      </c>
      <c r="B76" s="10" t="str">
        <f>IF($A76="","",Job_Master!B76)</f>
        <v/>
      </c>
      <c r="C76" s="10" t="str">
        <f>IF($A76="","",Job_Master!C76)</f>
        <v/>
      </c>
      <c r="D76" s="10" t="str">
        <f>IF($A76="","",Job_Master!D76)</f>
        <v/>
      </c>
      <c r="E76" s="48" t="str">
        <f>IF($A76="","",IFERROR(INDEX(Machine_List!$B$20:$B$49,MATCH("*"&amp;$B76&amp;"*",Machine_List!$J$20:$J$49,0)),"NO COMPATIBLE MACHINE"))</f>
        <v/>
      </c>
      <c r="F76" s="106" t="str">
        <f>IF($E76="","",IFERROR(VLOOKUP($E76,Machine_List!$B:$G,6,0),""))</f>
        <v/>
      </c>
      <c r="G76" s="53" t="str">
        <f>IF($E76="","",IFERROR(VLOOKUP($E76,Machine_List!$B:$C,2,0),""))</f>
        <v/>
      </c>
      <c r="H76" s="10" t="str">
        <f>IF($E76="","",IFERROR(VLOOKUP($E76,Machine_List!$B:$D,3,0),""))</f>
        <v/>
      </c>
      <c r="I76" s="54"/>
      <c r="J76" s="55" t="str">
        <f ca="1">IF($A76="","",IF($I76&lt;&gt;"",$I76,MAX(MAX(SPM_Plan!$M76,CARVING_Plan!$M76),IFERROR(LOOKUP(2,1/($E$3:INDIRECT("E"&amp;(ROW()-1))=$E76),$M$3:INDIRECT("M"&amp;(ROW()-1))),MAX(SPM_Plan!$M76,CARVING_Plan!$M76)))))</f>
        <v/>
      </c>
      <c r="K76" s="10" t="str">
        <f>IF($A76="","",IFERROR(VLOOKUP(B76,CHOOSE(MATCH(C76,Settings!$L$4:$L$10,0),OPR_2P!$A$4:$I$18,SEG_6P!$A$4:$I$18,SOL_4P!$A$4:$I$18,RW_2P!$A$4:$I$18,RW2_4P!$A$4:$I$18,FLAP_4P!$A$4:$I$18,TUBE_4P!$A$4:$I$18),4,0),0))</f>
        <v/>
      </c>
      <c r="L76" s="10" t="str">
        <f t="shared" si="3"/>
        <v/>
      </c>
      <c r="M76" s="55" t="str">
        <f>IF($A76="","",IF(AND(ISNUMBER(G76),G76&gt;=J76,G76&lt;=(J76+(L76/(IF(F76="Contract Workman",Settings!$K$5,Settings!$K$4))))),J76+(L76/(IF(F76="Contract Workman",Settings!$K$5,Settings!$K$4)))+(H76/(IF(F76="Contract Workman",Settings!$K$5,Settings!$K$4))),J76+(L76/(IF(F76="Contract Workman",Settings!$K$5,Settings!$K$4)))))</f>
        <v/>
      </c>
      <c r="N76" s="10" t="str">
        <f t="shared" si="4"/>
        <v/>
      </c>
      <c r="O76" s="51" t="str">
        <f>IF(B76="","", IF(IFERROR(ISNUMBER(SEARCH(B76, VLOOKUP(E76, Machine_List!$B:$J, 9, 0))), FALSE()), "✅ Machine OK", "❌ Sug: " &amp; IFERROR(INDEX(Machine_List!$B$20:$B$49, MATCH("*"&amp;B76&amp;"*", Machine_List!$J$20:$J$49, 0)), "Check Limits")))</f>
        <v/>
      </c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52"/>
      <c r="AK76" s="52"/>
      <c r="AL76" s="52"/>
      <c r="AM76" s="52"/>
      <c r="AN76" s="52"/>
      <c r="AO76" s="52"/>
      <c r="AP76" s="52"/>
      <c r="AQ76" s="52"/>
      <c r="AR76" s="52"/>
      <c r="AS76" s="52"/>
      <c r="AT76" s="52"/>
      <c r="AU76" s="52"/>
      <c r="AV76" s="52"/>
      <c r="AW76" s="52"/>
      <c r="AX76" s="52"/>
      <c r="AY76" s="52"/>
      <c r="AZ76" s="52"/>
      <c r="BA76" s="52"/>
      <c r="BB76" s="52"/>
      <c r="BC76" s="52"/>
      <c r="BD76" s="52"/>
      <c r="BE76" s="52"/>
      <c r="BF76" s="52"/>
      <c r="BG76" s="52"/>
      <c r="BH76" s="52"/>
      <c r="BI76" s="52"/>
      <c r="BJ76" s="52"/>
      <c r="BK76" s="52"/>
      <c r="BL76" s="52"/>
      <c r="BM76" s="52"/>
    </row>
    <row r="77" spans="1:65" x14ac:dyDescent="0.3">
      <c r="A77" s="10" t="str">
        <f>IF(Job_Master!A77="","",Job_Master!A77)</f>
        <v/>
      </c>
      <c r="B77" s="10" t="str">
        <f>IF($A77="","",Job_Master!B77)</f>
        <v/>
      </c>
      <c r="C77" s="10" t="str">
        <f>IF($A77="","",Job_Master!C77)</f>
        <v/>
      </c>
      <c r="D77" s="10" t="str">
        <f>IF($A77="","",Job_Master!D77)</f>
        <v/>
      </c>
      <c r="E77" s="48" t="str">
        <f>IF($A77="","",IFERROR(INDEX(Machine_List!$B$20:$B$49,MATCH("*"&amp;$B77&amp;"*",Machine_List!$J$20:$J$49,0)),"NO COMPATIBLE MACHINE"))</f>
        <v/>
      </c>
      <c r="F77" s="106" t="str">
        <f>IF($E77="","",IFERROR(VLOOKUP($E77,Machine_List!$B:$G,6,0),""))</f>
        <v/>
      </c>
      <c r="G77" s="53" t="str">
        <f>IF($E77="","",IFERROR(VLOOKUP($E77,Machine_List!$B:$C,2,0),""))</f>
        <v/>
      </c>
      <c r="H77" s="10" t="str">
        <f>IF($E77="","",IFERROR(VLOOKUP($E77,Machine_List!$B:$D,3,0),""))</f>
        <v/>
      </c>
      <c r="I77" s="54"/>
      <c r="J77" s="55" t="str">
        <f ca="1">IF($A77="","",IF($I77&lt;&gt;"",$I77,MAX(MAX(SPM_Plan!$M77,CARVING_Plan!$M77),IFERROR(LOOKUP(2,1/($E$3:INDIRECT("E"&amp;(ROW()-1))=$E77),$M$3:INDIRECT("M"&amp;(ROW()-1))),MAX(SPM_Plan!$M77,CARVING_Plan!$M77)))))</f>
        <v/>
      </c>
      <c r="K77" s="10" t="str">
        <f>IF($A77="","",IFERROR(VLOOKUP(B77,CHOOSE(MATCH(C77,Settings!$L$4:$L$10,0),OPR_2P!$A$4:$I$18,SEG_6P!$A$4:$I$18,SOL_4P!$A$4:$I$18,RW_2P!$A$4:$I$18,RW2_4P!$A$4:$I$18,FLAP_4P!$A$4:$I$18,TUBE_4P!$A$4:$I$18),4,0),0))</f>
        <v/>
      </c>
      <c r="L77" s="10" t="str">
        <f t="shared" si="3"/>
        <v/>
      </c>
      <c r="M77" s="55" t="str">
        <f>IF($A77="","",IF(AND(ISNUMBER(G77),G77&gt;=J77,G77&lt;=(J77+(L77/(IF(F77="Contract Workman",Settings!$K$5,Settings!$K$4))))),J77+(L77/(IF(F77="Contract Workman",Settings!$K$5,Settings!$K$4)))+(H77/(IF(F77="Contract Workman",Settings!$K$5,Settings!$K$4))),J77+(L77/(IF(F77="Contract Workman",Settings!$K$5,Settings!$K$4)))))</f>
        <v/>
      </c>
      <c r="N77" s="10" t="str">
        <f t="shared" si="4"/>
        <v/>
      </c>
      <c r="O77" s="51" t="str">
        <f>IF(B77="","", IF(IFERROR(ISNUMBER(SEARCH(B77, VLOOKUP(E77, Machine_List!$B:$J, 9, 0))), FALSE()), "✅ Machine OK", "❌ Sug: " &amp; IFERROR(INDEX(Machine_List!$B$20:$B$49, MATCH("*"&amp;B77&amp;"*", Machine_List!$J$20:$J$49, 0)), "Check Limits")))</f>
        <v/>
      </c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  <c r="AE77" s="52"/>
      <c r="AF77" s="52"/>
      <c r="AG77" s="52"/>
      <c r="AH77" s="52"/>
      <c r="AI77" s="52"/>
      <c r="AJ77" s="52"/>
      <c r="AK77" s="52"/>
      <c r="AL77" s="52"/>
      <c r="AM77" s="52"/>
      <c r="AN77" s="52"/>
      <c r="AO77" s="52"/>
      <c r="AP77" s="52"/>
      <c r="AQ77" s="52"/>
      <c r="AR77" s="52"/>
      <c r="AS77" s="52"/>
      <c r="AT77" s="52"/>
      <c r="AU77" s="52"/>
      <c r="AV77" s="52"/>
      <c r="AW77" s="52"/>
      <c r="AX77" s="52"/>
      <c r="AY77" s="52"/>
      <c r="AZ77" s="52"/>
      <c r="BA77" s="52"/>
      <c r="BB77" s="52"/>
      <c r="BC77" s="52"/>
      <c r="BD77" s="52"/>
      <c r="BE77" s="52"/>
      <c r="BF77" s="52"/>
      <c r="BG77" s="52"/>
      <c r="BH77" s="52"/>
      <c r="BI77" s="52"/>
      <c r="BJ77" s="52"/>
      <c r="BK77" s="52"/>
      <c r="BL77" s="52"/>
      <c r="BM77" s="52"/>
    </row>
    <row r="78" spans="1:65" x14ac:dyDescent="0.3">
      <c r="A78" s="10" t="str">
        <f>IF(Job_Master!A78="","",Job_Master!A78)</f>
        <v/>
      </c>
      <c r="B78" s="10" t="str">
        <f>IF($A78="","",Job_Master!B78)</f>
        <v/>
      </c>
      <c r="C78" s="10" t="str">
        <f>IF($A78="","",Job_Master!C78)</f>
        <v/>
      </c>
      <c r="D78" s="10" t="str">
        <f>IF($A78="","",Job_Master!D78)</f>
        <v/>
      </c>
      <c r="E78" s="48" t="str">
        <f>IF($A78="","",IFERROR(INDEX(Machine_List!$B$20:$B$49,MATCH("*"&amp;$B78&amp;"*",Machine_List!$J$20:$J$49,0)),"NO COMPATIBLE MACHINE"))</f>
        <v/>
      </c>
      <c r="F78" s="106" t="str">
        <f>IF($E78="","",IFERROR(VLOOKUP($E78,Machine_List!$B:$G,6,0),""))</f>
        <v/>
      </c>
      <c r="G78" s="53" t="str">
        <f>IF($E78="","",IFERROR(VLOOKUP($E78,Machine_List!$B:$C,2,0),""))</f>
        <v/>
      </c>
      <c r="H78" s="10" t="str">
        <f>IF($E78="","",IFERROR(VLOOKUP($E78,Machine_List!$B:$D,3,0),""))</f>
        <v/>
      </c>
      <c r="I78" s="54"/>
      <c r="J78" s="55" t="str">
        <f ca="1">IF($A78="","",IF($I78&lt;&gt;"",$I78,MAX(MAX(SPM_Plan!$M78,CARVING_Plan!$M78),IFERROR(LOOKUP(2,1/($E$3:INDIRECT("E"&amp;(ROW()-1))=$E78),$M$3:INDIRECT("M"&amp;(ROW()-1))),MAX(SPM_Plan!$M78,CARVING_Plan!$M78)))))</f>
        <v/>
      </c>
      <c r="K78" s="10" t="str">
        <f>IF($A78="","",IFERROR(VLOOKUP(B78,CHOOSE(MATCH(C78,Settings!$L$4:$L$10,0),OPR_2P!$A$4:$I$18,SEG_6P!$A$4:$I$18,SOL_4P!$A$4:$I$18,RW_2P!$A$4:$I$18,RW2_4P!$A$4:$I$18,FLAP_4P!$A$4:$I$18,TUBE_4P!$A$4:$I$18),4,0),0))</f>
        <v/>
      </c>
      <c r="L78" s="10" t="str">
        <f t="shared" si="3"/>
        <v/>
      </c>
      <c r="M78" s="55" t="str">
        <f>IF($A78="","",IF(AND(ISNUMBER(G78),G78&gt;=J78,G78&lt;=(J78+(L78/(IF(F78="Contract Workman",Settings!$K$5,Settings!$K$4))))),J78+(L78/(IF(F78="Contract Workman",Settings!$K$5,Settings!$K$4)))+(H78/(IF(F78="Contract Workman",Settings!$K$5,Settings!$K$4))),J78+(L78/(IF(F78="Contract Workman",Settings!$K$5,Settings!$K$4)))))</f>
        <v/>
      </c>
      <c r="N78" s="10" t="str">
        <f t="shared" si="4"/>
        <v/>
      </c>
      <c r="O78" s="51" t="str">
        <f>IF(B78="","", IF(IFERROR(ISNUMBER(SEARCH(B78, VLOOKUP(E78, Machine_List!$B:$J, 9, 0))), FALSE()), "✅ Machine OK", "❌ Sug: " &amp; IFERROR(INDEX(Machine_List!$B$20:$B$49, MATCH("*"&amp;B78&amp;"*", Machine_List!$J$20:$J$49, 0)), "Check Limits")))</f>
        <v/>
      </c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52"/>
      <c r="AG78" s="52"/>
      <c r="AH78" s="52"/>
      <c r="AI78" s="52"/>
      <c r="AJ78" s="52"/>
      <c r="AK78" s="52"/>
      <c r="AL78" s="52"/>
      <c r="AM78" s="52"/>
      <c r="AN78" s="52"/>
      <c r="AO78" s="52"/>
      <c r="AP78" s="52"/>
      <c r="AQ78" s="52"/>
      <c r="AR78" s="52"/>
      <c r="AS78" s="52"/>
      <c r="AT78" s="52"/>
      <c r="AU78" s="52"/>
      <c r="AV78" s="52"/>
      <c r="AW78" s="52"/>
      <c r="AX78" s="52"/>
      <c r="AY78" s="52"/>
      <c r="AZ78" s="52"/>
      <c r="BA78" s="52"/>
      <c r="BB78" s="52"/>
      <c r="BC78" s="52"/>
      <c r="BD78" s="52"/>
      <c r="BE78" s="52"/>
      <c r="BF78" s="52"/>
      <c r="BG78" s="52"/>
      <c r="BH78" s="52"/>
      <c r="BI78" s="52"/>
      <c r="BJ78" s="52"/>
      <c r="BK78" s="52"/>
      <c r="BL78" s="52"/>
      <c r="BM78" s="52"/>
    </row>
    <row r="79" spans="1:65" x14ac:dyDescent="0.3">
      <c r="A79" s="10" t="str">
        <f>IF(Job_Master!A79="","",Job_Master!A79)</f>
        <v/>
      </c>
      <c r="B79" s="10" t="str">
        <f>IF($A79="","",Job_Master!B79)</f>
        <v/>
      </c>
      <c r="C79" s="10" t="str">
        <f>IF($A79="","",Job_Master!C79)</f>
        <v/>
      </c>
      <c r="D79" s="10" t="str">
        <f>IF($A79="","",Job_Master!D79)</f>
        <v/>
      </c>
      <c r="E79" s="48" t="str">
        <f>IF($A79="","",IFERROR(INDEX(Machine_List!$B$20:$B$49,MATCH("*"&amp;$B79&amp;"*",Machine_List!$J$20:$J$49,0)),"NO COMPATIBLE MACHINE"))</f>
        <v/>
      </c>
      <c r="F79" s="106" t="str">
        <f>IF($E79="","",IFERROR(VLOOKUP($E79,Machine_List!$B:$G,6,0),""))</f>
        <v/>
      </c>
      <c r="G79" s="53" t="str">
        <f>IF($E79="","",IFERROR(VLOOKUP($E79,Machine_List!$B:$C,2,0),""))</f>
        <v/>
      </c>
      <c r="H79" s="10" t="str">
        <f>IF($E79="","",IFERROR(VLOOKUP($E79,Machine_List!$B:$D,3,0),""))</f>
        <v/>
      </c>
      <c r="I79" s="54"/>
      <c r="J79" s="55" t="str">
        <f ca="1">IF($A79="","",IF($I79&lt;&gt;"",$I79,MAX(MAX(SPM_Plan!$M79,CARVING_Plan!$M79),IFERROR(LOOKUP(2,1/($E$3:INDIRECT("E"&amp;(ROW()-1))=$E79),$M$3:INDIRECT("M"&amp;(ROW()-1))),MAX(SPM_Plan!$M79,CARVING_Plan!$M79)))))</f>
        <v/>
      </c>
      <c r="K79" s="10" t="str">
        <f>IF($A79="","",IFERROR(VLOOKUP(B79,CHOOSE(MATCH(C79,Settings!$L$4:$L$10,0),OPR_2P!$A$4:$I$18,SEG_6P!$A$4:$I$18,SOL_4P!$A$4:$I$18,RW_2P!$A$4:$I$18,RW2_4P!$A$4:$I$18,FLAP_4P!$A$4:$I$18,TUBE_4P!$A$4:$I$18),4,0),0))</f>
        <v/>
      </c>
      <c r="L79" s="10" t="str">
        <f t="shared" si="3"/>
        <v/>
      </c>
      <c r="M79" s="55" t="str">
        <f>IF($A79="","",IF(AND(ISNUMBER(G79),G79&gt;=J79,G79&lt;=(J79+(L79/(IF(F79="Contract Workman",Settings!$K$5,Settings!$K$4))))),J79+(L79/(IF(F79="Contract Workman",Settings!$K$5,Settings!$K$4)))+(H79/(IF(F79="Contract Workman",Settings!$K$5,Settings!$K$4))),J79+(L79/(IF(F79="Contract Workman",Settings!$K$5,Settings!$K$4)))))</f>
        <v/>
      </c>
      <c r="N79" s="10" t="str">
        <f t="shared" si="4"/>
        <v/>
      </c>
      <c r="O79" s="51" t="str">
        <f>IF(B79="","", IF(IFERROR(ISNUMBER(SEARCH(B79, VLOOKUP(E79, Machine_List!$B:$J, 9, 0))), FALSE()), "✅ Machine OK", "❌ Sug: " &amp; IFERROR(INDEX(Machine_List!$B$20:$B$49, MATCH("*"&amp;B79&amp;"*", Machine_List!$J$20:$J$49, 0)), "Check Limits")))</f>
        <v/>
      </c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  <c r="AF79" s="52"/>
      <c r="AG79" s="52"/>
      <c r="AH79" s="52"/>
      <c r="AI79" s="52"/>
      <c r="AJ79" s="52"/>
      <c r="AK79" s="52"/>
      <c r="AL79" s="52"/>
      <c r="AM79" s="52"/>
      <c r="AN79" s="52"/>
      <c r="AO79" s="52"/>
      <c r="AP79" s="52"/>
      <c r="AQ79" s="52"/>
      <c r="AR79" s="52"/>
      <c r="AS79" s="52"/>
      <c r="AT79" s="52"/>
      <c r="AU79" s="52"/>
      <c r="AV79" s="52"/>
      <c r="AW79" s="52"/>
      <c r="AX79" s="52"/>
      <c r="AY79" s="52"/>
      <c r="AZ79" s="52"/>
      <c r="BA79" s="52"/>
      <c r="BB79" s="52"/>
      <c r="BC79" s="52"/>
      <c r="BD79" s="52"/>
      <c r="BE79" s="52"/>
      <c r="BF79" s="52"/>
      <c r="BG79" s="52"/>
      <c r="BH79" s="52"/>
      <c r="BI79" s="52"/>
      <c r="BJ79" s="52"/>
      <c r="BK79" s="52"/>
      <c r="BL79" s="52"/>
      <c r="BM79" s="52"/>
    </row>
    <row r="80" spans="1:65" x14ac:dyDescent="0.3">
      <c r="A80" s="10" t="str">
        <f>IF(Job_Master!A80="","",Job_Master!A80)</f>
        <v/>
      </c>
      <c r="B80" s="10" t="str">
        <f>IF($A80="","",Job_Master!B80)</f>
        <v/>
      </c>
      <c r="C80" s="10" t="str">
        <f>IF($A80="","",Job_Master!C80)</f>
        <v/>
      </c>
      <c r="D80" s="10" t="str">
        <f>IF($A80="","",Job_Master!D80)</f>
        <v/>
      </c>
      <c r="E80" s="48" t="str">
        <f>IF($A80="","",IFERROR(INDEX(Machine_List!$B$20:$B$49,MATCH("*"&amp;$B80&amp;"*",Machine_List!$J$20:$J$49,0)),"NO COMPATIBLE MACHINE"))</f>
        <v/>
      </c>
      <c r="F80" s="106" t="str">
        <f>IF($E80="","",IFERROR(VLOOKUP($E80,Machine_List!$B:$G,6,0),""))</f>
        <v/>
      </c>
      <c r="G80" s="53" t="str">
        <f>IF($E80="","",IFERROR(VLOOKUP($E80,Machine_List!$B:$C,2,0),""))</f>
        <v/>
      </c>
      <c r="H80" s="10" t="str">
        <f>IF($E80="","",IFERROR(VLOOKUP($E80,Machine_List!$B:$D,3,0),""))</f>
        <v/>
      </c>
      <c r="I80" s="54"/>
      <c r="J80" s="55" t="str">
        <f ca="1">IF($A80="","",IF($I80&lt;&gt;"",$I80,MAX(MAX(SPM_Plan!$M80,CARVING_Plan!$M80),IFERROR(LOOKUP(2,1/($E$3:INDIRECT("E"&amp;(ROW()-1))=$E80),$M$3:INDIRECT("M"&amp;(ROW()-1))),MAX(SPM_Plan!$M80,CARVING_Plan!$M80)))))</f>
        <v/>
      </c>
      <c r="K80" s="10" t="str">
        <f>IF($A80="","",IFERROR(VLOOKUP(B80,CHOOSE(MATCH(C80,Settings!$L$4:$L$10,0),OPR_2P!$A$4:$I$18,SEG_6P!$A$4:$I$18,SOL_4P!$A$4:$I$18,RW_2P!$A$4:$I$18,RW2_4P!$A$4:$I$18,FLAP_4P!$A$4:$I$18,TUBE_4P!$A$4:$I$18),4,0),0))</f>
        <v/>
      </c>
      <c r="L80" s="10" t="str">
        <f t="shared" si="3"/>
        <v/>
      </c>
      <c r="M80" s="55" t="str">
        <f>IF($A80="","",IF(AND(ISNUMBER(G80),G80&gt;=J80,G80&lt;=(J80+(L80/(IF(F80="Contract Workman",Settings!$K$5,Settings!$K$4))))),J80+(L80/(IF(F80="Contract Workman",Settings!$K$5,Settings!$K$4)))+(H80/(IF(F80="Contract Workman",Settings!$K$5,Settings!$K$4))),J80+(L80/(IF(F80="Contract Workman",Settings!$K$5,Settings!$K$4)))))</f>
        <v/>
      </c>
      <c r="N80" s="10" t="str">
        <f t="shared" si="4"/>
        <v/>
      </c>
      <c r="O80" s="51" t="str">
        <f>IF(B80="","", IF(IFERROR(ISNUMBER(SEARCH(B80, VLOOKUP(E80, Machine_List!$B:$J, 9, 0))), FALSE()), "✅ Machine OK", "❌ Sug: " &amp; IFERROR(INDEX(Machine_List!$B$20:$B$49, MATCH("*"&amp;B80&amp;"*", Machine_List!$J$20:$J$49, 0)), "Check Limits")))</f>
        <v/>
      </c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  <c r="AE80" s="52"/>
      <c r="AF80" s="52"/>
      <c r="AG80" s="52"/>
      <c r="AH80" s="52"/>
      <c r="AI80" s="52"/>
      <c r="AJ80" s="52"/>
      <c r="AK80" s="52"/>
      <c r="AL80" s="52"/>
      <c r="AM80" s="52"/>
      <c r="AN80" s="52"/>
      <c r="AO80" s="52"/>
      <c r="AP80" s="52"/>
      <c r="AQ80" s="52"/>
      <c r="AR80" s="52"/>
      <c r="AS80" s="52"/>
      <c r="AT80" s="52"/>
      <c r="AU80" s="52"/>
      <c r="AV80" s="52"/>
      <c r="AW80" s="52"/>
      <c r="AX80" s="52"/>
      <c r="AY80" s="52"/>
      <c r="AZ80" s="52"/>
      <c r="BA80" s="52"/>
      <c r="BB80" s="52"/>
      <c r="BC80" s="52"/>
      <c r="BD80" s="52"/>
      <c r="BE80" s="52"/>
      <c r="BF80" s="52"/>
      <c r="BG80" s="52"/>
      <c r="BH80" s="52"/>
      <c r="BI80" s="52"/>
      <c r="BJ80" s="52"/>
      <c r="BK80" s="52"/>
      <c r="BL80" s="52"/>
      <c r="BM80" s="52"/>
    </row>
    <row r="81" spans="1:65" ht="15" customHeight="1" x14ac:dyDescent="0.3">
      <c r="A81" s="10" t="str">
        <f>IF(Job_Master!A81="","",Job_Master!A81)</f>
        <v/>
      </c>
      <c r="B81" s="10" t="str">
        <f>IF($A81="","",Job_Master!B81)</f>
        <v/>
      </c>
      <c r="C81" s="10" t="str">
        <f>IF($A81="","",Job_Master!C81)</f>
        <v/>
      </c>
      <c r="D81" s="10" t="str">
        <f>IF($A81="","",Job_Master!D81)</f>
        <v/>
      </c>
      <c r="E81" s="48" t="str">
        <f>IF($A81="","",IFERROR(INDEX(Machine_List!$B$20:$B$49,MATCH("*"&amp;$B81&amp;"*",Machine_List!$J$20:$J$49,0)),"NO COMPATIBLE MACHINE"))</f>
        <v/>
      </c>
      <c r="F81" s="106" t="str">
        <f>IF($E81="","",IFERROR(VLOOKUP($E81,Machine_List!$B:$G,6,0),""))</f>
        <v/>
      </c>
      <c r="G81" s="53" t="str">
        <f>IF($E81="","",IFERROR(VLOOKUP($E81,Machine_List!$B:$C,2,0),""))</f>
        <v/>
      </c>
      <c r="H81" s="10" t="str">
        <f>IF($E81="","",IFERROR(VLOOKUP($E81,Machine_List!$B:$D,3,0),""))</f>
        <v/>
      </c>
      <c r="I81" s="54"/>
      <c r="J81" s="55" t="str">
        <f ca="1">IF($A81="","",IF($I81&lt;&gt;"",$I81,MAX(MAX(SPM_Plan!$M81,CARVING_Plan!$M81),IFERROR(LOOKUP(2,1/($E$3:INDIRECT("E"&amp;(ROW()-1))=$E81),$M$3:INDIRECT("M"&amp;(ROW()-1))),MAX(SPM_Plan!$M81,CARVING_Plan!$M81)))))</f>
        <v/>
      </c>
      <c r="K81" s="10" t="str">
        <f>IF($A81="","",IFERROR(VLOOKUP(B81,CHOOSE(MATCH(C81,Settings!$L$4:$L$10,0),OPR_2P!$A$4:$I$18,SEG_6P!$A$4:$I$18,SOL_4P!$A$4:$I$18,RW_2P!$A$4:$I$18,RW2_4P!$A$4:$I$18,FLAP_4P!$A$4:$I$18,TUBE_4P!$A$4:$I$18),4,0),0))</f>
        <v/>
      </c>
      <c r="L81" s="10" t="str">
        <f t="shared" si="3"/>
        <v/>
      </c>
      <c r="M81" s="55" t="str">
        <f>IF($A81="","",IF(AND(ISNUMBER(G81),G81&gt;=J81,G81&lt;=(J81+(L81/(IF(F81="Contract Workman",Settings!$K$5,Settings!$K$4))))),J81+(L81/(IF(F81="Contract Workman",Settings!$K$5,Settings!$K$4)))+(H81/(IF(F81="Contract Workman",Settings!$K$5,Settings!$K$4))),J81+(L81/(IF(F81="Contract Workman",Settings!$K$5,Settings!$K$4)))))</f>
        <v/>
      </c>
      <c r="N81" s="10" t="str">
        <f t="shared" si="4"/>
        <v/>
      </c>
      <c r="O81" s="51" t="str">
        <f>IF(B81="","", IF(IFERROR(ISNUMBER(SEARCH(B81, VLOOKUP(E81, Machine_List!$B:$J, 9, 0))), FALSE()), "✅ Machine OK", "❌ Sug: " &amp; IFERROR(INDEX(Machine_List!$B$20:$B$49, MATCH("*"&amp;B81&amp;"*", Machine_List!$J$20:$J$49, 0)), "Check Limits")))</f>
        <v/>
      </c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  <c r="AE81" s="52"/>
      <c r="AF81" s="52"/>
      <c r="AG81" s="52"/>
      <c r="AH81" s="52"/>
      <c r="AI81" s="52"/>
      <c r="AJ81" s="52"/>
      <c r="AK81" s="52"/>
      <c r="AL81" s="52"/>
      <c r="AM81" s="52"/>
      <c r="AN81" s="52"/>
      <c r="AO81" s="52"/>
      <c r="AP81" s="52"/>
      <c r="AQ81" s="52"/>
      <c r="AR81" s="52"/>
      <c r="AS81" s="52"/>
      <c r="AT81" s="52"/>
      <c r="AU81" s="52"/>
      <c r="AV81" s="52"/>
      <c r="AW81" s="52"/>
      <c r="AX81" s="52"/>
      <c r="AY81" s="52"/>
      <c r="AZ81" s="52"/>
      <c r="BA81" s="52"/>
      <c r="BB81" s="52"/>
      <c r="BC81" s="52"/>
      <c r="BD81" s="52"/>
      <c r="BE81" s="52"/>
      <c r="BF81" s="52"/>
      <c r="BG81" s="52"/>
      <c r="BH81" s="52"/>
      <c r="BI81" s="52"/>
      <c r="BJ81" s="52"/>
      <c r="BK81" s="52"/>
      <c r="BL81" s="52"/>
      <c r="BM81" s="52"/>
    </row>
    <row r="82" spans="1:65" ht="15" customHeight="1" x14ac:dyDescent="0.3">
      <c r="A82" s="10" t="str">
        <f>IF(Job_Master!A82="","",Job_Master!A82)</f>
        <v/>
      </c>
      <c r="B82" s="10" t="str">
        <f>IF($A82="","",Job_Master!B82)</f>
        <v/>
      </c>
      <c r="C82" s="10" t="str">
        <f>IF($A82="","",Job_Master!C82)</f>
        <v/>
      </c>
      <c r="D82" s="10" t="str">
        <f>IF($A82="","",Job_Master!D82)</f>
        <v/>
      </c>
      <c r="E82" s="48" t="str">
        <f>IF($A82="","",IFERROR(INDEX(Machine_List!$B$20:$B$49,MATCH("*"&amp;$B82&amp;"*",Machine_List!$J$20:$J$49,0)),"NO COMPATIBLE MACHINE"))</f>
        <v/>
      </c>
      <c r="F82" s="106" t="str">
        <f>IF($E82="","",IFERROR(VLOOKUP($E82,Machine_List!$B:$G,6,0),""))</f>
        <v/>
      </c>
      <c r="G82" s="53" t="str">
        <f>IF($E82="","",IFERROR(VLOOKUP($E82,Machine_List!$B:$C,2,0),""))</f>
        <v/>
      </c>
      <c r="H82" s="10" t="str">
        <f>IF($E82="","",IFERROR(VLOOKUP($E82,Machine_List!$B:$D,3,0),""))</f>
        <v/>
      </c>
      <c r="I82" s="54"/>
      <c r="J82" s="55" t="str">
        <f ca="1">IF($A82="","",IF($I82&lt;&gt;"",$I82,MAX(MAX(SPM_Plan!$M82,CARVING_Plan!$M82),IFERROR(LOOKUP(2,1/($E$3:INDIRECT("E"&amp;(ROW()-1))=$E82),$M$3:INDIRECT("M"&amp;(ROW()-1))),MAX(SPM_Plan!$M82,CARVING_Plan!$M82)))))</f>
        <v/>
      </c>
      <c r="K82" s="10" t="str">
        <f>IF($A82="","",IFERROR(VLOOKUP(B82,CHOOSE(MATCH(C82,Settings!$L$4:$L$10,0),OPR_2P!$A$4:$I$18,SEG_6P!$A$4:$I$18,SOL_4P!$A$4:$I$18,RW_2P!$A$4:$I$18,RW2_4P!$A$4:$I$18,FLAP_4P!$A$4:$I$18,TUBE_4P!$A$4:$I$18),4,0),0))</f>
        <v/>
      </c>
      <c r="L82" s="10" t="str">
        <f t="shared" si="3"/>
        <v/>
      </c>
      <c r="M82" s="55" t="str">
        <f>IF($A82="","",IF(AND(ISNUMBER(G82),G82&gt;=J82,G82&lt;=(J82+(L82/(IF(F82="Contract Workman",Settings!$K$5,Settings!$K$4))))),J82+(L82/(IF(F82="Contract Workman",Settings!$K$5,Settings!$K$4)))+(H82/(IF(F82="Contract Workman",Settings!$K$5,Settings!$K$4))),J82+(L82/(IF(F82="Contract Workman",Settings!$K$5,Settings!$K$4)))))</f>
        <v/>
      </c>
      <c r="N82" s="10" t="str">
        <f t="shared" si="4"/>
        <v/>
      </c>
      <c r="O82" s="51" t="str">
        <f>IF(B82="","", IF(IFERROR(ISNUMBER(SEARCH(B82, VLOOKUP(E82, Machine_List!$B:$J, 9, 0))), FALSE()), "✅ Machine OK", "❌ Sug: " &amp; IFERROR(INDEX(Machine_List!$B$20:$B$49, MATCH("*"&amp;B82&amp;"*", Machine_List!$J$20:$J$49, 0)), "Check Limits")))</f>
        <v/>
      </c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  <c r="AE82" s="52"/>
      <c r="AF82" s="52"/>
      <c r="AG82" s="52"/>
      <c r="AH82" s="52"/>
      <c r="AI82" s="52"/>
      <c r="AJ82" s="52"/>
      <c r="AK82" s="52"/>
      <c r="AL82" s="52"/>
      <c r="AM82" s="52"/>
      <c r="AN82" s="52"/>
      <c r="AO82" s="52"/>
      <c r="AP82" s="52"/>
      <c r="AQ82" s="52"/>
      <c r="AR82" s="52"/>
      <c r="AS82" s="52"/>
      <c r="AT82" s="52"/>
      <c r="AU82" s="52"/>
      <c r="AV82" s="52"/>
      <c r="AW82" s="52"/>
      <c r="AX82" s="52"/>
      <c r="AY82" s="52"/>
      <c r="AZ82" s="52"/>
      <c r="BA82" s="52"/>
      <c r="BB82" s="52"/>
      <c r="BC82" s="52"/>
      <c r="BD82" s="52"/>
      <c r="BE82" s="52"/>
      <c r="BF82" s="52"/>
      <c r="BG82" s="52"/>
      <c r="BH82" s="52"/>
      <c r="BI82" s="52"/>
      <c r="BJ82" s="52"/>
      <c r="BK82" s="52"/>
      <c r="BL82" s="52"/>
      <c r="BM82" s="52"/>
    </row>
    <row r="83" spans="1:65" ht="15" customHeight="1" x14ac:dyDescent="0.3">
      <c r="A83" s="10" t="str">
        <f>IF(Job_Master!A83="","",Job_Master!A83)</f>
        <v/>
      </c>
      <c r="B83" s="10" t="str">
        <f>IF($A83="","",Job_Master!B83)</f>
        <v/>
      </c>
      <c r="C83" s="10" t="str">
        <f>IF($A83="","",Job_Master!C83)</f>
        <v/>
      </c>
      <c r="D83" s="10" t="str">
        <f>IF($A83="","",Job_Master!D83)</f>
        <v/>
      </c>
      <c r="E83" s="48" t="str">
        <f>IF($A83="","",IFERROR(INDEX(Machine_List!$B$20:$B$49,MATCH("*"&amp;$B83&amp;"*",Machine_List!$J$20:$J$49,0)),"NO COMPATIBLE MACHINE"))</f>
        <v/>
      </c>
      <c r="F83" s="106" t="str">
        <f>IF($E83="","",IFERROR(VLOOKUP($E83,Machine_List!$B:$G,6,0),""))</f>
        <v/>
      </c>
      <c r="G83" s="53" t="str">
        <f>IF($E83="","",IFERROR(VLOOKUP($E83,Machine_List!$B:$C,2,0),""))</f>
        <v/>
      </c>
      <c r="H83" s="10" t="str">
        <f>IF($E83="","",IFERROR(VLOOKUP($E83,Machine_List!$B:$D,3,0),""))</f>
        <v/>
      </c>
      <c r="I83" s="54"/>
      <c r="J83" s="55" t="str">
        <f ca="1">IF($A83="","",IF($I83&lt;&gt;"",$I83,MAX(MAX(SPM_Plan!$M83,CARVING_Plan!$M83),IFERROR(LOOKUP(2,1/($E$3:INDIRECT("E"&amp;(ROW()-1))=$E83),$M$3:INDIRECT("M"&amp;(ROW()-1))),MAX(SPM_Plan!$M83,CARVING_Plan!$M83)))))</f>
        <v/>
      </c>
      <c r="K83" s="10" t="str">
        <f>IF($A83="","",IFERROR(VLOOKUP(B83,CHOOSE(MATCH(C83,Settings!$L$4:$L$10,0),OPR_2P!$A$4:$I$18,SEG_6P!$A$4:$I$18,SOL_4P!$A$4:$I$18,RW_2P!$A$4:$I$18,RW2_4P!$A$4:$I$18,FLAP_4P!$A$4:$I$18,TUBE_4P!$A$4:$I$18),4,0),0))</f>
        <v/>
      </c>
      <c r="L83" s="10" t="str">
        <f t="shared" si="3"/>
        <v/>
      </c>
      <c r="M83" s="55" t="str">
        <f>IF($A83="","",IF(AND(ISNUMBER(G83),G83&gt;=J83,G83&lt;=(J83+(L83/(IF(F83="Contract Workman",Settings!$K$5,Settings!$K$4))))),J83+(L83/(IF(F83="Contract Workman",Settings!$K$5,Settings!$K$4)))+(H83/(IF(F83="Contract Workman",Settings!$K$5,Settings!$K$4))),J83+(L83/(IF(F83="Contract Workman",Settings!$K$5,Settings!$K$4)))))</f>
        <v/>
      </c>
      <c r="N83" s="10" t="str">
        <f t="shared" si="4"/>
        <v/>
      </c>
      <c r="O83" s="51" t="str">
        <f>IF(B83="","", IF(IFERROR(ISNUMBER(SEARCH(B83, VLOOKUP(E83, Machine_List!$B:$J, 9, 0))), FALSE()), "✅ Machine OK", "❌ Sug: " &amp; IFERROR(INDEX(Machine_List!$B$20:$B$49, MATCH("*"&amp;B83&amp;"*", Machine_List!$J$20:$J$49, 0)), "Check Limits")))</f>
        <v/>
      </c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2"/>
      <c r="AE83" s="52"/>
      <c r="AF83" s="52"/>
      <c r="AG83" s="52"/>
      <c r="AH83" s="52"/>
      <c r="AI83" s="52"/>
      <c r="AJ83" s="52"/>
      <c r="AK83" s="52"/>
      <c r="AL83" s="52"/>
      <c r="AM83" s="52"/>
      <c r="AN83" s="52"/>
      <c r="AO83" s="52"/>
      <c r="AP83" s="52"/>
      <c r="AQ83" s="52"/>
      <c r="AR83" s="52"/>
      <c r="AS83" s="52"/>
      <c r="AT83" s="52"/>
      <c r="AU83" s="52"/>
      <c r="AV83" s="52"/>
      <c r="AW83" s="52"/>
      <c r="AX83" s="52"/>
      <c r="AY83" s="52"/>
      <c r="AZ83" s="52"/>
      <c r="BA83" s="52"/>
      <c r="BB83" s="52"/>
      <c r="BC83" s="52"/>
      <c r="BD83" s="52"/>
      <c r="BE83" s="52"/>
      <c r="BF83" s="52"/>
      <c r="BG83" s="52"/>
      <c r="BH83" s="52"/>
      <c r="BI83" s="52"/>
      <c r="BJ83" s="52"/>
      <c r="BK83" s="52"/>
      <c r="BL83" s="52"/>
      <c r="BM83" s="52"/>
    </row>
    <row r="84" spans="1:65" ht="15" customHeight="1" x14ac:dyDescent="0.3">
      <c r="A84" s="10" t="str">
        <f>IF(Job_Master!A84="","",Job_Master!A84)</f>
        <v/>
      </c>
      <c r="B84" s="10" t="str">
        <f>IF($A84="","",Job_Master!B84)</f>
        <v/>
      </c>
      <c r="C84" s="10" t="str">
        <f>IF($A84="","",Job_Master!C84)</f>
        <v/>
      </c>
      <c r="D84" s="10" t="str">
        <f>IF($A84="","",Job_Master!D84)</f>
        <v/>
      </c>
      <c r="E84" s="48" t="str">
        <f>IF($A84="","",IFERROR(INDEX(Machine_List!$B$20:$B$49,MATCH("*"&amp;$B84&amp;"*",Machine_List!$J$20:$J$49,0)),"NO COMPATIBLE MACHINE"))</f>
        <v/>
      </c>
      <c r="F84" s="106" t="str">
        <f>IF($E84="","",IFERROR(VLOOKUP($E84,Machine_List!$B:$G,6,0),""))</f>
        <v/>
      </c>
      <c r="G84" s="53" t="str">
        <f>IF($E84="","",IFERROR(VLOOKUP($E84,Machine_List!$B:$C,2,0),""))</f>
        <v/>
      </c>
      <c r="H84" s="10" t="str">
        <f>IF($E84="","",IFERROR(VLOOKUP($E84,Machine_List!$B:$D,3,0),""))</f>
        <v/>
      </c>
      <c r="I84" s="54"/>
      <c r="J84" s="55" t="str">
        <f ca="1">IF($A84="","",IF($I84&lt;&gt;"",$I84,MAX(MAX(SPM_Plan!$M84,CARVING_Plan!$M84),IFERROR(LOOKUP(2,1/($E$3:INDIRECT("E"&amp;(ROW()-1))=$E84),$M$3:INDIRECT("M"&amp;(ROW()-1))),MAX(SPM_Plan!$M84,CARVING_Plan!$M84)))))</f>
        <v/>
      </c>
      <c r="K84" s="10" t="str">
        <f>IF($A84="","",IFERROR(VLOOKUP(B84,CHOOSE(MATCH(C84,Settings!$L$4:$L$10,0),OPR_2P!$A$4:$I$18,SEG_6P!$A$4:$I$18,SOL_4P!$A$4:$I$18,RW_2P!$A$4:$I$18,RW2_4P!$A$4:$I$18,FLAP_4P!$A$4:$I$18,TUBE_4P!$A$4:$I$18),4,0),0))</f>
        <v/>
      </c>
      <c r="L84" s="10" t="str">
        <f t="shared" si="3"/>
        <v/>
      </c>
      <c r="M84" s="55" t="str">
        <f>IF($A84="","",IF(AND(ISNUMBER(G84),G84&gt;=J84,G84&lt;=(J84+(L84/(IF(F84="Contract Workman",Settings!$K$5,Settings!$K$4))))),J84+(L84/(IF(F84="Contract Workman",Settings!$K$5,Settings!$K$4)))+(H84/(IF(F84="Contract Workman",Settings!$K$5,Settings!$K$4))),J84+(L84/(IF(F84="Contract Workman",Settings!$K$5,Settings!$K$4)))))</f>
        <v/>
      </c>
      <c r="N84" s="10" t="str">
        <f t="shared" si="4"/>
        <v/>
      </c>
      <c r="O84" s="51" t="str">
        <f>IF(B84="","", IF(IFERROR(ISNUMBER(SEARCH(B84, VLOOKUP(E84, Machine_List!$B:$J, 9, 0))), FALSE()), "✅ Machine OK", "❌ Sug: " &amp; IFERROR(INDEX(Machine_List!$B$20:$B$49, MATCH("*"&amp;B84&amp;"*", Machine_List!$J$20:$J$49, 0)), "Check Limits")))</f>
        <v/>
      </c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52"/>
      <c r="AJ84" s="52"/>
      <c r="AK84" s="52"/>
      <c r="AL84" s="52"/>
      <c r="AM84" s="52"/>
      <c r="AN84" s="52"/>
      <c r="AO84" s="52"/>
      <c r="AP84" s="52"/>
      <c r="AQ84" s="52"/>
      <c r="AR84" s="52"/>
      <c r="AS84" s="52"/>
      <c r="AT84" s="52"/>
      <c r="AU84" s="52"/>
      <c r="AV84" s="52"/>
      <c r="AW84" s="52"/>
      <c r="AX84" s="52"/>
      <c r="AY84" s="52"/>
      <c r="AZ84" s="52"/>
      <c r="BA84" s="52"/>
      <c r="BB84" s="52"/>
      <c r="BC84" s="52"/>
      <c r="BD84" s="52"/>
      <c r="BE84" s="52"/>
      <c r="BF84" s="52"/>
      <c r="BG84" s="52"/>
      <c r="BH84" s="52"/>
      <c r="BI84" s="52"/>
      <c r="BJ84" s="52"/>
      <c r="BK84" s="52"/>
      <c r="BL84" s="52"/>
      <c r="BM84" s="52"/>
    </row>
    <row r="85" spans="1:65" ht="15" customHeight="1" x14ac:dyDescent="0.3">
      <c r="A85" s="10" t="str">
        <f>IF(Job_Master!A85="","",Job_Master!A85)</f>
        <v/>
      </c>
      <c r="B85" s="10" t="str">
        <f>IF($A85="","",Job_Master!B85)</f>
        <v/>
      </c>
      <c r="C85" s="10" t="str">
        <f>IF($A85="","",Job_Master!C85)</f>
        <v/>
      </c>
      <c r="D85" s="10" t="str">
        <f>IF($A85="","",Job_Master!D85)</f>
        <v/>
      </c>
      <c r="E85" s="48" t="str">
        <f>IF($A85="","",IFERROR(INDEX(Machine_List!$B$20:$B$49,MATCH("*"&amp;$B85&amp;"*",Machine_List!$J$20:$J$49,0)),"NO COMPATIBLE MACHINE"))</f>
        <v/>
      </c>
      <c r="F85" s="106" t="str">
        <f>IF($E85="","",IFERROR(VLOOKUP($E85,Machine_List!$B:$G,6,0),""))</f>
        <v/>
      </c>
      <c r="G85" s="53" t="str">
        <f>IF($E85="","",IFERROR(VLOOKUP($E85,Machine_List!$B:$C,2,0),""))</f>
        <v/>
      </c>
      <c r="H85" s="10" t="str">
        <f>IF($E85="","",IFERROR(VLOOKUP($E85,Machine_List!$B:$D,3,0),""))</f>
        <v/>
      </c>
      <c r="I85" s="54"/>
      <c r="J85" s="55" t="str">
        <f ca="1">IF($A85="","",IF($I85&lt;&gt;"",$I85,MAX(MAX(SPM_Plan!$M85,CARVING_Plan!$M85),IFERROR(LOOKUP(2,1/($E$3:INDIRECT("E"&amp;(ROW()-1))=$E85),$M$3:INDIRECT("M"&amp;(ROW()-1))),MAX(SPM_Plan!$M85,CARVING_Plan!$M85)))))</f>
        <v/>
      </c>
      <c r="K85" s="10" t="str">
        <f>IF($A85="","",IFERROR(VLOOKUP(B85,CHOOSE(MATCH(C85,Settings!$L$4:$L$10,0),OPR_2P!$A$4:$I$18,SEG_6P!$A$4:$I$18,SOL_4P!$A$4:$I$18,RW_2P!$A$4:$I$18,RW2_4P!$A$4:$I$18,FLAP_4P!$A$4:$I$18,TUBE_4P!$A$4:$I$18),4,0),0))</f>
        <v/>
      </c>
      <c r="L85" s="10" t="str">
        <f t="shared" si="3"/>
        <v/>
      </c>
      <c r="M85" s="55" t="str">
        <f>IF($A85="","",IF(AND(ISNUMBER(G85),G85&gt;=J85,G85&lt;=(J85+(L85/(IF(F85="Contract Workman",Settings!$K$5,Settings!$K$4))))),J85+(L85/(IF(F85="Contract Workman",Settings!$K$5,Settings!$K$4)))+(H85/(IF(F85="Contract Workman",Settings!$K$5,Settings!$K$4))),J85+(L85/(IF(F85="Contract Workman",Settings!$K$5,Settings!$K$4)))))</f>
        <v/>
      </c>
      <c r="N85" s="10" t="str">
        <f t="shared" si="4"/>
        <v/>
      </c>
      <c r="O85" s="51" t="str">
        <f>IF(B85="","", IF(IFERROR(ISNUMBER(SEARCH(B85, VLOOKUP(E85, Machine_List!$B:$J, 9, 0))), FALSE()), "✅ Machine OK", "❌ Sug: " &amp; IFERROR(INDEX(Machine_List!$B$20:$B$49, MATCH("*"&amp;B85&amp;"*", Machine_List!$J$20:$J$49, 0)), "Check Limits")))</f>
        <v/>
      </c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52"/>
      <c r="AG85" s="52"/>
      <c r="AH85" s="52"/>
      <c r="AI85" s="52"/>
      <c r="AJ85" s="52"/>
      <c r="AK85" s="52"/>
      <c r="AL85" s="52"/>
      <c r="AM85" s="52"/>
      <c r="AN85" s="52"/>
      <c r="AO85" s="52"/>
      <c r="AP85" s="52"/>
      <c r="AQ85" s="52"/>
      <c r="AR85" s="52"/>
      <c r="AS85" s="52"/>
      <c r="AT85" s="52"/>
      <c r="AU85" s="52"/>
      <c r="AV85" s="52"/>
      <c r="AW85" s="52"/>
      <c r="AX85" s="52"/>
      <c r="AY85" s="52"/>
      <c r="AZ85" s="52"/>
      <c r="BA85" s="52"/>
      <c r="BB85" s="52"/>
      <c r="BC85" s="52"/>
      <c r="BD85" s="52"/>
      <c r="BE85" s="52"/>
      <c r="BF85" s="52"/>
      <c r="BG85" s="52"/>
      <c r="BH85" s="52"/>
      <c r="BI85" s="52"/>
      <c r="BJ85" s="52"/>
      <c r="BK85" s="52"/>
      <c r="BL85" s="52"/>
      <c r="BM85" s="52"/>
    </row>
    <row r="86" spans="1:65" ht="15" customHeight="1" x14ac:dyDescent="0.3">
      <c r="A86" s="10" t="str">
        <f>IF(Job_Master!A86="","",Job_Master!A86)</f>
        <v/>
      </c>
      <c r="B86" s="10" t="str">
        <f>IF($A86="","",Job_Master!B86)</f>
        <v/>
      </c>
      <c r="C86" s="10" t="str">
        <f>IF($A86="","",Job_Master!C86)</f>
        <v/>
      </c>
      <c r="D86" s="10" t="str">
        <f>IF($A86="","",Job_Master!D86)</f>
        <v/>
      </c>
      <c r="E86" s="48" t="str">
        <f>IF($A86="","",IFERROR(INDEX(Machine_List!$B$20:$B$49,MATCH("*"&amp;$B86&amp;"*",Machine_List!$J$20:$J$49,0)),"NO COMPATIBLE MACHINE"))</f>
        <v/>
      </c>
      <c r="F86" s="106" t="str">
        <f>IF($E86="","",IFERROR(VLOOKUP($E86,Machine_List!$B:$G,6,0),""))</f>
        <v/>
      </c>
      <c r="G86" s="53" t="str">
        <f>IF($E86="","",IFERROR(VLOOKUP($E86,Machine_List!$B:$C,2,0),""))</f>
        <v/>
      </c>
      <c r="H86" s="10" t="str">
        <f>IF($E86="","",IFERROR(VLOOKUP($E86,Machine_List!$B:$D,3,0),""))</f>
        <v/>
      </c>
      <c r="I86" s="54"/>
      <c r="J86" s="55" t="str">
        <f ca="1">IF($A86="","",IF($I86&lt;&gt;"",$I86,MAX(MAX(SPM_Plan!$M86,CARVING_Plan!$M86),IFERROR(LOOKUP(2,1/($E$3:INDIRECT("E"&amp;(ROW()-1))=$E86),$M$3:INDIRECT("M"&amp;(ROW()-1))),MAX(SPM_Plan!$M86,CARVING_Plan!$M86)))))</f>
        <v/>
      </c>
      <c r="K86" s="10" t="str">
        <f>IF($A86="","",IFERROR(VLOOKUP(B86,CHOOSE(MATCH(C86,Settings!$L$4:$L$10,0),OPR_2P!$A$4:$I$18,SEG_6P!$A$4:$I$18,SOL_4P!$A$4:$I$18,RW_2P!$A$4:$I$18,RW2_4P!$A$4:$I$18,FLAP_4P!$A$4:$I$18,TUBE_4P!$A$4:$I$18),4,0),0))</f>
        <v/>
      </c>
      <c r="L86" s="10" t="str">
        <f t="shared" si="3"/>
        <v/>
      </c>
      <c r="M86" s="55" t="str">
        <f>IF($A86="","",IF(AND(ISNUMBER(G86),G86&gt;=J86,G86&lt;=(J86+(L86/(IF(F86="Contract Workman",Settings!$K$5,Settings!$K$4))))),J86+(L86/(IF(F86="Contract Workman",Settings!$K$5,Settings!$K$4)))+(H86/(IF(F86="Contract Workman",Settings!$K$5,Settings!$K$4))),J86+(L86/(IF(F86="Contract Workman",Settings!$K$5,Settings!$K$4)))))</f>
        <v/>
      </c>
      <c r="N86" s="10" t="str">
        <f t="shared" si="4"/>
        <v/>
      </c>
      <c r="O86" s="51" t="str">
        <f>IF(B86="","", IF(IFERROR(ISNUMBER(SEARCH(B86, VLOOKUP(E86, Machine_List!$B:$J, 9, 0))), FALSE()), "✅ Machine OK", "❌ Sug: " &amp; IFERROR(INDEX(Machine_List!$B$20:$B$49, MATCH("*"&amp;B86&amp;"*", Machine_List!$J$20:$J$49, 0)), "Check Limits")))</f>
        <v/>
      </c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2"/>
      <c r="AD86" s="52"/>
      <c r="AE86" s="52"/>
      <c r="AF86" s="52"/>
      <c r="AG86" s="52"/>
      <c r="AH86" s="52"/>
      <c r="AI86" s="52"/>
      <c r="AJ86" s="52"/>
      <c r="AK86" s="52"/>
      <c r="AL86" s="52"/>
      <c r="AM86" s="52"/>
      <c r="AN86" s="52"/>
      <c r="AO86" s="52"/>
      <c r="AP86" s="52"/>
      <c r="AQ86" s="52"/>
      <c r="AR86" s="52"/>
      <c r="AS86" s="52"/>
      <c r="AT86" s="52"/>
      <c r="AU86" s="52"/>
      <c r="AV86" s="52"/>
      <c r="AW86" s="52"/>
      <c r="AX86" s="52"/>
      <c r="AY86" s="52"/>
      <c r="AZ86" s="52"/>
      <c r="BA86" s="52"/>
      <c r="BB86" s="52"/>
      <c r="BC86" s="52"/>
      <c r="BD86" s="52"/>
      <c r="BE86" s="52"/>
      <c r="BF86" s="52"/>
      <c r="BG86" s="52"/>
      <c r="BH86" s="52"/>
      <c r="BI86" s="52"/>
      <c r="BJ86" s="52"/>
      <c r="BK86" s="52"/>
      <c r="BL86" s="52"/>
      <c r="BM86" s="52"/>
    </row>
    <row r="87" spans="1:65" ht="15" customHeight="1" x14ac:dyDescent="0.3">
      <c r="A87" s="10" t="str">
        <f>IF(Job_Master!A87="","",Job_Master!A87)</f>
        <v/>
      </c>
      <c r="B87" s="10" t="str">
        <f>IF($A87="","",Job_Master!B87)</f>
        <v/>
      </c>
      <c r="C87" s="10" t="str">
        <f>IF($A87="","",Job_Master!C87)</f>
        <v/>
      </c>
      <c r="D87" s="10" t="str">
        <f>IF($A87="","",Job_Master!D87)</f>
        <v/>
      </c>
      <c r="E87" s="48" t="str">
        <f>IF($A87="","",IFERROR(INDEX(Machine_List!$B$20:$B$49,MATCH("*"&amp;$B87&amp;"*",Machine_List!$J$20:$J$49,0)),"NO COMPATIBLE MACHINE"))</f>
        <v/>
      </c>
      <c r="F87" s="106" t="str">
        <f>IF($E87="","",IFERROR(VLOOKUP($E87,Machine_List!$B:$G,6,0),""))</f>
        <v/>
      </c>
      <c r="G87" s="53" t="str">
        <f>IF($E87="","",IFERROR(VLOOKUP($E87,Machine_List!$B:$C,2,0),""))</f>
        <v/>
      </c>
      <c r="H87" s="10" t="str">
        <f>IF($E87="","",IFERROR(VLOOKUP($E87,Machine_List!$B:$D,3,0),""))</f>
        <v/>
      </c>
      <c r="I87" s="54"/>
      <c r="J87" s="55" t="str">
        <f ca="1">IF($A87="","",IF($I87&lt;&gt;"",$I87,MAX(MAX(SPM_Plan!$M87,CARVING_Plan!$M87),IFERROR(LOOKUP(2,1/($E$3:INDIRECT("E"&amp;(ROW()-1))=$E87),$M$3:INDIRECT("M"&amp;(ROW()-1))),MAX(SPM_Plan!$M87,CARVING_Plan!$M87)))))</f>
        <v/>
      </c>
      <c r="K87" s="10" t="str">
        <f>IF($A87="","",IFERROR(VLOOKUP(B87,CHOOSE(MATCH(C87,Settings!$L$4:$L$10,0),OPR_2P!$A$4:$I$18,SEG_6P!$A$4:$I$18,SOL_4P!$A$4:$I$18,RW_2P!$A$4:$I$18,RW2_4P!$A$4:$I$18,FLAP_4P!$A$4:$I$18,TUBE_4P!$A$4:$I$18),4,0),0))</f>
        <v/>
      </c>
      <c r="L87" s="10" t="str">
        <f t="shared" si="3"/>
        <v/>
      </c>
      <c r="M87" s="55" t="str">
        <f>IF($A87="","",IF(AND(ISNUMBER(G87),G87&gt;=J87,G87&lt;=(J87+(L87/(IF(F87="Contract Workman",Settings!$K$5,Settings!$K$4))))),J87+(L87/(IF(F87="Contract Workman",Settings!$K$5,Settings!$K$4)))+(H87/(IF(F87="Contract Workman",Settings!$K$5,Settings!$K$4))),J87+(L87/(IF(F87="Contract Workman",Settings!$K$5,Settings!$K$4)))))</f>
        <v/>
      </c>
      <c r="N87" s="10" t="str">
        <f t="shared" si="4"/>
        <v/>
      </c>
      <c r="O87" s="51" t="str">
        <f>IF(B87="","", IF(IFERROR(ISNUMBER(SEARCH(B87, VLOOKUP(E87, Machine_List!$B:$J, 9, 0))), FALSE()), "✅ Machine OK", "❌ Sug: " &amp; IFERROR(INDEX(Machine_List!$B$20:$B$49, MATCH("*"&amp;B87&amp;"*", Machine_List!$J$20:$J$49, 0)), "Check Limits")))</f>
        <v/>
      </c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  <c r="AE87" s="52"/>
      <c r="AF87" s="52"/>
      <c r="AG87" s="52"/>
      <c r="AH87" s="52"/>
      <c r="AI87" s="52"/>
      <c r="AJ87" s="52"/>
      <c r="AK87" s="52"/>
      <c r="AL87" s="52"/>
      <c r="AM87" s="52"/>
      <c r="AN87" s="52"/>
      <c r="AO87" s="52"/>
      <c r="AP87" s="52"/>
      <c r="AQ87" s="52"/>
      <c r="AR87" s="52"/>
      <c r="AS87" s="52"/>
      <c r="AT87" s="52"/>
      <c r="AU87" s="52"/>
      <c r="AV87" s="52"/>
      <c r="AW87" s="52"/>
      <c r="AX87" s="52"/>
      <c r="AY87" s="52"/>
      <c r="AZ87" s="52"/>
      <c r="BA87" s="52"/>
      <c r="BB87" s="52"/>
      <c r="BC87" s="52"/>
      <c r="BD87" s="52"/>
      <c r="BE87" s="52"/>
      <c r="BF87" s="52"/>
      <c r="BG87" s="52"/>
      <c r="BH87" s="52"/>
      <c r="BI87" s="52"/>
      <c r="BJ87" s="52"/>
      <c r="BK87" s="52"/>
      <c r="BL87" s="52"/>
      <c r="BM87" s="52"/>
    </row>
    <row r="88" spans="1:65" ht="15" customHeight="1" x14ac:dyDescent="0.3">
      <c r="A88" s="10" t="str">
        <f>IF(Job_Master!A88="","",Job_Master!A88)</f>
        <v/>
      </c>
      <c r="B88" s="10" t="str">
        <f>IF($A88="","",Job_Master!B88)</f>
        <v/>
      </c>
      <c r="C88" s="10" t="str">
        <f>IF($A88="","",Job_Master!C88)</f>
        <v/>
      </c>
      <c r="D88" s="10" t="str">
        <f>IF($A88="","",Job_Master!D88)</f>
        <v/>
      </c>
      <c r="E88" s="48" t="str">
        <f>IF($A88="","",IFERROR(INDEX(Machine_List!$B$20:$B$49,MATCH("*"&amp;$B88&amp;"*",Machine_List!$J$20:$J$49,0)),"NO COMPATIBLE MACHINE"))</f>
        <v/>
      </c>
      <c r="F88" s="106" t="str">
        <f>IF($E88="","",IFERROR(VLOOKUP($E88,Machine_List!$B:$G,6,0),""))</f>
        <v/>
      </c>
      <c r="G88" s="53" t="str">
        <f>IF($E88="","",IFERROR(VLOOKUP($E88,Machine_List!$B:$C,2,0),""))</f>
        <v/>
      </c>
      <c r="H88" s="10" t="str">
        <f>IF($E88="","",IFERROR(VLOOKUP($E88,Machine_List!$B:$D,3,0),""))</f>
        <v/>
      </c>
      <c r="I88" s="54"/>
      <c r="J88" s="55" t="str">
        <f ca="1">IF($A88="","",IF($I88&lt;&gt;"",$I88,MAX(MAX(SPM_Plan!$M88,CARVING_Plan!$M88),IFERROR(LOOKUP(2,1/($E$3:INDIRECT("E"&amp;(ROW()-1))=$E88),$M$3:INDIRECT("M"&amp;(ROW()-1))),MAX(SPM_Plan!$M88,CARVING_Plan!$M88)))))</f>
        <v/>
      </c>
      <c r="K88" s="10" t="str">
        <f>IF($A88="","",IFERROR(VLOOKUP(B88,CHOOSE(MATCH(C88,Settings!$L$4:$L$10,0),OPR_2P!$A$4:$I$18,SEG_6P!$A$4:$I$18,SOL_4P!$A$4:$I$18,RW_2P!$A$4:$I$18,RW2_4P!$A$4:$I$18,FLAP_4P!$A$4:$I$18,TUBE_4P!$A$4:$I$18),4,0),0))</f>
        <v/>
      </c>
      <c r="L88" s="10" t="str">
        <f t="shared" si="3"/>
        <v/>
      </c>
      <c r="M88" s="55" t="str">
        <f>IF($A88="","",IF(AND(ISNUMBER(G88),G88&gt;=J88,G88&lt;=(J88+(L88/(IF(F88="Contract Workman",Settings!$K$5,Settings!$K$4))))),J88+(L88/(IF(F88="Contract Workman",Settings!$K$5,Settings!$K$4)))+(H88/(IF(F88="Contract Workman",Settings!$K$5,Settings!$K$4))),J88+(L88/(IF(F88="Contract Workman",Settings!$K$5,Settings!$K$4)))))</f>
        <v/>
      </c>
      <c r="N88" s="10" t="str">
        <f t="shared" si="4"/>
        <v/>
      </c>
      <c r="O88" s="51" t="str">
        <f>IF(B88="","", IF(IFERROR(ISNUMBER(SEARCH(B88, VLOOKUP(E88, Machine_List!$B:$J, 9, 0))), FALSE()), "✅ Machine OK", "❌ Sug: " &amp; IFERROR(INDEX(Machine_List!$B$20:$B$49, MATCH("*"&amp;B88&amp;"*", Machine_List!$J$20:$J$49, 0)), "Check Limits")))</f>
        <v/>
      </c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2"/>
      <c r="AD88" s="52"/>
      <c r="AE88" s="52"/>
      <c r="AF88" s="52"/>
      <c r="AG88" s="52"/>
      <c r="AH88" s="52"/>
      <c r="AI88" s="52"/>
      <c r="AJ88" s="52"/>
      <c r="AK88" s="52"/>
      <c r="AL88" s="52"/>
      <c r="AM88" s="52"/>
      <c r="AN88" s="52"/>
      <c r="AO88" s="52"/>
      <c r="AP88" s="52"/>
      <c r="AQ88" s="52"/>
      <c r="AR88" s="52"/>
      <c r="AS88" s="52"/>
      <c r="AT88" s="52"/>
      <c r="AU88" s="52"/>
      <c r="AV88" s="52"/>
      <c r="AW88" s="52"/>
      <c r="AX88" s="52"/>
      <c r="AY88" s="52"/>
      <c r="AZ88" s="52"/>
      <c r="BA88" s="52"/>
      <c r="BB88" s="52"/>
      <c r="BC88" s="52"/>
      <c r="BD88" s="52"/>
      <c r="BE88" s="52"/>
      <c r="BF88" s="52"/>
      <c r="BG88" s="52"/>
      <c r="BH88" s="52"/>
      <c r="BI88" s="52"/>
      <c r="BJ88" s="52"/>
      <c r="BK88" s="52"/>
      <c r="BL88" s="52"/>
      <c r="BM88" s="52"/>
    </row>
    <row r="89" spans="1:65" ht="15" customHeight="1" x14ac:dyDescent="0.3">
      <c r="A89" s="10" t="str">
        <f>IF(Job_Master!A89="","",Job_Master!A89)</f>
        <v/>
      </c>
      <c r="B89" s="10" t="str">
        <f>IF($A89="","",Job_Master!B89)</f>
        <v/>
      </c>
      <c r="C89" s="10" t="str">
        <f>IF($A89="","",Job_Master!C89)</f>
        <v/>
      </c>
      <c r="D89" s="10" t="str">
        <f>IF($A89="","",Job_Master!D89)</f>
        <v/>
      </c>
      <c r="E89" s="48" t="str">
        <f>IF($A89="","",IFERROR(INDEX(Machine_List!$B$20:$B$49,MATCH("*"&amp;$B89&amp;"*",Machine_List!$J$20:$J$49,0)),"NO COMPATIBLE MACHINE"))</f>
        <v/>
      </c>
      <c r="F89" s="106" t="str">
        <f>IF($E89="","",IFERROR(VLOOKUP($E89,Machine_List!$B:$G,6,0),""))</f>
        <v/>
      </c>
      <c r="G89" s="53" t="str">
        <f>IF($E89="","",IFERROR(VLOOKUP($E89,Machine_List!$B:$C,2,0),""))</f>
        <v/>
      </c>
      <c r="H89" s="10" t="str">
        <f>IF($E89="","",IFERROR(VLOOKUP($E89,Machine_List!$B:$D,3,0),""))</f>
        <v/>
      </c>
      <c r="I89" s="54"/>
      <c r="J89" s="55" t="str">
        <f ca="1">IF($A89="","",IF($I89&lt;&gt;"",$I89,MAX(MAX(SPM_Plan!$M89,CARVING_Plan!$M89),IFERROR(LOOKUP(2,1/($E$3:INDIRECT("E"&amp;(ROW()-1))=$E89),$M$3:INDIRECT("M"&amp;(ROW()-1))),MAX(SPM_Plan!$M89,CARVING_Plan!$M89)))))</f>
        <v/>
      </c>
      <c r="K89" s="10" t="str">
        <f>IF($A89="","",IFERROR(VLOOKUP(B89,CHOOSE(MATCH(C89,Settings!$L$4:$L$10,0),OPR_2P!$A$4:$I$18,SEG_6P!$A$4:$I$18,SOL_4P!$A$4:$I$18,RW_2P!$A$4:$I$18,RW2_4P!$A$4:$I$18,FLAP_4P!$A$4:$I$18,TUBE_4P!$A$4:$I$18),4,0),0))</f>
        <v/>
      </c>
      <c r="L89" s="10" t="str">
        <f t="shared" si="3"/>
        <v/>
      </c>
      <c r="M89" s="55" t="str">
        <f>IF($A89="","",IF(AND(ISNUMBER(G89),G89&gt;=J89,G89&lt;=(J89+(L89/(IF(F89="Contract Workman",Settings!$K$5,Settings!$K$4))))),J89+(L89/(IF(F89="Contract Workman",Settings!$K$5,Settings!$K$4)))+(H89/(IF(F89="Contract Workman",Settings!$K$5,Settings!$K$4))),J89+(L89/(IF(F89="Contract Workman",Settings!$K$5,Settings!$K$4)))))</f>
        <v/>
      </c>
      <c r="N89" s="10" t="str">
        <f t="shared" si="4"/>
        <v/>
      </c>
      <c r="O89" s="51" t="str">
        <f>IF(B89="","", IF(IFERROR(ISNUMBER(SEARCH(B89, VLOOKUP(E89, Machine_List!$B:$J, 9, 0))), FALSE()), "✅ Machine OK", "❌ Sug: " &amp; IFERROR(INDEX(Machine_List!$B$20:$B$49, MATCH("*"&amp;B89&amp;"*", Machine_List!$J$20:$J$49, 0)), "Check Limits")))</f>
        <v/>
      </c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  <c r="AE89" s="52"/>
      <c r="AF89" s="52"/>
      <c r="AG89" s="52"/>
      <c r="AH89" s="52"/>
      <c r="AI89" s="52"/>
      <c r="AJ89" s="52"/>
      <c r="AK89" s="52"/>
      <c r="AL89" s="52"/>
      <c r="AM89" s="52"/>
      <c r="AN89" s="52"/>
      <c r="AO89" s="52"/>
      <c r="AP89" s="52"/>
      <c r="AQ89" s="52"/>
      <c r="AR89" s="52"/>
      <c r="AS89" s="52"/>
      <c r="AT89" s="52"/>
      <c r="AU89" s="52"/>
      <c r="AV89" s="52"/>
      <c r="AW89" s="52"/>
      <c r="AX89" s="52"/>
      <c r="AY89" s="52"/>
      <c r="AZ89" s="52"/>
      <c r="BA89" s="52"/>
      <c r="BB89" s="52"/>
      <c r="BC89" s="52"/>
      <c r="BD89" s="52"/>
      <c r="BE89" s="52"/>
      <c r="BF89" s="52"/>
      <c r="BG89" s="52"/>
      <c r="BH89" s="52"/>
      <c r="BI89" s="52"/>
      <c r="BJ89" s="52"/>
      <c r="BK89" s="52"/>
      <c r="BL89" s="52"/>
      <c r="BM89" s="52"/>
    </row>
    <row r="90" spans="1:65" ht="15" customHeight="1" x14ac:dyDescent="0.3">
      <c r="A90" s="10" t="str">
        <f>IF(Job_Master!A90="","",Job_Master!A90)</f>
        <v/>
      </c>
      <c r="B90" s="10" t="str">
        <f>IF($A90="","",Job_Master!B90)</f>
        <v/>
      </c>
      <c r="C90" s="10" t="str">
        <f>IF($A90="","",Job_Master!C90)</f>
        <v/>
      </c>
      <c r="D90" s="10" t="str">
        <f>IF($A90="","",Job_Master!D90)</f>
        <v/>
      </c>
      <c r="E90" s="48" t="str">
        <f>IF($A90="","",IFERROR(INDEX(Machine_List!$B$20:$B$49,MATCH("*"&amp;$B90&amp;"*",Machine_List!$J$20:$J$49,0)),"NO COMPATIBLE MACHINE"))</f>
        <v/>
      </c>
      <c r="F90" s="106" t="str">
        <f>IF($E90="","",IFERROR(VLOOKUP($E90,Machine_List!$B:$G,6,0),""))</f>
        <v/>
      </c>
      <c r="G90" s="53" t="str">
        <f>IF($E90="","",IFERROR(VLOOKUP($E90,Machine_List!$B:$C,2,0),""))</f>
        <v/>
      </c>
      <c r="H90" s="10" t="str">
        <f>IF($E90="","",IFERROR(VLOOKUP($E90,Machine_List!$B:$D,3,0),""))</f>
        <v/>
      </c>
      <c r="I90" s="54"/>
      <c r="J90" s="55" t="str">
        <f ca="1">IF($A90="","",IF($I90&lt;&gt;"",$I90,MAX(MAX(SPM_Plan!$M90,CARVING_Plan!$M90),IFERROR(LOOKUP(2,1/($E$3:INDIRECT("E"&amp;(ROW()-1))=$E90),$M$3:INDIRECT("M"&amp;(ROW()-1))),MAX(SPM_Plan!$M90,CARVING_Plan!$M90)))))</f>
        <v/>
      </c>
      <c r="K90" s="10" t="str">
        <f>IF($A90="","",IFERROR(VLOOKUP(B90,CHOOSE(MATCH(C90,Settings!$L$4:$L$10,0),OPR_2P!$A$4:$I$18,SEG_6P!$A$4:$I$18,SOL_4P!$A$4:$I$18,RW_2P!$A$4:$I$18,RW2_4P!$A$4:$I$18,FLAP_4P!$A$4:$I$18,TUBE_4P!$A$4:$I$18),4,0),0))</f>
        <v/>
      </c>
      <c r="L90" s="10" t="str">
        <f t="shared" si="3"/>
        <v/>
      </c>
      <c r="M90" s="55" t="str">
        <f>IF($A90="","",IF(AND(ISNUMBER(G90),G90&gt;=J90,G90&lt;=(J90+(L90/(IF(F90="Contract Workman",Settings!$K$5,Settings!$K$4))))),J90+(L90/(IF(F90="Contract Workman",Settings!$K$5,Settings!$K$4)))+(H90/(IF(F90="Contract Workman",Settings!$K$5,Settings!$K$4))),J90+(L90/(IF(F90="Contract Workman",Settings!$K$5,Settings!$K$4)))))</f>
        <v/>
      </c>
      <c r="N90" s="10" t="str">
        <f t="shared" si="4"/>
        <v/>
      </c>
      <c r="O90" s="51" t="str">
        <f>IF(B90="","", IF(IFERROR(ISNUMBER(SEARCH(B90, VLOOKUP(E90, Machine_List!$B:$J, 9, 0))), FALSE()), "✅ Machine OK", "❌ Sug: " &amp; IFERROR(INDEX(Machine_List!$B$20:$B$49, MATCH("*"&amp;B90&amp;"*", Machine_List!$J$20:$J$49, 0)), "Check Limits")))</f>
        <v/>
      </c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  <c r="AE90" s="52"/>
      <c r="AF90" s="52"/>
      <c r="AG90" s="52"/>
      <c r="AH90" s="52"/>
      <c r="AI90" s="52"/>
      <c r="AJ90" s="52"/>
      <c r="AK90" s="52"/>
      <c r="AL90" s="52"/>
      <c r="AM90" s="52"/>
      <c r="AN90" s="52"/>
      <c r="AO90" s="52"/>
      <c r="AP90" s="52"/>
      <c r="AQ90" s="52"/>
      <c r="AR90" s="52"/>
      <c r="AS90" s="52"/>
      <c r="AT90" s="52"/>
      <c r="AU90" s="52"/>
      <c r="AV90" s="52"/>
      <c r="AW90" s="52"/>
      <c r="AX90" s="52"/>
      <c r="AY90" s="52"/>
      <c r="AZ90" s="52"/>
      <c r="BA90" s="52"/>
      <c r="BB90" s="52"/>
      <c r="BC90" s="52"/>
      <c r="BD90" s="52"/>
      <c r="BE90" s="52"/>
      <c r="BF90" s="52"/>
      <c r="BG90" s="52"/>
      <c r="BH90" s="52"/>
      <c r="BI90" s="52"/>
      <c r="BJ90" s="52"/>
      <c r="BK90" s="52"/>
      <c r="BL90" s="52"/>
      <c r="BM90" s="52"/>
    </row>
    <row r="91" spans="1:65" ht="15" customHeight="1" x14ac:dyDescent="0.3">
      <c r="A91" s="10" t="str">
        <f>IF(Job_Master!A91="","",Job_Master!A91)</f>
        <v/>
      </c>
      <c r="B91" s="10" t="str">
        <f>IF($A91="","",Job_Master!B91)</f>
        <v/>
      </c>
      <c r="C91" s="10" t="str">
        <f>IF($A91="","",Job_Master!C91)</f>
        <v/>
      </c>
      <c r="D91" s="10" t="str">
        <f>IF($A91="","",Job_Master!D91)</f>
        <v/>
      </c>
      <c r="E91" s="48" t="str">
        <f>IF($A91="","",IFERROR(INDEX(Machine_List!$B$20:$B$49,MATCH("*"&amp;$B91&amp;"*",Machine_List!$J$20:$J$49,0)),"NO COMPATIBLE MACHINE"))</f>
        <v/>
      </c>
      <c r="F91" s="106" t="str">
        <f>IF($E91="","",IFERROR(VLOOKUP($E91,Machine_List!$B:$G,6,0),""))</f>
        <v/>
      </c>
      <c r="G91" s="53" t="str">
        <f>IF($E91="","",IFERROR(VLOOKUP($E91,Machine_List!$B:$C,2,0),""))</f>
        <v/>
      </c>
      <c r="H91" s="10" t="str">
        <f>IF($E91="","",IFERROR(VLOOKUP($E91,Machine_List!$B:$D,3,0),""))</f>
        <v/>
      </c>
      <c r="I91" s="54"/>
      <c r="J91" s="55" t="str">
        <f ca="1">IF($A91="","",IF($I91&lt;&gt;"",$I91,MAX(MAX(SPM_Plan!$M91,CARVING_Plan!$M91),IFERROR(LOOKUP(2,1/($E$3:INDIRECT("E"&amp;(ROW()-1))=$E91),$M$3:INDIRECT("M"&amp;(ROW()-1))),MAX(SPM_Plan!$M91,CARVING_Plan!$M91)))))</f>
        <v/>
      </c>
      <c r="K91" s="10" t="str">
        <f>IF($A91="","",IFERROR(VLOOKUP(B91,CHOOSE(MATCH(C91,Settings!$L$4:$L$10,0),OPR_2P!$A$4:$I$18,SEG_6P!$A$4:$I$18,SOL_4P!$A$4:$I$18,RW_2P!$A$4:$I$18,RW2_4P!$A$4:$I$18,FLAP_4P!$A$4:$I$18,TUBE_4P!$A$4:$I$18),4,0),0))</f>
        <v/>
      </c>
      <c r="L91" s="10" t="str">
        <f t="shared" si="3"/>
        <v/>
      </c>
      <c r="M91" s="55" t="str">
        <f>IF($A91="","",IF(AND(ISNUMBER(G91),G91&gt;=J91,G91&lt;=(J91+(L91/(IF(F91="Contract Workman",Settings!$K$5,Settings!$K$4))))),J91+(L91/(IF(F91="Contract Workman",Settings!$K$5,Settings!$K$4)))+(H91/(IF(F91="Contract Workman",Settings!$K$5,Settings!$K$4))),J91+(L91/(IF(F91="Contract Workman",Settings!$K$5,Settings!$K$4)))))</f>
        <v/>
      </c>
      <c r="N91" s="10" t="str">
        <f t="shared" si="4"/>
        <v/>
      </c>
      <c r="O91" s="51" t="str">
        <f>IF(B91="","", IF(IFERROR(ISNUMBER(SEARCH(B91, VLOOKUP(E91, Machine_List!$B:$J, 9, 0))), FALSE()), "✅ Machine OK", "❌ Sug: " &amp; IFERROR(INDEX(Machine_List!$B$20:$B$49, MATCH("*"&amp;B91&amp;"*", Machine_List!$J$20:$J$49, 0)), "Check Limits")))</f>
        <v/>
      </c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  <c r="AX91" s="52"/>
      <c r="AY91" s="52"/>
      <c r="AZ91" s="52"/>
      <c r="BA91" s="52"/>
      <c r="BB91" s="52"/>
      <c r="BC91" s="52"/>
      <c r="BD91" s="52"/>
      <c r="BE91" s="52"/>
      <c r="BF91" s="52"/>
      <c r="BG91" s="52"/>
      <c r="BH91" s="52"/>
      <c r="BI91" s="52"/>
      <c r="BJ91" s="52"/>
      <c r="BK91" s="52"/>
      <c r="BL91" s="52"/>
      <c r="BM91" s="52"/>
    </row>
    <row r="92" spans="1:65" ht="15" customHeight="1" x14ac:dyDescent="0.3">
      <c r="A92" s="10" t="str">
        <f>IF(Job_Master!A92="","",Job_Master!A92)</f>
        <v/>
      </c>
      <c r="B92" s="10" t="str">
        <f>IF($A92="","",Job_Master!B92)</f>
        <v/>
      </c>
      <c r="C92" s="10" t="str">
        <f>IF($A92="","",Job_Master!C92)</f>
        <v/>
      </c>
      <c r="D92" s="10" t="str">
        <f>IF($A92="","",Job_Master!D92)</f>
        <v/>
      </c>
      <c r="E92" s="48" t="str">
        <f>IF($A92="","",IFERROR(INDEX(Machine_List!$B$20:$B$49,MATCH("*"&amp;$B92&amp;"*",Machine_List!$J$20:$J$49,0)),"NO COMPATIBLE MACHINE"))</f>
        <v/>
      </c>
      <c r="F92" s="106" t="str">
        <f>IF($E92="","",IFERROR(VLOOKUP($E92,Machine_List!$B:$G,6,0),""))</f>
        <v/>
      </c>
      <c r="G92" s="53" t="str">
        <f>IF($E92="","",IFERROR(VLOOKUP($E92,Machine_List!$B:$C,2,0),""))</f>
        <v/>
      </c>
      <c r="H92" s="10" t="str">
        <f>IF($E92="","",IFERROR(VLOOKUP($E92,Machine_List!$B:$D,3,0),""))</f>
        <v/>
      </c>
      <c r="I92" s="54"/>
      <c r="J92" s="55" t="str">
        <f ca="1">IF($A92="","",IF($I92&lt;&gt;"",$I92,MAX(MAX(SPM_Plan!$M92,CARVING_Plan!$M92),IFERROR(LOOKUP(2,1/($E$3:INDIRECT("E"&amp;(ROW()-1))=$E92),$M$3:INDIRECT("M"&amp;(ROW()-1))),MAX(SPM_Plan!$M92,CARVING_Plan!$M92)))))</f>
        <v/>
      </c>
      <c r="K92" s="10" t="str">
        <f>IF($A92="","",IFERROR(VLOOKUP(B92,CHOOSE(MATCH(C92,Settings!$L$4:$L$10,0),OPR_2P!$A$4:$I$18,SEG_6P!$A$4:$I$18,SOL_4P!$A$4:$I$18,RW_2P!$A$4:$I$18,RW2_4P!$A$4:$I$18,FLAP_4P!$A$4:$I$18,TUBE_4P!$A$4:$I$18),4,0),0))</f>
        <v/>
      </c>
      <c r="L92" s="10" t="str">
        <f t="shared" si="3"/>
        <v/>
      </c>
      <c r="M92" s="55" t="str">
        <f>IF($A92="","",IF(AND(ISNUMBER(G92),G92&gt;=J92,G92&lt;=(J92+(L92/(IF(F92="Contract Workman",Settings!$K$5,Settings!$K$4))))),J92+(L92/(IF(F92="Contract Workman",Settings!$K$5,Settings!$K$4)))+(H92/(IF(F92="Contract Workman",Settings!$K$5,Settings!$K$4))),J92+(L92/(IF(F92="Contract Workman",Settings!$K$5,Settings!$K$4)))))</f>
        <v/>
      </c>
      <c r="N92" s="10" t="str">
        <f t="shared" si="4"/>
        <v/>
      </c>
      <c r="O92" s="51" t="str">
        <f>IF(B92="","", IF(IFERROR(ISNUMBER(SEARCH(B92, VLOOKUP(E92, Machine_List!$B:$J, 9, 0))), FALSE()), "✅ Machine OK", "❌ Sug: " &amp; IFERROR(INDEX(Machine_List!$B$20:$B$49, MATCH("*"&amp;B92&amp;"*", Machine_List!$J$20:$J$49, 0)), "Check Limits")))</f>
        <v/>
      </c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  <c r="AX92" s="52"/>
      <c r="AY92" s="52"/>
      <c r="AZ92" s="52"/>
      <c r="BA92" s="52"/>
      <c r="BB92" s="52"/>
      <c r="BC92" s="52"/>
      <c r="BD92" s="52"/>
      <c r="BE92" s="52"/>
      <c r="BF92" s="52"/>
      <c r="BG92" s="52"/>
      <c r="BH92" s="52"/>
      <c r="BI92" s="52"/>
      <c r="BJ92" s="52"/>
      <c r="BK92" s="52"/>
      <c r="BL92" s="52"/>
      <c r="BM92" s="52"/>
    </row>
    <row r="93" spans="1:65" ht="15" customHeight="1" x14ac:dyDescent="0.3">
      <c r="A93" s="10" t="str">
        <f>IF(Job_Master!A93="","",Job_Master!A93)</f>
        <v/>
      </c>
      <c r="B93" s="10" t="str">
        <f>IF($A93="","",Job_Master!B93)</f>
        <v/>
      </c>
      <c r="C93" s="10" t="str">
        <f>IF($A93="","",Job_Master!C93)</f>
        <v/>
      </c>
      <c r="D93" s="10" t="str">
        <f>IF($A93="","",Job_Master!D93)</f>
        <v/>
      </c>
      <c r="E93" s="48" t="str">
        <f>IF($A93="","",IFERROR(INDEX(Machine_List!$B$20:$B$49,MATCH("*"&amp;$B93&amp;"*",Machine_List!$J$20:$J$49,0)),"NO COMPATIBLE MACHINE"))</f>
        <v/>
      </c>
      <c r="F93" s="106" t="str">
        <f>IF($E93="","",IFERROR(VLOOKUP($E93,Machine_List!$B:$G,6,0),""))</f>
        <v/>
      </c>
      <c r="G93" s="53" t="str">
        <f>IF($E93="","",IFERROR(VLOOKUP($E93,Machine_List!$B:$C,2,0),""))</f>
        <v/>
      </c>
      <c r="H93" s="10" t="str">
        <f>IF($E93="","",IFERROR(VLOOKUP($E93,Machine_List!$B:$D,3,0),""))</f>
        <v/>
      </c>
      <c r="I93" s="54"/>
      <c r="J93" s="55" t="str">
        <f ca="1">IF($A93="","",IF($I93&lt;&gt;"",$I93,MAX(MAX(SPM_Plan!$M93,CARVING_Plan!$M93),IFERROR(LOOKUP(2,1/($E$3:INDIRECT("E"&amp;(ROW()-1))=$E93),$M$3:INDIRECT("M"&amp;(ROW()-1))),MAX(SPM_Plan!$M93,CARVING_Plan!$M93)))))</f>
        <v/>
      </c>
      <c r="K93" s="10" t="str">
        <f>IF($A93="","",IFERROR(VLOOKUP(B93,CHOOSE(MATCH(C93,Settings!$L$4:$L$10,0),OPR_2P!$A$4:$I$18,SEG_6P!$A$4:$I$18,SOL_4P!$A$4:$I$18,RW_2P!$A$4:$I$18,RW2_4P!$A$4:$I$18,FLAP_4P!$A$4:$I$18,TUBE_4P!$A$4:$I$18),4,0),0))</f>
        <v/>
      </c>
      <c r="L93" s="10" t="str">
        <f t="shared" si="3"/>
        <v/>
      </c>
      <c r="M93" s="55" t="str">
        <f>IF($A93="","",IF(AND(ISNUMBER(G93),G93&gt;=J93,G93&lt;=(J93+(L93/(IF(F93="Contract Workman",Settings!$K$5,Settings!$K$4))))),J93+(L93/(IF(F93="Contract Workman",Settings!$K$5,Settings!$K$4)))+(H93/(IF(F93="Contract Workman",Settings!$K$5,Settings!$K$4))),J93+(L93/(IF(F93="Contract Workman",Settings!$K$5,Settings!$K$4)))))</f>
        <v/>
      </c>
      <c r="N93" s="10" t="str">
        <f t="shared" si="4"/>
        <v/>
      </c>
      <c r="O93" s="51" t="str">
        <f>IF(B93="","", IF(IFERROR(ISNUMBER(SEARCH(B93, VLOOKUP(E93, Machine_List!$B:$J, 9, 0))), FALSE()), "✅ Machine OK", "❌ Sug: " &amp; IFERROR(INDEX(Machine_List!$B$20:$B$49, MATCH("*"&amp;B93&amp;"*", Machine_List!$J$20:$J$49, 0)), "Check Limits")))</f>
        <v/>
      </c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  <c r="AC93" s="52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  <c r="AX93" s="52"/>
      <c r="AY93" s="52"/>
      <c r="AZ93" s="52"/>
      <c r="BA93" s="52"/>
      <c r="BB93" s="52"/>
      <c r="BC93" s="52"/>
      <c r="BD93" s="52"/>
      <c r="BE93" s="52"/>
      <c r="BF93" s="52"/>
      <c r="BG93" s="52"/>
      <c r="BH93" s="52"/>
      <c r="BI93" s="52"/>
      <c r="BJ93" s="52"/>
      <c r="BK93" s="52"/>
      <c r="BL93" s="52"/>
      <c r="BM93" s="52"/>
    </row>
    <row r="94" spans="1:65" ht="15" customHeight="1" x14ac:dyDescent="0.3">
      <c r="A94" s="10" t="str">
        <f>IF(Job_Master!A94="","",Job_Master!A94)</f>
        <v/>
      </c>
      <c r="B94" s="10" t="str">
        <f>IF($A94="","",Job_Master!B94)</f>
        <v/>
      </c>
      <c r="C94" s="10" t="str">
        <f>IF($A94="","",Job_Master!C94)</f>
        <v/>
      </c>
      <c r="D94" s="10" t="str">
        <f>IF($A94="","",Job_Master!D94)</f>
        <v/>
      </c>
      <c r="E94" s="48" t="str">
        <f>IF($A94="","",IFERROR(INDEX(Machine_List!$B$20:$B$49,MATCH("*"&amp;$B94&amp;"*",Machine_List!$J$20:$J$49,0)),"NO COMPATIBLE MACHINE"))</f>
        <v/>
      </c>
      <c r="F94" s="106" t="str">
        <f>IF($E94="","",IFERROR(VLOOKUP($E94,Machine_List!$B:$G,6,0),""))</f>
        <v/>
      </c>
      <c r="G94" s="53" t="str">
        <f>IF($E94="","",IFERROR(VLOOKUP($E94,Machine_List!$B:$C,2,0),""))</f>
        <v/>
      </c>
      <c r="H94" s="10" t="str">
        <f>IF($E94="","",IFERROR(VLOOKUP($E94,Machine_List!$B:$D,3,0),""))</f>
        <v/>
      </c>
      <c r="I94" s="54"/>
      <c r="J94" s="55" t="str">
        <f ca="1">IF($A94="","",IF($I94&lt;&gt;"",$I94,MAX(MAX(SPM_Plan!$M94,CARVING_Plan!$M94),IFERROR(LOOKUP(2,1/($E$3:INDIRECT("E"&amp;(ROW()-1))=$E94),$M$3:INDIRECT("M"&amp;(ROW()-1))),MAX(SPM_Plan!$M94,CARVING_Plan!$M94)))))</f>
        <v/>
      </c>
      <c r="K94" s="10" t="str">
        <f>IF($A94="","",IFERROR(VLOOKUP(B94,CHOOSE(MATCH(C94,Settings!$L$4:$L$10,0),OPR_2P!$A$4:$I$18,SEG_6P!$A$4:$I$18,SOL_4P!$A$4:$I$18,RW_2P!$A$4:$I$18,RW2_4P!$A$4:$I$18,FLAP_4P!$A$4:$I$18,TUBE_4P!$A$4:$I$18),4,0),0))</f>
        <v/>
      </c>
      <c r="L94" s="10" t="str">
        <f t="shared" si="3"/>
        <v/>
      </c>
      <c r="M94" s="55" t="str">
        <f>IF($A94="","",IF(AND(ISNUMBER(G94),G94&gt;=J94,G94&lt;=(J94+(L94/(IF(F94="Contract Workman",Settings!$K$5,Settings!$K$4))))),J94+(L94/(IF(F94="Contract Workman",Settings!$K$5,Settings!$K$4)))+(H94/(IF(F94="Contract Workman",Settings!$K$5,Settings!$K$4))),J94+(L94/(IF(F94="Contract Workman",Settings!$K$5,Settings!$K$4)))))</f>
        <v/>
      </c>
      <c r="N94" s="10" t="str">
        <f t="shared" si="4"/>
        <v/>
      </c>
      <c r="O94" s="51" t="str">
        <f>IF(B94="","", IF(IFERROR(ISNUMBER(SEARCH(B94, VLOOKUP(E94, Machine_List!$B:$J, 9, 0))), FALSE()), "✅ Machine OK", "❌ Sug: " &amp; IFERROR(INDEX(Machine_List!$B$20:$B$49, MATCH("*"&amp;B94&amp;"*", Machine_List!$J$20:$J$49, 0)), "Check Limits")))</f>
        <v/>
      </c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2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  <c r="AX94" s="52"/>
      <c r="AY94" s="52"/>
      <c r="AZ94" s="52"/>
      <c r="BA94" s="52"/>
      <c r="BB94" s="52"/>
      <c r="BC94" s="52"/>
      <c r="BD94" s="52"/>
      <c r="BE94" s="52"/>
      <c r="BF94" s="52"/>
      <c r="BG94" s="52"/>
      <c r="BH94" s="52"/>
      <c r="BI94" s="52"/>
      <c r="BJ94" s="52"/>
      <c r="BK94" s="52"/>
      <c r="BL94" s="52"/>
      <c r="BM94" s="52"/>
    </row>
    <row r="95" spans="1:65" ht="15" customHeight="1" x14ac:dyDescent="0.3">
      <c r="A95" s="10" t="str">
        <f>IF(Job_Master!A95="","",Job_Master!A95)</f>
        <v/>
      </c>
      <c r="B95" s="10" t="str">
        <f>IF($A95="","",Job_Master!B95)</f>
        <v/>
      </c>
      <c r="C95" s="10" t="str">
        <f>IF($A95="","",Job_Master!C95)</f>
        <v/>
      </c>
      <c r="D95" s="10" t="str">
        <f>IF($A95="","",Job_Master!D95)</f>
        <v/>
      </c>
      <c r="E95" s="48" t="str">
        <f>IF($A95="","",IFERROR(INDEX(Machine_List!$B$20:$B$49,MATCH("*"&amp;$B95&amp;"*",Machine_List!$J$20:$J$49,0)),"NO COMPATIBLE MACHINE"))</f>
        <v/>
      </c>
      <c r="F95" s="106" t="str">
        <f>IF($E95="","",IFERROR(VLOOKUP($E95,Machine_List!$B:$G,6,0),""))</f>
        <v/>
      </c>
      <c r="G95" s="53" t="str">
        <f>IF($E95="","",IFERROR(VLOOKUP($E95,Machine_List!$B:$C,2,0),""))</f>
        <v/>
      </c>
      <c r="H95" s="10" t="str">
        <f>IF($E95="","",IFERROR(VLOOKUP($E95,Machine_List!$B:$D,3,0),""))</f>
        <v/>
      </c>
      <c r="I95" s="54"/>
      <c r="J95" s="55" t="str">
        <f ca="1">IF($A95="","",IF($I95&lt;&gt;"",$I95,MAX(MAX(SPM_Plan!$M95,CARVING_Plan!$M95),IFERROR(LOOKUP(2,1/($E$3:INDIRECT("E"&amp;(ROW()-1))=$E95),$M$3:INDIRECT("M"&amp;(ROW()-1))),MAX(SPM_Plan!$M95,CARVING_Plan!$M95)))))</f>
        <v/>
      </c>
      <c r="K95" s="10" t="str">
        <f>IF($A95="","",IFERROR(VLOOKUP(B95,CHOOSE(MATCH(C95,Settings!$L$4:$L$10,0),OPR_2P!$A$4:$I$18,SEG_6P!$A$4:$I$18,SOL_4P!$A$4:$I$18,RW_2P!$A$4:$I$18,RW2_4P!$A$4:$I$18,FLAP_4P!$A$4:$I$18,TUBE_4P!$A$4:$I$18),4,0),0))</f>
        <v/>
      </c>
      <c r="L95" s="10" t="str">
        <f t="shared" si="3"/>
        <v/>
      </c>
      <c r="M95" s="55" t="str">
        <f>IF($A95="","",IF(AND(ISNUMBER(G95),G95&gt;=J95,G95&lt;=(J95+(L95/(IF(F95="Contract Workman",Settings!$K$5,Settings!$K$4))))),J95+(L95/(IF(F95="Contract Workman",Settings!$K$5,Settings!$K$4)))+(H95/(IF(F95="Contract Workman",Settings!$K$5,Settings!$K$4))),J95+(L95/(IF(F95="Contract Workman",Settings!$K$5,Settings!$K$4)))))</f>
        <v/>
      </c>
      <c r="N95" s="10" t="str">
        <f t="shared" si="4"/>
        <v/>
      </c>
      <c r="O95" s="51" t="str">
        <f>IF(B95="","", IF(IFERROR(ISNUMBER(SEARCH(B95, VLOOKUP(E95, Machine_List!$B:$J, 9, 0))), FALSE()), "✅ Machine OK", "❌ Sug: " &amp; IFERROR(INDEX(Machine_List!$B$20:$B$49, MATCH("*"&amp;B95&amp;"*", Machine_List!$J$20:$J$49, 0)), "Check Limits")))</f>
        <v/>
      </c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  <c r="AC95" s="52"/>
      <c r="AD95" s="52"/>
      <c r="AE95" s="52"/>
      <c r="AF95" s="52"/>
      <c r="AG95" s="52"/>
      <c r="AH95" s="52"/>
      <c r="AI95" s="52"/>
      <c r="AJ95" s="52"/>
      <c r="AK95" s="52"/>
      <c r="AL95" s="52"/>
      <c r="AM95" s="52"/>
      <c r="AN95" s="52"/>
      <c r="AO95" s="52"/>
      <c r="AP95" s="52"/>
      <c r="AQ95" s="52"/>
      <c r="AR95" s="52"/>
      <c r="AS95" s="52"/>
      <c r="AT95" s="52"/>
      <c r="AU95" s="52"/>
      <c r="AV95" s="52"/>
      <c r="AW95" s="52"/>
      <c r="AX95" s="52"/>
      <c r="AY95" s="52"/>
      <c r="AZ95" s="52"/>
      <c r="BA95" s="52"/>
      <c r="BB95" s="52"/>
      <c r="BC95" s="52"/>
      <c r="BD95" s="52"/>
      <c r="BE95" s="52"/>
      <c r="BF95" s="52"/>
      <c r="BG95" s="52"/>
      <c r="BH95" s="52"/>
      <c r="BI95" s="52"/>
      <c r="BJ95" s="52"/>
      <c r="BK95" s="52"/>
      <c r="BL95" s="52"/>
      <c r="BM95" s="52"/>
    </row>
    <row r="96" spans="1:65" ht="15" customHeight="1" x14ac:dyDescent="0.3">
      <c r="A96" s="10" t="str">
        <f>IF(Job_Master!A96="","",Job_Master!A96)</f>
        <v/>
      </c>
      <c r="B96" s="10" t="str">
        <f>IF($A96="","",Job_Master!B96)</f>
        <v/>
      </c>
      <c r="C96" s="10" t="str">
        <f>IF($A96="","",Job_Master!C96)</f>
        <v/>
      </c>
      <c r="D96" s="10" t="str">
        <f>IF($A96="","",Job_Master!D96)</f>
        <v/>
      </c>
      <c r="E96" s="48" t="str">
        <f>IF($A96="","",IFERROR(INDEX(Machine_List!$B$20:$B$49,MATCH("*"&amp;$B96&amp;"*",Machine_List!$J$20:$J$49,0)),"NO COMPATIBLE MACHINE"))</f>
        <v/>
      </c>
      <c r="F96" s="106" t="str">
        <f>IF($E96="","",IFERROR(VLOOKUP($E96,Machine_List!$B:$G,6,0),""))</f>
        <v/>
      </c>
      <c r="G96" s="53" t="str">
        <f>IF($E96="","",IFERROR(VLOOKUP($E96,Machine_List!$B:$C,2,0),""))</f>
        <v/>
      </c>
      <c r="H96" s="10" t="str">
        <f>IF($E96="","",IFERROR(VLOOKUP($E96,Machine_List!$B:$D,3,0),""))</f>
        <v/>
      </c>
      <c r="I96" s="54"/>
      <c r="J96" s="55" t="str">
        <f ca="1">IF($A96="","",IF($I96&lt;&gt;"",$I96,MAX(MAX(SPM_Plan!$M96,CARVING_Plan!$M96),IFERROR(LOOKUP(2,1/($E$3:INDIRECT("E"&amp;(ROW()-1))=$E96),$M$3:INDIRECT("M"&amp;(ROW()-1))),MAX(SPM_Plan!$M96,CARVING_Plan!$M96)))))</f>
        <v/>
      </c>
      <c r="K96" s="10" t="str">
        <f>IF($A96="","",IFERROR(VLOOKUP(B96,CHOOSE(MATCH(C96,Settings!$L$4:$L$10,0),OPR_2P!$A$4:$I$18,SEG_6P!$A$4:$I$18,SOL_4P!$A$4:$I$18,RW_2P!$A$4:$I$18,RW2_4P!$A$4:$I$18,FLAP_4P!$A$4:$I$18,TUBE_4P!$A$4:$I$18),4,0),0))</f>
        <v/>
      </c>
      <c r="L96" s="10" t="str">
        <f t="shared" si="3"/>
        <v/>
      </c>
      <c r="M96" s="55" t="str">
        <f>IF($A96="","",IF(AND(ISNUMBER(G96),G96&gt;=J96,G96&lt;=(J96+(L96/(IF(F96="Contract Workman",Settings!$K$5,Settings!$K$4))))),J96+(L96/(IF(F96="Contract Workman",Settings!$K$5,Settings!$K$4)))+(H96/(IF(F96="Contract Workman",Settings!$K$5,Settings!$K$4))),J96+(L96/(IF(F96="Contract Workman",Settings!$K$5,Settings!$K$4)))))</f>
        <v/>
      </c>
      <c r="N96" s="10" t="str">
        <f t="shared" si="4"/>
        <v/>
      </c>
      <c r="O96" s="51" t="str">
        <f>IF(B96="","", IF(IFERROR(ISNUMBER(SEARCH(B96, VLOOKUP(E96, Machine_List!$B:$J, 9, 0))), FALSE()), "✅ Machine OK", "❌ Sug: " &amp; IFERROR(INDEX(Machine_List!$B$20:$B$49, MATCH("*"&amp;B96&amp;"*", Machine_List!$J$20:$J$49, 0)), "Check Limits")))</f>
        <v/>
      </c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  <c r="AC96" s="52"/>
      <c r="AD96" s="52"/>
      <c r="AE96" s="52"/>
      <c r="AF96" s="52"/>
      <c r="AG96" s="52"/>
      <c r="AH96" s="52"/>
      <c r="AI96" s="52"/>
      <c r="AJ96" s="52"/>
      <c r="AK96" s="52"/>
      <c r="AL96" s="52"/>
      <c r="AM96" s="52"/>
      <c r="AN96" s="52"/>
      <c r="AO96" s="52"/>
      <c r="AP96" s="52"/>
      <c r="AQ96" s="52"/>
      <c r="AR96" s="52"/>
      <c r="AS96" s="52"/>
      <c r="AT96" s="52"/>
      <c r="AU96" s="52"/>
      <c r="AV96" s="52"/>
      <c r="AW96" s="52"/>
      <c r="AX96" s="52"/>
      <c r="AY96" s="52"/>
      <c r="AZ96" s="52"/>
      <c r="BA96" s="52"/>
      <c r="BB96" s="52"/>
      <c r="BC96" s="52"/>
      <c r="BD96" s="52"/>
      <c r="BE96" s="52"/>
      <c r="BF96" s="52"/>
      <c r="BG96" s="52"/>
      <c r="BH96" s="52"/>
      <c r="BI96" s="52"/>
      <c r="BJ96" s="52"/>
      <c r="BK96" s="52"/>
      <c r="BL96" s="52"/>
      <c r="BM96" s="52"/>
    </row>
    <row r="97" spans="1:65" ht="15" customHeight="1" x14ac:dyDescent="0.3">
      <c r="A97" s="10" t="str">
        <f>IF(Job_Master!A97="","",Job_Master!A97)</f>
        <v/>
      </c>
      <c r="B97" s="10" t="str">
        <f>IF($A97="","",Job_Master!B97)</f>
        <v/>
      </c>
      <c r="C97" s="10" t="str">
        <f>IF($A97="","",Job_Master!C97)</f>
        <v/>
      </c>
      <c r="D97" s="10" t="str">
        <f>IF($A97="","",Job_Master!D97)</f>
        <v/>
      </c>
      <c r="E97" s="48" t="str">
        <f>IF($A97="","",IFERROR(INDEX(Machine_List!$B$20:$B$49,MATCH("*"&amp;$B97&amp;"*",Machine_List!$J$20:$J$49,0)),"NO COMPATIBLE MACHINE"))</f>
        <v/>
      </c>
      <c r="F97" s="106" t="str">
        <f>IF($E97="","",IFERROR(VLOOKUP($E97,Machine_List!$B:$G,6,0),""))</f>
        <v/>
      </c>
      <c r="G97" s="53" t="str">
        <f>IF($E97="","",IFERROR(VLOOKUP($E97,Machine_List!$B:$C,2,0),""))</f>
        <v/>
      </c>
      <c r="H97" s="10" t="str">
        <f>IF($E97="","",IFERROR(VLOOKUP($E97,Machine_List!$B:$D,3,0),""))</f>
        <v/>
      </c>
      <c r="I97" s="54"/>
      <c r="J97" s="55" t="str">
        <f ca="1">IF($A97="","",IF($I97&lt;&gt;"",$I97,MAX(MAX(SPM_Plan!$M97,CARVING_Plan!$M97),IFERROR(LOOKUP(2,1/($E$3:INDIRECT("E"&amp;(ROW()-1))=$E97),$M$3:INDIRECT("M"&amp;(ROW()-1))),MAX(SPM_Plan!$M97,CARVING_Plan!$M97)))))</f>
        <v/>
      </c>
      <c r="K97" s="10" t="str">
        <f>IF($A97="","",IFERROR(VLOOKUP(B97,CHOOSE(MATCH(C97,Settings!$L$4:$L$10,0),OPR_2P!$A$4:$I$18,SEG_6P!$A$4:$I$18,SOL_4P!$A$4:$I$18,RW_2P!$A$4:$I$18,RW2_4P!$A$4:$I$18,FLAP_4P!$A$4:$I$18,TUBE_4P!$A$4:$I$18),4,0),0))</f>
        <v/>
      </c>
      <c r="L97" s="10" t="str">
        <f t="shared" si="3"/>
        <v/>
      </c>
      <c r="M97" s="55" t="str">
        <f>IF($A97="","",IF(AND(ISNUMBER(G97),G97&gt;=J97,G97&lt;=(J97+(L97/(IF(F97="Contract Workman",Settings!$K$5,Settings!$K$4))))),J97+(L97/(IF(F97="Contract Workman",Settings!$K$5,Settings!$K$4)))+(H97/(IF(F97="Contract Workman",Settings!$K$5,Settings!$K$4))),J97+(L97/(IF(F97="Contract Workman",Settings!$K$5,Settings!$K$4)))))</f>
        <v/>
      </c>
      <c r="N97" s="10" t="str">
        <f t="shared" si="4"/>
        <v/>
      </c>
      <c r="O97" s="51" t="str">
        <f>IF(B97="","", IF(IFERROR(ISNUMBER(SEARCH(B97, VLOOKUP(E97, Machine_List!$B:$J, 9, 0))), FALSE()), "✅ Machine OK", "❌ Sug: " &amp; IFERROR(INDEX(Machine_List!$B$20:$B$49, MATCH("*"&amp;B97&amp;"*", Machine_List!$J$20:$J$49, 0)), "Check Limits")))</f>
        <v/>
      </c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  <c r="AE97" s="52"/>
      <c r="AF97" s="52"/>
      <c r="AG97" s="52"/>
      <c r="AH97" s="52"/>
      <c r="AI97" s="52"/>
      <c r="AJ97" s="52"/>
      <c r="AK97" s="52"/>
      <c r="AL97" s="52"/>
      <c r="AM97" s="52"/>
      <c r="AN97" s="52"/>
      <c r="AO97" s="52"/>
      <c r="AP97" s="52"/>
      <c r="AQ97" s="52"/>
      <c r="AR97" s="52"/>
      <c r="AS97" s="52"/>
      <c r="AT97" s="52"/>
      <c r="AU97" s="52"/>
      <c r="AV97" s="52"/>
      <c r="AW97" s="52"/>
      <c r="AX97" s="52"/>
      <c r="AY97" s="52"/>
      <c r="AZ97" s="52"/>
      <c r="BA97" s="52"/>
      <c r="BB97" s="52"/>
      <c r="BC97" s="52"/>
      <c r="BD97" s="52"/>
      <c r="BE97" s="52"/>
      <c r="BF97" s="52"/>
      <c r="BG97" s="52"/>
      <c r="BH97" s="52"/>
      <c r="BI97" s="52"/>
      <c r="BJ97" s="52"/>
      <c r="BK97" s="52"/>
      <c r="BL97" s="52"/>
      <c r="BM97" s="52"/>
    </row>
    <row r="98" spans="1:65" ht="15" customHeight="1" x14ac:dyDescent="0.3">
      <c r="A98" s="10" t="str">
        <f>IF(Job_Master!A98="","",Job_Master!A98)</f>
        <v/>
      </c>
      <c r="B98" s="10" t="str">
        <f>IF($A98="","",Job_Master!B98)</f>
        <v/>
      </c>
      <c r="C98" s="10" t="str">
        <f>IF($A98="","",Job_Master!C98)</f>
        <v/>
      </c>
      <c r="D98" s="10" t="str">
        <f>IF($A98="","",Job_Master!D98)</f>
        <v/>
      </c>
      <c r="E98" s="48" t="str">
        <f>IF($A98="","",IFERROR(INDEX(Machine_List!$B$20:$B$49,MATCH("*"&amp;$B98&amp;"*",Machine_List!$J$20:$J$49,0)),"NO COMPATIBLE MACHINE"))</f>
        <v/>
      </c>
      <c r="F98" s="106" t="str">
        <f>IF($E98="","",IFERROR(VLOOKUP($E98,Machine_List!$B:$G,6,0),""))</f>
        <v/>
      </c>
      <c r="G98" s="53" t="str">
        <f>IF($E98="","",IFERROR(VLOOKUP($E98,Machine_List!$B:$C,2,0),""))</f>
        <v/>
      </c>
      <c r="H98" s="10" t="str">
        <f>IF($E98="","",IFERROR(VLOOKUP($E98,Machine_List!$B:$D,3,0),""))</f>
        <v/>
      </c>
      <c r="I98" s="54"/>
      <c r="J98" s="55" t="str">
        <f ca="1">IF($A98="","",IF($I98&lt;&gt;"",$I98,MAX(MAX(SPM_Plan!$M98,CARVING_Plan!$M98),IFERROR(LOOKUP(2,1/($E$3:INDIRECT("E"&amp;(ROW()-1))=$E98),$M$3:INDIRECT("M"&amp;(ROW()-1))),MAX(SPM_Plan!$M98,CARVING_Plan!$M98)))))</f>
        <v/>
      </c>
      <c r="K98" s="10" t="str">
        <f>IF($A98="","",IFERROR(VLOOKUP(B98,CHOOSE(MATCH(C98,Settings!$L$4:$L$10,0),OPR_2P!$A$4:$I$18,SEG_6P!$A$4:$I$18,SOL_4P!$A$4:$I$18,RW_2P!$A$4:$I$18,RW2_4P!$A$4:$I$18,FLAP_4P!$A$4:$I$18,TUBE_4P!$A$4:$I$18),4,0),0))</f>
        <v/>
      </c>
      <c r="L98" s="10" t="str">
        <f t="shared" si="3"/>
        <v/>
      </c>
      <c r="M98" s="55" t="str">
        <f>IF($A98="","",IF(AND(ISNUMBER(G98),G98&gt;=J98,G98&lt;=(J98+(L98/(IF(F98="Contract Workman",Settings!$K$5,Settings!$K$4))))),J98+(L98/(IF(F98="Contract Workman",Settings!$K$5,Settings!$K$4)))+(H98/(IF(F98="Contract Workman",Settings!$K$5,Settings!$K$4))),J98+(L98/(IF(F98="Contract Workman",Settings!$K$5,Settings!$K$4)))))</f>
        <v/>
      </c>
      <c r="N98" s="10" t="str">
        <f t="shared" si="4"/>
        <v/>
      </c>
      <c r="O98" s="51" t="str">
        <f>IF(B98="","", IF(IFERROR(ISNUMBER(SEARCH(B98, VLOOKUP(E98, Machine_List!$B:$J, 9, 0))), FALSE()), "✅ Machine OK", "❌ Sug: " &amp; IFERROR(INDEX(Machine_List!$B$20:$B$49, MATCH("*"&amp;B98&amp;"*", Machine_List!$J$20:$J$49, 0)), "Check Limits")))</f>
        <v/>
      </c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52"/>
      <c r="AN98" s="52"/>
      <c r="AO98" s="52"/>
      <c r="AP98" s="52"/>
      <c r="AQ98" s="52"/>
      <c r="AR98" s="52"/>
      <c r="AS98" s="52"/>
      <c r="AT98" s="52"/>
      <c r="AU98" s="52"/>
      <c r="AV98" s="52"/>
      <c r="AW98" s="52"/>
      <c r="AX98" s="52"/>
      <c r="AY98" s="52"/>
      <c r="AZ98" s="52"/>
      <c r="BA98" s="52"/>
      <c r="BB98" s="52"/>
      <c r="BC98" s="52"/>
      <c r="BD98" s="52"/>
      <c r="BE98" s="52"/>
      <c r="BF98" s="52"/>
      <c r="BG98" s="52"/>
      <c r="BH98" s="52"/>
      <c r="BI98" s="52"/>
      <c r="BJ98" s="52"/>
      <c r="BK98" s="52"/>
      <c r="BL98" s="52"/>
      <c r="BM98" s="52"/>
    </row>
    <row r="99" spans="1:65" ht="15" customHeight="1" x14ac:dyDescent="0.3">
      <c r="A99" s="10" t="str">
        <f>IF(Job_Master!A99="","",Job_Master!A99)</f>
        <v/>
      </c>
      <c r="B99" s="10" t="str">
        <f>IF($A99="","",Job_Master!B99)</f>
        <v/>
      </c>
      <c r="C99" s="10" t="str">
        <f>IF($A99="","",Job_Master!C99)</f>
        <v/>
      </c>
      <c r="D99" s="10" t="str">
        <f>IF($A99="","",Job_Master!D99)</f>
        <v/>
      </c>
      <c r="E99" s="48" t="str">
        <f>IF($A99="","",IFERROR(INDEX(Machine_List!$B$20:$B$49,MATCH("*"&amp;$B99&amp;"*",Machine_List!$J$20:$J$49,0)),"NO COMPATIBLE MACHINE"))</f>
        <v/>
      </c>
      <c r="F99" s="106" t="str">
        <f>IF($E99="","",IFERROR(VLOOKUP($E99,Machine_List!$B:$G,6,0),""))</f>
        <v/>
      </c>
      <c r="G99" s="53" t="str">
        <f>IF($E99="","",IFERROR(VLOOKUP($E99,Machine_List!$B:$C,2,0),""))</f>
        <v/>
      </c>
      <c r="H99" s="10" t="str">
        <f>IF($E99="","",IFERROR(VLOOKUP($E99,Machine_List!$B:$D,3,0),""))</f>
        <v/>
      </c>
      <c r="I99" s="54"/>
      <c r="J99" s="55" t="str">
        <f ca="1">IF($A99="","",IF($I99&lt;&gt;"",$I99,MAX(MAX(SPM_Plan!$M99,CARVING_Plan!$M99),IFERROR(LOOKUP(2,1/($E$3:INDIRECT("E"&amp;(ROW()-1))=$E99),$M$3:INDIRECT("M"&amp;(ROW()-1))),MAX(SPM_Plan!$M99,CARVING_Plan!$M99)))))</f>
        <v/>
      </c>
      <c r="K99" s="10" t="str">
        <f>IF($A99="","",IFERROR(VLOOKUP(B99,CHOOSE(MATCH(C99,Settings!$L$4:$L$10,0),OPR_2P!$A$4:$I$18,SEG_6P!$A$4:$I$18,SOL_4P!$A$4:$I$18,RW_2P!$A$4:$I$18,RW2_4P!$A$4:$I$18,FLAP_4P!$A$4:$I$18,TUBE_4P!$A$4:$I$18),4,0),0))</f>
        <v/>
      </c>
      <c r="L99" s="10" t="str">
        <f t="shared" si="3"/>
        <v/>
      </c>
      <c r="M99" s="55" t="str">
        <f>IF($A99="","",IF(AND(ISNUMBER(G99),G99&gt;=J99,G99&lt;=(J99+(L99/(IF(F99="Contract Workman",Settings!$K$5,Settings!$K$4))))),J99+(L99/(IF(F99="Contract Workman",Settings!$K$5,Settings!$K$4)))+(H99/(IF(F99="Contract Workman",Settings!$K$5,Settings!$K$4))),J99+(L99/(IF(F99="Contract Workman",Settings!$K$5,Settings!$K$4)))))</f>
        <v/>
      </c>
      <c r="N99" s="10" t="str">
        <f t="shared" si="4"/>
        <v/>
      </c>
      <c r="O99" s="51" t="str">
        <f>IF(B99="","", IF(IFERROR(ISNUMBER(SEARCH(B99, VLOOKUP(E99, Machine_List!$B:$J, 9, 0))), FALSE()), "✅ Machine OK", "❌ Sug: " &amp; IFERROR(INDEX(Machine_List!$B$20:$B$49, MATCH("*"&amp;B99&amp;"*", Machine_List!$J$20:$J$49, 0)), "Check Limits")))</f>
        <v/>
      </c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  <c r="AE99" s="52"/>
      <c r="AF99" s="52"/>
      <c r="AG99" s="52"/>
      <c r="AH99" s="52"/>
      <c r="AI99" s="52"/>
      <c r="AJ99" s="52"/>
      <c r="AK99" s="52"/>
      <c r="AL99" s="52"/>
      <c r="AM99" s="52"/>
      <c r="AN99" s="52"/>
      <c r="AO99" s="52"/>
      <c r="AP99" s="52"/>
      <c r="AQ99" s="52"/>
      <c r="AR99" s="52"/>
      <c r="AS99" s="52"/>
      <c r="AT99" s="52"/>
      <c r="AU99" s="52"/>
      <c r="AV99" s="52"/>
      <c r="AW99" s="52"/>
      <c r="AX99" s="52"/>
      <c r="AY99" s="52"/>
      <c r="AZ99" s="52"/>
      <c r="BA99" s="52"/>
      <c r="BB99" s="52"/>
      <c r="BC99" s="52"/>
      <c r="BD99" s="52"/>
      <c r="BE99" s="52"/>
      <c r="BF99" s="52"/>
      <c r="BG99" s="52"/>
      <c r="BH99" s="52"/>
      <c r="BI99" s="52"/>
      <c r="BJ99" s="52"/>
      <c r="BK99" s="52"/>
      <c r="BL99" s="52"/>
      <c r="BM99" s="52"/>
    </row>
    <row r="100" spans="1:65" ht="15" customHeight="1" x14ac:dyDescent="0.3">
      <c r="A100" s="10" t="str">
        <f>IF(Job_Master!A100="","",Job_Master!A100)</f>
        <v/>
      </c>
      <c r="B100" s="10" t="str">
        <f>IF($A100="","",Job_Master!B100)</f>
        <v/>
      </c>
      <c r="C100" s="10" t="str">
        <f>IF($A100="","",Job_Master!C100)</f>
        <v/>
      </c>
      <c r="D100" s="10" t="str">
        <f>IF($A100="","",Job_Master!D100)</f>
        <v/>
      </c>
      <c r="E100" s="48" t="str">
        <f>IF($A100="","",IFERROR(INDEX(Machine_List!$B$20:$B$49,MATCH("*"&amp;$B100&amp;"*",Machine_List!$J$20:$J$49,0)),"NO COMPATIBLE MACHINE"))</f>
        <v/>
      </c>
      <c r="F100" s="106" t="str">
        <f>IF($E100="","",IFERROR(VLOOKUP($E100,Machine_List!$B:$G,6,0),""))</f>
        <v/>
      </c>
      <c r="G100" s="53" t="str">
        <f>IF($E100="","",IFERROR(VLOOKUP($E100,Machine_List!$B:$C,2,0),""))</f>
        <v/>
      </c>
      <c r="H100" s="10" t="str">
        <f>IF($E100="","",IFERROR(VLOOKUP($E100,Machine_List!$B:$D,3,0),""))</f>
        <v/>
      </c>
      <c r="I100" s="58"/>
      <c r="J100" s="55" t="str">
        <f ca="1">IF($A100="","",IF($I100&lt;&gt;"",$I100,MAX(MAX(SPM_Plan!$M100,CARVING_Plan!$M100),IFERROR(LOOKUP(2,1/($E$3:INDIRECT("E"&amp;(ROW()-1))=$E100),$M$3:INDIRECT("M"&amp;(ROW()-1))),MAX(SPM_Plan!$M100,CARVING_Plan!$M100)))))</f>
        <v/>
      </c>
      <c r="K100" s="10" t="str">
        <f>IF($A100="","",IFERROR(VLOOKUP(B100,CHOOSE(MATCH(C100,Settings!$L$4:$L$10,0),OPR_2P!$A$4:$I$18,SEG_6P!$A$4:$I$18,SOL_4P!$A$4:$I$18,RW_2P!$A$4:$I$18,RW2_4P!$A$4:$I$18,FLAP_4P!$A$4:$I$18,TUBE_4P!$A$4:$I$18),4,0),0))</f>
        <v/>
      </c>
      <c r="L100" s="10" t="str">
        <f t="shared" si="3"/>
        <v/>
      </c>
      <c r="M100" s="55" t="str">
        <f>IF($A100="","",IF(AND(ISNUMBER(G100),G100&gt;=J100,G100&lt;=(J100+(L100/(IF(F100="Contract Workman",Settings!$K$5,Settings!$K$4))))),J100+(L100/(IF(F100="Contract Workman",Settings!$K$5,Settings!$K$4)))+(H100/(IF(F100="Contract Workman",Settings!$K$5,Settings!$K$4))),J100+(L100/(IF(F100="Contract Workman",Settings!$K$5,Settings!$K$4)))))</f>
        <v/>
      </c>
      <c r="N100" s="10" t="str">
        <f t="shared" ref="N100:N131" si="5">IF($A100="","",IF(F100="Contract Workman",IF(AND(MOD(M100,1)&gt;=8/24,MOD(M100,1)&lt;20/24),"Shift S1","Shift S2"),IF(AND(MOD(M100,1)&gt;=7/24,MOD(M100,1)&lt;15/24),"Shift A",IF(AND(MOD(M100,1)&gt;=15/24,MOD(M100,1)&lt;23/24),"Shift B","Shift C"))))</f>
        <v/>
      </c>
      <c r="O100" s="51" t="str">
        <f>IF(B100="","", IF(IFERROR(ISNUMBER(SEARCH(B100, VLOOKUP(E100, Machine_List!$B:$J, 9, 0))), FALSE()), "✅ Machine OK", "❌ Sug: " &amp; IFERROR(INDEX(Machine_List!$B$20:$B$49, MATCH("*"&amp;B100&amp;"*", Machine_List!$J$20:$J$49, 0)), "Check Limits")))</f>
        <v/>
      </c>
    </row>
    <row r="101" spans="1:65" ht="15" customHeight="1" x14ac:dyDescent="0.3">
      <c r="A101" s="10" t="str">
        <f>IF(Job_Master!A101="","",Job_Master!A101)</f>
        <v/>
      </c>
      <c r="B101" s="10" t="str">
        <f>IF($A101="","",Job_Master!B101)</f>
        <v/>
      </c>
      <c r="C101" s="10" t="str">
        <f>IF($A101="","",Job_Master!C101)</f>
        <v/>
      </c>
      <c r="D101" s="10" t="str">
        <f>IF($A101="","",Job_Master!D101)</f>
        <v/>
      </c>
      <c r="E101" s="48" t="str">
        <f>IF($A101="","",IFERROR(INDEX(Machine_List!$B$20:$B$49,MATCH("*"&amp;$B101&amp;"*",Machine_List!$J$20:$J$49,0)),"NO COMPATIBLE MACHINE"))</f>
        <v/>
      </c>
      <c r="F101" s="106" t="str">
        <f>IF($E101="","",IFERROR(VLOOKUP($E101,Machine_List!$B:$G,6,0),""))</f>
        <v/>
      </c>
      <c r="G101" s="53" t="str">
        <f>IF($E101="","",IFERROR(VLOOKUP($E101,Machine_List!$B:$C,2,0),""))</f>
        <v/>
      </c>
      <c r="H101" s="10" t="str">
        <f>IF($E101="","",IFERROR(VLOOKUP($E101,Machine_List!$B:$D,3,0),""))</f>
        <v/>
      </c>
      <c r="J101" s="55" t="str">
        <f ca="1">IF($A101="","",IF($I101&lt;&gt;"",$I101,MAX(MAX(SPM_Plan!$M101,CARVING_Plan!$M101),IFERROR(LOOKUP(2,1/($E$3:INDIRECT("E"&amp;(ROW()-1))=$E101),$M$3:INDIRECT("M"&amp;(ROW()-1))),MAX(SPM_Plan!$M101,CARVING_Plan!$M101)))))</f>
        <v/>
      </c>
      <c r="K101" s="10" t="str">
        <f>IF($A101="","",IFERROR(VLOOKUP(B101,CHOOSE(MATCH(C101,Settings!$L$4:$L$10,0),OPR_2P!$A$4:$I$18,SEG_6P!$A$4:$I$18,SOL_4P!$A$4:$I$18,RW_2P!$A$4:$I$18,RW2_4P!$A$4:$I$18,FLAP_4P!$A$4:$I$18,TUBE_4P!$A$4:$I$18),4,0),0))</f>
        <v/>
      </c>
      <c r="L101" s="10" t="str">
        <f t="shared" si="3"/>
        <v/>
      </c>
      <c r="M101" s="55" t="str">
        <f>IF($A101="","",IF(AND(ISNUMBER(G101),G101&gt;=J101,G101&lt;=(J101+(L101/(IF(F101="Contract Workman",Settings!$K$5,Settings!$K$4))))),J101+(L101/(IF(F101="Contract Workman",Settings!$K$5,Settings!$K$4)))+(H101/(IF(F101="Contract Workman",Settings!$K$5,Settings!$K$4))),J101+(L101/(IF(F101="Contract Workman",Settings!$K$5,Settings!$K$4)))))</f>
        <v/>
      </c>
      <c r="N101" s="10" t="str">
        <f t="shared" si="5"/>
        <v/>
      </c>
      <c r="O101" s="51"/>
    </row>
    <row r="102" spans="1:65" ht="15" customHeight="1" x14ac:dyDescent="0.3">
      <c r="A102" s="10" t="str">
        <f>IF(Job_Master!A102="","",Job_Master!A102)</f>
        <v/>
      </c>
      <c r="B102" s="10" t="str">
        <f>IF($A102="","",Job_Master!B102)</f>
        <v/>
      </c>
      <c r="C102" s="10" t="str">
        <f>IF($A102="","",Job_Master!C102)</f>
        <v/>
      </c>
      <c r="D102" s="10" t="str">
        <f>IF($A102="","",Job_Master!D102)</f>
        <v/>
      </c>
      <c r="E102" s="48" t="str">
        <f>IF($A102="","",IFERROR(INDEX(Machine_List!$B$20:$B$49,MATCH("*"&amp;$B102&amp;"*",Machine_List!$J$20:$J$49,0)),"NO COMPATIBLE MACHINE"))</f>
        <v/>
      </c>
      <c r="F102" s="106" t="str">
        <f>IF($E102="","",IFERROR(VLOOKUP($E102,Machine_List!$B:$G,6,0),""))</f>
        <v/>
      </c>
      <c r="G102" s="53" t="str">
        <f>IF($E102="","",IFERROR(VLOOKUP($E102,Machine_List!$B:$C,2,0),""))</f>
        <v/>
      </c>
      <c r="H102" s="10" t="str">
        <f>IF($E102="","",IFERROR(VLOOKUP($E102,Machine_List!$B:$D,3,0),""))</f>
        <v/>
      </c>
      <c r="J102" s="55" t="str">
        <f ca="1">IF($A102="","",IF($I102&lt;&gt;"",$I102,MAX(MAX(SPM_Plan!$M102,CARVING_Plan!$M102),IFERROR(LOOKUP(2,1/($E$3:INDIRECT("E"&amp;(ROW()-1))=$E102),$M$3:INDIRECT("M"&amp;(ROW()-1))),MAX(SPM_Plan!$M102,CARVING_Plan!$M102)))))</f>
        <v/>
      </c>
      <c r="K102" s="10" t="str">
        <f>IF($A102="","",IFERROR(VLOOKUP(B102,CHOOSE(MATCH(C102,Settings!$L$4:$L$10,0),OPR_2P!$A$4:$I$18,SEG_6P!$A$4:$I$18,SOL_4P!$A$4:$I$18,RW_2P!$A$4:$I$18,RW2_4P!$A$4:$I$18,FLAP_4P!$A$4:$I$18,TUBE_4P!$A$4:$I$18),4,0),0))</f>
        <v/>
      </c>
      <c r="L102" s="10" t="str">
        <f t="shared" si="3"/>
        <v/>
      </c>
      <c r="M102" s="55" t="str">
        <f>IF($A102="","",IF(AND(ISNUMBER(G102),G102&gt;=J102,G102&lt;=(J102+(L102/(IF(F102="Contract Workman",Settings!$K$5,Settings!$K$4))))),J102+(L102/(IF(F102="Contract Workman",Settings!$K$5,Settings!$K$4)))+(H102/(IF(F102="Contract Workman",Settings!$K$5,Settings!$K$4))),J102+(L102/(IF(F102="Contract Workman",Settings!$K$5,Settings!$K$4)))))</f>
        <v/>
      </c>
      <c r="N102" s="10" t="str">
        <f t="shared" si="5"/>
        <v/>
      </c>
      <c r="O102" s="51"/>
    </row>
    <row r="103" spans="1:65" ht="15" customHeight="1" x14ac:dyDescent="0.3">
      <c r="A103" s="10" t="str">
        <f>IF(Job_Master!A103="","",Job_Master!A103)</f>
        <v/>
      </c>
      <c r="B103" s="10" t="str">
        <f>IF($A103="","",Job_Master!B103)</f>
        <v/>
      </c>
      <c r="C103" s="10" t="str">
        <f>IF($A103="","",Job_Master!C103)</f>
        <v/>
      </c>
      <c r="D103" s="10" t="str">
        <f>IF($A103="","",Job_Master!D103)</f>
        <v/>
      </c>
      <c r="E103" s="48" t="str">
        <f>IF($A103="","",IFERROR(INDEX(Machine_List!$B$20:$B$49,MATCH("*"&amp;$B103&amp;"*",Machine_List!$J$20:$J$49,0)),"NO COMPATIBLE MACHINE"))</f>
        <v/>
      </c>
      <c r="F103" s="106" t="str">
        <f>IF($E103="","",IFERROR(VLOOKUP($E103,Machine_List!$B:$G,6,0),""))</f>
        <v/>
      </c>
      <c r="G103" s="53" t="str">
        <f>IF($E103="","",IFERROR(VLOOKUP($E103,Machine_List!$B:$C,2,0),""))</f>
        <v/>
      </c>
      <c r="H103" s="10" t="str">
        <f>IF($E103="","",IFERROR(VLOOKUP($E103,Machine_List!$B:$D,3,0),""))</f>
        <v/>
      </c>
      <c r="J103" s="55" t="str">
        <f ca="1">IF($A103="","",IF($I103&lt;&gt;"",$I103,MAX(MAX(SPM_Plan!$M103,CARVING_Plan!$M103),IFERROR(LOOKUP(2,1/($E$3:INDIRECT("E"&amp;(ROW()-1))=$E103),$M$3:INDIRECT("M"&amp;(ROW()-1))),MAX(SPM_Plan!$M103,CARVING_Plan!$M103)))))</f>
        <v/>
      </c>
      <c r="K103" s="10" t="str">
        <f>IF($A103="","",IFERROR(VLOOKUP(B103,CHOOSE(MATCH(C103,Settings!$L$4:$L$10,0),OPR_2P!$A$4:$I$18,SEG_6P!$A$4:$I$18,SOL_4P!$A$4:$I$18,RW_2P!$A$4:$I$18,RW2_4P!$A$4:$I$18,FLAP_4P!$A$4:$I$18,TUBE_4P!$A$4:$I$18),4,0),0))</f>
        <v/>
      </c>
      <c r="L103" s="10" t="str">
        <f t="shared" si="3"/>
        <v/>
      </c>
      <c r="M103" s="55" t="str">
        <f>IF($A103="","",IF(AND(ISNUMBER(G103),G103&gt;=J103,G103&lt;=(J103+(L103/(IF(F103="Contract Workman",Settings!$K$5,Settings!$K$4))))),J103+(L103/(IF(F103="Contract Workman",Settings!$K$5,Settings!$K$4)))+(H103/(IF(F103="Contract Workman",Settings!$K$5,Settings!$K$4))),J103+(L103/(IF(F103="Contract Workman",Settings!$K$5,Settings!$K$4)))))</f>
        <v/>
      </c>
      <c r="N103" s="10" t="str">
        <f t="shared" si="5"/>
        <v/>
      </c>
      <c r="O103" s="51"/>
    </row>
    <row r="104" spans="1:65" ht="15" customHeight="1" x14ac:dyDescent="0.3">
      <c r="L104" t="str">
        <f t="shared" si="3"/>
        <v/>
      </c>
      <c r="O104" s="51"/>
    </row>
    <row r="105" spans="1:65" ht="15" customHeight="1" x14ac:dyDescent="0.3">
      <c r="L105" t="str">
        <f t="shared" si="3"/>
        <v/>
      </c>
      <c r="O105" s="51"/>
    </row>
    <row r="106" spans="1:65" ht="15" customHeight="1" x14ac:dyDescent="0.3">
      <c r="L106" t="str">
        <f t="shared" si="3"/>
        <v/>
      </c>
      <c r="O106" s="51"/>
    </row>
    <row r="107" spans="1:65" ht="15" customHeight="1" x14ac:dyDescent="0.3">
      <c r="L107" t="str">
        <f t="shared" si="3"/>
        <v/>
      </c>
      <c r="O107" s="51"/>
    </row>
    <row r="108" spans="1:65" ht="15" customHeight="1" x14ac:dyDescent="0.3">
      <c r="L108" t="str">
        <f t="shared" si="3"/>
        <v/>
      </c>
      <c r="O108" s="51"/>
    </row>
    <row r="109" spans="1:65" ht="15" customHeight="1" x14ac:dyDescent="0.3">
      <c r="L109" t="str">
        <f t="shared" si="3"/>
        <v/>
      </c>
      <c r="O109" s="51"/>
    </row>
    <row r="110" spans="1:65" ht="15" customHeight="1" x14ac:dyDescent="0.3">
      <c r="L110" t="str">
        <f t="shared" si="3"/>
        <v/>
      </c>
      <c r="O110" s="51"/>
    </row>
    <row r="111" spans="1:65" ht="15" customHeight="1" x14ac:dyDescent="0.3">
      <c r="L111" t="str">
        <f t="shared" si="3"/>
        <v/>
      </c>
      <c r="O111" s="51"/>
    </row>
    <row r="112" spans="1:65" ht="15" customHeight="1" x14ac:dyDescent="0.3">
      <c r="L112" t="str">
        <f t="shared" si="3"/>
        <v/>
      </c>
      <c r="O112" s="51"/>
    </row>
    <row r="113" spans="12:15" ht="15" customHeight="1" x14ac:dyDescent="0.3">
      <c r="L113" t="str">
        <f t="shared" si="3"/>
        <v/>
      </c>
      <c r="O113" s="51"/>
    </row>
    <row r="114" spans="12:15" ht="15" customHeight="1" x14ac:dyDescent="0.3">
      <c r="L114" t="str">
        <f t="shared" si="3"/>
        <v/>
      </c>
      <c r="O114" s="51"/>
    </row>
    <row r="115" spans="12:15" ht="15" customHeight="1" x14ac:dyDescent="0.3">
      <c r="L115" t="str">
        <f t="shared" si="3"/>
        <v/>
      </c>
      <c r="O115" s="51"/>
    </row>
    <row r="116" spans="12:15" ht="15" customHeight="1" x14ac:dyDescent="0.3">
      <c r="L116" t="str">
        <f t="shared" si="3"/>
        <v/>
      </c>
      <c r="O116" s="51"/>
    </row>
    <row r="117" spans="12:15" ht="15" customHeight="1" x14ac:dyDescent="0.3">
      <c r="L117" t="str">
        <f t="shared" si="3"/>
        <v/>
      </c>
      <c r="O117" s="51"/>
    </row>
    <row r="118" spans="12:15" ht="15" customHeight="1" x14ac:dyDescent="0.3">
      <c r="L118" t="str">
        <f t="shared" si="3"/>
        <v/>
      </c>
      <c r="O118" s="51"/>
    </row>
    <row r="119" spans="12:15" ht="15" customHeight="1" x14ac:dyDescent="0.3">
      <c r="L119" t="str">
        <f t="shared" si="3"/>
        <v/>
      </c>
      <c r="O119" s="51"/>
    </row>
    <row r="120" spans="12:15" ht="15" customHeight="1" x14ac:dyDescent="0.3">
      <c r="L120" t="str">
        <f t="shared" si="3"/>
        <v/>
      </c>
      <c r="O120" s="51"/>
    </row>
    <row r="121" spans="12:15" ht="15" customHeight="1" x14ac:dyDescent="0.3">
      <c r="L121" t="str">
        <f t="shared" si="3"/>
        <v/>
      </c>
      <c r="O121" s="51"/>
    </row>
    <row r="122" spans="12:15" ht="15" customHeight="1" x14ac:dyDescent="0.3">
      <c r="L122" t="str">
        <f t="shared" si="3"/>
        <v/>
      </c>
      <c r="O122" s="51"/>
    </row>
    <row r="123" spans="12:15" ht="15" customHeight="1" x14ac:dyDescent="0.3">
      <c r="L123" t="str">
        <f t="shared" si="3"/>
        <v/>
      </c>
      <c r="O123" s="51"/>
    </row>
    <row r="124" spans="12:15" ht="15" customHeight="1" x14ac:dyDescent="0.3">
      <c r="L124" t="str">
        <f t="shared" si="3"/>
        <v/>
      </c>
      <c r="O124" s="51"/>
    </row>
    <row r="125" spans="12:15" ht="15" customHeight="1" x14ac:dyDescent="0.3">
      <c r="L125" t="str">
        <f t="shared" si="3"/>
        <v/>
      </c>
      <c r="O125" s="51"/>
    </row>
    <row r="126" spans="12:15" ht="15" customHeight="1" x14ac:dyDescent="0.3">
      <c r="L126" t="str">
        <f t="shared" si="3"/>
        <v/>
      </c>
      <c r="O126" s="51"/>
    </row>
    <row r="127" spans="12:15" ht="15" customHeight="1" x14ac:dyDescent="0.3">
      <c r="L127" t="str">
        <f t="shared" si="3"/>
        <v/>
      </c>
      <c r="O127" s="51"/>
    </row>
    <row r="128" spans="12:15" ht="15" customHeight="1" x14ac:dyDescent="0.3">
      <c r="L128" t="str">
        <f t="shared" si="3"/>
        <v/>
      </c>
      <c r="O128" s="51"/>
    </row>
    <row r="129" spans="12:15" ht="15" customHeight="1" x14ac:dyDescent="0.3">
      <c r="L129" t="str">
        <f t="shared" si="3"/>
        <v/>
      </c>
      <c r="O129" s="51"/>
    </row>
    <row r="130" spans="12:15" ht="15" customHeight="1" x14ac:dyDescent="0.3">
      <c r="L130" t="str">
        <f t="shared" si="3"/>
        <v/>
      </c>
      <c r="O130" s="51"/>
    </row>
    <row r="131" spans="12:15" ht="15" customHeight="1" x14ac:dyDescent="0.3">
      <c r="L131" t="str">
        <f t="shared" si="3"/>
        <v/>
      </c>
      <c r="O131" s="51"/>
    </row>
    <row r="132" spans="12:15" ht="15" customHeight="1" x14ac:dyDescent="0.3">
      <c r="L132" t="str">
        <f t="shared" ref="L132:L195" si="6">IF($A132="","",K132*D132)</f>
        <v/>
      </c>
      <c r="O132" s="51"/>
    </row>
    <row r="133" spans="12:15" ht="15" customHeight="1" x14ac:dyDescent="0.3">
      <c r="L133" t="str">
        <f t="shared" si="6"/>
        <v/>
      </c>
      <c r="O133" s="51"/>
    </row>
    <row r="134" spans="12:15" ht="15" customHeight="1" x14ac:dyDescent="0.3">
      <c r="L134" t="str">
        <f t="shared" si="6"/>
        <v/>
      </c>
      <c r="O134" s="51"/>
    </row>
    <row r="135" spans="12:15" ht="15" customHeight="1" x14ac:dyDescent="0.3">
      <c r="L135" t="str">
        <f t="shared" si="6"/>
        <v/>
      </c>
      <c r="O135" s="51"/>
    </row>
    <row r="136" spans="12:15" ht="15" customHeight="1" x14ac:dyDescent="0.3">
      <c r="L136" t="str">
        <f t="shared" si="6"/>
        <v/>
      </c>
      <c r="O136" s="51"/>
    </row>
    <row r="137" spans="12:15" ht="15" customHeight="1" x14ac:dyDescent="0.3">
      <c r="L137" t="str">
        <f t="shared" si="6"/>
        <v/>
      </c>
      <c r="O137" s="51"/>
    </row>
    <row r="138" spans="12:15" ht="15" customHeight="1" x14ac:dyDescent="0.3">
      <c r="L138" t="str">
        <f t="shared" si="6"/>
        <v/>
      </c>
      <c r="O138" s="51"/>
    </row>
    <row r="139" spans="12:15" ht="15" customHeight="1" x14ac:dyDescent="0.3">
      <c r="L139" t="str">
        <f t="shared" si="6"/>
        <v/>
      </c>
      <c r="O139" s="51"/>
    </row>
    <row r="140" spans="12:15" ht="15" customHeight="1" x14ac:dyDescent="0.3">
      <c r="L140" t="str">
        <f t="shared" si="6"/>
        <v/>
      </c>
      <c r="O140" s="51"/>
    </row>
    <row r="141" spans="12:15" ht="15" customHeight="1" x14ac:dyDescent="0.3">
      <c r="L141" t="str">
        <f t="shared" si="6"/>
        <v/>
      </c>
      <c r="O141" s="51"/>
    </row>
    <row r="142" spans="12:15" ht="15" customHeight="1" x14ac:dyDescent="0.3">
      <c r="L142" t="str">
        <f t="shared" si="6"/>
        <v/>
      </c>
      <c r="O142" s="51"/>
    </row>
    <row r="143" spans="12:15" ht="15" customHeight="1" x14ac:dyDescent="0.3">
      <c r="L143" t="str">
        <f t="shared" si="6"/>
        <v/>
      </c>
      <c r="O143" s="51"/>
    </row>
    <row r="144" spans="12:15" ht="15" customHeight="1" x14ac:dyDescent="0.3">
      <c r="L144" t="str">
        <f t="shared" si="6"/>
        <v/>
      </c>
      <c r="O144" s="51"/>
    </row>
    <row r="145" spans="12:15" ht="15" customHeight="1" x14ac:dyDescent="0.3">
      <c r="L145" t="str">
        <f t="shared" si="6"/>
        <v/>
      </c>
      <c r="O145" s="51"/>
    </row>
    <row r="146" spans="12:15" ht="15" customHeight="1" x14ac:dyDescent="0.3">
      <c r="L146" t="str">
        <f t="shared" si="6"/>
        <v/>
      </c>
      <c r="O146" s="51"/>
    </row>
    <row r="147" spans="12:15" ht="15" customHeight="1" x14ac:dyDescent="0.3">
      <c r="L147" t="str">
        <f t="shared" si="6"/>
        <v/>
      </c>
      <c r="O147" s="51"/>
    </row>
    <row r="148" spans="12:15" ht="15" customHeight="1" x14ac:dyDescent="0.3">
      <c r="L148" t="str">
        <f t="shared" si="6"/>
        <v/>
      </c>
      <c r="O148" s="51"/>
    </row>
    <row r="149" spans="12:15" ht="15" customHeight="1" x14ac:dyDescent="0.3">
      <c r="L149" t="str">
        <f t="shared" si="6"/>
        <v/>
      </c>
      <c r="O149" s="51"/>
    </row>
    <row r="150" spans="12:15" ht="15" customHeight="1" x14ac:dyDescent="0.3">
      <c r="L150" t="str">
        <f t="shared" si="6"/>
        <v/>
      </c>
      <c r="O150" s="51"/>
    </row>
    <row r="151" spans="12:15" ht="15" customHeight="1" x14ac:dyDescent="0.3">
      <c r="L151" t="str">
        <f t="shared" si="6"/>
        <v/>
      </c>
      <c r="O151" s="51"/>
    </row>
    <row r="152" spans="12:15" ht="15" customHeight="1" x14ac:dyDescent="0.3">
      <c r="L152" t="str">
        <f t="shared" si="6"/>
        <v/>
      </c>
      <c r="O152" s="51"/>
    </row>
    <row r="153" spans="12:15" ht="15" customHeight="1" x14ac:dyDescent="0.3">
      <c r="L153" t="str">
        <f t="shared" si="6"/>
        <v/>
      </c>
      <c r="O153" s="51"/>
    </row>
    <row r="154" spans="12:15" ht="15" customHeight="1" x14ac:dyDescent="0.3">
      <c r="L154" t="str">
        <f t="shared" si="6"/>
        <v/>
      </c>
      <c r="O154" s="51"/>
    </row>
    <row r="155" spans="12:15" ht="15" customHeight="1" x14ac:dyDescent="0.3">
      <c r="L155" t="str">
        <f t="shared" si="6"/>
        <v/>
      </c>
      <c r="O155" s="51"/>
    </row>
    <row r="156" spans="12:15" ht="15" customHeight="1" x14ac:dyDescent="0.3">
      <c r="L156" t="str">
        <f t="shared" si="6"/>
        <v/>
      </c>
      <c r="O156" s="51"/>
    </row>
    <row r="157" spans="12:15" ht="15" customHeight="1" x14ac:dyDescent="0.3">
      <c r="L157" t="str">
        <f t="shared" si="6"/>
        <v/>
      </c>
      <c r="O157" s="51"/>
    </row>
    <row r="158" spans="12:15" ht="15" customHeight="1" x14ac:dyDescent="0.3">
      <c r="L158" t="str">
        <f t="shared" si="6"/>
        <v/>
      </c>
      <c r="O158" s="51"/>
    </row>
    <row r="159" spans="12:15" ht="15" customHeight="1" x14ac:dyDescent="0.3">
      <c r="L159" t="str">
        <f t="shared" si="6"/>
        <v/>
      </c>
      <c r="O159" s="51"/>
    </row>
    <row r="160" spans="12:15" ht="15" customHeight="1" x14ac:dyDescent="0.3">
      <c r="L160" t="str">
        <f t="shared" si="6"/>
        <v/>
      </c>
      <c r="O160" s="51"/>
    </row>
    <row r="161" spans="12:15" ht="15" customHeight="1" x14ac:dyDescent="0.3">
      <c r="L161" t="str">
        <f t="shared" si="6"/>
        <v/>
      </c>
      <c r="O161" s="51"/>
    </row>
    <row r="162" spans="12:15" ht="15" customHeight="1" x14ac:dyDescent="0.3">
      <c r="L162" t="str">
        <f t="shared" si="6"/>
        <v/>
      </c>
      <c r="O162" s="51"/>
    </row>
    <row r="163" spans="12:15" ht="15" customHeight="1" x14ac:dyDescent="0.3">
      <c r="L163" t="str">
        <f t="shared" si="6"/>
        <v/>
      </c>
      <c r="O163" s="51"/>
    </row>
    <row r="164" spans="12:15" ht="15" customHeight="1" x14ac:dyDescent="0.3">
      <c r="L164" t="str">
        <f t="shared" si="6"/>
        <v/>
      </c>
      <c r="O164" s="51"/>
    </row>
    <row r="165" spans="12:15" ht="15" customHeight="1" x14ac:dyDescent="0.3">
      <c r="L165" t="str">
        <f t="shared" si="6"/>
        <v/>
      </c>
      <c r="O165" s="51"/>
    </row>
    <row r="166" spans="12:15" ht="15" customHeight="1" x14ac:dyDescent="0.3">
      <c r="L166" t="str">
        <f t="shared" si="6"/>
        <v/>
      </c>
      <c r="O166" s="51"/>
    </row>
    <row r="167" spans="12:15" ht="15" customHeight="1" x14ac:dyDescent="0.3">
      <c r="L167" t="str">
        <f t="shared" si="6"/>
        <v/>
      </c>
      <c r="O167" s="51"/>
    </row>
    <row r="168" spans="12:15" ht="15" customHeight="1" x14ac:dyDescent="0.3">
      <c r="L168" t="str">
        <f t="shared" si="6"/>
        <v/>
      </c>
      <c r="O168" s="51"/>
    </row>
    <row r="169" spans="12:15" ht="15" customHeight="1" x14ac:dyDescent="0.3">
      <c r="L169" t="str">
        <f t="shared" si="6"/>
        <v/>
      </c>
      <c r="O169" s="51"/>
    </row>
    <row r="170" spans="12:15" ht="15" customHeight="1" x14ac:dyDescent="0.3">
      <c r="L170" t="str">
        <f t="shared" si="6"/>
        <v/>
      </c>
      <c r="O170" s="51"/>
    </row>
    <row r="171" spans="12:15" ht="15" customHeight="1" x14ac:dyDescent="0.3">
      <c r="L171" t="str">
        <f t="shared" si="6"/>
        <v/>
      </c>
      <c r="O171" s="51"/>
    </row>
    <row r="172" spans="12:15" ht="15" customHeight="1" x14ac:dyDescent="0.3">
      <c r="L172" t="str">
        <f t="shared" si="6"/>
        <v/>
      </c>
      <c r="O172" s="51"/>
    </row>
    <row r="173" spans="12:15" ht="15" customHeight="1" x14ac:dyDescent="0.3">
      <c r="L173" t="str">
        <f t="shared" si="6"/>
        <v/>
      </c>
      <c r="O173" s="51"/>
    </row>
    <row r="174" spans="12:15" ht="15" customHeight="1" x14ac:dyDescent="0.3">
      <c r="L174" t="str">
        <f t="shared" si="6"/>
        <v/>
      </c>
      <c r="O174" s="51"/>
    </row>
    <row r="175" spans="12:15" ht="15" customHeight="1" x14ac:dyDescent="0.3">
      <c r="L175" t="str">
        <f t="shared" si="6"/>
        <v/>
      </c>
      <c r="O175" s="51"/>
    </row>
    <row r="176" spans="12:15" ht="15" customHeight="1" x14ac:dyDescent="0.3">
      <c r="L176" t="str">
        <f t="shared" si="6"/>
        <v/>
      </c>
      <c r="O176" s="51"/>
    </row>
    <row r="177" spans="12:15" ht="15" customHeight="1" x14ac:dyDescent="0.3">
      <c r="L177" t="str">
        <f t="shared" si="6"/>
        <v/>
      </c>
      <c r="O177" s="51"/>
    </row>
    <row r="178" spans="12:15" ht="15" customHeight="1" x14ac:dyDescent="0.3">
      <c r="L178" t="str">
        <f t="shared" si="6"/>
        <v/>
      </c>
      <c r="O178" s="51"/>
    </row>
    <row r="179" spans="12:15" ht="15" customHeight="1" x14ac:dyDescent="0.3">
      <c r="L179" t="str">
        <f t="shared" si="6"/>
        <v/>
      </c>
      <c r="O179" s="51"/>
    </row>
    <row r="180" spans="12:15" ht="15" customHeight="1" x14ac:dyDescent="0.3">
      <c r="L180" t="str">
        <f t="shared" si="6"/>
        <v/>
      </c>
      <c r="O180" s="51"/>
    </row>
    <row r="181" spans="12:15" ht="15" customHeight="1" x14ac:dyDescent="0.3">
      <c r="L181" t="str">
        <f t="shared" si="6"/>
        <v/>
      </c>
      <c r="O181" s="51"/>
    </row>
    <row r="182" spans="12:15" ht="15" customHeight="1" x14ac:dyDescent="0.3">
      <c r="L182" t="str">
        <f t="shared" si="6"/>
        <v/>
      </c>
      <c r="O182" s="51"/>
    </row>
    <row r="183" spans="12:15" ht="15" customHeight="1" x14ac:dyDescent="0.3">
      <c r="L183" t="str">
        <f t="shared" si="6"/>
        <v/>
      </c>
      <c r="O183" s="51"/>
    </row>
    <row r="184" spans="12:15" ht="15" customHeight="1" x14ac:dyDescent="0.3">
      <c r="L184" t="str">
        <f t="shared" si="6"/>
        <v/>
      </c>
      <c r="O184" s="51"/>
    </row>
    <row r="185" spans="12:15" ht="15" customHeight="1" x14ac:dyDescent="0.3">
      <c r="L185" t="str">
        <f t="shared" si="6"/>
        <v/>
      </c>
      <c r="O185" s="51"/>
    </row>
    <row r="186" spans="12:15" ht="15" customHeight="1" x14ac:dyDescent="0.3">
      <c r="L186" t="str">
        <f t="shared" si="6"/>
        <v/>
      </c>
      <c r="O186" s="51"/>
    </row>
    <row r="187" spans="12:15" ht="15" customHeight="1" x14ac:dyDescent="0.3">
      <c r="L187" t="str">
        <f t="shared" si="6"/>
        <v/>
      </c>
      <c r="O187" s="51"/>
    </row>
    <row r="188" spans="12:15" ht="15" customHeight="1" x14ac:dyDescent="0.3">
      <c r="L188" t="str">
        <f t="shared" si="6"/>
        <v/>
      </c>
      <c r="O188" s="51"/>
    </row>
    <row r="189" spans="12:15" ht="15" customHeight="1" x14ac:dyDescent="0.3">
      <c r="L189" t="str">
        <f t="shared" si="6"/>
        <v/>
      </c>
      <c r="O189" s="51"/>
    </row>
    <row r="190" spans="12:15" ht="15" customHeight="1" x14ac:dyDescent="0.3">
      <c r="L190" t="str">
        <f t="shared" si="6"/>
        <v/>
      </c>
      <c r="O190" s="51"/>
    </row>
    <row r="191" spans="12:15" ht="15" customHeight="1" x14ac:dyDescent="0.3">
      <c r="L191" t="str">
        <f t="shared" si="6"/>
        <v/>
      </c>
      <c r="O191" s="51"/>
    </row>
    <row r="192" spans="12:15" ht="15" customHeight="1" x14ac:dyDescent="0.3">
      <c r="L192" t="str">
        <f t="shared" si="6"/>
        <v/>
      </c>
      <c r="O192" s="51"/>
    </row>
    <row r="193" spans="12:15" ht="15" customHeight="1" x14ac:dyDescent="0.3">
      <c r="L193" t="str">
        <f t="shared" si="6"/>
        <v/>
      </c>
      <c r="O193" s="51"/>
    </row>
    <row r="194" spans="12:15" ht="15" customHeight="1" x14ac:dyDescent="0.3">
      <c r="L194" t="str">
        <f t="shared" si="6"/>
        <v/>
      </c>
      <c r="O194" s="51"/>
    </row>
    <row r="195" spans="12:15" ht="15" customHeight="1" x14ac:dyDescent="0.3">
      <c r="L195" t="str">
        <f t="shared" si="6"/>
        <v/>
      </c>
      <c r="O195" s="51"/>
    </row>
    <row r="196" spans="12:15" ht="15" customHeight="1" x14ac:dyDescent="0.3">
      <c r="L196" t="str">
        <f t="shared" ref="L196:L259" si="7">IF($A196="","",K196*D196)</f>
        <v/>
      </c>
      <c r="O196" s="51"/>
    </row>
    <row r="197" spans="12:15" ht="15" customHeight="1" x14ac:dyDescent="0.3">
      <c r="L197" t="str">
        <f t="shared" si="7"/>
        <v/>
      </c>
      <c r="O197" s="51"/>
    </row>
    <row r="198" spans="12:15" ht="15" customHeight="1" x14ac:dyDescent="0.3">
      <c r="L198" t="str">
        <f t="shared" si="7"/>
        <v/>
      </c>
      <c r="O198" s="51"/>
    </row>
    <row r="199" spans="12:15" ht="15" customHeight="1" x14ac:dyDescent="0.3">
      <c r="L199" t="str">
        <f t="shared" si="7"/>
        <v/>
      </c>
      <c r="O199" s="51"/>
    </row>
    <row r="200" spans="12:15" ht="15" customHeight="1" x14ac:dyDescent="0.3">
      <c r="L200" t="str">
        <f t="shared" si="7"/>
        <v/>
      </c>
      <c r="O200" s="51"/>
    </row>
    <row r="201" spans="12:15" ht="15" customHeight="1" x14ac:dyDescent="0.3">
      <c r="L201" t="str">
        <f t="shared" si="7"/>
        <v/>
      </c>
      <c r="O201" s="51"/>
    </row>
    <row r="202" spans="12:15" ht="15" customHeight="1" x14ac:dyDescent="0.3">
      <c r="L202" t="str">
        <f t="shared" si="7"/>
        <v/>
      </c>
      <c r="O202" s="51"/>
    </row>
    <row r="203" spans="12:15" ht="15" customHeight="1" x14ac:dyDescent="0.3">
      <c r="L203" t="str">
        <f t="shared" si="7"/>
        <v/>
      </c>
      <c r="O203" s="51"/>
    </row>
    <row r="204" spans="12:15" ht="15" customHeight="1" x14ac:dyDescent="0.3">
      <c r="L204" t="str">
        <f t="shared" si="7"/>
        <v/>
      </c>
      <c r="O204" s="51"/>
    </row>
    <row r="205" spans="12:15" ht="15" customHeight="1" x14ac:dyDescent="0.3">
      <c r="L205" t="str">
        <f t="shared" si="7"/>
        <v/>
      </c>
      <c r="O205" s="51"/>
    </row>
    <row r="206" spans="12:15" ht="15" customHeight="1" x14ac:dyDescent="0.3">
      <c r="L206" t="str">
        <f t="shared" si="7"/>
        <v/>
      </c>
      <c r="O206" s="51"/>
    </row>
    <row r="207" spans="12:15" ht="15" customHeight="1" x14ac:dyDescent="0.3">
      <c r="L207" t="str">
        <f t="shared" si="7"/>
        <v/>
      </c>
      <c r="O207" s="51"/>
    </row>
    <row r="208" spans="12:15" ht="15" customHeight="1" x14ac:dyDescent="0.3">
      <c r="L208" t="str">
        <f t="shared" si="7"/>
        <v/>
      </c>
      <c r="O208" s="51"/>
    </row>
    <row r="209" spans="12:15" ht="15" customHeight="1" x14ac:dyDescent="0.3">
      <c r="L209" t="str">
        <f t="shared" si="7"/>
        <v/>
      </c>
      <c r="O209" s="51"/>
    </row>
    <row r="210" spans="12:15" ht="15" customHeight="1" x14ac:dyDescent="0.3">
      <c r="L210" t="str">
        <f t="shared" si="7"/>
        <v/>
      </c>
      <c r="O210" s="51"/>
    </row>
    <row r="211" spans="12:15" ht="15" customHeight="1" x14ac:dyDescent="0.3">
      <c r="L211" t="str">
        <f t="shared" si="7"/>
        <v/>
      </c>
      <c r="O211" s="51"/>
    </row>
    <row r="212" spans="12:15" ht="15" customHeight="1" x14ac:dyDescent="0.3">
      <c r="L212" t="str">
        <f t="shared" si="7"/>
        <v/>
      </c>
      <c r="O212" s="51"/>
    </row>
    <row r="213" spans="12:15" ht="15" customHeight="1" x14ac:dyDescent="0.3">
      <c r="L213" t="str">
        <f t="shared" si="7"/>
        <v/>
      </c>
      <c r="O213" s="51"/>
    </row>
    <row r="214" spans="12:15" ht="15" customHeight="1" x14ac:dyDescent="0.3">
      <c r="L214" t="str">
        <f t="shared" si="7"/>
        <v/>
      </c>
      <c r="O214" s="51"/>
    </row>
    <row r="215" spans="12:15" ht="15" customHeight="1" x14ac:dyDescent="0.3">
      <c r="L215" t="str">
        <f t="shared" si="7"/>
        <v/>
      </c>
      <c r="O215" s="51"/>
    </row>
    <row r="216" spans="12:15" ht="15" customHeight="1" x14ac:dyDescent="0.3">
      <c r="L216" t="str">
        <f t="shared" si="7"/>
        <v/>
      </c>
      <c r="O216" s="51"/>
    </row>
    <row r="217" spans="12:15" ht="15" customHeight="1" x14ac:dyDescent="0.3">
      <c r="L217" t="str">
        <f t="shared" si="7"/>
        <v/>
      </c>
      <c r="O217" s="51"/>
    </row>
    <row r="218" spans="12:15" ht="15" customHeight="1" x14ac:dyDescent="0.3">
      <c r="L218" t="str">
        <f t="shared" si="7"/>
        <v/>
      </c>
      <c r="O218" s="51"/>
    </row>
    <row r="219" spans="12:15" ht="15" customHeight="1" x14ac:dyDescent="0.3">
      <c r="L219" t="str">
        <f t="shared" si="7"/>
        <v/>
      </c>
      <c r="O219" s="51"/>
    </row>
    <row r="220" spans="12:15" ht="15" customHeight="1" x14ac:dyDescent="0.3">
      <c r="L220" t="str">
        <f t="shared" si="7"/>
        <v/>
      </c>
      <c r="O220" s="51"/>
    </row>
    <row r="221" spans="12:15" ht="15" customHeight="1" x14ac:dyDescent="0.3">
      <c r="L221" t="str">
        <f t="shared" si="7"/>
        <v/>
      </c>
      <c r="O221" s="51"/>
    </row>
    <row r="222" spans="12:15" ht="15" customHeight="1" x14ac:dyDescent="0.3">
      <c r="L222" t="str">
        <f t="shared" si="7"/>
        <v/>
      </c>
      <c r="O222" s="51"/>
    </row>
    <row r="223" spans="12:15" ht="15" customHeight="1" x14ac:dyDescent="0.3">
      <c r="L223" t="str">
        <f t="shared" si="7"/>
        <v/>
      </c>
      <c r="O223" s="51"/>
    </row>
    <row r="224" spans="12:15" ht="15" customHeight="1" x14ac:dyDescent="0.3">
      <c r="L224" t="str">
        <f t="shared" si="7"/>
        <v/>
      </c>
      <c r="O224" s="51"/>
    </row>
    <row r="225" spans="12:15" ht="15" customHeight="1" x14ac:dyDescent="0.3">
      <c r="L225" t="str">
        <f t="shared" si="7"/>
        <v/>
      </c>
      <c r="O225" s="51"/>
    </row>
    <row r="226" spans="12:15" ht="15" customHeight="1" x14ac:dyDescent="0.3">
      <c r="L226" t="str">
        <f t="shared" si="7"/>
        <v/>
      </c>
      <c r="O226" s="51"/>
    </row>
    <row r="227" spans="12:15" ht="15" customHeight="1" x14ac:dyDescent="0.3">
      <c r="L227" t="str">
        <f t="shared" si="7"/>
        <v/>
      </c>
      <c r="O227" s="51"/>
    </row>
    <row r="228" spans="12:15" ht="15" customHeight="1" x14ac:dyDescent="0.3">
      <c r="L228" t="str">
        <f t="shared" si="7"/>
        <v/>
      </c>
      <c r="O228" s="51"/>
    </row>
    <row r="229" spans="12:15" ht="15" customHeight="1" x14ac:dyDescent="0.3">
      <c r="L229" t="str">
        <f t="shared" si="7"/>
        <v/>
      </c>
      <c r="O229" s="51"/>
    </row>
    <row r="230" spans="12:15" ht="15" customHeight="1" x14ac:dyDescent="0.3">
      <c r="L230" t="str">
        <f t="shared" si="7"/>
        <v/>
      </c>
      <c r="O230" s="51"/>
    </row>
    <row r="231" spans="12:15" ht="15" customHeight="1" x14ac:dyDescent="0.3">
      <c r="L231" t="str">
        <f t="shared" si="7"/>
        <v/>
      </c>
      <c r="O231" s="51"/>
    </row>
    <row r="232" spans="12:15" ht="15" customHeight="1" x14ac:dyDescent="0.3">
      <c r="L232" t="str">
        <f t="shared" si="7"/>
        <v/>
      </c>
      <c r="O232" s="51"/>
    </row>
    <row r="233" spans="12:15" ht="15" customHeight="1" x14ac:dyDescent="0.3">
      <c r="L233" t="str">
        <f t="shared" si="7"/>
        <v/>
      </c>
      <c r="O233" s="51"/>
    </row>
    <row r="234" spans="12:15" ht="15" customHeight="1" x14ac:dyDescent="0.3">
      <c r="L234" t="str">
        <f t="shared" si="7"/>
        <v/>
      </c>
      <c r="O234" s="51"/>
    </row>
    <row r="235" spans="12:15" ht="15" customHeight="1" x14ac:dyDescent="0.3">
      <c r="L235" t="str">
        <f t="shared" si="7"/>
        <v/>
      </c>
      <c r="O235" s="51"/>
    </row>
    <row r="236" spans="12:15" ht="15" customHeight="1" x14ac:dyDescent="0.3">
      <c r="L236" t="str">
        <f t="shared" si="7"/>
        <v/>
      </c>
      <c r="O236" s="51"/>
    </row>
    <row r="237" spans="12:15" ht="15" customHeight="1" x14ac:dyDescent="0.3">
      <c r="L237" t="str">
        <f t="shared" si="7"/>
        <v/>
      </c>
      <c r="O237" s="51"/>
    </row>
    <row r="238" spans="12:15" ht="15" customHeight="1" x14ac:dyDescent="0.3">
      <c r="L238" t="str">
        <f t="shared" si="7"/>
        <v/>
      </c>
      <c r="O238" s="51"/>
    </row>
    <row r="239" spans="12:15" ht="15" customHeight="1" x14ac:dyDescent="0.3">
      <c r="L239" t="str">
        <f t="shared" si="7"/>
        <v/>
      </c>
      <c r="O239" s="51"/>
    </row>
    <row r="240" spans="12:15" ht="15" customHeight="1" x14ac:dyDescent="0.3">
      <c r="L240" t="str">
        <f t="shared" si="7"/>
        <v/>
      </c>
      <c r="O240" s="51"/>
    </row>
    <row r="241" spans="12:15" ht="15" customHeight="1" x14ac:dyDescent="0.3">
      <c r="L241" t="str">
        <f t="shared" si="7"/>
        <v/>
      </c>
      <c r="O241" s="51"/>
    </row>
    <row r="242" spans="12:15" ht="15" customHeight="1" x14ac:dyDescent="0.3">
      <c r="L242" t="str">
        <f t="shared" si="7"/>
        <v/>
      </c>
      <c r="O242" s="51"/>
    </row>
    <row r="243" spans="12:15" ht="15" customHeight="1" x14ac:dyDescent="0.3">
      <c r="L243" t="str">
        <f t="shared" si="7"/>
        <v/>
      </c>
      <c r="O243" s="51"/>
    </row>
    <row r="244" spans="12:15" ht="15" customHeight="1" x14ac:dyDescent="0.3">
      <c r="L244" t="str">
        <f t="shared" si="7"/>
        <v/>
      </c>
      <c r="O244" s="51"/>
    </row>
    <row r="245" spans="12:15" ht="15" customHeight="1" x14ac:dyDescent="0.3">
      <c r="L245" t="str">
        <f t="shared" si="7"/>
        <v/>
      </c>
      <c r="O245" s="51"/>
    </row>
    <row r="246" spans="12:15" ht="15" customHeight="1" x14ac:dyDescent="0.3">
      <c r="L246" t="str">
        <f t="shared" si="7"/>
        <v/>
      </c>
      <c r="O246" s="51"/>
    </row>
    <row r="247" spans="12:15" ht="15" customHeight="1" x14ac:dyDescent="0.3">
      <c r="L247" t="str">
        <f t="shared" si="7"/>
        <v/>
      </c>
      <c r="O247" s="51"/>
    </row>
    <row r="248" spans="12:15" ht="15" customHeight="1" x14ac:dyDescent="0.3">
      <c r="L248" t="str">
        <f t="shared" si="7"/>
        <v/>
      </c>
      <c r="O248" s="51"/>
    </row>
    <row r="249" spans="12:15" ht="15" customHeight="1" x14ac:dyDescent="0.3">
      <c r="L249" t="str">
        <f t="shared" si="7"/>
        <v/>
      </c>
      <c r="O249" s="51"/>
    </row>
    <row r="250" spans="12:15" ht="15" customHeight="1" x14ac:dyDescent="0.3">
      <c r="L250" t="str">
        <f t="shared" si="7"/>
        <v/>
      </c>
      <c r="O250" s="51"/>
    </row>
    <row r="251" spans="12:15" ht="15" customHeight="1" x14ac:dyDescent="0.3">
      <c r="L251" t="str">
        <f t="shared" si="7"/>
        <v/>
      </c>
      <c r="O251" s="51"/>
    </row>
    <row r="252" spans="12:15" ht="15" customHeight="1" x14ac:dyDescent="0.3">
      <c r="L252" t="str">
        <f t="shared" si="7"/>
        <v/>
      </c>
      <c r="O252" s="51"/>
    </row>
    <row r="253" spans="12:15" ht="15" customHeight="1" x14ac:dyDescent="0.3">
      <c r="L253" t="str">
        <f t="shared" si="7"/>
        <v/>
      </c>
      <c r="O253" s="51"/>
    </row>
    <row r="254" spans="12:15" ht="15" customHeight="1" x14ac:dyDescent="0.3">
      <c r="L254" t="str">
        <f t="shared" si="7"/>
        <v/>
      </c>
      <c r="O254" s="51"/>
    </row>
    <row r="255" spans="12:15" ht="15" customHeight="1" x14ac:dyDescent="0.3">
      <c r="L255" t="str">
        <f t="shared" si="7"/>
        <v/>
      </c>
      <c r="O255" s="51"/>
    </row>
    <row r="256" spans="12:15" ht="15" customHeight="1" x14ac:dyDescent="0.3">
      <c r="L256" t="str">
        <f t="shared" si="7"/>
        <v/>
      </c>
      <c r="O256" s="51"/>
    </row>
    <row r="257" spans="12:15" ht="15" customHeight="1" x14ac:dyDescent="0.3">
      <c r="L257" t="str">
        <f t="shared" si="7"/>
        <v/>
      </c>
      <c r="O257" s="51"/>
    </row>
    <row r="258" spans="12:15" ht="15" customHeight="1" x14ac:dyDescent="0.3">
      <c r="L258" t="str">
        <f t="shared" si="7"/>
        <v/>
      </c>
      <c r="O258" s="51"/>
    </row>
    <row r="259" spans="12:15" ht="15" customHeight="1" x14ac:dyDescent="0.3">
      <c r="L259" t="str">
        <f t="shared" si="7"/>
        <v/>
      </c>
      <c r="O259" s="51"/>
    </row>
    <row r="260" spans="12:15" ht="15" customHeight="1" x14ac:dyDescent="0.3">
      <c r="L260" t="str">
        <f t="shared" ref="L260:L323" si="8">IF($A260="","",K260*D260)</f>
        <v/>
      </c>
      <c r="O260" s="51"/>
    </row>
    <row r="261" spans="12:15" ht="15" customHeight="1" x14ac:dyDescent="0.3">
      <c r="L261" t="str">
        <f t="shared" si="8"/>
        <v/>
      </c>
      <c r="O261" s="51"/>
    </row>
    <row r="262" spans="12:15" ht="15" customHeight="1" x14ac:dyDescent="0.3">
      <c r="L262" t="str">
        <f t="shared" si="8"/>
        <v/>
      </c>
      <c r="O262" s="51"/>
    </row>
    <row r="263" spans="12:15" ht="15" customHeight="1" x14ac:dyDescent="0.3">
      <c r="L263" t="str">
        <f t="shared" si="8"/>
        <v/>
      </c>
      <c r="O263" s="51"/>
    </row>
    <row r="264" spans="12:15" ht="15" customHeight="1" x14ac:dyDescent="0.3">
      <c r="L264" t="str">
        <f t="shared" si="8"/>
        <v/>
      </c>
      <c r="O264" s="51"/>
    </row>
    <row r="265" spans="12:15" ht="15" customHeight="1" x14ac:dyDescent="0.3">
      <c r="L265" t="str">
        <f t="shared" si="8"/>
        <v/>
      </c>
      <c r="O265" s="51"/>
    </row>
    <row r="266" spans="12:15" ht="15" customHeight="1" x14ac:dyDescent="0.3">
      <c r="L266" t="str">
        <f t="shared" si="8"/>
        <v/>
      </c>
      <c r="O266" s="51"/>
    </row>
    <row r="267" spans="12:15" ht="15" customHeight="1" x14ac:dyDescent="0.3">
      <c r="L267" t="str">
        <f t="shared" si="8"/>
        <v/>
      </c>
      <c r="O267" s="51"/>
    </row>
    <row r="268" spans="12:15" ht="15" customHeight="1" x14ac:dyDescent="0.3">
      <c r="L268" t="str">
        <f t="shared" si="8"/>
        <v/>
      </c>
      <c r="O268" s="51"/>
    </row>
    <row r="269" spans="12:15" ht="15" customHeight="1" x14ac:dyDescent="0.3">
      <c r="L269" t="str">
        <f t="shared" si="8"/>
        <v/>
      </c>
      <c r="O269" s="51"/>
    </row>
    <row r="270" spans="12:15" ht="15" customHeight="1" x14ac:dyDescent="0.3">
      <c r="L270" t="str">
        <f t="shared" si="8"/>
        <v/>
      </c>
      <c r="O270" s="51"/>
    </row>
    <row r="271" spans="12:15" ht="15" customHeight="1" x14ac:dyDescent="0.3">
      <c r="L271" t="str">
        <f t="shared" si="8"/>
        <v/>
      </c>
      <c r="O271" s="51"/>
    </row>
    <row r="272" spans="12:15" ht="15" customHeight="1" x14ac:dyDescent="0.3">
      <c r="L272" t="str">
        <f t="shared" si="8"/>
        <v/>
      </c>
      <c r="O272" s="51"/>
    </row>
    <row r="273" spans="12:15" ht="15" customHeight="1" x14ac:dyDescent="0.3">
      <c r="L273" t="str">
        <f t="shared" si="8"/>
        <v/>
      </c>
      <c r="O273" s="51"/>
    </row>
    <row r="274" spans="12:15" ht="15" customHeight="1" x14ac:dyDescent="0.3">
      <c r="L274" t="str">
        <f t="shared" si="8"/>
        <v/>
      </c>
      <c r="O274" s="51"/>
    </row>
    <row r="275" spans="12:15" ht="15" customHeight="1" x14ac:dyDescent="0.3">
      <c r="L275" t="str">
        <f t="shared" si="8"/>
        <v/>
      </c>
      <c r="O275" s="51"/>
    </row>
    <row r="276" spans="12:15" ht="15" customHeight="1" x14ac:dyDescent="0.3">
      <c r="L276" t="str">
        <f t="shared" si="8"/>
        <v/>
      </c>
      <c r="O276" s="51"/>
    </row>
    <row r="277" spans="12:15" ht="15" customHeight="1" x14ac:dyDescent="0.3">
      <c r="L277" t="str">
        <f t="shared" si="8"/>
        <v/>
      </c>
      <c r="O277" s="51"/>
    </row>
    <row r="278" spans="12:15" ht="15" customHeight="1" x14ac:dyDescent="0.3">
      <c r="L278" t="str">
        <f t="shared" si="8"/>
        <v/>
      </c>
      <c r="O278" s="51"/>
    </row>
    <row r="279" spans="12:15" ht="15" customHeight="1" x14ac:dyDescent="0.3">
      <c r="L279" t="str">
        <f t="shared" si="8"/>
        <v/>
      </c>
      <c r="O279" s="51"/>
    </row>
    <row r="280" spans="12:15" ht="15" customHeight="1" x14ac:dyDescent="0.3">
      <c r="L280" t="str">
        <f t="shared" si="8"/>
        <v/>
      </c>
      <c r="O280" s="51"/>
    </row>
    <row r="281" spans="12:15" ht="15" customHeight="1" x14ac:dyDescent="0.3">
      <c r="L281" t="str">
        <f t="shared" si="8"/>
        <v/>
      </c>
      <c r="O281" s="51"/>
    </row>
    <row r="282" spans="12:15" ht="15" customHeight="1" x14ac:dyDescent="0.3">
      <c r="L282" t="str">
        <f t="shared" si="8"/>
        <v/>
      </c>
      <c r="O282" s="51"/>
    </row>
    <row r="283" spans="12:15" ht="15" customHeight="1" x14ac:dyDescent="0.3">
      <c r="L283" t="str">
        <f t="shared" si="8"/>
        <v/>
      </c>
      <c r="O283" s="51"/>
    </row>
    <row r="284" spans="12:15" ht="15" customHeight="1" x14ac:dyDescent="0.3">
      <c r="L284" t="str">
        <f t="shared" si="8"/>
        <v/>
      </c>
      <c r="O284" s="51"/>
    </row>
    <row r="285" spans="12:15" ht="15" customHeight="1" x14ac:dyDescent="0.3">
      <c r="L285" t="str">
        <f t="shared" si="8"/>
        <v/>
      </c>
      <c r="O285" s="51"/>
    </row>
    <row r="286" spans="12:15" ht="15" customHeight="1" x14ac:dyDescent="0.3">
      <c r="L286" t="str">
        <f t="shared" si="8"/>
        <v/>
      </c>
      <c r="O286" s="51"/>
    </row>
    <row r="287" spans="12:15" ht="15" customHeight="1" x14ac:dyDescent="0.3">
      <c r="L287" t="str">
        <f t="shared" si="8"/>
        <v/>
      </c>
      <c r="O287" s="51"/>
    </row>
    <row r="288" spans="12:15" ht="15" customHeight="1" x14ac:dyDescent="0.3">
      <c r="L288" t="str">
        <f t="shared" si="8"/>
        <v/>
      </c>
      <c r="O288" s="51"/>
    </row>
    <row r="289" spans="12:15" ht="15" customHeight="1" x14ac:dyDescent="0.3">
      <c r="L289" t="str">
        <f t="shared" si="8"/>
        <v/>
      </c>
      <c r="O289" s="51"/>
    </row>
    <row r="290" spans="12:15" ht="15" customHeight="1" x14ac:dyDescent="0.3">
      <c r="L290" t="str">
        <f t="shared" si="8"/>
        <v/>
      </c>
      <c r="O290" s="51"/>
    </row>
    <row r="291" spans="12:15" ht="15" customHeight="1" x14ac:dyDescent="0.3">
      <c r="L291" t="str">
        <f t="shared" si="8"/>
        <v/>
      </c>
      <c r="O291" s="51"/>
    </row>
    <row r="292" spans="12:15" ht="15" customHeight="1" x14ac:dyDescent="0.3">
      <c r="L292" t="str">
        <f t="shared" si="8"/>
        <v/>
      </c>
      <c r="O292" s="51"/>
    </row>
    <row r="293" spans="12:15" ht="15" customHeight="1" x14ac:dyDescent="0.3">
      <c r="L293" t="str">
        <f t="shared" si="8"/>
        <v/>
      </c>
      <c r="O293" s="51"/>
    </row>
    <row r="294" spans="12:15" ht="15" customHeight="1" x14ac:dyDescent="0.3">
      <c r="L294" t="str">
        <f t="shared" si="8"/>
        <v/>
      </c>
      <c r="O294" s="51"/>
    </row>
    <row r="295" spans="12:15" ht="15" customHeight="1" x14ac:dyDescent="0.3">
      <c r="L295" t="str">
        <f t="shared" si="8"/>
        <v/>
      </c>
      <c r="O295" s="51"/>
    </row>
    <row r="296" spans="12:15" ht="15" customHeight="1" x14ac:dyDescent="0.3">
      <c r="L296" t="str">
        <f t="shared" si="8"/>
        <v/>
      </c>
      <c r="O296" s="51"/>
    </row>
    <row r="297" spans="12:15" ht="15" customHeight="1" x14ac:dyDescent="0.3">
      <c r="L297" t="str">
        <f t="shared" si="8"/>
        <v/>
      </c>
      <c r="O297" s="51"/>
    </row>
    <row r="298" spans="12:15" ht="15" customHeight="1" x14ac:dyDescent="0.3">
      <c r="L298" t="str">
        <f t="shared" si="8"/>
        <v/>
      </c>
      <c r="O298" s="51"/>
    </row>
    <row r="299" spans="12:15" ht="15" customHeight="1" x14ac:dyDescent="0.3">
      <c r="L299" t="str">
        <f t="shared" si="8"/>
        <v/>
      </c>
      <c r="O299" s="51"/>
    </row>
    <row r="300" spans="12:15" ht="15" customHeight="1" x14ac:dyDescent="0.3">
      <c r="L300" t="str">
        <f t="shared" si="8"/>
        <v/>
      </c>
      <c r="O300" s="51"/>
    </row>
    <row r="301" spans="12:15" ht="15" customHeight="1" x14ac:dyDescent="0.3">
      <c r="L301" t="str">
        <f t="shared" si="8"/>
        <v/>
      </c>
      <c r="O301" s="51"/>
    </row>
    <row r="302" spans="12:15" ht="15" customHeight="1" x14ac:dyDescent="0.3">
      <c r="L302" t="str">
        <f t="shared" si="8"/>
        <v/>
      </c>
      <c r="O302" s="51"/>
    </row>
    <row r="303" spans="12:15" ht="15" customHeight="1" x14ac:dyDescent="0.3">
      <c r="L303" t="str">
        <f t="shared" si="8"/>
        <v/>
      </c>
      <c r="O303" s="51"/>
    </row>
    <row r="304" spans="12:15" ht="15" customHeight="1" x14ac:dyDescent="0.3">
      <c r="L304" t="str">
        <f t="shared" si="8"/>
        <v/>
      </c>
      <c r="O304" s="51"/>
    </row>
    <row r="305" spans="12:15" ht="15" customHeight="1" x14ac:dyDescent="0.3">
      <c r="L305" t="str">
        <f t="shared" si="8"/>
        <v/>
      </c>
      <c r="O305" s="51"/>
    </row>
    <row r="306" spans="12:15" ht="15" customHeight="1" x14ac:dyDescent="0.3">
      <c r="L306" t="str">
        <f t="shared" si="8"/>
        <v/>
      </c>
      <c r="O306" s="51"/>
    </row>
    <row r="307" spans="12:15" ht="15" customHeight="1" x14ac:dyDescent="0.3">
      <c r="L307" t="str">
        <f t="shared" si="8"/>
        <v/>
      </c>
      <c r="O307" s="51"/>
    </row>
    <row r="308" spans="12:15" ht="15" customHeight="1" x14ac:dyDescent="0.3">
      <c r="L308" t="str">
        <f t="shared" si="8"/>
        <v/>
      </c>
      <c r="O308" s="51"/>
    </row>
    <row r="309" spans="12:15" ht="15" customHeight="1" x14ac:dyDescent="0.3">
      <c r="L309" t="str">
        <f t="shared" si="8"/>
        <v/>
      </c>
      <c r="O309" s="51"/>
    </row>
    <row r="310" spans="12:15" ht="15" customHeight="1" x14ac:dyDescent="0.3">
      <c r="L310" t="str">
        <f t="shared" si="8"/>
        <v/>
      </c>
      <c r="O310" s="51"/>
    </row>
    <row r="311" spans="12:15" ht="15" customHeight="1" x14ac:dyDescent="0.3">
      <c r="L311" t="str">
        <f t="shared" si="8"/>
        <v/>
      </c>
      <c r="O311" s="51"/>
    </row>
    <row r="312" spans="12:15" ht="15" customHeight="1" x14ac:dyDescent="0.3">
      <c r="L312" t="str">
        <f t="shared" si="8"/>
        <v/>
      </c>
      <c r="O312" s="51"/>
    </row>
    <row r="313" spans="12:15" ht="15" customHeight="1" x14ac:dyDescent="0.3">
      <c r="L313" t="str">
        <f t="shared" si="8"/>
        <v/>
      </c>
      <c r="O313" s="51"/>
    </row>
    <row r="314" spans="12:15" ht="15" customHeight="1" x14ac:dyDescent="0.3">
      <c r="L314" t="str">
        <f t="shared" si="8"/>
        <v/>
      </c>
      <c r="O314" s="51"/>
    </row>
    <row r="315" spans="12:15" ht="15" customHeight="1" x14ac:dyDescent="0.3">
      <c r="L315" t="str">
        <f t="shared" si="8"/>
        <v/>
      </c>
      <c r="O315" s="51"/>
    </row>
    <row r="316" spans="12:15" ht="15" customHeight="1" x14ac:dyDescent="0.3">
      <c r="L316" t="str">
        <f t="shared" si="8"/>
        <v/>
      </c>
      <c r="O316" s="51"/>
    </row>
    <row r="317" spans="12:15" ht="15" customHeight="1" x14ac:dyDescent="0.3">
      <c r="L317" t="str">
        <f t="shared" si="8"/>
        <v/>
      </c>
      <c r="O317" s="51"/>
    </row>
    <row r="318" spans="12:15" ht="15" customHeight="1" x14ac:dyDescent="0.3">
      <c r="L318" t="str">
        <f t="shared" si="8"/>
        <v/>
      </c>
      <c r="O318" s="51"/>
    </row>
    <row r="319" spans="12:15" ht="15" customHeight="1" x14ac:dyDescent="0.3">
      <c r="L319" t="str">
        <f t="shared" si="8"/>
        <v/>
      </c>
      <c r="O319" s="51"/>
    </row>
    <row r="320" spans="12:15" ht="15" customHeight="1" x14ac:dyDescent="0.3">
      <c r="L320" t="str">
        <f t="shared" si="8"/>
        <v/>
      </c>
      <c r="O320" s="51"/>
    </row>
    <row r="321" spans="12:15" ht="15" customHeight="1" x14ac:dyDescent="0.3">
      <c r="L321" t="str">
        <f t="shared" si="8"/>
        <v/>
      </c>
      <c r="O321" s="51"/>
    </row>
    <row r="322" spans="12:15" ht="15" customHeight="1" x14ac:dyDescent="0.3">
      <c r="L322" t="str">
        <f t="shared" si="8"/>
        <v/>
      </c>
      <c r="O322" s="51"/>
    </row>
    <row r="323" spans="12:15" ht="15" customHeight="1" x14ac:dyDescent="0.3">
      <c r="L323" t="str">
        <f t="shared" si="8"/>
        <v/>
      </c>
      <c r="O323" s="51"/>
    </row>
    <row r="324" spans="12:15" ht="15" customHeight="1" x14ac:dyDescent="0.3">
      <c r="L324" t="str">
        <f t="shared" ref="L324:L387" si="9">IF($A324="","",K324*D324)</f>
        <v/>
      </c>
      <c r="O324" s="51"/>
    </row>
    <row r="325" spans="12:15" ht="15" customHeight="1" x14ac:dyDescent="0.3">
      <c r="L325" t="str">
        <f t="shared" si="9"/>
        <v/>
      </c>
      <c r="O325" s="51"/>
    </row>
    <row r="326" spans="12:15" ht="15" customHeight="1" x14ac:dyDescent="0.3">
      <c r="L326" t="str">
        <f t="shared" si="9"/>
        <v/>
      </c>
      <c r="O326" s="51"/>
    </row>
    <row r="327" spans="12:15" ht="15" customHeight="1" x14ac:dyDescent="0.3">
      <c r="L327" t="str">
        <f t="shared" si="9"/>
        <v/>
      </c>
      <c r="O327" s="51"/>
    </row>
    <row r="328" spans="12:15" ht="15" customHeight="1" x14ac:dyDescent="0.3">
      <c r="L328" t="str">
        <f t="shared" si="9"/>
        <v/>
      </c>
      <c r="O328" s="51"/>
    </row>
    <row r="329" spans="12:15" ht="15" customHeight="1" x14ac:dyDescent="0.3">
      <c r="L329" t="str">
        <f t="shared" si="9"/>
        <v/>
      </c>
      <c r="O329" s="51"/>
    </row>
    <row r="330" spans="12:15" ht="15" customHeight="1" x14ac:dyDescent="0.3">
      <c r="L330" t="str">
        <f t="shared" si="9"/>
        <v/>
      </c>
      <c r="O330" s="51"/>
    </row>
    <row r="331" spans="12:15" ht="15" customHeight="1" x14ac:dyDescent="0.3">
      <c r="L331" t="str">
        <f t="shared" si="9"/>
        <v/>
      </c>
      <c r="O331" s="51"/>
    </row>
    <row r="332" spans="12:15" ht="15" customHeight="1" x14ac:dyDescent="0.3">
      <c r="L332" t="str">
        <f t="shared" si="9"/>
        <v/>
      </c>
      <c r="O332" s="51"/>
    </row>
    <row r="333" spans="12:15" ht="15" customHeight="1" x14ac:dyDescent="0.3">
      <c r="L333" t="str">
        <f t="shared" si="9"/>
        <v/>
      </c>
      <c r="O333" s="51"/>
    </row>
    <row r="334" spans="12:15" ht="15" customHeight="1" x14ac:dyDescent="0.3">
      <c r="L334" t="str">
        <f t="shared" si="9"/>
        <v/>
      </c>
      <c r="O334" s="51"/>
    </row>
    <row r="335" spans="12:15" ht="15" customHeight="1" x14ac:dyDescent="0.3">
      <c r="L335" t="str">
        <f t="shared" si="9"/>
        <v/>
      </c>
      <c r="O335" s="51"/>
    </row>
    <row r="336" spans="12:15" ht="15" customHeight="1" x14ac:dyDescent="0.3">
      <c r="L336" t="str">
        <f t="shared" si="9"/>
        <v/>
      </c>
      <c r="O336" s="51"/>
    </row>
    <row r="337" spans="12:15" ht="15" customHeight="1" x14ac:dyDescent="0.3">
      <c r="L337" t="str">
        <f t="shared" si="9"/>
        <v/>
      </c>
      <c r="O337" s="51"/>
    </row>
    <row r="338" spans="12:15" ht="15" customHeight="1" x14ac:dyDescent="0.3">
      <c r="L338" t="str">
        <f t="shared" si="9"/>
        <v/>
      </c>
      <c r="O338" s="51"/>
    </row>
    <row r="339" spans="12:15" ht="15" customHeight="1" x14ac:dyDescent="0.3">
      <c r="L339" t="str">
        <f t="shared" si="9"/>
        <v/>
      </c>
      <c r="O339" s="51"/>
    </row>
    <row r="340" spans="12:15" ht="15" customHeight="1" x14ac:dyDescent="0.3">
      <c r="L340" t="str">
        <f t="shared" si="9"/>
        <v/>
      </c>
      <c r="O340" s="51"/>
    </row>
    <row r="341" spans="12:15" ht="15" customHeight="1" x14ac:dyDescent="0.3">
      <c r="L341" t="str">
        <f t="shared" si="9"/>
        <v/>
      </c>
      <c r="O341" s="51"/>
    </row>
    <row r="342" spans="12:15" ht="15" customHeight="1" x14ac:dyDescent="0.3">
      <c r="L342" t="str">
        <f t="shared" si="9"/>
        <v/>
      </c>
      <c r="O342" s="51"/>
    </row>
    <row r="343" spans="12:15" ht="15" customHeight="1" x14ac:dyDescent="0.3">
      <c r="L343" t="str">
        <f t="shared" si="9"/>
        <v/>
      </c>
      <c r="O343" s="51"/>
    </row>
    <row r="344" spans="12:15" ht="15" customHeight="1" x14ac:dyDescent="0.3">
      <c r="L344" t="str">
        <f t="shared" si="9"/>
        <v/>
      </c>
      <c r="O344" s="51"/>
    </row>
    <row r="345" spans="12:15" ht="15" customHeight="1" x14ac:dyDescent="0.3">
      <c r="L345" t="str">
        <f t="shared" si="9"/>
        <v/>
      </c>
      <c r="O345" s="51"/>
    </row>
    <row r="346" spans="12:15" ht="15" customHeight="1" x14ac:dyDescent="0.3">
      <c r="L346" t="str">
        <f t="shared" si="9"/>
        <v/>
      </c>
      <c r="O346" s="51"/>
    </row>
    <row r="347" spans="12:15" ht="15" customHeight="1" x14ac:dyDescent="0.3">
      <c r="L347" t="str">
        <f t="shared" si="9"/>
        <v/>
      </c>
      <c r="O347" s="51"/>
    </row>
    <row r="348" spans="12:15" ht="15" customHeight="1" x14ac:dyDescent="0.3">
      <c r="L348" t="str">
        <f t="shared" si="9"/>
        <v/>
      </c>
      <c r="O348" s="51"/>
    </row>
    <row r="349" spans="12:15" ht="15" customHeight="1" x14ac:dyDescent="0.3">
      <c r="L349" t="str">
        <f t="shared" si="9"/>
        <v/>
      </c>
      <c r="O349" s="51"/>
    </row>
    <row r="350" spans="12:15" ht="15" customHeight="1" x14ac:dyDescent="0.3">
      <c r="L350" t="str">
        <f t="shared" si="9"/>
        <v/>
      </c>
      <c r="O350" s="51"/>
    </row>
    <row r="351" spans="12:15" ht="15" customHeight="1" x14ac:dyDescent="0.3">
      <c r="L351" t="str">
        <f t="shared" si="9"/>
        <v/>
      </c>
      <c r="O351" s="51"/>
    </row>
    <row r="352" spans="12:15" ht="15" customHeight="1" x14ac:dyDescent="0.3">
      <c r="L352" t="str">
        <f t="shared" si="9"/>
        <v/>
      </c>
      <c r="O352" s="51"/>
    </row>
    <row r="353" spans="12:15" ht="15" customHeight="1" x14ac:dyDescent="0.3">
      <c r="L353" t="str">
        <f t="shared" si="9"/>
        <v/>
      </c>
      <c r="O353" s="51"/>
    </row>
    <row r="354" spans="12:15" ht="15" customHeight="1" x14ac:dyDescent="0.3">
      <c r="L354" t="str">
        <f t="shared" si="9"/>
        <v/>
      </c>
      <c r="O354" s="51"/>
    </row>
    <row r="355" spans="12:15" ht="15" customHeight="1" x14ac:dyDescent="0.3">
      <c r="L355" t="str">
        <f t="shared" si="9"/>
        <v/>
      </c>
      <c r="O355" s="51"/>
    </row>
    <row r="356" spans="12:15" ht="15" customHeight="1" x14ac:dyDescent="0.3">
      <c r="L356" t="str">
        <f t="shared" si="9"/>
        <v/>
      </c>
      <c r="O356" s="51"/>
    </row>
    <row r="357" spans="12:15" ht="15" customHeight="1" x14ac:dyDescent="0.3">
      <c r="L357" t="str">
        <f t="shared" si="9"/>
        <v/>
      </c>
      <c r="O357" s="51"/>
    </row>
    <row r="358" spans="12:15" ht="15" customHeight="1" x14ac:dyDescent="0.3">
      <c r="L358" t="str">
        <f t="shared" si="9"/>
        <v/>
      </c>
      <c r="O358" s="51"/>
    </row>
    <row r="359" spans="12:15" ht="15" customHeight="1" x14ac:dyDescent="0.3">
      <c r="L359" t="str">
        <f t="shared" si="9"/>
        <v/>
      </c>
      <c r="O359" s="51"/>
    </row>
    <row r="360" spans="12:15" ht="15" customHeight="1" x14ac:dyDescent="0.3">
      <c r="L360" t="str">
        <f t="shared" si="9"/>
        <v/>
      </c>
      <c r="O360" s="51"/>
    </row>
    <row r="361" spans="12:15" ht="15" customHeight="1" x14ac:dyDescent="0.3">
      <c r="L361" t="str">
        <f t="shared" si="9"/>
        <v/>
      </c>
      <c r="O361" s="51"/>
    </row>
    <row r="362" spans="12:15" ht="15" customHeight="1" x14ac:dyDescent="0.3">
      <c r="L362" t="str">
        <f t="shared" si="9"/>
        <v/>
      </c>
      <c r="O362" s="51"/>
    </row>
    <row r="363" spans="12:15" ht="15" customHeight="1" x14ac:dyDescent="0.3">
      <c r="L363" t="str">
        <f t="shared" si="9"/>
        <v/>
      </c>
      <c r="O363" s="51"/>
    </row>
    <row r="364" spans="12:15" ht="15" customHeight="1" x14ac:dyDescent="0.3">
      <c r="L364" t="str">
        <f t="shared" si="9"/>
        <v/>
      </c>
      <c r="O364" s="51"/>
    </row>
    <row r="365" spans="12:15" ht="15" customHeight="1" x14ac:dyDescent="0.3">
      <c r="L365" t="str">
        <f t="shared" si="9"/>
        <v/>
      </c>
      <c r="O365" s="51"/>
    </row>
    <row r="366" spans="12:15" ht="15" customHeight="1" x14ac:dyDescent="0.3">
      <c r="L366" t="str">
        <f t="shared" si="9"/>
        <v/>
      </c>
      <c r="O366" s="51"/>
    </row>
    <row r="367" spans="12:15" ht="15" customHeight="1" x14ac:dyDescent="0.3">
      <c r="L367" t="str">
        <f t="shared" si="9"/>
        <v/>
      </c>
      <c r="O367" s="51"/>
    </row>
    <row r="368" spans="12:15" ht="15" customHeight="1" x14ac:dyDescent="0.3">
      <c r="L368" t="str">
        <f t="shared" si="9"/>
        <v/>
      </c>
      <c r="O368" s="51"/>
    </row>
    <row r="369" spans="12:15" ht="15" customHeight="1" x14ac:dyDescent="0.3">
      <c r="L369" t="str">
        <f t="shared" si="9"/>
        <v/>
      </c>
      <c r="O369" s="51"/>
    </row>
    <row r="370" spans="12:15" ht="15" customHeight="1" x14ac:dyDescent="0.3">
      <c r="L370" t="str">
        <f t="shared" si="9"/>
        <v/>
      </c>
      <c r="O370" s="51"/>
    </row>
    <row r="371" spans="12:15" ht="15" customHeight="1" x14ac:dyDescent="0.3">
      <c r="L371" t="str">
        <f t="shared" si="9"/>
        <v/>
      </c>
      <c r="O371" s="51"/>
    </row>
    <row r="372" spans="12:15" ht="15" customHeight="1" x14ac:dyDescent="0.3">
      <c r="L372" t="str">
        <f t="shared" si="9"/>
        <v/>
      </c>
      <c r="O372" s="51"/>
    </row>
    <row r="373" spans="12:15" ht="15" customHeight="1" x14ac:dyDescent="0.3">
      <c r="L373" t="str">
        <f t="shared" si="9"/>
        <v/>
      </c>
      <c r="O373" s="51"/>
    </row>
    <row r="374" spans="12:15" ht="15" customHeight="1" x14ac:dyDescent="0.3">
      <c r="L374" t="str">
        <f t="shared" si="9"/>
        <v/>
      </c>
      <c r="O374" s="51"/>
    </row>
    <row r="375" spans="12:15" ht="15" customHeight="1" x14ac:dyDescent="0.3">
      <c r="L375" t="str">
        <f t="shared" si="9"/>
        <v/>
      </c>
      <c r="O375" s="51"/>
    </row>
    <row r="376" spans="12:15" ht="15" customHeight="1" x14ac:dyDescent="0.3">
      <c r="L376" t="str">
        <f t="shared" si="9"/>
        <v/>
      </c>
      <c r="O376" s="51"/>
    </row>
    <row r="377" spans="12:15" ht="15" customHeight="1" x14ac:dyDescent="0.3">
      <c r="L377" t="str">
        <f t="shared" si="9"/>
        <v/>
      </c>
      <c r="O377" s="51"/>
    </row>
    <row r="378" spans="12:15" ht="15" customHeight="1" x14ac:dyDescent="0.3">
      <c r="L378" t="str">
        <f t="shared" si="9"/>
        <v/>
      </c>
      <c r="O378" s="51"/>
    </row>
    <row r="379" spans="12:15" ht="15" customHeight="1" x14ac:dyDescent="0.3">
      <c r="L379" t="str">
        <f t="shared" si="9"/>
        <v/>
      </c>
      <c r="O379" s="51"/>
    </row>
    <row r="380" spans="12:15" ht="15" customHeight="1" x14ac:dyDescent="0.3">
      <c r="L380" t="str">
        <f t="shared" si="9"/>
        <v/>
      </c>
      <c r="O380" s="51"/>
    </row>
    <row r="381" spans="12:15" ht="15" customHeight="1" x14ac:dyDescent="0.3">
      <c r="L381" t="str">
        <f t="shared" si="9"/>
        <v/>
      </c>
      <c r="O381" s="51"/>
    </row>
    <row r="382" spans="12:15" ht="15" customHeight="1" x14ac:dyDescent="0.3">
      <c r="L382" t="str">
        <f t="shared" si="9"/>
        <v/>
      </c>
      <c r="O382" s="51"/>
    </row>
    <row r="383" spans="12:15" ht="15" customHeight="1" x14ac:dyDescent="0.3">
      <c r="L383" t="str">
        <f t="shared" si="9"/>
        <v/>
      </c>
      <c r="O383" s="51"/>
    </row>
    <row r="384" spans="12:15" ht="15" customHeight="1" x14ac:dyDescent="0.3">
      <c r="L384" t="str">
        <f t="shared" si="9"/>
        <v/>
      </c>
      <c r="O384" s="51"/>
    </row>
    <row r="385" spans="12:15" ht="15" customHeight="1" x14ac:dyDescent="0.3">
      <c r="L385" t="str">
        <f t="shared" si="9"/>
        <v/>
      </c>
      <c r="O385" s="51"/>
    </row>
    <row r="386" spans="12:15" ht="15" customHeight="1" x14ac:dyDescent="0.3">
      <c r="L386" t="str">
        <f t="shared" si="9"/>
        <v/>
      </c>
      <c r="O386" s="51"/>
    </row>
    <row r="387" spans="12:15" ht="15" customHeight="1" x14ac:dyDescent="0.3">
      <c r="L387" t="str">
        <f t="shared" si="9"/>
        <v/>
      </c>
      <c r="O387" s="51"/>
    </row>
    <row r="388" spans="12:15" ht="15" customHeight="1" x14ac:dyDescent="0.3">
      <c r="L388" t="str">
        <f t="shared" ref="L388:L451" si="10">IF($A388="","",K388*D388)</f>
        <v/>
      </c>
      <c r="O388" s="51"/>
    </row>
    <row r="389" spans="12:15" ht="15" customHeight="1" x14ac:dyDescent="0.3">
      <c r="L389" t="str">
        <f t="shared" si="10"/>
        <v/>
      </c>
      <c r="O389" s="51"/>
    </row>
    <row r="390" spans="12:15" ht="15" customHeight="1" x14ac:dyDescent="0.3">
      <c r="L390" t="str">
        <f t="shared" si="10"/>
        <v/>
      </c>
      <c r="O390" s="51"/>
    </row>
    <row r="391" spans="12:15" ht="15" customHeight="1" x14ac:dyDescent="0.3">
      <c r="L391" t="str">
        <f t="shared" si="10"/>
        <v/>
      </c>
      <c r="O391" s="51"/>
    </row>
    <row r="392" spans="12:15" ht="15" customHeight="1" x14ac:dyDescent="0.3">
      <c r="L392" t="str">
        <f t="shared" si="10"/>
        <v/>
      </c>
      <c r="O392" s="51"/>
    </row>
    <row r="393" spans="12:15" ht="15" customHeight="1" x14ac:dyDescent="0.3">
      <c r="L393" t="str">
        <f t="shared" si="10"/>
        <v/>
      </c>
      <c r="O393" s="51"/>
    </row>
    <row r="394" spans="12:15" ht="15" customHeight="1" x14ac:dyDescent="0.3">
      <c r="L394" t="str">
        <f t="shared" si="10"/>
        <v/>
      </c>
      <c r="O394" s="51"/>
    </row>
    <row r="395" spans="12:15" ht="15" customHeight="1" x14ac:dyDescent="0.3">
      <c r="L395" t="str">
        <f t="shared" si="10"/>
        <v/>
      </c>
      <c r="O395" s="51"/>
    </row>
    <row r="396" spans="12:15" ht="15" customHeight="1" x14ac:dyDescent="0.3">
      <c r="L396" t="str">
        <f t="shared" si="10"/>
        <v/>
      </c>
      <c r="O396" s="51"/>
    </row>
    <row r="397" spans="12:15" ht="15" customHeight="1" x14ac:dyDescent="0.3">
      <c r="L397" t="str">
        <f t="shared" si="10"/>
        <v/>
      </c>
      <c r="O397" s="51"/>
    </row>
    <row r="398" spans="12:15" ht="15" customHeight="1" x14ac:dyDescent="0.3">
      <c r="L398" t="str">
        <f t="shared" si="10"/>
        <v/>
      </c>
      <c r="O398" s="51"/>
    </row>
    <row r="399" spans="12:15" ht="15" customHeight="1" x14ac:dyDescent="0.3">
      <c r="L399" t="str">
        <f t="shared" si="10"/>
        <v/>
      </c>
      <c r="O399" s="51"/>
    </row>
    <row r="400" spans="12:15" ht="15" customHeight="1" x14ac:dyDescent="0.3">
      <c r="L400" t="str">
        <f t="shared" si="10"/>
        <v/>
      </c>
      <c r="O400" s="51"/>
    </row>
    <row r="401" spans="12:15" ht="15" customHeight="1" x14ac:dyDescent="0.3">
      <c r="L401" t="str">
        <f t="shared" si="10"/>
        <v/>
      </c>
      <c r="O401" s="51"/>
    </row>
    <row r="402" spans="12:15" ht="15" customHeight="1" x14ac:dyDescent="0.3">
      <c r="L402" t="str">
        <f t="shared" si="10"/>
        <v/>
      </c>
      <c r="O402" s="51"/>
    </row>
    <row r="403" spans="12:15" ht="15" customHeight="1" x14ac:dyDescent="0.3">
      <c r="L403" t="str">
        <f t="shared" si="10"/>
        <v/>
      </c>
      <c r="O403" s="51"/>
    </row>
    <row r="404" spans="12:15" ht="15" customHeight="1" x14ac:dyDescent="0.3">
      <c r="L404" t="str">
        <f t="shared" si="10"/>
        <v/>
      </c>
      <c r="O404" s="51"/>
    </row>
    <row r="405" spans="12:15" ht="15" customHeight="1" x14ac:dyDescent="0.3">
      <c r="L405" t="str">
        <f t="shared" si="10"/>
        <v/>
      </c>
      <c r="O405" s="51"/>
    </row>
    <row r="406" spans="12:15" ht="15" customHeight="1" x14ac:dyDescent="0.3">
      <c r="L406" t="str">
        <f t="shared" si="10"/>
        <v/>
      </c>
      <c r="O406" s="51"/>
    </row>
    <row r="407" spans="12:15" ht="15" customHeight="1" x14ac:dyDescent="0.3">
      <c r="L407" t="str">
        <f t="shared" si="10"/>
        <v/>
      </c>
      <c r="O407" s="51"/>
    </row>
    <row r="408" spans="12:15" ht="15" customHeight="1" x14ac:dyDescent="0.3">
      <c r="L408" t="str">
        <f t="shared" si="10"/>
        <v/>
      </c>
      <c r="O408" s="51"/>
    </row>
    <row r="409" spans="12:15" ht="15" customHeight="1" x14ac:dyDescent="0.3">
      <c r="L409" t="str">
        <f t="shared" si="10"/>
        <v/>
      </c>
      <c r="O409" s="51"/>
    </row>
    <row r="410" spans="12:15" ht="15" customHeight="1" x14ac:dyDescent="0.3">
      <c r="L410" t="str">
        <f t="shared" si="10"/>
        <v/>
      </c>
      <c r="O410" s="51"/>
    </row>
    <row r="411" spans="12:15" ht="15" customHeight="1" x14ac:dyDescent="0.3">
      <c r="L411" t="str">
        <f t="shared" si="10"/>
        <v/>
      </c>
      <c r="O411" s="51"/>
    </row>
    <row r="412" spans="12:15" ht="15" customHeight="1" x14ac:dyDescent="0.3">
      <c r="L412" t="str">
        <f t="shared" si="10"/>
        <v/>
      </c>
      <c r="O412" s="51"/>
    </row>
    <row r="413" spans="12:15" ht="15" customHeight="1" x14ac:dyDescent="0.3">
      <c r="L413" t="str">
        <f t="shared" si="10"/>
        <v/>
      </c>
      <c r="O413" s="51"/>
    </row>
    <row r="414" spans="12:15" ht="15" customHeight="1" x14ac:dyDescent="0.3">
      <c r="L414" t="str">
        <f t="shared" si="10"/>
        <v/>
      </c>
      <c r="O414" s="51"/>
    </row>
    <row r="415" spans="12:15" ht="15" customHeight="1" x14ac:dyDescent="0.3">
      <c r="L415" t="str">
        <f t="shared" si="10"/>
        <v/>
      </c>
      <c r="O415" s="51"/>
    </row>
    <row r="416" spans="12:15" ht="15" customHeight="1" x14ac:dyDescent="0.3">
      <c r="L416" t="str">
        <f t="shared" si="10"/>
        <v/>
      </c>
      <c r="O416" s="51"/>
    </row>
    <row r="417" spans="12:15" ht="15" customHeight="1" x14ac:dyDescent="0.3">
      <c r="L417" t="str">
        <f t="shared" si="10"/>
        <v/>
      </c>
      <c r="O417" s="51"/>
    </row>
    <row r="418" spans="12:15" ht="15" customHeight="1" x14ac:dyDescent="0.3">
      <c r="L418" t="str">
        <f t="shared" si="10"/>
        <v/>
      </c>
      <c r="O418" s="51"/>
    </row>
    <row r="419" spans="12:15" ht="15" customHeight="1" x14ac:dyDescent="0.3">
      <c r="L419" t="str">
        <f t="shared" si="10"/>
        <v/>
      </c>
      <c r="O419" s="51"/>
    </row>
    <row r="420" spans="12:15" ht="15" customHeight="1" x14ac:dyDescent="0.3">
      <c r="L420" t="str">
        <f t="shared" si="10"/>
        <v/>
      </c>
      <c r="O420" s="51"/>
    </row>
    <row r="421" spans="12:15" ht="15" customHeight="1" x14ac:dyDescent="0.3">
      <c r="L421" t="str">
        <f t="shared" si="10"/>
        <v/>
      </c>
      <c r="O421" s="51"/>
    </row>
    <row r="422" spans="12:15" ht="15" customHeight="1" x14ac:dyDescent="0.3">
      <c r="L422" t="str">
        <f t="shared" si="10"/>
        <v/>
      </c>
      <c r="O422" s="51"/>
    </row>
    <row r="423" spans="12:15" ht="15" customHeight="1" x14ac:dyDescent="0.3">
      <c r="L423" t="str">
        <f t="shared" si="10"/>
        <v/>
      </c>
      <c r="O423" s="51"/>
    </row>
    <row r="424" spans="12:15" ht="15" customHeight="1" x14ac:dyDescent="0.3">
      <c r="L424" t="str">
        <f t="shared" si="10"/>
        <v/>
      </c>
      <c r="O424" s="51"/>
    </row>
    <row r="425" spans="12:15" ht="15" customHeight="1" x14ac:dyDescent="0.3">
      <c r="L425" t="str">
        <f t="shared" si="10"/>
        <v/>
      </c>
      <c r="O425" s="51"/>
    </row>
    <row r="426" spans="12:15" ht="15" customHeight="1" x14ac:dyDescent="0.3">
      <c r="L426" t="str">
        <f t="shared" si="10"/>
        <v/>
      </c>
      <c r="O426" s="51"/>
    </row>
    <row r="427" spans="12:15" ht="15" customHeight="1" x14ac:dyDescent="0.3">
      <c r="L427" t="str">
        <f t="shared" si="10"/>
        <v/>
      </c>
      <c r="O427" s="51"/>
    </row>
    <row r="428" spans="12:15" ht="15" customHeight="1" x14ac:dyDescent="0.3">
      <c r="L428" t="str">
        <f t="shared" si="10"/>
        <v/>
      </c>
      <c r="O428" s="51"/>
    </row>
    <row r="429" spans="12:15" ht="15" customHeight="1" x14ac:dyDescent="0.3">
      <c r="L429" t="str">
        <f t="shared" si="10"/>
        <v/>
      </c>
      <c r="O429" s="51"/>
    </row>
    <row r="430" spans="12:15" ht="15" customHeight="1" x14ac:dyDescent="0.3">
      <c r="L430" t="str">
        <f t="shared" si="10"/>
        <v/>
      </c>
      <c r="O430" s="51"/>
    </row>
    <row r="431" spans="12:15" ht="15" customHeight="1" x14ac:dyDescent="0.3">
      <c r="L431" t="str">
        <f t="shared" si="10"/>
        <v/>
      </c>
      <c r="O431" s="51"/>
    </row>
    <row r="432" spans="12:15" ht="15" customHeight="1" x14ac:dyDescent="0.3">
      <c r="L432" t="str">
        <f t="shared" si="10"/>
        <v/>
      </c>
      <c r="O432" s="51"/>
    </row>
    <row r="433" spans="12:15" ht="15" customHeight="1" x14ac:dyDescent="0.3">
      <c r="L433" t="str">
        <f t="shared" si="10"/>
        <v/>
      </c>
      <c r="O433" s="51"/>
    </row>
    <row r="434" spans="12:15" ht="15" customHeight="1" x14ac:dyDescent="0.3">
      <c r="L434" t="str">
        <f t="shared" si="10"/>
        <v/>
      </c>
      <c r="O434" s="51"/>
    </row>
    <row r="435" spans="12:15" ht="15" customHeight="1" x14ac:dyDescent="0.3">
      <c r="L435" t="str">
        <f t="shared" si="10"/>
        <v/>
      </c>
      <c r="O435" s="51"/>
    </row>
    <row r="436" spans="12:15" ht="15" customHeight="1" x14ac:dyDescent="0.3">
      <c r="L436" t="str">
        <f t="shared" si="10"/>
        <v/>
      </c>
      <c r="O436" s="51"/>
    </row>
    <row r="437" spans="12:15" ht="15" customHeight="1" x14ac:dyDescent="0.3">
      <c r="L437" t="str">
        <f t="shared" si="10"/>
        <v/>
      </c>
      <c r="O437" s="51"/>
    </row>
    <row r="438" spans="12:15" ht="15" customHeight="1" x14ac:dyDescent="0.3">
      <c r="L438" t="str">
        <f t="shared" si="10"/>
        <v/>
      </c>
      <c r="O438" s="51"/>
    </row>
    <row r="439" spans="12:15" ht="15" customHeight="1" x14ac:dyDescent="0.3">
      <c r="L439" t="str">
        <f t="shared" si="10"/>
        <v/>
      </c>
      <c r="O439" s="51"/>
    </row>
    <row r="440" spans="12:15" ht="15" customHeight="1" x14ac:dyDescent="0.3">
      <c r="L440" t="str">
        <f t="shared" si="10"/>
        <v/>
      </c>
      <c r="O440" s="51"/>
    </row>
    <row r="441" spans="12:15" ht="15" customHeight="1" x14ac:dyDescent="0.3">
      <c r="L441" t="str">
        <f t="shared" si="10"/>
        <v/>
      </c>
      <c r="O441" s="51"/>
    </row>
    <row r="442" spans="12:15" ht="15" customHeight="1" x14ac:dyDescent="0.3">
      <c r="L442" t="str">
        <f t="shared" si="10"/>
        <v/>
      </c>
      <c r="O442" s="51"/>
    </row>
    <row r="443" spans="12:15" ht="15" customHeight="1" x14ac:dyDescent="0.3">
      <c r="L443" t="str">
        <f t="shared" si="10"/>
        <v/>
      </c>
      <c r="O443" s="51"/>
    </row>
    <row r="444" spans="12:15" ht="15" customHeight="1" x14ac:dyDescent="0.3">
      <c r="L444" t="str">
        <f t="shared" si="10"/>
        <v/>
      </c>
      <c r="O444" s="51"/>
    </row>
    <row r="445" spans="12:15" ht="15" customHeight="1" x14ac:dyDescent="0.3">
      <c r="L445" t="str">
        <f t="shared" si="10"/>
        <v/>
      </c>
      <c r="O445" s="51"/>
    </row>
    <row r="446" spans="12:15" ht="15" customHeight="1" x14ac:dyDescent="0.3">
      <c r="L446" t="str">
        <f t="shared" si="10"/>
        <v/>
      </c>
      <c r="O446" s="51"/>
    </row>
    <row r="447" spans="12:15" ht="15" customHeight="1" x14ac:dyDescent="0.3">
      <c r="L447" t="str">
        <f t="shared" si="10"/>
        <v/>
      </c>
      <c r="O447" s="51"/>
    </row>
    <row r="448" spans="12:15" ht="15" customHeight="1" x14ac:dyDescent="0.3">
      <c r="L448" t="str">
        <f t="shared" si="10"/>
        <v/>
      </c>
      <c r="O448" s="51"/>
    </row>
    <row r="449" spans="12:15" ht="15" customHeight="1" x14ac:dyDescent="0.3">
      <c r="L449" t="str">
        <f t="shared" si="10"/>
        <v/>
      </c>
      <c r="O449" s="51"/>
    </row>
    <row r="450" spans="12:15" ht="15" customHeight="1" x14ac:dyDescent="0.3">
      <c r="L450" t="str">
        <f t="shared" si="10"/>
        <v/>
      </c>
      <c r="O450" s="51"/>
    </row>
    <row r="451" spans="12:15" ht="15" customHeight="1" x14ac:dyDescent="0.3">
      <c r="L451" t="str">
        <f t="shared" si="10"/>
        <v/>
      </c>
      <c r="O451" s="51"/>
    </row>
    <row r="452" spans="12:15" ht="15" customHeight="1" x14ac:dyDescent="0.3">
      <c r="L452" t="str">
        <f t="shared" ref="L452:L515" si="11">IF($A452="","",K452*D452)</f>
        <v/>
      </c>
      <c r="O452" s="51"/>
    </row>
    <row r="453" spans="12:15" ht="15" customHeight="1" x14ac:dyDescent="0.3">
      <c r="L453" t="str">
        <f t="shared" si="11"/>
        <v/>
      </c>
      <c r="O453" s="51"/>
    </row>
    <row r="454" spans="12:15" ht="15" customHeight="1" x14ac:dyDescent="0.3">
      <c r="L454" t="str">
        <f t="shared" si="11"/>
        <v/>
      </c>
      <c r="O454" s="51"/>
    </row>
    <row r="455" spans="12:15" ht="15" customHeight="1" x14ac:dyDescent="0.3">
      <c r="L455" t="str">
        <f t="shared" si="11"/>
        <v/>
      </c>
      <c r="O455" s="51"/>
    </row>
    <row r="456" spans="12:15" ht="15" customHeight="1" x14ac:dyDescent="0.3">
      <c r="L456" t="str">
        <f t="shared" si="11"/>
        <v/>
      </c>
      <c r="O456" s="51"/>
    </row>
    <row r="457" spans="12:15" ht="15" customHeight="1" x14ac:dyDescent="0.3">
      <c r="L457" t="str">
        <f t="shared" si="11"/>
        <v/>
      </c>
      <c r="O457" s="51"/>
    </row>
    <row r="458" spans="12:15" ht="15" customHeight="1" x14ac:dyDescent="0.3">
      <c r="L458" t="str">
        <f t="shared" si="11"/>
        <v/>
      </c>
      <c r="O458" s="51"/>
    </row>
    <row r="459" spans="12:15" ht="15" customHeight="1" x14ac:dyDescent="0.3">
      <c r="L459" t="str">
        <f t="shared" si="11"/>
        <v/>
      </c>
      <c r="O459" s="51"/>
    </row>
    <row r="460" spans="12:15" ht="15" customHeight="1" x14ac:dyDescent="0.3">
      <c r="L460" t="str">
        <f t="shared" si="11"/>
        <v/>
      </c>
      <c r="O460" s="51"/>
    </row>
    <row r="461" spans="12:15" ht="15" customHeight="1" x14ac:dyDescent="0.3">
      <c r="L461" t="str">
        <f t="shared" si="11"/>
        <v/>
      </c>
      <c r="O461" s="51"/>
    </row>
    <row r="462" spans="12:15" ht="15" customHeight="1" x14ac:dyDescent="0.3">
      <c r="L462" t="str">
        <f t="shared" si="11"/>
        <v/>
      </c>
      <c r="O462" s="51"/>
    </row>
    <row r="463" spans="12:15" ht="15" customHeight="1" x14ac:dyDescent="0.3">
      <c r="L463" t="str">
        <f t="shared" si="11"/>
        <v/>
      </c>
      <c r="O463" s="51"/>
    </row>
    <row r="464" spans="12:15" ht="15" customHeight="1" x14ac:dyDescent="0.3">
      <c r="L464" t="str">
        <f t="shared" si="11"/>
        <v/>
      </c>
      <c r="O464" s="51"/>
    </row>
    <row r="465" spans="12:15" ht="15" customHeight="1" x14ac:dyDescent="0.3">
      <c r="L465" t="str">
        <f t="shared" si="11"/>
        <v/>
      </c>
      <c r="O465" s="51"/>
    </row>
    <row r="466" spans="12:15" ht="15" customHeight="1" x14ac:dyDescent="0.3">
      <c r="L466" t="str">
        <f t="shared" si="11"/>
        <v/>
      </c>
      <c r="O466" s="51"/>
    </row>
    <row r="467" spans="12:15" ht="15" customHeight="1" x14ac:dyDescent="0.3">
      <c r="L467" t="str">
        <f t="shared" si="11"/>
        <v/>
      </c>
      <c r="O467" s="51"/>
    </row>
    <row r="468" spans="12:15" ht="15" customHeight="1" x14ac:dyDescent="0.3">
      <c r="L468" t="str">
        <f t="shared" si="11"/>
        <v/>
      </c>
      <c r="O468" s="51"/>
    </row>
    <row r="469" spans="12:15" ht="15" customHeight="1" x14ac:dyDescent="0.3">
      <c r="L469" t="str">
        <f t="shared" si="11"/>
        <v/>
      </c>
      <c r="O469" s="51"/>
    </row>
    <row r="470" spans="12:15" ht="15" customHeight="1" x14ac:dyDescent="0.3">
      <c r="L470" t="str">
        <f t="shared" si="11"/>
        <v/>
      </c>
      <c r="O470" s="51"/>
    </row>
    <row r="471" spans="12:15" ht="15" customHeight="1" x14ac:dyDescent="0.3">
      <c r="L471" t="str">
        <f t="shared" si="11"/>
        <v/>
      </c>
      <c r="O471" s="51"/>
    </row>
    <row r="472" spans="12:15" ht="15" customHeight="1" x14ac:dyDescent="0.3">
      <c r="L472" t="str">
        <f t="shared" si="11"/>
        <v/>
      </c>
      <c r="O472" s="51"/>
    </row>
    <row r="473" spans="12:15" ht="15" customHeight="1" x14ac:dyDescent="0.3">
      <c r="L473" t="str">
        <f t="shared" si="11"/>
        <v/>
      </c>
      <c r="O473" s="51"/>
    </row>
    <row r="474" spans="12:15" ht="15" customHeight="1" x14ac:dyDescent="0.3">
      <c r="L474" t="str">
        <f t="shared" si="11"/>
        <v/>
      </c>
      <c r="O474" s="51"/>
    </row>
    <row r="475" spans="12:15" ht="15" customHeight="1" x14ac:dyDescent="0.3">
      <c r="L475" t="str">
        <f t="shared" si="11"/>
        <v/>
      </c>
      <c r="O475" s="51"/>
    </row>
    <row r="476" spans="12:15" ht="15" customHeight="1" x14ac:dyDescent="0.3">
      <c r="L476" t="str">
        <f t="shared" si="11"/>
        <v/>
      </c>
      <c r="O476" s="51"/>
    </row>
    <row r="477" spans="12:15" ht="15" customHeight="1" x14ac:dyDescent="0.3">
      <c r="L477" t="str">
        <f t="shared" si="11"/>
        <v/>
      </c>
      <c r="O477" s="51"/>
    </row>
    <row r="478" spans="12:15" ht="15" customHeight="1" x14ac:dyDescent="0.3">
      <c r="L478" t="str">
        <f t="shared" si="11"/>
        <v/>
      </c>
      <c r="O478" s="51"/>
    </row>
    <row r="479" spans="12:15" ht="15" customHeight="1" x14ac:dyDescent="0.3">
      <c r="L479" t="str">
        <f t="shared" si="11"/>
        <v/>
      </c>
      <c r="O479" s="51"/>
    </row>
    <row r="480" spans="12:15" ht="15" customHeight="1" x14ac:dyDescent="0.3">
      <c r="L480" t="str">
        <f t="shared" si="11"/>
        <v/>
      </c>
      <c r="O480" s="51"/>
    </row>
    <row r="481" spans="12:15" ht="15" customHeight="1" x14ac:dyDescent="0.3">
      <c r="L481" t="str">
        <f t="shared" si="11"/>
        <v/>
      </c>
      <c r="O481" s="51"/>
    </row>
    <row r="482" spans="12:15" ht="15" customHeight="1" x14ac:dyDescent="0.3">
      <c r="L482" t="str">
        <f t="shared" si="11"/>
        <v/>
      </c>
      <c r="O482" s="51"/>
    </row>
    <row r="483" spans="12:15" ht="15" customHeight="1" x14ac:dyDescent="0.3">
      <c r="L483" t="str">
        <f t="shared" si="11"/>
        <v/>
      </c>
      <c r="O483" s="51"/>
    </row>
    <row r="484" spans="12:15" ht="15" customHeight="1" x14ac:dyDescent="0.3">
      <c r="L484" t="str">
        <f t="shared" si="11"/>
        <v/>
      </c>
      <c r="O484" s="51"/>
    </row>
    <row r="485" spans="12:15" ht="15" customHeight="1" x14ac:dyDescent="0.3">
      <c r="L485" t="str">
        <f t="shared" si="11"/>
        <v/>
      </c>
      <c r="O485" s="51"/>
    </row>
    <row r="486" spans="12:15" ht="15" customHeight="1" x14ac:dyDescent="0.3">
      <c r="L486" t="str">
        <f t="shared" si="11"/>
        <v/>
      </c>
      <c r="O486" s="51"/>
    </row>
    <row r="487" spans="12:15" ht="15" customHeight="1" x14ac:dyDescent="0.3">
      <c r="L487" t="str">
        <f t="shared" si="11"/>
        <v/>
      </c>
      <c r="O487" s="51"/>
    </row>
    <row r="488" spans="12:15" ht="15" customHeight="1" x14ac:dyDescent="0.3">
      <c r="L488" t="str">
        <f t="shared" si="11"/>
        <v/>
      </c>
      <c r="O488" s="51"/>
    </row>
    <row r="489" spans="12:15" ht="15" customHeight="1" x14ac:dyDescent="0.3">
      <c r="L489" t="str">
        <f t="shared" si="11"/>
        <v/>
      </c>
      <c r="O489" s="51"/>
    </row>
    <row r="490" spans="12:15" ht="15" customHeight="1" x14ac:dyDescent="0.3">
      <c r="L490" t="str">
        <f t="shared" si="11"/>
        <v/>
      </c>
      <c r="O490" s="51"/>
    </row>
    <row r="491" spans="12:15" ht="15" customHeight="1" x14ac:dyDescent="0.3">
      <c r="L491" t="str">
        <f t="shared" si="11"/>
        <v/>
      </c>
      <c r="O491" s="51"/>
    </row>
    <row r="492" spans="12:15" ht="15" customHeight="1" x14ac:dyDescent="0.3">
      <c r="L492" t="str">
        <f t="shared" si="11"/>
        <v/>
      </c>
      <c r="O492" s="51"/>
    </row>
    <row r="493" spans="12:15" ht="15" customHeight="1" x14ac:dyDescent="0.3">
      <c r="L493" t="str">
        <f t="shared" si="11"/>
        <v/>
      </c>
      <c r="O493" s="51"/>
    </row>
    <row r="494" spans="12:15" ht="15" customHeight="1" x14ac:dyDescent="0.3">
      <c r="L494" t="str">
        <f t="shared" si="11"/>
        <v/>
      </c>
      <c r="O494" s="51"/>
    </row>
    <row r="495" spans="12:15" ht="15" customHeight="1" x14ac:dyDescent="0.3">
      <c r="L495" t="str">
        <f t="shared" si="11"/>
        <v/>
      </c>
      <c r="O495" s="51"/>
    </row>
    <row r="496" spans="12:15" ht="15" customHeight="1" x14ac:dyDescent="0.3">
      <c r="L496" t="str">
        <f t="shared" si="11"/>
        <v/>
      </c>
      <c r="O496" s="51"/>
    </row>
    <row r="497" spans="12:15" ht="15" customHeight="1" x14ac:dyDescent="0.3">
      <c r="L497" t="str">
        <f t="shared" si="11"/>
        <v/>
      </c>
      <c r="O497" s="51"/>
    </row>
    <row r="498" spans="12:15" ht="15" customHeight="1" x14ac:dyDescent="0.3">
      <c r="L498" t="str">
        <f t="shared" si="11"/>
        <v/>
      </c>
      <c r="O498" s="51"/>
    </row>
    <row r="499" spans="12:15" ht="15" customHeight="1" x14ac:dyDescent="0.3">
      <c r="L499" t="str">
        <f t="shared" si="11"/>
        <v/>
      </c>
      <c r="O499" s="51"/>
    </row>
    <row r="500" spans="12:15" ht="15" customHeight="1" x14ac:dyDescent="0.3">
      <c r="L500" t="str">
        <f t="shared" si="11"/>
        <v/>
      </c>
      <c r="O500" s="51"/>
    </row>
  </sheetData>
  <conditionalFormatting sqref="P4:BV103">
    <cfRule type="expression" dxfId="40" priority="2">
      <formula>AND($A4&lt;&gt;"",P$3&gt;=INT($J4),P$3&lt;=INT($M4))</formula>
    </cfRule>
  </conditionalFormatting>
  <printOptions horizontalCentered="1"/>
  <pageMargins left="0.7" right="0.7" top="0.75" bottom="0.75" header="0.511811023622047" footer="0.511811023622047"/>
  <pageSetup fitToHeight="0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CG500"/>
  <sheetViews>
    <sheetView zoomScale="70" zoomScaleNormal="70" workbookViewId="0">
      <selection activeCell="M14" sqref="M14"/>
    </sheetView>
  </sheetViews>
  <sheetFormatPr defaultColWidth="8.6640625" defaultRowHeight="14.4" x14ac:dyDescent="0.3"/>
  <cols>
    <col min="1" max="1" width="6.5546875" bestFit="1" customWidth="1"/>
    <col min="2" max="2" width="4.33203125" bestFit="1" customWidth="1"/>
    <col min="3" max="3" width="5.21875" bestFit="1" customWidth="1"/>
    <col min="4" max="4" width="5.109375" bestFit="1" customWidth="1"/>
    <col min="5" max="5" width="15.44140625" bestFit="1" customWidth="1"/>
    <col min="6" max="6" width="14.33203125" style="107" customWidth="1"/>
    <col min="7" max="7" width="13.21875" bestFit="1" customWidth="1"/>
    <col min="8" max="8" width="6.5546875" bestFit="1" customWidth="1"/>
    <col min="9" max="9" width="8" bestFit="1" customWidth="1"/>
    <col min="10" max="10" width="16.44140625" bestFit="1" customWidth="1"/>
    <col min="11" max="11" width="6.6640625" bestFit="1" customWidth="1"/>
    <col min="12" max="12" width="9.21875" bestFit="1" customWidth="1"/>
    <col min="13" max="13" width="16.44140625" bestFit="1" customWidth="1"/>
    <col min="14" max="14" width="9.88671875" bestFit="1" customWidth="1"/>
    <col min="15" max="15" width="21.88671875" bestFit="1" customWidth="1"/>
    <col min="16" max="24" width="4.5546875" bestFit="1" customWidth="1"/>
    <col min="25" max="45" width="5.44140625" bestFit="1" customWidth="1"/>
    <col min="46" max="54" width="4.88671875" bestFit="1" customWidth="1"/>
    <col min="55" max="74" width="5.77734375" bestFit="1" customWidth="1"/>
    <col min="75" max="75" width="12" bestFit="1" customWidth="1"/>
    <col min="76" max="76" width="29.88671875" bestFit="1" customWidth="1"/>
    <col min="77" max="77" width="8.88671875" bestFit="1" customWidth="1"/>
    <col min="78" max="78" width="8.21875" bestFit="1" customWidth="1"/>
    <col min="79" max="79" width="7.6640625" bestFit="1" customWidth="1"/>
    <col min="80" max="80" width="8.5546875" bestFit="1" customWidth="1"/>
    <col min="81" max="81" width="8.44140625" bestFit="1" customWidth="1"/>
    <col min="82" max="82" width="8.21875" bestFit="1" customWidth="1"/>
    <col min="83" max="83" width="8.5546875" bestFit="1" customWidth="1"/>
    <col min="84" max="84" width="8.44140625" bestFit="1" customWidth="1"/>
    <col min="85" max="85" width="8.109375" bestFit="1" customWidth="1"/>
    <col min="86" max="86" width="12.88671875" customWidth="1"/>
    <col min="87" max="100" width="13" customWidth="1"/>
  </cols>
  <sheetData>
    <row r="1" spans="1:85" ht="15" customHeight="1" x14ac:dyDescent="0.3">
      <c r="D1" s="31"/>
      <c r="E1" s="32"/>
      <c r="F1" s="103"/>
      <c r="G1" s="31"/>
      <c r="H1" s="31"/>
      <c r="I1" s="31"/>
      <c r="J1" s="31"/>
      <c r="K1" s="31"/>
      <c r="L1" s="31"/>
      <c r="M1" s="31"/>
      <c r="N1" s="31"/>
      <c r="BW1" s="31"/>
      <c r="BX1" s="33" t="s">
        <v>253</v>
      </c>
      <c r="BY1" s="31"/>
      <c r="BZ1" s="31"/>
      <c r="CA1" s="31"/>
      <c r="CB1" s="31"/>
      <c r="CC1" s="31"/>
      <c r="CD1" s="31"/>
      <c r="CE1" s="31"/>
      <c r="CF1" s="31"/>
      <c r="CG1" s="31"/>
    </row>
    <row r="2" spans="1:85" ht="15" customHeight="1" x14ac:dyDescent="0.3">
      <c r="D2" s="31"/>
      <c r="E2" s="34"/>
      <c r="F2" s="104"/>
      <c r="G2" s="34"/>
      <c r="H2" s="34"/>
      <c r="I2" s="34"/>
      <c r="J2" s="34"/>
      <c r="K2" s="34"/>
      <c r="L2" s="34"/>
      <c r="M2" s="34"/>
      <c r="N2" s="34"/>
      <c r="Q2" s="35"/>
      <c r="BW2" s="31"/>
      <c r="BX2" s="36" t="s">
        <v>226</v>
      </c>
      <c r="BY2" s="36" t="s">
        <v>227</v>
      </c>
      <c r="BZ2" s="36" t="s">
        <v>228</v>
      </c>
      <c r="CA2" s="36" t="s">
        <v>229</v>
      </c>
      <c r="CB2" s="36" t="s">
        <v>230</v>
      </c>
      <c r="CC2" s="36" t="s">
        <v>231</v>
      </c>
      <c r="CD2" s="36" t="s">
        <v>232</v>
      </c>
      <c r="CE2" s="36" t="s">
        <v>233</v>
      </c>
      <c r="CF2" s="36" t="s">
        <v>234</v>
      </c>
      <c r="CG2" s="36" t="s">
        <v>235</v>
      </c>
    </row>
    <row r="3" spans="1:85" ht="21.6" x14ac:dyDescent="0.3">
      <c r="A3" s="101" t="s">
        <v>2</v>
      </c>
      <c r="B3" s="101" t="s">
        <v>3</v>
      </c>
      <c r="C3" s="101" t="s">
        <v>4</v>
      </c>
      <c r="D3" s="37" t="s">
        <v>236</v>
      </c>
      <c r="E3" s="38" t="s">
        <v>237</v>
      </c>
      <c r="F3" s="39" t="s">
        <v>238</v>
      </c>
      <c r="G3" s="38" t="s">
        <v>239</v>
      </c>
      <c r="H3" s="38" t="s">
        <v>240</v>
      </c>
      <c r="I3" s="40" t="s">
        <v>241</v>
      </c>
      <c r="J3" s="41" t="s">
        <v>242</v>
      </c>
      <c r="K3" s="41" t="s">
        <v>243</v>
      </c>
      <c r="L3" s="41" t="s">
        <v>244</v>
      </c>
      <c r="M3" s="41" t="s">
        <v>245</v>
      </c>
      <c r="N3" s="42" t="s">
        <v>246</v>
      </c>
      <c r="O3" s="102" t="s">
        <v>247</v>
      </c>
      <c r="P3" s="100">
        <v>46113</v>
      </c>
      <c r="Q3" s="100">
        <v>46114</v>
      </c>
      <c r="R3" s="100">
        <v>46115</v>
      </c>
      <c r="S3" s="100">
        <v>46116</v>
      </c>
      <c r="T3" s="100">
        <v>46117</v>
      </c>
      <c r="U3" s="100">
        <v>46118</v>
      </c>
      <c r="V3" s="100">
        <v>46119</v>
      </c>
      <c r="W3" s="100">
        <v>46120</v>
      </c>
      <c r="X3" s="100">
        <v>46121</v>
      </c>
      <c r="Y3" s="100">
        <v>46122</v>
      </c>
      <c r="Z3" s="100">
        <v>46123</v>
      </c>
      <c r="AA3" s="100">
        <v>46124</v>
      </c>
      <c r="AB3" s="100">
        <v>46125</v>
      </c>
      <c r="AC3" s="100">
        <v>46126</v>
      </c>
      <c r="AD3" s="100">
        <v>46127</v>
      </c>
      <c r="AE3" s="100">
        <v>46128</v>
      </c>
      <c r="AF3" s="100">
        <v>46129</v>
      </c>
      <c r="AG3" s="100">
        <v>46130</v>
      </c>
      <c r="AH3" s="100">
        <v>46131</v>
      </c>
      <c r="AI3" s="100">
        <v>46132</v>
      </c>
      <c r="AJ3" s="100">
        <v>46133</v>
      </c>
      <c r="AK3" s="100">
        <v>46134</v>
      </c>
      <c r="AL3" s="100">
        <v>46135</v>
      </c>
      <c r="AM3" s="100">
        <v>46136</v>
      </c>
      <c r="AN3" s="100">
        <v>46137</v>
      </c>
      <c r="AO3" s="100">
        <v>46138</v>
      </c>
      <c r="AP3" s="100">
        <v>46139</v>
      </c>
      <c r="AQ3" s="100">
        <v>46140</v>
      </c>
      <c r="AR3" s="100">
        <v>46141</v>
      </c>
      <c r="AS3" s="100">
        <v>46142</v>
      </c>
      <c r="AT3" s="100">
        <v>46143</v>
      </c>
      <c r="AU3" s="100">
        <v>46144</v>
      </c>
      <c r="AV3" s="100">
        <v>46145</v>
      </c>
      <c r="AW3" s="100">
        <v>46146</v>
      </c>
      <c r="AX3" s="100">
        <v>46147</v>
      </c>
      <c r="AY3" s="100">
        <v>46148</v>
      </c>
      <c r="AZ3" s="100">
        <v>46149</v>
      </c>
      <c r="BA3" s="100">
        <v>46150</v>
      </c>
      <c r="BB3" s="100">
        <v>46151</v>
      </c>
      <c r="BC3" s="100">
        <v>46152</v>
      </c>
      <c r="BD3" s="100">
        <v>46153</v>
      </c>
      <c r="BE3" s="100">
        <v>46154</v>
      </c>
      <c r="BF3" s="100">
        <v>46155</v>
      </c>
      <c r="BG3" s="100">
        <v>46156</v>
      </c>
      <c r="BH3" s="100">
        <v>46157</v>
      </c>
      <c r="BI3" s="100">
        <v>46158</v>
      </c>
      <c r="BJ3" s="100">
        <v>46159</v>
      </c>
      <c r="BK3" s="100">
        <v>46160</v>
      </c>
      <c r="BL3" s="100">
        <v>46161</v>
      </c>
      <c r="BM3" s="100">
        <v>46162</v>
      </c>
      <c r="BN3" s="100">
        <v>46163</v>
      </c>
      <c r="BO3" s="100">
        <v>46164</v>
      </c>
      <c r="BP3" s="100">
        <v>46165</v>
      </c>
      <c r="BQ3" s="100">
        <v>46166</v>
      </c>
      <c r="BR3" s="100">
        <v>46167</v>
      </c>
      <c r="BS3" s="100">
        <v>46168</v>
      </c>
      <c r="BT3" s="100">
        <v>46169</v>
      </c>
      <c r="BU3" s="100">
        <v>46170</v>
      </c>
      <c r="BV3" s="100">
        <v>46171</v>
      </c>
      <c r="BW3" s="45" t="s">
        <v>248</v>
      </c>
      <c r="BX3" s="46">
        <v>278</v>
      </c>
      <c r="BY3" s="46">
        <v>884</v>
      </c>
      <c r="BZ3" s="46">
        <v>836</v>
      </c>
      <c r="CA3" s="46">
        <v>1238</v>
      </c>
      <c r="CB3" s="46">
        <v>916</v>
      </c>
      <c r="CC3" s="46">
        <v>1236</v>
      </c>
      <c r="CD3" s="46">
        <v>500</v>
      </c>
      <c r="CE3" s="46">
        <v>730</v>
      </c>
      <c r="CF3" s="46">
        <v>784</v>
      </c>
      <c r="CG3" s="46">
        <v>0</v>
      </c>
    </row>
    <row r="4" spans="1:85" ht="27.6" customHeight="1" x14ac:dyDescent="0.3">
      <c r="A4" s="10" t="str">
        <f>IF(Job_Master!A4="","",Job_Master!A4)</f>
        <v>BJ-104</v>
      </c>
      <c r="B4" s="10">
        <f>IF($A4="","",Job_Master!B4)</f>
        <v>28</v>
      </c>
      <c r="C4" s="10" t="str">
        <f>IF($A4="","",Job_Master!C4)</f>
        <v>2P</v>
      </c>
      <c r="D4" s="47">
        <f>IF($A4="","",Job_Master!D4)</f>
        <v>2</v>
      </c>
      <c r="E4" s="48" t="str">
        <f>IF($A4="","","ENG-MC-01")</f>
        <v>ENG-MC-01</v>
      </c>
      <c r="F4" s="105" t="str">
        <f>IF($E4="","",IFERROR(VLOOKUP($E4,Machine_List!$B:$G,6,0),""))</f>
        <v>General Workman</v>
      </c>
      <c r="G4" s="49">
        <f>IF($E4="","",IFERROR(VLOOKUP($E4,Machine_List!$B:$C,2,0),""))</f>
        <v>46090</v>
      </c>
      <c r="H4" s="48">
        <f>IF($E4="","",IFERROR(VLOOKUP($E4,Machine_List!$B:$D,3,0),""))</f>
        <v>6</v>
      </c>
      <c r="I4" s="46"/>
      <c r="J4" s="50">
        <f ca="1">IF($A4="","",IF($I4&lt;&gt;"",$I4,MAX(EDM_Plan!$M4,IFERROR(LOOKUP(2,1/($E$3:INDIRECT("E"&amp;(ROW()-1))=$E4),$M$3:INDIRECT("M"&amp;(ROW()-1))),EDM_Plan!$M4))))</f>
        <v>46122.643518518504</v>
      </c>
      <c r="K4" s="48">
        <f>IF($A4="","",IFERROR(VLOOKUP(B4,CHOOSE(MATCH(C4,Settings!$L$4:$L$10,0),OPR_2P!$A$4:$I$18,SEG_6P!$A$4:$I$18,SOL_4P!$A$4:$I$18,RW_2P!$A$4:$I$18,RW2_4P!$A$4:$I$18,FLAP_4P!$A$4:$I$18,TUBE_4P!$A$4:$I$18),5,0),0))</f>
        <v>26</v>
      </c>
      <c r="L4" s="48">
        <f t="shared" ref="L4:L67" si="0">IF($A4="","",K4*D4)</f>
        <v>52</v>
      </c>
      <c r="M4" s="50">
        <f ca="1">IF($A4="","",IF(AND(ISNUMBER(G4),G4&gt;=J4,G4&lt;=(J4+(L4/(IF(F4="Contract Workman",Settings!$K$5,Settings!$K$4))))),J4+(L4/(IF(F4="Contract Workman",Settings!$K$5,Settings!$K$4)))+(H4/(IF(F4="Contract Workman",Settings!$K$5,Settings!$K$4))),J4+(L4/(IF(F4="Contract Workman",Settings!$K$5,Settings!$K$4)))))</f>
        <v>46125.050925925912</v>
      </c>
      <c r="N4" s="48" t="str">
        <f t="shared" ref="N4:N35" ca="1" si="1">IF($A4="","",IF(F4="Contract Workman",IF(AND(MOD(M4,1)&gt;=8/24,MOD(M4,1)&lt;20/24),"Shift S1","Shift S2"),IF(AND(MOD(M4,1)&gt;=7/24,MOD(M4,1)&lt;15/24),"Shift A",IF(AND(MOD(M4,1)&gt;=15/24,MOD(M4,1)&lt;23/24),"Shift B","Shift C"))))</f>
        <v>Shift C</v>
      </c>
      <c r="O4" s="51" t="str">
        <f>IF(B4="","", IF(IFERROR(ISNUMBER(SEARCH(B4, VLOOKUP(E4, Machine_List!$B:$J, 9, 0))), FALSE()), "✅ Machine OK", "❌ Sug: " &amp; IFERROR(INDEX(Machine_List!$B$4:$B$50, MATCH("*"&amp;B4&amp;"*", Machine_List!$J$4:$J$50, 0)), "Check Limits")))</f>
        <v>✅ Machine OK</v>
      </c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2"/>
      <c r="BK4" s="52"/>
      <c r="BL4" s="52"/>
      <c r="BM4" s="52"/>
      <c r="BW4" s="45" t="s">
        <v>249</v>
      </c>
      <c r="BX4" s="46">
        <v>9072</v>
      </c>
      <c r="BY4" s="46">
        <v>9374.4</v>
      </c>
      <c r="BZ4" s="46">
        <v>9072</v>
      </c>
      <c r="CA4" s="46">
        <v>9374.4</v>
      </c>
      <c r="CB4" s="46">
        <v>9374.4</v>
      </c>
      <c r="CC4" s="46">
        <v>9072</v>
      </c>
      <c r="CD4" s="46">
        <v>9374.4</v>
      </c>
      <c r="CE4" s="46">
        <v>9072</v>
      </c>
      <c r="CF4" s="46">
        <v>9374.4</v>
      </c>
      <c r="CG4" s="46">
        <v>9374.4</v>
      </c>
    </row>
    <row r="5" spans="1:85" ht="28.8" customHeight="1" x14ac:dyDescent="0.3">
      <c r="A5" s="10" t="str">
        <f>IF(Job_Master!A5="","",Job_Master!A5)</f>
        <v>BJ-101</v>
      </c>
      <c r="B5" s="10">
        <f>IF($A5="","",Job_Master!B5)</f>
        <v>42</v>
      </c>
      <c r="C5" s="10" t="str">
        <f>IF($A5="","",Job_Master!C5)</f>
        <v>SOL</v>
      </c>
      <c r="D5" s="10">
        <f>IF($A5="","",Job_Master!D5)</f>
        <v>4</v>
      </c>
      <c r="E5" s="48" t="str">
        <f>IF($A5="","","ENG-MC-03")</f>
        <v>ENG-MC-03</v>
      </c>
      <c r="F5" s="106" t="str">
        <f>IF($E5="","",IFERROR(VLOOKUP($E5,Machine_List!$B:$G,6,0),""))</f>
        <v>General Workman</v>
      </c>
      <c r="G5" s="53">
        <f>IF($E5="","",IFERROR(VLOOKUP($E5,Machine_List!$B:$C,2,0),""))</f>
        <v>46433</v>
      </c>
      <c r="H5" s="10">
        <f>IF($E5="","",IFERROR(VLOOKUP($E5,Machine_List!$B:$D,3,0),""))</f>
        <v>6</v>
      </c>
      <c r="I5" s="54"/>
      <c r="J5" s="55">
        <f ca="1">IF($A5="","",IF($I5&lt;&gt;"",$I5,MAX(EDM_Plan!$M5,IFERROR(LOOKUP(2,1/($E$3:INDIRECT("E"&amp;(ROW()-1))=$E5),$M$3:INDIRECT("M"&amp;(ROW()-1))),EDM_Plan!$M5))))</f>
        <v>46142.736111111102</v>
      </c>
      <c r="K5" s="10">
        <f>IF($A5="","",IFERROR(VLOOKUP(B5,CHOOSE(MATCH(C5,Settings!$L$4:$L$10,0),OPR_2P!$A$4:$I$18,SEG_6P!$A$4:$I$18,SOL_4P!$A$4:$I$18,RW_2P!$A$4:$I$18,RW2_4P!$A$4:$I$18,FLAP_4P!$A$4:$I$18,TUBE_4P!$A$4:$I$18),5,0),0))</f>
        <v>41</v>
      </c>
      <c r="L5" s="10">
        <f t="shared" si="0"/>
        <v>164</v>
      </c>
      <c r="M5" s="55">
        <f ca="1">IF($A5="","",IF(AND(ISNUMBER(G5),G5&gt;=J5,G5&lt;=(J5+(L5/(IF(F5="Contract Workman",Settings!$K$5,Settings!$K$4))))),J5+(L5/(IF(F5="Contract Workman",Settings!$K$5,Settings!$K$4)))+(H5/(IF(F5="Contract Workman",Settings!$K$5,Settings!$K$4))),J5+(L5/(IF(F5="Contract Workman",Settings!$K$5,Settings!$K$4)))))</f>
        <v>46150.328703703693</v>
      </c>
      <c r="N5" s="10" t="str">
        <f t="shared" ca="1" si="1"/>
        <v>Shift A</v>
      </c>
      <c r="O5" s="51" t="str">
        <f>IF(B5="","", IF(IFERROR(ISNUMBER(SEARCH(B5, VLOOKUP(E5, Machine_List!$B:$J, 9, 0))), FALSE()), "✅ Machine OK", "❌ Sug: " &amp; IFERROR(INDEX(Machine_List!$B$4:$B$50, MATCH("*"&amp;B5&amp;"*", Machine_List!$J$4:$J$50, 0)), "Check Limits")))</f>
        <v>✅ Machine OK</v>
      </c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  <c r="BD5" s="52"/>
      <c r="BE5" s="52"/>
      <c r="BF5" s="52"/>
      <c r="BG5" s="52"/>
      <c r="BH5" s="52"/>
      <c r="BI5" s="52"/>
      <c r="BJ5" s="52"/>
      <c r="BK5" s="52"/>
      <c r="BL5" s="52"/>
      <c r="BM5" s="52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</row>
    <row r="6" spans="1:85" ht="28.8" customHeight="1" x14ac:dyDescent="0.3">
      <c r="A6" s="10" t="str">
        <f>IF(Job_Master!A6="","",Job_Master!A6)</f>
        <v>BJ-105</v>
      </c>
      <c r="B6" s="10">
        <f>IF($A6="","",Job_Master!B6)</f>
        <v>28</v>
      </c>
      <c r="C6" s="10" t="str">
        <f>IF($A6="","",Job_Master!C6)</f>
        <v>RW</v>
      </c>
      <c r="D6" s="10">
        <f>IF($A6="","",Job_Master!D6)</f>
        <v>2</v>
      </c>
      <c r="E6" s="48" t="str">
        <f>IF($A6="","","ENG-MC-02")</f>
        <v>ENG-MC-02</v>
      </c>
      <c r="F6" s="106" t="str">
        <f>IF($E6="","",IFERROR(VLOOKUP($E6,Machine_List!$B:$G,6,0),""))</f>
        <v>General Workman</v>
      </c>
      <c r="G6" s="53">
        <f>IF($E6="","",IFERROR(VLOOKUP($E6,Machine_List!$B:$C,2,0),""))</f>
        <v>46230</v>
      </c>
      <c r="H6" s="10">
        <f>IF($E6="","",IFERROR(VLOOKUP($E6,Machine_List!$B:$D,3,0),""))</f>
        <v>6</v>
      </c>
      <c r="I6" s="54"/>
      <c r="J6" s="55">
        <f ca="1">IF($A6="","",IF($I6&lt;&gt;"",$I6,MAX(EDM_Plan!$M6,IFERROR(LOOKUP(2,1/($E$3:INDIRECT("E"&amp;(ROW()-1))=$E6),$M$3:INDIRECT("M"&amp;(ROW()-1))),EDM_Plan!$M6))))</f>
        <v>46121.902777777766</v>
      </c>
      <c r="K6" s="10">
        <f>IF($A6="","",IFERROR(VLOOKUP(B6,CHOOSE(MATCH(C6,Settings!$L$4:$L$10,0),OPR_2P!$A$4:$I$18,SEG_6P!$A$4:$I$18,SOL_4P!$A$4:$I$18,RW_2P!$A$4:$I$18,RW2_4P!$A$4:$I$18,FLAP_4P!$A$4:$I$18,TUBE_4P!$A$4:$I$18),5,0),0))</f>
        <v>48</v>
      </c>
      <c r="L6" s="10">
        <f t="shared" si="0"/>
        <v>96</v>
      </c>
      <c r="M6" s="55">
        <f ca="1">IF($A6="","",IF(AND(ISNUMBER(G6),G6&gt;=J6,G6&lt;=(J6+(L6/(IF(F6="Contract Workman",Settings!$K$5,Settings!$K$4))))),J6+(L6/(IF(F6="Contract Workman",Settings!$K$5,Settings!$K$4)))+(H6/(IF(F6="Contract Workman",Settings!$K$5,Settings!$K$4))),J6+(L6/(IF(F6="Contract Workman",Settings!$K$5,Settings!$K$4)))))</f>
        <v>46126.347222222212</v>
      </c>
      <c r="N6" s="10" t="str">
        <f t="shared" ca="1" si="1"/>
        <v>Shift A</v>
      </c>
      <c r="O6" s="51" t="str">
        <f>IF(B6="","", IF(IFERROR(ISNUMBER(SEARCH(B6, VLOOKUP(E6, Machine_List!$B:$J, 9, 0))), FALSE()), "✅ Machine OK", "❌ Sug: " &amp; IFERROR(INDEX(Machine_List!$B$4:$B$50, MATCH("*"&amp;B6&amp;"*", Machine_List!$J$4:$J$50, 0)), "Check Limits")))</f>
        <v>✅ Machine OK</v>
      </c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52"/>
      <c r="BJ6" s="52"/>
      <c r="BK6" s="52"/>
      <c r="BL6" s="52"/>
      <c r="BM6" s="52"/>
    </row>
    <row r="7" spans="1:85" ht="28.8" customHeight="1" x14ac:dyDescent="0.3">
      <c r="A7" s="10" t="str">
        <f>IF(Job_Master!A7="","",Job_Master!A7)</f>
        <v>BJ-100</v>
      </c>
      <c r="B7" s="10">
        <f>IF($A7="","",Job_Master!B7)</f>
        <v>25</v>
      </c>
      <c r="C7" s="10" t="str">
        <f>IF($A7="","",Job_Master!C7)</f>
        <v>SEG</v>
      </c>
      <c r="D7" s="10">
        <f>IF($A7="","",Job_Master!D7)</f>
        <v>6</v>
      </c>
      <c r="E7" s="48" t="str">
        <f>IF($A7="","","ENG-MC-01")</f>
        <v>ENG-MC-01</v>
      </c>
      <c r="F7" s="106" t="str">
        <f>IF($E7="","",IFERROR(VLOOKUP($E7,Machine_List!$B:$G,6,0),""))</f>
        <v>General Workman</v>
      </c>
      <c r="G7" s="53">
        <f>IF($E7="","",IFERROR(VLOOKUP($E7,Machine_List!$B:$C,2,0),""))</f>
        <v>46090</v>
      </c>
      <c r="H7" s="10">
        <f>IF($E7="","",IFERROR(VLOOKUP($E7,Machine_List!$B:$D,3,0),""))</f>
        <v>6</v>
      </c>
      <c r="I7" s="54"/>
      <c r="J7" s="55">
        <f ca="1">IF($A7="","",IF($I7&lt;&gt;"",$I7,MAX(EDM_Plan!$M7,IFERROR(LOOKUP(2,1/($E$3:INDIRECT("E"&amp;(ROW()-1))=$E7),$M$3:INDIRECT("M"&amp;(ROW()-1))),EDM_Plan!$M7))))</f>
        <v>46140.606481481467</v>
      </c>
      <c r="K7" s="10">
        <f>IF($A7="","",IFERROR(VLOOKUP(B7,CHOOSE(MATCH(C7,Settings!$L$4:$L$10,0),OPR_2P!$A$4:$I$18,SEG_6P!$A$4:$I$18,SOL_4P!$A$4:$I$18,RW_2P!$A$4:$I$18,RW2_4P!$A$4:$I$18,FLAP_4P!$A$4:$I$18,TUBE_4P!$A$4:$I$18),5,0),0))</f>
        <v>35</v>
      </c>
      <c r="L7" s="10">
        <f t="shared" si="0"/>
        <v>210</v>
      </c>
      <c r="M7" s="55">
        <f ca="1">IF($A7="","",IF(AND(ISNUMBER(G7),G7&gt;=J7,G7&lt;=(J7+(L7/(IF(F7="Contract Workman",Settings!$K$5,Settings!$K$4))))),J7+(L7/(IF(F7="Contract Workman",Settings!$K$5,Settings!$K$4)))+(H7/(IF(F7="Contract Workman",Settings!$K$5,Settings!$K$4))),J7+(L7/(IF(F7="Contract Workman",Settings!$K$5,Settings!$K$4)))))</f>
        <v>46150.328703703686</v>
      </c>
      <c r="N7" s="10" t="str">
        <f t="shared" ca="1" si="1"/>
        <v>Shift A</v>
      </c>
      <c r="O7" s="51" t="str">
        <f>IF(B7="","", IF(IFERROR(ISNUMBER(SEARCH(B7, VLOOKUP(E7, Machine_List!$B:$J, 9, 0))), FALSE()), "✅ Machine OK", "❌ Sug: " &amp; IFERROR(INDEX(Machine_List!$B$4:$B$50, MATCH("*"&amp;B7&amp;"*", Machine_List!$J$4:$J$50, 0)), "Check Limits")))</f>
        <v>✅ Machine OK</v>
      </c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52"/>
      <c r="BJ7" s="52"/>
      <c r="BK7" s="52"/>
      <c r="BL7" s="52"/>
      <c r="BM7" s="52"/>
    </row>
    <row r="8" spans="1:85" ht="28.8" customHeight="1" x14ac:dyDescent="0.3">
      <c r="A8" s="10" t="str">
        <f>IF(Job_Master!A8="","",Job_Master!A8)</f>
        <v>BJ-102</v>
      </c>
      <c r="B8" s="10">
        <f>IF($A8="","",Job_Master!B8)</f>
        <v>34</v>
      </c>
      <c r="C8" s="10" t="str">
        <f>IF($A8="","",Job_Master!C8)</f>
        <v>SEG</v>
      </c>
      <c r="D8" s="10">
        <f>IF($A8="","",Job_Master!D8)</f>
        <v>6</v>
      </c>
      <c r="E8" s="48" t="str">
        <f>IF($A8="","","ENG-MC-02")</f>
        <v>ENG-MC-02</v>
      </c>
      <c r="F8" s="106" t="str">
        <f>IF($E8="","",IFERROR(VLOOKUP($E8,Machine_List!$B:$G,6,0),""))</f>
        <v>General Workman</v>
      </c>
      <c r="G8" s="53">
        <f>IF($E8="","",IFERROR(VLOOKUP($E8,Machine_List!$B:$C,2,0),""))</f>
        <v>46230</v>
      </c>
      <c r="H8" s="10">
        <f>IF($E8="","",IFERROR(VLOOKUP($E8,Machine_List!$B:$D,3,0),""))</f>
        <v>6</v>
      </c>
      <c r="I8" s="54"/>
      <c r="J8" s="55">
        <f ca="1">IF($A8="","",IF($I8&lt;&gt;"",$I8,MAX(EDM_Plan!$M8,IFERROR(LOOKUP(2,1/($E$3:INDIRECT("E"&amp;(ROW()-1))=$E8),$M$3:INDIRECT("M"&amp;(ROW()-1))),EDM_Plan!$M8))))</f>
        <v>46149.680555555547</v>
      </c>
      <c r="K8" s="10">
        <f>IF($A8="","",IFERROR(VLOOKUP(B8,CHOOSE(MATCH(C8,Settings!$L$4:$L$10,0),OPR_2P!$A$4:$I$18,SEG_6P!$A$4:$I$18,SOL_4P!$A$4:$I$18,RW_2P!$A$4:$I$18,RW2_4P!$A$4:$I$18,FLAP_4P!$A$4:$I$18,TUBE_4P!$A$4:$I$18),5,0),0))</f>
        <v>42</v>
      </c>
      <c r="L8" s="10">
        <f t="shared" si="0"/>
        <v>252</v>
      </c>
      <c r="M8" s="55">
        <f ca="1">IF($A8="","",IF(AND(ISNUMBER(G8),G8&gt;=J8,G8&lt;=(J8+(L8/(IF(F8="Contract Workman",Settings!$K$5,Settings!$K$4))))),J8+(L8/(IF(F8="Contract Workman",Settings!$K$5,Settings!$K$4)))+(H8/(IF(F8="Contract Workman",Settings!$K$5,Settings!$K$4))),J8+(L8/(IF(F8="Contract Workman",Settings!$K$5,Settings!$K$4)))))</f>
        <v>46161.347222222212</v>
      </c>
      <c r="N8" s="10" t="str">
        <f t="shared" ca="1" si="1"/>
        <v>Shift A</v>
      </c>
      <c r="O8" s="51" t="str">
        <f>IF(B8="","", IF(IFERROR(ISNUMBER(SEARCH(B8, VLOOKUP(E8, Machine_List!$B:$J, 9, 0))), FALSE()), "✅ Machine OK", "❌ Sug: " &amp; IFERROR(INDEX(Machine_List!$B$4:$B$50, MATCH("*"&amp;B8&amp;"*", Machine_List!$J$4:$J$50, 0)), "Check Limits")))</f>
        <v>✅ Machine OK</v>
      </c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52"/>
      <c r="BL8" s="52"/>
      <c r="BM8" s="52"/>
    </row>
    <row r="9" spans="1:85" ht="28.8" customHeight="1" x14ac:dyDescent="0.3">
      <c r="A9" s="10" t="str">
        <f>IF(Job_Master!A9="","",Job_Master!A9)</f>
        <v>BJ-103</v>
      </c>
      <c r="B9" s="10">
        <f>IF($A9="","",Job_Master!B9)</f>
        <v>20</v>
      </c>
      <c r="C9" s="10" t="str">
        <f>IF($A9="","",Job_Master!C9)</f>
        <v>RW</v>
      </c>
      <c r="D9" s="10">
        <f>IF($A9="","",Job_Master!D9)</f>
        <v>2</v>
      </c>
      <c r="E9" s="48" t="str">
        <f>IF($A9="","","ENG-MC-04")</f>
        <v>ENG-MC-04</v>
      </c>
      <c r="F9" s="106" t="str">
        <f>IF($E9="","",IFERROR(VLOOKUP($E9,Machine_List!$B:$G,6,0),""))</f>
        <v>General Workman</v>
      </c>
      <c r="G9" s="53">
        <f>IF($E9="","",IFERROR(VLOOKUP($E9,Machine_List!$B:$C,2,0),""))</f>
        <v>46450</v>
      </c>
      <c r="H9" s="10">
        <f>IF($E9="","",IFERROR(VLOOKUP($E9,Machine_List!$B:$D,3,0),""))</f>
        <v>6</v>
      </c>
      <c r="I9" s="54"/>
      <c r="J9" s="55">
        <f ca="1">IF($A9="","",IF($I9&lt;&gt;"",$I9,MAX(EDM_Plan!$M9,IFERROR(LOOKUP(2,1/($E$3:INDIRECT("E"&amp;(ROW()-1))=$E9),$M$3:INDIRECT("M"&amp;(ROW()-1))),EDM_Plan!$M9))))</f>
        <v>46122.736111111102</v>
      </c>
      <c r="K9" s="10">
        <f>IF($A9="","",IFERROR(VLOOKUP(B9,CHOOSE(MATCH(C9,Settings!$L$4:$L$10,0),OPR_2P!$A$4:$I$18,SEG_6P!$A$4:$I$18,SOL_4P!$A$4:$I$18,RW_2P!$A$4:$I$18,RW2_4P!$A$4:$I$18,FLAP_4P!$A$4:$I$18,TUBE_4P!$A$4:$I$18),5,0),0))</f>
        <v>28</v>
      </c>
      <c r="L9" s="10">
        <f t="shared" si="0"/>
        <v>56</v>
      </c>
      <c r="M9" s="55">
        <f ca="1">IF($A9="","",IF(AND(ISNUMBER(G9),G9&gt;=J9,G9&lt;=(J9+(L9/(IF(F9="Contract Workman",Settings!$K$5,Settings!$K$4))))),J9+(L9/(IF(F9="Contract Workman",Settings!$K$5,Settings!$K$4)))+(H9/(IF(F9="Contract Workman",Settings!$K$5,Settings!$K$4))),J9+(L9/(IF(F9="Contract Workman",Settings!$K$5,Settings!$K$4)))))</f>
        <v>46125.328703703693</v>
      </c>
      <c r="N9" s="10" t="str">
        <f t="shared" ca="1" si="1"/>
        <v>Shift A</v>
      </c>
      <c r="O9" s="51" t="str">
        <f>IF(B9="","", IF(IFERROR(ISNUMBER(SEARCH(B9, VLOOKUP(E9, Machine_List!$B:$J, 9, 0))), FALSE()), "✅ Machine OK", "❌ Sug: " &amp; IFERROR(INDEX(Machine_List!$B$4:$B$50, MATCH("*"&amp;B9&amp;"*", Machine_List!$J$4:$J$50, 0)), "Check Limits")))</f>
        <v>✅ Machine OK</v>
      </c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2"/>
      <c r="AQ9" s="52"/>
      <c r="AR9" s="52"/>
      <c r="AS9" s="52"/>
      <c r="AT9" s="52"/>
      <c r="AU9" s="52"/>
      <c r="AV9" s="52"/>
      <c r="AW9" s="52"/>
      <c r="AX9" s="52"/>
      <c r="AY9" s="52"/>
      <c r="AZ9" s="52"/>
      <c r="BA9" s="52"/>
      <c r="BB9" s="52"/>
      <c r="BC9" s="52"/>
      <c r="BD9" s="52"/>
      <c r="BE9" s="52"/>
      <c r="BF9" s="52"/>
      <c r="BG9" s="52"/>
      <c r="BH9" s="52"/>
      <c r="BI9" s="52"/>
      <c r="BJ9" s="52"/>
      <c r="BK9" s="52"/>
      <c r="BL9" s="52"/>
      <c r="BM9" s="52"/>
    </row>
    <row r="10" spans="1:85" ht="28.8" customHeight="1" x14ac:dyDescent="0.3">
      <c r="A10" s="10" t="str">
        <f>IF(Job_Master!A10="","",Job_Master!A10)</f>
        <v>BJ-108</v>
      </c>
      <c r="B10" s="10">
        <f>IF($A10="","",Job_Master!B10)</f>
        <v>70</v>
      </c>
      <c r="C10" s="10" t="str">
        <f>IF($A10="","",Job_Master!C10)</f>
        <v>RW</v>
      </c>
      <c r="D10" s="10">
        <f>IF($A10="","",Job_Master!D10)</f>
        <v>2</v>
      </c>
      <c r="E10" s="48" t="str">
        <f>IF($A10="","","ENG-MC-12")</f>
        <v>ENG-MC-12</v>
      </c>
      <c r="F10" s="106" t="str">
        <f>IF($E10="","",IFERROR(VLOOKUP($E10,Machine_List!$B:$G,6,0),""))</f>
        <v>General Workman</v>
      </c>
      <c r="G10" s="53">
        <f>IF($E10="","",IFERROR(VLOOKUP($E10,Machine_List!$B:$C,2,0),""))</f>
        <v>46454</v>
      </c>
      <c r="H10" s="10">
        <f>IF($E10="","",IFERROR(VLOOKUP($E10,Machine_List!$B:$D,3,0),""))</f>
        <v>6</v>
      </c>
      <c r="I10" s="54"/>
      <c r="J10" s="55">
        <f ca="1">IF($A10="","",IF($I10&lt;&gt;"",$I10,MAX(EDM_Plan!$M10,IFERROR(LOOKUP(2,1/($E$3:INDIRECT("E"&amp;(ROW()-1))=$E10),$M$3:INDIRECT("M"&amp;(ROW()-1))),EDM_Plan!$M10))))</f>
        <v>46150.976851851847</v>
      </c>
      <c r="K10" s="10">
        <f>IF($A10="","",IFERROR(VLOOKUP(B10,CHOOSE(MATCH(C10,Settings!$L$4:$L$10,0),OPR_2P!$A$4:$I$18,SEG_6P!$A$4:$I$18,SOL_4P!$A$4:$I$18,RW_2P!$A$4:$I$18,RW2_4P!$A$4:$I$18,FLAP_4P!$A$4:$I$18,TUBE_4P!$A$4:$I$18),5,0),0))</f>
        <v>99</v>
      </c>
      <c r="L10" s="10">
        <f t="shared" si="0"/>
        <v>198</v>
      </c>
      <c r="M10" s="55">
        <f ca="1">IF($A10="","",IF(AND(ISNUMBER(G10),G10&gt;=J10,G10&lt;=(J10+(L10/(IF(F10="Contract Workman",Settings!$K$5,Settings!$K$4))))),J10+(L10/(IF(F10="Contract Workman",Settings!$K$5,Settings!$K$4)))+(H10/(IF(F10="Contract Workman",Settings!$K$5,Settings!$K$4))),J10+(L10/(IF(F10="Contract Workman",Settings!$K$5,Settings!$K$4)))))</f>
        <v>46160.143518518511</v>
      </c>
      <c r="N10" s="10" t="str">
        <f t="shared" ca="1" si="1"/>
        <v>Shift C</v>
      </c>
      <c r="O10" s="51" t="str">
        <f>IF(B10="","", IF(IFERROR(ISNUMBER(SEARCH(B10, VLOOKUP(E10, Machine_List!$B:$J, 9, 0))), FALSE()), "✅ Machine OK", "❌ Sug: " &amp; IFERROR(INDEX(Machine_List!$B$4:$B$50, MATCH("*"&amp;B10&amp;"*", Machine_List!$J$4:$J$50, 0)), "Check Limits")))</f>
        <v>✅ Machine OK</v>
      </c>
      <c r="P10" s="56"/>
      <c r="Q10" s="57"/>
      <c r="R10" s="57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2"/>
      <c r="BM10" s="52"/>
    </row>
    <row r="11" spans="1:85" ht="28.8" customHeight="1" x14ac:dyDescent="0.3">
      <c r="A11" s="10" t="str">
        <f>IF(Job_Master!A11="","",Job_Master!A11)</f>
        <v>BJ-106</v>
      </c>
      <c r="B11" s="10">
        <f>IF($A11="","",Job_Master!B11)</f>
        <v>15</v>
      </c>
      <c r="C11" s="10" t="str">
        <f>IF($A11="","",Job_Master!C11)</f>
        <v>RW</v>
      </c>
      <c r="D11" s="10">
        <f>IF($A11="","",Job_Master!D11)</f>
        <v>2</v>
      </c>
      <c r="E11" s="48" t="str">
        <f>IF($A11="","","ENG-MC-05")</f>
        <v>ENG-MC-05</v>
      </c>
      <c r="F11" s="106" t="str">
        <f>IF($E11="","",IFERROR(VLOOKUP($E11,Machine_List!$B:$G,6,0),""))</f>
        <v>General Workman</v>
      </c>
      <c r="G11" s="53">
        <f>IF($E11="","",IFERROR(VLOOKUP($E11,Machine_List!$B:$C,2,0),""))</f>
        <v>46049</v>
      </c>
      <c r="H11" s="10">
        <f>IF($E11="","",IFERROR(VLOOKUP($E11,Machine_List!$B:$D,3,0),""))</f>
        <v>6</v>
      </c>
      <c r="I11" s="54"/>
      <c r="J11" s="55">
        <f ca="1">IF($A11="","",IF($I11&lt;&gt;"",$I11,MAX(EDM_Plan!$M11,IFERROR(LOOKUP(2,1/($E$3:INDIRECT("E"&amp;(ROW()-1))=$E11),$M$3:INDIRECT("M"&amp;(ROW()-1))),EDM_Plan!$M11))))</f>
        <v>46121.810185185182</v>
      </c>
      <c r="K11" s="10">
        <f>IF($A11="","",IFERROR(VLOOKUP(B11,CHOOSE(MATCH(C11,Settings!$L$4:$L$10,0),OPR_2P!$A$4:$I$18,SEG_6P!$A$4:$I$18,SOL_4P!$A$4:$I$18,RW_2P!$A$4:$I$18,RW2_4P!$A$4:$I$18,FLAP_4P!$A$4:$I$18,TUBE_4P!$A$4:$I$18),5,0),0))</f>
        <v>10</v>
      </c>
      <c r="L11" s="10">
        <f t="shared" si="0"/>
        <v>20</v>
      </c>
      <c r="M11" s="55">
        <f ca="1">IF($A11="","",IF(AND(ISNUMBER(G11),G11&gt;=J11,G11&lt;=(J11+(L11/(IF(F11="Contract Workman",Settings!$K$5,Settings!$K$4))))),J11+(L11/(IF(F11="Contract Workman",Settings!$K$5,Settings!$K$4)))+(H11/(IF(F11="Contract Workman",Settings!$K$5,Settings!$K$4))),J11+(L11/(IF(F11="Contract Workman",Settings!$K$5,Settings!$K$4)))))</f>
        <v>46122.736111111109</v>
      </c>
      <c r="N11" s="10" t="str">
        <f t="shared" ca="1" si="1"/>
        <v>Shift B</v>
      </c>
      <c r="O11" s="51" t="str">
        <f>IF(B11="","", IF(IFERROR(ISNUMBER(SEARCH(B11, VLOOKUP(E11, Machine_List!$B:$J, 9, 0))), FALSE()), "✅ Machine OK", "❌ Sug: " &amp; IFERROR(INDEX(Machine_List!$B$4:$B$50, MATCH("*"&amp;B11&amp;"*", Machine_List!$J$4:$J$50, 0)), "Check Limits")))</f>
        <v>✅ Machine OK</v>
      </c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  <c r="BM11" s="52"/>
    </row>
    <row r="12" spans="1:85" ht="28.8" customHeight="1" x14ac:dyDescent="0.3">
      <c r="A12" s="10" t="str">
        <f>IF(Job_Master!A12="","",Job_Master!A12)</f>
        <v>BJ-109</v>
      </c>
      <c r="B12" s="10">
        <f>IF($A12="","",Job_Master!B12)</f>
        <v>30</v>
      </c>
      <c r="C12" s="10" t="str">
        <f>IF($A12="","",Job_Master!C12)</f>
        <v>RW</v>
      </c>
      <c r="D12" s="10">
        <f>IF($A12="","",Job_Master!D12)</f>
        <v>2</v>
      </c>
      <c r="E12" s="48" t="str">
        <f>IF($A12="","","ENG-MC-04")</f>
        <v>ENG-MC-04</v>
      </c>
      <c r="F12" s="106" t="str">
        <f>IF($E12="","",IFERROR(VLOOKUP($E12,Machine_List!$B:$G,6,0),""))</f>
        <v>General Workman</v>
      </c>
      <c r="G12" s="53">
        <f>IF($E12="","",IFERROR(VLOOKUP($E12,Machine_List!$B:$C,2,0),""))</f>
        <v>46450</v>
      </c>
      <c r="H12" s="10">
        <f>IF($E12="","",IFERROR(VLOOKUP($E12,Machine_List!$B:$D,3,0),""))</f>
        <v>6</v>
      </c>
      <c r="I12" s="54"/>
      <c r="J12" s="55">
        <f ca="1">IF($A12="","",IF($I12&lt;&gt;"",$I12,MAX(EDM_Plan!$M12,IFERROR(LOOKUP(2,1/($E$3:INDIRECT("E"&amp;(ROW()-1))=$E12),$M$3:INDIRECT("M"&amp;(ROW()-1))),EDM_Plan!$M12))))</f>
        <v>46129.587962962964</v>
      </c>
      <c r="K12" s="10">
        <f>IF($A12="","",IFERROR(VLOOKUP(B12,CHOOSE(MATCH(C12,Settings!$L$4:$L$10,0),OPR_2P!$A$4:$I$18,SEG_6P!$A$4:$I$18,SOL_4P!$A$4:$I$18,RW_2P!$A$4:$I$18,RW2_4P!$A$4:$I$18,FLAP_4P!$A$4:$I$18,TUBE_4P!$A$4:$I$18),5,0),0))</f>
        <v>49</v>
      </c>
      <c r="L12" s="10">
        <f t="shared" si="0"/>
        <v>98</v>
      </c>
      <c r="M12" s="55">
        <f ca="1">IF($A12="","",IF(AND(ISNUMBER(G12),G12&gt;=J12,G12&lt;=(J12+(L12/(IF(F12="Contract Workman",Settings!$K$5,Settings!$K$4))))),J12+(L12/(IF(F12="Contract Workman",Settings!$K$5,Settings!$K$4)))+(H12/(IF(F12="Contract Workman",Settings!$K$5,Settings!$K$4))),J12+(L12/(IF(F12="Contract Workman",Settings!$K$5,Settings!$K$4)))))</f>
        <v>46134.125</v>
      </c>
      <c r="N12" s="10" t="str">
        <f t="shared" ca="1" si="1"/>
        <v>Shift C</v>
      </c>
      <c r="O12" s="51" t="str">
        <f>IF(B12="","", IF(IFERROR(ISNUMBER(SEARCH(B12, VLOOKUP(E12, Machine_List!$B:$J, 9, 0))), FALSE()), "✅ Machine OK", "❌ Sug: " &amp; IFERROR(INDEX(Machine_List!$B$4:$B$50, MATCH("*"&amp;B12&amp;"*", Machine_List!$J$4:$J$50, 0)), "Check Limits")))</f>
        <v>✅ Machine OK</v>
      </c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2"/>
      <c r="BD12" s="52"/>
      <c r="BE12" s="52"/>
      <c r="BF12" s="52"/>
      <c r="BG12" s="52"/>
      <c r="BH12" s="52"/>
      <c r="BI12" s="52"/>
      <c r="BJ12" s="52"/>
      <c r="BK12" s="52"/>
      <c r="BL12" s="52"/>
      <c r="BM12" s="52"/>
    </row>
    <row r="13" spans="1:85" ht="28.8" customHeight="1" x14ac:dyDescent="0.3">
      <c r="A13" s="10" t="str">
        <f>IF(Job_Master!A13="","",Job_Master!A13)</f>
        <v>BJ-110</v>
      </c>
      <c r="B13" s="10">
        <f>IF($A13="","",Job_Master!B13)</f>
        <v>17</v>
      </c>
      <c r="C13" s="10" t="str">
        <f>IF($A13="","",Job_Master!C13)</f>
        <v>2P</v>
      </c>
      <c r="D13" s="10">
        <f>IF($A13="","",Job_Master!D13)</f>
        <v>2</v>
      </c>
      <c r="E13" s="48" t="str">
        <f>IF($A13="","","ENG-MC-05")</f>
        <v>ENG-MC-05</v>
      </c>
      <c r="F13" s="106" t="str">
        <f>IF($E13="","",IFERROR(VLOOKUP($E13,Machine_List!$B:$G,6,0),""))</f>
        <v>General Workman</v>
      </c>
      <c r="G13" s="53">
        <f>IF($E13="","",IFERROR(VLOOKUP($E13,Machine_List!$B:$C,2,0),""))</f>
        <v>46049</v>
      </c>
      <c r="H13" s="10">
        <f>IF($E13="","",IFERROR(VLOOKUP($E13,Machine_List!$B:$D,3,0),""))</f>
        <v>6</v>
      </c>
      <c r="I13" s="54"/>
      <c r="J13" s="55">
        <f ca="1">IF($A13="","",IF($I13&lt;&gt;"",$I13,MAX(EDM_Plan!$M13,IFERROR(LOOKUP(2,1/($E$3:INDIRECT("E"&amp;(ROW()-1))=$E13),$M$3:INDIRECT("M"&amp;(ROW()-1))),EDM_Plan!$M13))))</f>
        <v>46123.662037037029</v>
      </c>
      <c r="K13" s="10">
        <f>IF($A13="","",IFERROR(VLOOKUP(B13,CHOOSE(MATCH(C13,Settings!$L$4:$L$10,0),OPR_2P!$A$4:$I$18,SEG_6P!$A$4:$I$18,SOL_4P!$A$4:$I$18,RW_2P!$A$4:$I$18,RW2_4P!$A$4:$I$18,FLAP_4P!$A$4:$I$18,TUBE_4P!$A$4:$I$18),5,0),0))</f>
        <v>12</v>
      </c>
      <c r="L13" s="10">
        <f t="shared" si="0"/>
        <v>24</v>
      </c>
      <c r="M13" s="55">
        <f ca="1">IF($A13="","",IF(AND(ISNUMBER(G13),G13&gt;=J13,G13&lt;=(J13+(L13/(IF(F13="Contract Workman",Settings!$K$5,Settings!$K$4))))),J13+(L13/(IF(F13="Contract Workman",Settings!$K$5,Settings!$K$4)))+(H13/(IF(F13="Contract Workman",Settings!$K$5,Settings!$K$4))),J13+(L13/(IF(F13="Contract Workman",Settings!$K$5,Settings!$K$4)))))</f>
        <v>46124.773148148139</v>
      </c>
      <c r="N13" s="10" t="str">
        <f t="shared" ca="1" si="1"/>
        <v>Shift B</v>
      </c>
      <c r="O13" s="51" t="str">
        <f>IF(B13="","", IF(IFERROR(ISNUMBER(SEARCH(B13, VLOOKUP(E13, Machine_List!$B:$J, 9, 0))), FALSE()), "✅ Machine OK", "❌ Sug: " &amp; IFERROR(INDEX(Machine_List!$B$4:$B$50, MATCH("*"&amp;B13&amp;"*", Machine_List!$J$4:$J$50, 0)), "Check Limits")))</f>
        <v>✅ Machine OK</v>
      </c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2"/>
      <c r="BD13" s="52"/>
      <c r="BE13" s="52"/>
      <c r="BF13" s="52"/>
      <c r="BG13" s="52"/>
      <c r="BH13" s="52"/>
      <c r="BI13" s="52"/>
      <c r="BJ13" s="52"/>
      <c r="BK13" s="52"/>
      <c r="BL13" s="52"/>
      <c r="BM13" s="52"/>
    </row>
    <row r="14" spans="1:85" ht="28.8" customHeight="1" x14ac:dyDescent="0.3">
      <c r="A14" s="10" t="str">
        <f>IF(Job_Master!A14="","",Job_Master!A14)</f>
        <v>BJ-111</v>
      </c>
      <c r="B14" s="10">
        <f>IF($A14="","",Job_Master!B14)</f>
        <v>25</v>
      </c>
      <c r="C14" s="10" t="str">
        <f>IF($A14="","",Job_Master!C14)</f>
        <v>RW</v>
      </c>
      <c r="D14" s="10">
        <f>IF($A14="","",Job_Master!D14)</f>
        <v>2</v>
      </c>
      <c r="E14" s="48" t="str">
        <f>IF($A14="","","ENG-MC-05")</f>
        <v>ENG-MC-05</v>
      </c>
      <c r="F14" s="106" t="str">
        <f>IF($E14="","",IFERROR(VLOOKUP($E14,Machine_List!$B:$G,6,0),""))</f>
        <v>General Workman</v>
      </c>
      <c r="G14" s="53">
        <f>IF($E14="","",IFERROR(VLOOKUP($E14,Machine_List!$B:$C,2,0),""))</f>
        <v>46049</v>
      </c>
      <c r="H14" s="10">
        <f>IF($E14="","",IFERROR(VLOOKUP($E14,Machine_List!$B:$D,3,0),""))</f>
        <v>6</v>
      </c>
      <c r="I14" s="54"/>
      <c r="J14" s="55">
        <f ca="1">IF($A14="","",IF($I14&lt;&gt;"",$I14,MAX(EDM_Plan!$M14,IFERROR(LOOKUP(2,1/($E$3:INDIRECT("E"&amp;(ROW()-1))=$E14),$M$3:INDIRECT("M"&amp;(ROW()-1))),EDM_Plan!$M14))))</f>
        <v>46129.032407407401</v>
      </c>
      <c r="K14" s="10">
        <f>IF($A14="","",IFERROR(VLOOKUP(B14,CHOOSE(MATCH(C14,Settings!$L$4:$L$10,0),OPR_2P!$A$4:$I$18,SEG_6P!$A$4:$I$18,SOL_4P!$A$4:$I$18,RW_2P!$A$4:$I$18,RW2_4P!$A$4:$I$18,FLAP_4P!$A$4:$I$18,TUBE_4P!$A$4:$I$18),5,0),0))</f>
        <v>39</v>
      </c>
      <c r="L14" s="10">
        <f t="shared" si="0"/>
        <v>78</v>
      </c>
      <c r="M14" s="55">
        <f ca="1">IF($A14="","",IF(AND(ISNUMBER(G14),G14&gt;=J14,G14&lt;=(J14+(L14/(IF(F14="Contract Workman",Settings!$K$5,Settings!$K$4))))),J14+(L14/(IF(F14="Contract Workman",Settings!$K$5,Settings!$K$4)))+(H14/(IF(F14="Contract Workman",Settings!$K$5,Settings!$K$4))),J14+(L14/(IF(F14="Contract Workman",Settings!$K$5,Settings!$K$4)))))</f>
        <v>46132.643518518511</v>
      </c>
      <c r="N14" s="10" t="str">
        <f t="shared" ca="1" si="1"/>
        <v>Shift B</v>
      </c>
      <c r="O14" s="51" t="str">
        <f>IF(B14="","", IF(IFERROR(ISNUMBER(SEARCH(B14, VLOOKUP(E14, Machine_List!$B:$J, 9, 0))), FALSE()), "✅ Machine OK", "❌ Sug: " &amp; IFERROR(INDEX(Machine_List!$B$4:$B$50, MATCH("*"&amp;B14&amp;"*", Machine_List!$J$4:$J$50, 0)), "Check Limits")))</f>
        <v>✅ Machine OK</v>
      </c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2"/>
      <c r="AQ14" s="52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2"/>
      <c r="BD14" s="52"/>
      <c r="BE14" s="52"/>
      <c r="BF14" s="52"/>
      <c r="BG14" s="52"/>
      <c r="BH14" s="52"/>
      <c r="BI14" s="52"/>
      <c r="BJ14" s="52"/>
      <c r="BK14" s="52"/>
      <c r="BL14" s="52"/>
      <c r="BM14" s="52"/>
    </row>
    <row r="15" spans="1:85" ht="28.8" customHeight="1" x14ac:dyDescent="0.3">
      <c r="A15" s="10" t="str">
        <f>IF(Job_Master!A15="","",Job_Master!A15)</f>
        <v>BJ-107</v>
      </c>
      <c r="B15" s="10">
        <f>IF($A15="","",Job_Master!B15)</f>
        <v>20</v>
      </c>
      <c r="C15" s="10" t="str">
        <f>IF($A15="","",Job_Master!C15)</f>
        <v>SEG</v>
      </c>
      <c r="D15" s="10">
        <f>IF($A15="","",Job_Master!D15)</f>
        <v>6</v>
      </c>
      <c r="E15" s="48" t="str">
        <f>IF($A15="","","ENG-MC-03")</f>
        <v>ENG-MC-03</v>
      </c>
      <c r="F15" s="106" t="str">
        <f>IF($E15="","",IFERROR(VLOOKUP($E15,Machine_List!$B:$G,6,0),""))</f>
        <v>General Workman</v>
      </c>
      <c r="G15" s="53">
        <f>IF($E15="","",IFERROR(VLOOKUP($E15,Machine_List!$B:$C,2,0),""))</f>
        <v>46433</v>
      </c>
      <c r="H15" s="10">
        <f>IF($E15="","",IFERROR(VLOOKUP($E15,Machine_List!$B:$D,3,0),""))</f>
        <v>6</v>
      </c>
      <c r="I15" s="54"/>
      <c r="J15" s="55">
        <f ca="1">IF($A15="","",IF($I15&lt;&gt;"",$I15,MAX(EDM_Plan!$M15,IFERROR(LOOKUP(2,1/($E$3:INDIRECT("E"&amp;(ROW()-1))=$E15),$M$3:INDIRECT("M"&amp;(ROW()-1))),EDM_Plan!$M15))))</f>
        <v>46150.328703703693</v>
      </c>
      <c r="K15" s="10">
        <f>IF($A15="","",IFERROR(VLOOKUP(B15,CHOOSE(MATCH(C15,Settings!$L$4:$L$10,0),OPR_2P!$A$4:$I$18,SEG_6P!$A$4:$I$18,SOL_4P!$A$4:$I$18,RW_2P!$A$4:$I$18,RW2_4P!$A$4:$I$18,FLAP_4P!$A$4:$I$18,TUBE_4P!$A$4:$I$18),5,0),0))</f>
        <v>28</v>
      </c>
      <c r="L15" s="10">
        <f t="shared" si="0"/>
        <v>168</v>
      </c>
      <c r="M15" s="55">
        <f ca="1">IF($A15="","",IF(AND(ISNUMBER(G15),G15&gt;=J15,G15&lt;=(J15+(L15/(IF(F15="Contract Workman",Settings!$K$5,Settings!$K$4))))),J15+(L15/(IF(F15="Contract Workman",Settings!$K$5,Settings!$K$4)))+(H15/(IF(F15="Contract Workman",Settings!$K$5,Settings!$K$4))),J15+(L15/(IF(F15="Contract Workman",Settings!$K$5,Settings!$K$4)))))</f>
        <v>46158.106481481474</v>
      </c>
      <c r="N15" s="10" t="str">
        <f t="shared" ca="1" si="1"/>
        <v>Shift C</v>
      </c>
      <c r="O15" s="51" t="str">
        <f>IF(B15="","", IF(IFERROR(ISNUMBER(SEARCH(B15, VLOOKUP(E15, Machine_List!$B:$J, 9, 0))), FALSE()), "✅ Machine OK", "❌ Sug: " &amp; IFERROR(INDEX(Machine_List!$B$4:$B$50, MATCH("*"&amp;B15&amp;"*", Machine_List!$J$4:$J$50, 0)), "Check Limits")))</f>
        <v>✅ Machine OK</v>
      </c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2"/>
      <c r="BC15" s="52"/>
      <c r="BD15" s="52"/>
      <c r="BE15" s="52"/>
      <c r="BF15" s="52"/>
      <c r="BG15" s="52"/>
      <c r="BH15" s="52"/>
      <c r="BI15" s="52"/>
      <c r="BJ15" s="52"/>
      <c r="BK15" s="52"/>
      <c r="BL15" s="52"/>
      <c r="BM15" s="52"/>
    </row>
    <row r="16" spans="1:85" ht="28.8" customHeight="1" x14ac:dyDescent="0.3">
      <c r="A16" s="10" t="str">
        <f>IF(Job_Master!A16="","",Job_Master!A16)</f>
        <v>BJ-112</v>
      </c>
      <c r="B16" s="10">
        <f>IF($A16="","",Job_Master!B16)</f>
        <v>17</v>
      </c>
      <c r="C16" s="10" t="str">
        <f>IF($A16="","",Job_Master!C16)</f>
        <v>2P</v>
      </c>
      <c r="D16" s="10">
        <f>IF($A16="","",Job_Master!D16)</f>
        <v>2</v>
      </c>
      <c r="E16" s="48" t="str">
        <f>IF($A16="","","ENG-MC-05")</f>
        <v>ENG-MC-05</v>
      </c>
      <c r="F16" s="106" t="str">
        <f>IF($E16="","",IFERROR(VLOOKUP($E16,Machine_List!$B:$G,6,0),""))</f>
        <v>General Workman</v>
      </c>
      <c r="G16" s="53">
        <f>IF($E16="","",IFERROR(VLOOKUP($E16,Machine_List!$B:$C,2,0),""))</f>
        <v>46049</v>
      </c>
      <c r="H16" s="10">
        <f>IF($E16="","",IFERROR(VLOOKUP($E16,Machine_List!$B:$D,3,0),""))</f>
        <v>6</v>
      </c>
      <c r="I16" s="54"/>
      <c r="J16" s="55">
        <f ca="1">IF($A16="","",IF($I16&lt;&gt;"",$I16,MAX(EDM_Plan!$M16,IFERROR(LOOKUP(2,1/($E$3:INDIRECT("E"&amp;(ROW()-1))=$E16),$M$3:INDIRECT("M"&amp;(ROW()-1))),EDM_Plan!$M16))))</f>
        <v>46136.347222222212</v>
      </c>
      <c r="K16" s="10">
        <f>IF($A16="","",IFERROR(VLOOKUP(B16,CHOOSE(MATCH(C16,Settings!$L$4:$L$10,0),OPR_2P!$A$4:$I$18,SEG_6P!$A$4:$I$18,SOL_4P!$A$4:$I$18,RW_2P!$A$4:$I$18,RW2_4P!$A$4:$I$18,FLAP_4P!$A$4:$I$18,TUBE_4P!$A$4:$I$18),5,0),0))</f>
        <v>12</v>
      </c>
      <c r="L16" s="10">
        <f t="shared" si="0"/>
        <v>24</v>
      </c>
      <c r="M16" s="55">
        <f ca="1">IF($A16="","",IF(AND(ISNUMBER(G16),G16&gt;=J16,G16&lt;=(J16+(L16/(IF(F16="Contract Workman",Settings!$K$5,Settings!$K$4))))),J16+(L16/(IF(F16="Contract Workman",Settings!$K$5,Settings!$K$4)))+(H16/(IF(F16="Contract Workman",Settings!$K$5,Settings!$K$4))),J16+(L16/(IF(F16="Contract Workman",Settings!$K$5,Settings!$K$4)))))</f>
        <v>46137.458333333321</v>
      </c>
      <c r="N16" s="10" t="str">
        <f t="shared" ca="1" si="1"/>
        <v>Shift A</v>
      </c>
      <c r="O16" s="51" t="str">
        <f>IF(B16="","", IF(IFERROR(ISNUMBER(SEARCH(B16, VLOOKUP(E16, Machine_List!$B:$J, 9, 0))), FALSE()), "✅ Machine OK", "❌ Sug: " &amp; IFERROR(INDEX(Machine_List!$B$4:$B$50, MATCH("*"&amp;B16&amp;"*", Machine_List!$J$4:$J$50, 0)), "Check Limits")))</f>
        <v>✅ Machine OK</v>
      </c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  <c r="BD16" s="52"/>
      <c r="BE16" s="52"/>
      <c r="BF16" s="52"/>
      <c r="BG16" s="52"/>
      <c r="BH16" s="52"/>
      <c r="BI16" s="52"/>
      <c r="BJ16" s="52"/>
      <c r="BK16" s="52"/>
      <c r="BL16" s="52"/>
      <c r="BM16" s="52"/>
    </row>
    <row r="17" spans="1:65" ht="28.8" customHeight="1" x14ac:dyDescent="0.3">
      <c r="A17" s="10" t="str">
        <f>IF(Job_Master!A17="","",Job_Master!A17)</f>
        <v>BJ-114</v>
      </c>
      <c r="B17" s="10">
        <f>IF($A17="","",Job_Master!B17)</f>
        <v>50</v>
      </c>
      <c r="C17" s="10" t="str">
        <f>IF($A17="","",Job_Master!C17)</f>
        <v>SEG</v>
      </c>
      <c r="D17" s="10">
        <f>IF($A17="","",Job_Master!D17)</f>
        <v>6</v>
      </c>
      <c r="E17" s="48" t="str">
        <f>IF($A17="","","ENG-MC-06")</f>
        <v>ENG-MC-06</v>
      </c>
      <c r="F17" s="106" t="str">
        <f>IF($E17="","",IFERROR(VLOOKUP($E17,Machine_List!$B:$G,6,0),""))</f>
        <v>General Workman</v>
      </c>
      <c r="G17" s="53">
        <f>IF($E17="","",IFERROR(VLOOKUP($E17,Machine_List!$B:$C,2,0),""))</f>
        <v>46074</v>
      </c>
      <c r="H17" s="10">
        <f>IF($E17="","",IFERROR(VLOOKUP($E17,Machine_List!$B:$D,3,0),""))</f>
        <v>6</v>
      </c>
      <c r="I17" s="54"/>
      <c r="J17" s="55">
        <f ca="1">IF($A17="","",IF($I17&lt;&gt;"",$I17,MAX(EDM_Plan!$M17,IFERROR(LOOKUP(2,1/($E$3:INDIRECT("E"&amp;(ROW()-1))=$E17),$M$3:INDIRECT("M"&amp;(ROW()-1))),EDM_Plan!$M17))))</f>
        <v>46183.662037037029</v>
      </c>
      <c r="K17" s="10">
        <f>IF($A17="","",IFERROR(VLOOKUP(B17,CHOOSE(MATCH(C17,Settings!$L$4:$L$10,0),OPR_2P!$A$4:$I$18,SEG_6P!$A$4:$I$18,SOL_4P!$A$4:$I$18,RW_2P!$A$4:$I$18,RW2_4P!$A$4:$I$18,FLAP_4P!$A$4:$I$18,TUBE_4P!$A$4:$I$18),5,0),0))</f>
        <v>57</v>
      </c>
      <c r="L17" s="10">
        <f t="shared" si="0"/>
        <v>342</v>
      </c>
      <c r="M17" s="55">
        <f ca="1">IF($A17="","",IF(AND(ISNUMBER(G17),G17&gt;=J17,G17&lt;=(J17+(L17/(IF(F17="Contract Workman",Settings!$K$5,Settings!$K$4))))),J17+(L17/(IF(F17="Contract Workman",Settings!$K$5,Settings!$K$4)))+(H17/(IF(F17="Contract Workman",Settings!$K$5,Settings!$K$4))),J17+(L17/(IF(F17="Contract Workman",Settings!$K$5,Settings!$K$4)))))</f>
        <v>46199.495370370365</v>
      </c>
      <c r="N17" s="10" t="str">
        <f t="shared" ca="1" si="1"/>
        <v>Shift A</v>
      </c>
      <c r="O17" s="51" t="str">
        <f>IF(B17="","", IF(IFERROR(ISNUMBER(SEARCH(B17, VLOOKUP(E17, Machine_List!$B:$J, 9, 0))), FALSE()), "✅ Machine OK", "❌ Sug: " &amp; IFERROR(INDEX(Machine_List!$B$4:$B$50, MATCH("*"&amp;B17&amp;"*", Machine_List!$J$4:$J$50, 0)), "Check Limits")))</f>
        <v>✅ Machine OK</v>
      </c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2"/>
      <c r="BF17" s="52"/>
      <c r="BG17" s="52"/>
      <c r="BH17" s="52"/>
      <c r="BI17" s="52"/>
      <c r="BJ17" s="52"/>
      <c r="BK17" s="52"/>
      <c r="BL17" s="52"/>
      <c r="BM17" s="52"/>
    </row>
    <row r="18" spans="1:65" ht="28.8" customHeight="1" x14ac:dyDescent="0.3">
      <c r="A18" s="10" t="str">
        <f>IF(Job_Master!A18="","",Job_Master!A18)</f>
        <v>BJ-115</v>
      </c>
      <c r="B18" s="10">
        <f>IF($A18="","",Job_Master!B18)</f>
        <v>46</v>
      </c>
      <c r="C18" s="10" t="str">
        <f>IF($A18="","",Job_Master!C18)</f>
        <v>2P</v>
      </c>
      <c r="D18" s="10">
        <f>IF($A18="","",Job_Master!D18)</f>
        <v>2</v>
      </c>
      <c r="E18" s="48" t="str">
        <f>IF($A18="","","ENG-MC-07")</f>
        <v>ENG-MC-07</v>
      </c>
      <c r="F18" s="106" t="str">
        <f>IF($E18="","",IFERROR(VLOOKUP($E18,Machine_List!$B:$G,6,0),""))</f>
        <v>General Workman</v>
      </c>
      <c r="G18" s="53">
        <f>IF($E18="","",IFERROR(VLOOKUP($E18,Machine_List!$B:$C,2,0),""))</f>
        <v>46272</v>
      </c>
      <c r="H18" s="10">
        <f>IF($E18="","",IFERROR(VLOOKUP($E18,Machine_List!$B:$D,3,0),""))</f>
        <v>6</v>
      </c>
      <c r="I18" s="54"/>
      <c r="J18" s="55">
        <f ca="1">IF($A18="","",IF($I18&lt;&gt;"",$I18,MAX(EDM_Plan!$M18,IFERROR(LOOKUP(2,1/($E$3:INDIRECT("E"&amp;(ROW()-1))=$E18),$M$3:INDIRECT("M"&amp;(ROW()-1))),EDM_Plan!$M18))))</f>
        <v>46140.236111111109</v>
      </c>
      <c r="K18" s="10">
        <f>IF($A18="","",IFERROR(VLOOKUP(B18,CHOOSE(MATCH(C18,Settings!$L$4:$L$10,0),OPR_2P!$A$4:$I$18,SEG_6P!$A$4:$I$18,SOL_4P!$A$4:$I$18,RW_2P!$A$4:$I$18,RW2_4P!$A$4:$I$18,FLAP_4P!$A$4:$I$18,TUBE_4P!$A$4:$I$18),5,0),0))</f>
        <v>64</v>
      </c>
      <c r="L18" s="10">
        <f t="shared" si="0"/>
        <v>128</v>
      </c>
      <c r="M18" s="55">
        <f ca="1">IF($A18="","",IF(AND(ISNUMBER(G18),G18&gt;=J18,G18&lt;=(J18+(L18/(IF(F18="Contract Workman",Settings!$K$5,Settings!$K$4))))),J18+(L18/(IF(F18="Contract Workman",Settings!$K$5,Settings!$K$4)))+(H18/(IF(F18="Contract Workman",Settings!$K$5,Settings!$K$4))),J18+(L18/(IF(F18="Contract Workman",Settings!$K$5,Settings!$K$4)))))</f>
        <v>46146.162037037036</v>
      </c>
      <c r="N18" s="10" t="str">
        <f t="shared" ca="1" si="1"/>
        <v>Shift C</v>
      </c>
      <c r="O18" s="51" t="str">
        <f>IF(B18="","", IF(IFERROR(ISNUMBER(SEARCH(B18, VLOOKUP(E18, Machine_List!$B:$J, 9, 0))), FALSE()), "✅ Machine OK", "❌ Sug: " &amp; IFERROR(INDEX(Machine_List!$B$4:$B$50, MATCH("*"&amp;B18&amp;"*", Machine_List!$J$4:$J$50, 0)), "Check Limits")))</f>
        <v>✅ Machine OK</v>
      </c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52"/>
      <c r="BE18" s="52"/>
      <c r="BF18" s="52"/>
      <c r="BG18" s="52"/>
      <c r="BH18" s="52"/>
      <c r="BI18" s="52"/>
      <c r="BJ18" s="52"/>
      <c r="BK18" s="52"/>
      <c r="BL18" s="52"/>
      <c r="BM18" s="52"/>
    </row>
    <row r="19" spans="1:65" ht="28.8" customHeight="1" x14ac:dyDescent="0.3">
      <c r="A19" s="10" t="str">
        <f>IF(Job_Master!A19="","",Job_Master!A19)</f>
        <v>BJ-116</v>
      </c>
      <c r="B19" s="10">
        <f>IF($A19="","",Job_Master!B19)</f>
        <v>54</v>
      </c>
      <c r="C19" s="10" t="str">
        <f>IF($A19="","",Job_Master!C19)</f>
        <v>2P</v>
      </c>
      <c r="D19" s="10">
        <f>IF($A19="","",Job_Master!D19)</f>
        <v>2</v>
      </c>
      <c r="E19" s="48" t="str">
        <f>IF($A19="","","ENG-MC-07")</f>
        <v>ENG-MC-07</v>
      </c>
      <c r="F19" s="106" t="str">
        <f>IF($E19="","",IFERROR(VLOOKUP($E19,Machine_List!$B:$G,6,0),""))</f>
        <v>General Workman</v>
      </c>
      <c r="G19" s="53">
        <f>IF($E19="","",IFERROR(VLOOKUP($E19,Machine_List!$B:$C,2,0),""))</f>
        <v>46272</v>
      </c>
      <c r="H19" s="10">
        <f>IF($E19="","",IFERROR(VLOOKUP($E19,Machine_List!$B:$D,3,0),""))</f>
        <v>6</v>
      </c>
      <c r="I19" s="54"/>
      <c r="J19" s="55">
        <f ca="1">IF($A19="","",IF($I19&lt;&gt;"",$I19,MAX(EDM_Plan!$M19,IFERROR(LOOKUP(2,1/($E$3:INDIRECT("E"&amp;(ROW()-1))=$E19),$M$3:INDIRECT("M"&amp;(ROW()-1))),EDM_Plan!$M19))))</f>
        <v>46153.013888888883</v>
      </c>
      <c r="K19" s="10">
        <f>IF($A19="","",IFERROR(VLOOKUP(B19,CHOOSE(MATCH(C19,Settings!$L$4:$L$10,0),OPR_2P!$A$4:$I$18,SEG_6P!$A$4:$I$18,SOL_4P!$A$4:$I$18,RW_2P!$A$4:$I$18,RW2_4P!$A$4:$I$18,FLAP_4P!$A$4:$I$18,TUBE_4P!$A$4:$I$18),5,0),0))</f>
        <v>66</v>
      </c>
      <c r="L19" s="10">
        <f t="shared" si="0"/>
        <v>132</v>
      </c>
      <c r="M19" s="55">
        <f ca="1">IF($A19="","",IF(AND(ISNUMBER(G19),G19&gt;=J19,G19&lt;=(J19+(L19/(IF(F19="Contract Workman",Settings!$K$5,Settings!$K$4))))),J19+(L19/(IF(F19="Contract Workman",Settings!$K$5,Settings!$K$4)))+(H19/(IF(F19="Contract Workman",Settings!$K$5,Settings!$K$4))),J19+(L19/(IF(F19="Contract Workman",Settings!$K$5,Settings!$K$4)))))</f>
        <v>46159.124999999993</v>
      </c>
      <c r="N19" s="10" t="str">
        <f t="shared" ca="1" si="1"/>
        <v>Shift C</v>
      </c>
      <c r="O19" s="51" t="str">
        <f>IF(B19="","", IF(IFERROR(ISNUMBER(SEARCH(B19, VLOOKUP(E19, Machine_List!$B:$J, 9, 0))), FALSE()), "✅ Machine OK", "❌ Sug: " &amp; IFERROR(INDEX(Machine_List!$B$4:$B$50, MATCH("*"&amp;B19&amp;"*", Machine_List!$J$4:$J$50, 0)), "Check Limits")))</f>
        <v>✅ Machine OK</v>
      </c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2"/>
      <c r="AQ19" s="52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2"/>
      <c r="BD19" s="52"/>
      <c r="BE19" s="52"/>
      <c r="BF19" s="52"/>
      <c r="BG19" s="52"/>
      <c r="BH19" s="52"/>
      <c r="BI19" s="52"/>
      <c r="BJ19" s="52"/>
      <c r="BK19" s="52"/>
      <c r="BL19" s="52"/>
      <c r="BM19" s="52"/>
    </row>
    <row r="20" spans="1:65" ht="28.8" customHeight="1" x14ac:dyDescent="0.3">
      <c r="A20" s="10" t="str">
        <f>IF(Job_Master!A20="","",Job_Master!A20)</f>
        <v>BJ-118</v>
      </c>
      <c r="B20" s="10">
        <f>IF($A20="","",Job_Master!B20)</f>
        <v>28</v>
      </c>
      <c r="C20" s="10" t="str">
        <f>IF($A20="","",Job_Master!C20)</f>
        <v>SOL</v>
      </c>
      <c r="D20" s="10">
        <f>IF($A20="","",Job_Master!D20)</f>
        <v>4</v>
      </c>
      <c r="E20" s="48" t="str">
        <f>IF($A20="","","ENG-MC-04")</f>
        <v>ENG-MC-04</v>
      </c>
      <c r="F20" s="106" t="str">
        <f>IF($E20="","",IFERROR(VLOOKUP($E20,Machine_List!$B:$G,6,0),""))</f>
        <v>General Workman</v>
      </c>
      <c r="G20" s="53">
        <f>IF($E20="","",IFERROR(VLOOKUP($E20,Machine_List!$B:$C,2,0),""))</f>
        <v>46450</v>
      </c>
      <c r="H20" s="10">
        <f>IF($E20="","",IFERROR(VLOOKUP($E20,Machine_List!$B:$D,3,0),""))</f>
        <v>6</v>
      </c>
      <c r="I20" s="54"/>
      <c r="J20" s="55">
        <f ca="1">IF($A20="","",IF($I20&lt;&gt;"",$I20,MAX(EDM_Plan!$M20,IFERROR(LOOKUP(2,1/($E$3:INDIRECT("E"&amp;(ROW()-1))=$E20),$M$3:INDIRECT("M"&amp;(ROW()-1))),EDM_Plan!$M20))))</f>
        <v>46146.532407407394</v>
      </c>
      <c r="K20" s="10">
        <f>IF($A20="","",IFERROR(VLOOKUP(B20,CHOOSE(MATCH(C20,Settings!$L$4:$L$10,0),OPR_2P!$A$4:$I$18,SEG_6P!$A$4:$I$18,SOL_4P!$A$4:$I$18,RW_2P!$A$4:$I$18,RW2_4P!$A$4:$I$18,FLAP_4P!$A$4:$I$18,TUBE_4P!$A$4:$I$18),5,0),0))</f>
        <v>32</v>
      </c>
      <c r="L20" s="10">
        <f t="shared" si="0"/>
        <v>128</v>
      </c>
      <c r="M20" s="55">
        <f ca="1">IF($A20="","",IF(AND(ISNUMBER(G20),G20&gt;=J20,G20&lt;=(J20+(L20/(IF(F20="Contract Workman",Settings!$K$5,Settings!$K$4))))),J20+(L20/(IF(F20="Contract Workman",Settings!$K$5,Settings!$K$4)))+(H20/(IF(F20="Contract Workman",Settings!$K$5,Settings!$K$4))),J20+(L20/(IF(F20="Contract Workman",Settings!$K$5,Settings!$K$4)))))</f>
        <v>46152.458333333321</v>
      </c>
      <c r="N20" s="10" t="str">
        <f t="shared" ca="1" si="1"/>
        <v>Shift A</v>
      </c>
      <c r="O20" s="51" t="str">
        <f>IF(B20="","", IF(IFERROR(ISNUMBER(SEARCH(B20, VLOOKUP(E20, Machine_List!$B:$J, 9, 0))), FALSE()), "✅ Machine OK", "❌ Sug: " &amp; IFERROR(INDEX(Machine_List!$B$4:$B$50, MATCH("*"&amp;B20&amp;"*", Machine_List!$J$4:$J$50, 0)), "Check Limits")))</f>
        <v>✅ Machine OK</v>
      </c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2"/>
      <c r="AQ20" s="52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2"/>
      <c r="BC20" s="52"/>
      <c r="BD20" s="52"/>
      <c r="BE20" s="52"/>
      <c r="BF20" s="52"/>
      <c r="BG20" s="52"/>
      <c r="BH20" s="52"/>
      <c r="BI20" s="52"/>
      <c r="BJ20" s="52"/>
      <c r="BK20" s="52"/>
      <c r="BL20" s="52"/>
      <c r="BM20" s="52"/>
    </row>
    <row r="21" spans="1:65" ht="28.8" customHeight="1" x14ac:dyDescent="0.3">
      <c r="A21" s="10" t="str">
        <f>IF(Job_Master!A21="","",Job_Master!A21)</f>
        <v>BJ-119</v>
      </c>
      <c r="B21" s="10">
        <f>IF($A21="","",Job_Master!B21)</f>
        <v>63</v>
      </c>
      <c r="C21" s="10" t="str">
        <f>IF($A21="","",Job_Master!C21)</f>
        <v>SOL</v>
      </c>
      <c r="D21" s="10">
        <f>IF($A21="","",Job_Master!D21)</f>
        <v>4</v>
      </c>
      <c r="E21" s="48" t="str">
        <f>IF($A21="","","ENG-MC-06")</f>
        <v>ENG-MC-06</v>
      </c>
      <c r="F21" s="106" t="str">
        <f>IF($E21="","",IFERROR(VLOOKUP($E21,Machine_List!$B:$G,6,0),""))</f>
        <v>General Workman</v>
      </c>
      <c r="G21" s="53">
        <f>IF($E21="","",IFERROR(VLOOKUP($E21,Machine_List!$B:$C,2,0),""))</f>
        <v>46074</v>
      </c>
      <c r="H21" s="10">
        <f>IF($E21="","",IFERROR(VLOOKUP($E21,Machine_List!$B:$D,3,0),""))</f>
        <v>6</v>
      </c>
      <c r="I21" s="54"/>
      <c r="J21" s="55">
        <f ca="1">IF($A21="","",IF($I21&lt;&gt;"",$I21,MAX(EDM_Plan!$M21,IFERROR(LOOKUP(2,1/($E$3:INDIRECT("E"&amp;(ROW()-1))=$E21),$M$3:INDIRECT("M"&amp;(ROW()-1))),EDM_Plan!$M21))))</f>
        <v>46199.495370370365</v>
      </c>
      <c r="K21" s="10">
        <f>IF($A21="","",IFERROR(VLOOKUP(B21,CHOOSE(MATCH(C21,Settings!$L$4:$L$10,0),OPR_2P!$A$4:$I$18,SEG_6P!$A$4:$I$18,SOL_4P!$A$4:$I$18,RW_2P!$A$4:$I$18,RW2_4P!$A$4:$I$18,FLAP_4P!$A$4:$I$18,TUBE_4P!$A$4:$I$18),5,0),0))</f>
        <v>120</v>
      </c>
      <c r="L21" s="10">
        <f t="shared" si="0"/>
        <v>480</v>
      </c>
      <c r="M21" s="55">
        <f ca="1">IF($A21="","",IF(AND(ISNUMBER(G21),G21&gt;=J21,G21&lt;=(J21+(L21/(IF(F21="Contract Workman",Settings!$K$5,Settings!$K$4))))),J21+(L21/(IF(F21="Contract Workman",Settings!$K$5,Settings!$K$4)))+(H21/(IF(F21="Contract Workman",Settings!$K$5,Settings!$K$4))),J21+(L21/(IF(F21="Contract Workman",Settings!$K$5,Settings!$K$4)))))</f>
        <v>46221.717592592584</v>
      </c>
      <c r="N21" s="10" t="str">
        <f t="shared" ca="1" si="1"/>
        <v>Shift B</v>
      </c>
      <c r="O21" s="51" t="str">
        <f>IF(B21="","", IF(IFERROR(ISNUMBER(SEARCH(B21, VLOOKUP(E21, Machine_List!$B:$J, 9, 0))), FALSE()), "✅ Machine OK", "❌ Sug: " &amp; IFERROR(INDEX(Machine_List!$B$4:$B$50, MATCH("*"&amp;B21&amp;"*", Machine_List!$J$4:$J$50, 0)), "Check Limits")))</f>
        <v>✅ Machine OK</v>
      </c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2"/>
      <c r="AQ21" s="52"/>
      <c r="AR21" s="52"/>
      <c r="AS21" s="52"/>
      <c r="AT21" s="52"/>
      <c r="AU21" s="52"/>
      <c r="AV21" s="52"/>
      <c r="AW21" s="52"/>
      <c r="AX21" s="52"/>
      <c r="AY21" s="52"/>
      <c r="AZ21" s="52"/>
      <c r="BA21" s="52"/>
      <c r="BB21" s="52"/>
      <c r="BC21" s="52"/>
      <c r="BD21" s="52"/>
      <c r="BE21" s="52"/>
      <c r="BF21" s="52"/>
      <c r="BG21" s="52"/>
      <c r="BH21" s="52"/>
      <c r="BI21" s="52"/>
      <c r="BJ21" s="52"/>
      <c r="BK21" s="52"/>
      <c r="BL21" s="52"/>
      <c r="BM21" s="52"/>
    </row>
    <row r="22" spans="1:65" ht="28.8" customHeight="1" x14ac:dyDescent="0.3">
      <c r="A22" s="10" t="str">
        <f>IF(Job_Master!A22="","",Job_Master!A22)</f>
        <v>BJ-120</v>
      </c>
      <c r="B22" s="10">
        <f>IF($A22="","",Job_Master!B22)</f>
        <v>46</v>
      </c>
      <c r="C22" s="10" t="str">
        <f>IF($A22="","",Job_Master!C22)</f>
        <v>2P</v>
      </c>
      <c r="D22" s="10">
        <f>IF($A22="","",Job_Master!D22)</f>
        <v>2</v>
      </c>
      <c r="E22" s="48" t="str">
        <f>IF($A22="","","ENG-MC-08")</f>
        <v>ENG-MC-08</v>
      </c>
      <c r="F22" s="106" t="str">
        <f>IF($E22="","",IFERROR(VLOOKUP($E22,Machine_List!$B:$G,6,0),""))</f>
        <v>General Workman</v>
      </c>
      <c r="G22" s="53">
        <f>IF($E22="","",IFERROR(VLOOKUP($E22,Machine_List!$B:$C,2,0),""))</f>
        <v>46383</v>
      </c>
      <c r="H22" s="10">
        <f>IF($E22="","",IFERROR(VLOOKUP($E22,Machine_List!$B:$D,3,0),""))</f>
        <v>6</v>
      </c>
      <c r="I22" s="54"/>
      <c r="J22" s="55">
        <f ca="1">IF($A22="","",IF($I22&lt;&gt;"",$I22,MAX(EDM_Plan!$M22,IFERROR(LOOKUP(2,1/($E$3:INDIRECT("E"&amp;(ROW()-1))=$E22),$M$3:INDIRECT("M"&amp;(ROW()-1))),EDM_Plan!$M22))))</f>
        <v>46149.680555555555</v>
      </c>
      <c r="K22" s="10">
        <f>IF($A22="","",IFERROR(VLOOKUP(B22,CHOOSE(MATCH(C22,Settings!$L$4:$L$10,0),OPR_2P!$A$4:$I$18,SEG_6P!$A$4:$I$18,SOL_4P!$A$4:$I$18,RW_2P!$A$4:$I$18,RW2_4P!$A$4:$I$18,FLAP_4P!$A$4:$I$18,TUBE_4P!$A$4:$I$18),5,0),0))</f>
        <v>64</v>
      </c>
      <c r="L22" s="10">
        <f t="shared" si="0"/>
        <v>128</v>
      </c>
      <c r="M22" s="55">
        <f ca="1">IF($A22="","",IF(AND(ISNUMBER(G22),G22&gt;=J22,G22&lt;=(J22+(L22/(IF(F22="Contract Workman",Settings!$K$5,Settings!$K$4))))),J22+(L22/(IF(F22="Contract Workman",Settings!$K$5,Settings!$K$4)))+(H22/(IF(F22="Contract Workman",Settings!$K$5,Settings!$K$4))),J22+(L22/(IF(F22="Contract Workman",Settings!$K$5,Settings!$K$4)))))</f>
        <v>46155.606481481482</v>
      </c>
      <c r="N22" s="10" t="str">
        <f t="shared" ca="1" si="1"/>
        <v>Shift A</v>
      </c>
      <c r="O22" s="51" t="str">
        <f>IF(B22="","", IF(IFERROR(ISNUMBER(SEARCH(B22, VLOOKUP(E22, Machine_List!$B:$J, 9, 0))), FALSE()), "✅ Machine OK", "❌ Sug: " &amp; IFERROR(INDEX(Machine_List!$B$4:$B$50, MATCH("*"&amp;B22&amp;"*", Machine_List!$J$4:$J$50, 0)), "Check Limits")))</f>
        <v>✅ Machine OK</v>
      </c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2"/>
      <c r="AP22" s="52"/>
      <c r="AQ22" s="52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52"/>
      <c r="BC22" s="52"/>
      <c r="BD22" s="52"/>
      <c r="BE22" s="52"/>
      <c r="BF22" s="52"/>
      <c r="BG22" s="52"/>
      <c r="BH22" s="52"/>
      <c r="BI22" s="52"/>
      <c r="BJ22" s="52"/>
      <c r="BK22" s="52"/>
      <c r="BL22" s="52"/>
      <c r="BM22" s="52"/>
    </row>
    <row r="23" spans="1:65" ht="28.8" customHeight="1" x14ac:dyDescent="0.3">
      <c r="A23" s="10" t="str">
        <f>IF(Job_Master!A23="","",Job_Master!A23)</f>
        <v>BJ-113</v>
      </c>
      <c r="B23" s="10">
        <f>IF($A23="","",Job_Master!B23)</f>
        <v>9</v>
      </c>
      <c r="C23" s="10" t="str">
        <f>IF($A23="","",Job_Master!C23)</f>
        <v>SEG</v>
      </c>
      <c r="D23" s="10">
        <f>IF($A23="","",Job_Master!D23)</f>
        <v>6</v>
      </c>
      <c r="E23" s="48" t="str">
        <f>IF($A23="","","ENG-MC-05")</f>
        <v>ENG-MC-05</v>
      </c>
      <c r="F23" s="106" t="str">
        <f>IF($E23="","",IFERROR(VLOOKUP($E23,Machine_List!$B:$G,6,0),""))</f>
        <v>General Workman</v>
      </c>
      <c r="G23" s="53">
        <f>IF($E23="","",IFERROR(VLOOKUP($E23,Machine_List!$B:$C,2,0),""))</f>
        <v>46049</v>
      </c>
      <c r="H23" s="10">
        <f>IF($E23="","",IFERROR(VLOOKUP($E23,Machine_List!$B:$D,3,0),""))</f>
        <v>6</v>
      </c>
      <c r="I23" s="54"/>
      <c r="J23" s="55">
        <f ca="1">IF($A23="","",IF($I23&lt;&gt;"",$I23,MAX(EDM_Plan!$M23,IFERROR(LOOKUP(2,1/($E$3:INDIRECT("E"&amp;(ROW()-1))=$E23),$M$3:INDIRECT("M"&amp;(ROW()-1))),EDM_Plan!$M23))))</f>
        <v>46138.291666666657</v>
      </c>
      <c r="K23" s="10">
        <f>IF($A23="","",IFERROR(VLOOKUP(B23,CHOOSE(MATCH(C23,Settings!$L$4:$L$10,0),OPR_2P!$A$4:$I$18,SEG_6P!$A$4:$I$18,SOL_4P!$A$4:$I$18,RW_2P!$A$4:$I$18,RW2_4P!$A$4:$I$18,FLAP_4P!$A$4:$I$18,TUBE_4P!$A$4:$I$18),5,0),0))</f>
        <v>5</v>
      </c>
      <c r="L23" s="10">
        <f t="shared" si="0"/>
        <v>30</v>
      </c>
      <c r="M23" s="55">
        <f ca="1">IF($A23="","",IF(AND(ISNUMBER(G23),G23&gt;=J23,G23&lt;=(J23+(L23/(IF(F23="Contract Workman",Settings!$K$5,Settings!$K$4))))),J23+(L23/(IF(F23="Contract Workman",Settings!$K$5,Settings!$K$4)))+(H23/(IF(F23="Contract Workman",Settings!$K$5,Settings!$K$4))),J23+(L23/(IF(F23="Contract Workman",Settings!$K$5,Settings!$K$4)))))</f>
        <v>46139.680555555547</v>
      </c>
      <c r="N23" s="10" t="str">
        <f t="shared" ca="1" si="1"/>
        <v>Shift B</v>
      </c>
      <c r="O23" s="51" t="str">
        <f>IF(B23="","", IF(IFERROR(ISNUMBER(SEARCH(B23, VLOOKUP(E23, Machine_List!$B:$J, 9, 0))), FALSE()), "✅ Machine OK", "❌ Sug: " &amp; IFERROR(INDEX(Machine_List!$B$4:$B$50, MATCH("*"&amp;B23&amp;"*", Machine_List!$J$4:$J$50, 0)), "Check Limits")))</f>
        <v>✅ Machine OK</v>
      </c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2"/>
      <c r="AQ23" s="52"/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 s="52"/>
      <c r="BC23" s="52"/>
      <c r="BD23" s="52"/>
      <c r="BE23" s="52"/>
      <c r="BF23" s="52"/>
      <c r="BG23" s="52"/>
      <c r="BH23" s="52"/>
      <c r="BI23" s="52"/>
      <c r="BJ23" s="52"/>
      <c r="BK23" s="52"/>
      <c r="BL23" s="52"/>
      <c r="BM23" s="52"/>
    </row>
    <row r="24" spans="1:65" ht="28.8" customHeight="1" x14ac:dyDescent="0.3">
      <c r="A24" s="10" t="str">
        <f>IF(Job_Master!A24="","",Job_Master!A24)</f>
        <v>BJ-121</v>
      </c>
      <c r="B24" s="10">
        <f>IF($A24="","",Job_Master!B24)</f>
        <v>57</v>
      </c>
      <c r="C24" s="10" t="str">
        <f>IF($A24="","",Job_Master!C24)</f>
        <v>RW</v>
      </c>
      <c r="D24" s="10">
        <f>IF($A24="","",Job_Master!D24)</f>
        <v>2</v>
      </c>
      <c r="E24" s="48" t="str">
        <f>IF($A24="","","ENG-MC-07")</f>
        <v>ENG-MC-07</v>
      </c>
      <c r="F24" s="106" t="str">
        <f>IF($E24="","",IFERROR(VLOOKUP($E24,Machine_List!$B:$G,6,0),""))</f>
        <v>General Workman</v>
      </c>
      <c r="G24" s="53">
        <f>IF($E24="","",IFERROR(VLOOKUP($E24,Machine_List!$B:$C,2,0),""))</f>
        <v>46272</v>
      </c>
      <c r="H24" s="10">
        <f>IF($E24="","",IFERROR(VLOOKUP($E24,Machine_List!$B:$D,3,0),""))</f>
        <v>6</v>
      </c>
      <c r="I24" s="54"/>
      <c r="J24" s="55">
        <f ca="1">IF($A24="","",IF($I24&lt;&gt;"",$I24,MAX(EDM_Plan!$M24,IFERROR(LOOKUP(2,1/($E$3:INDIRECT("E"&amp;(ROW()-1))=$E24),$M$3:INDIRECT("M"&amp;(ROW()-1))),EDM_Plan!$M24))))</f>
        <v>46159.124999999993</v>
      </c>
      <c r="K24" s="10">
        <f>IF($A24="","",IFERROR(VLOOKUP(B24,CHOOSE(MATCH(C24,Settings!$L$4:$L$10,0),OPR_2P!$A$4:$I$18,SEG_6P!$A$4:$I$18,SOL_4P!$A$4:$I$18,RW_2P!$A$4:$I$18,RW2_4P!$A$4:$I$18,FLAP_4P!$A$4:$I$18,TUBE_4P!$A$4:$I$18),5,0),0))</f>
        <v>94</v>
      </c>
      <c r="L24" s="10">
        <f t="shared" si="0"/>
        <v>188</v>
      </c>
      <c r="M24" s="55">
        <f ca="1">IF($A24="","",IF(AND(ISNUMBER(G24),G24&gt;=J24,G24&lt;=(J24+(L24/(IF(F24="Contract Workman",Settings!$K$5,Settings!$K$4))))),J24+(L24/(IF(F24="Contract Workman",Settings!$K$5,Settings!$K$4)))+(H24/(IF(F24="Contract Workman",Settings!$K$5,Settings!$K$4))),J24+(L24/(IF(F24="Contract Workman",Settings!$K$5,Settings!$K$4)))))</f>
        <v>46167.828703703693</v>
      </c>
      <c r="N24" s="10" t="str">
        <f t="shared" ca="1" si="1"/>
        <v>Shift B</v>
      </c>
      <c r="O24" s="51" t="str">
        <f>IF(B24="","", IF(IFERROR(ISNUMBER(SEARCH(B24, VLOOKUP(E24, Machine_List!$B:$J, 9, 0))), FALSE()), "✅ Machine OK", "❌ Sug: " &amp; IFERROR(INDEX(Machine_List!$B$4:$B$50, MATCH("*"&amp;B24&amp;"*", Machine_List!$J$4:$J$50, 0)), "Check Limits")))</f>
        <v>✅ Machine OK</v>
      </c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2"/>
      <c r="AP24" s="52"/>
      <c r="AQ24" s="52"/>
      <c r="AR24" s="52"/>
      <c r="AS24" s="52"/>
      <c r="AT24" s="52"/>
      <c r="AU24" s="52"/>
      <c r="AV24" s="52"/>
      <c r="AW24" s="52"/>
      <c r="AX24" s="52"/>
      <c r="AY24" s="52"/>
      <c r="AZ24" s="52"/>
      <c r="BA24" s="52"/>
      <c r="BB24" s="52"/>
      <c r="BC24" s="52"/>
      <c r="BD24" s="52"/>
      <c r="BE24" s="52"/>
      <c r="BF24" s="52"/>
      <c r="BG24" s="52"/>
      <c r="BH24" s="52"/>
      <c r="BI24" s="52"/>
      <c r="BJ24" s="52"/>
      <c r="BK24" s="52"/>
      <c r="BL24" s="52"/>
      <c r="BM24" s="52"/>
    </row>
    <row r="25" spans="1:65" ht="28.8" customHeight="1" x14ac:dyDescent="0.3">
      <c r="A25" s="10" t="str">
        <f>IF(Job_Master!A25="","",Job_Master!A25)</f>
        <v>BJ-123</v>
      </c>
      <c r="B25" s="10">
        <f>IF($A25="","",Job_Master!B25)</f>
        <v>46</v>
      </c>
      <c r="C25" s="10" t="str">
        <f>IF($A25="","",Job_Master!C25)</f>
        <v>RW</v>
      </c>
      <c r="D25" s="10">
        <f>IF($A25="","",Job_Master!D25)</f>
        <v>2</v>
      </c>
      <c r="E25" s="48" t="str">
        <f>IF($A25="","","ENG-MC-09")</f>
        <v>ENG-MC-09</v>
      </c>
      <c r="F25" s="106" t="str">
        <f>IF($E25="","",IFERROR(VLOOKUP($E25,Machine_List!$B:$G,6,0),""))</f>
        <v>General Workman</v>
      </c>
      <c r="G25" s="53">
        <f>IF($E25="","",IFERROR(VLOOKUP($E25,Machine_List!$B:$C,2,0),""))</f>
        <v>46471</v>
      </c>
      <c r="H25" s="10">
        <f>IF($E25="","",IFERROR(VLOOKUP($E25,Machine_List!$B:$D,3,0),""))</f>
        <v>6</v>
      </c>
      <c r="I25" s="54"/>
      <c r="J25" s="55">
        <f ca="1">IF($A25="","",IF($I25&lt;&gt;"",$I25,MAX(EDM_Plan!$M25,IFERROR(LOOKUP(2,1/($E$3:INDIRECT("E"&amp;(ROW()-1))=$E25),$M$3:INDIRECT("M"&amp;(ROW()-1))),EDM_Plan!$M25))))</f>
        <v>46155.421296296285</v>
      </c>
      <c r="K25" s="10">
        <f>IF($A25="","",IFERROR(VLOOKUP(B25,CHOOSE(MATCH(C25,Settings!$L$4:$L$10,0),OPR_2P!$A$4:$I$18,SEG_6P!$A$4:$I$18,SOL_4P!$A$4:$I$18,RW_2P!$A$4:$I$18,RW2_4P!$A$4:$I$18,FLAP_4P!$A$4:$I$18,TUBE_4P!$A$4:$I$18),5,0),0))</f>
        <v>49</v>
      </c>
      <c r="L25" s="10">
        <f t="shared" si="0"/>
        <v>98</v>
      </c>
      <c r="M25" s="55">
        <f ca="1">IF($A25="","",IF(AND(ISNUMBER(G25),G25&gt;=J25,G25&lt;=(J25+(L25/(IF(F25="Contract Workman",Settings!$K$5,Settings!$K$4))))),J25+(L25/(IF(F25="Contract Workman",Settings!$K$5,Settings!$K$4)))+(H25/(IF(F25="Contract Workman",Settings!$K$5,Settings!$K$4))),J25+(L25/(IF(F25="Contract Workman",Settings!$K$5,Settings!$K$4)))))</f>
        <v>46159.958333333321</v>
      </c>
      <c r="N25" s="10" t="str">
        <f t="shared" ca="1" si="1"/>
        <v>Shift B</v>
      </c>
      <c r="O25" s="51" t="str">
        <f>IF(B25="","", IF(IFERROR(ISNUMBER(SEARCH(B25, VLOOKUP(E25, Machine_List!$B:$J, 9, 0))), FALSE()), "✅ Machine OK", "❌ Sug: " &amp; IFERROR(INDEX(Machine_List!$B$4:$B$50, MATCH("*"&amp;B25&amp;"*", Machine_List!$J$4:$J$50, 0)), "Check Limits")))</f>
        <v>✅ Machine OK</v>
      </c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52"/>
      <c r="BC25" s="52"/>
      <c r="BD25" s="52"/>
      <c r="BE25" s="52"/>
      <c r="BF25" s="52"/>
      <c r="BG25" s="52"/>
      <c r="BH25" s="52"/>
      <c r="BI25" s="52"/>
      <c r="BJ25" s="52"/>
      <c r="BK25" s="52"/>
      <c r="BL25" s="52"/>
      <c r="BM25" s="52"/>
    </row>
    <row r="26" spans="1:65" ht="28.8" customHeight="1" x14ac:dyDescent="0.3">
      <c r="A26" s="10" t="str">
        <f>IF(Job_Master!A26="","",Job_Master!A26)</f>
        <v>BJ-117</v>
      </c>
      <c r="B26" s="10">
        <f>IF($A26="","",Job_Master!B26)</f>
        <v>15</v>
      </c>
      <c r="C26" s="10" t="str">
        <f>IF($A26="","",Job_Master!C26)</f>
        <v>RW</v>
      </c>
      <c r="D26" s="10">
        <f>IF($A26="","",Job_Master!D26)</f>
        <v>2</v>
      </c>
      <c r="E26" s="48" t="str">
        <f>IF($A26="","","ENG-MC-05")</f>
        <v>ENG-MC-05</v>
      </c>
      <c r="F26" s="106" t="str">
        <f>IF($E26="","",IFERROR(VLOOKUP($E26,Machine_List!$B:$G,6,0),""))</f>
        <v>General Workman</v>
      </c>
      <c r="G26" s="53">
        <f>IF($E26="","",IFERROR(VLOOKUP($E26,Machine_List!$B:$C,2,0),""))</f>
        <v>46049</v>
      </c>
      <c r="H26" s="10">
        <f>IF($E26="","",IFERROR(VLOOKUP($E26,Machine_List!$B:$D,3,0),""))</f>
        <v>6</v>
      </c>
      <c r="I26" s="54"/>
      <c r="J26" s="55">
        <f ca="1">IF($A26="","",IF($I26&lt;&gt;"",$I26,MAX(EDM_Plan!$M26,IFERROR(LOOKUP(2,1/($E$3:INDIRECT("E"&amp;(ROW()-1))=$E26),$M$3:INDIRECT("M"&amp;(ROW()-1))),EDM_Plan!$M26))))</f>
        <v>46139.680555555547</v>
      </c>
      <c r="K26" s="10">
        <f>IF($A26="","",IFERROR(VLOOKUP(B26,CHOOSE(MATCH(C26,Settings!$L$4:$L$10,0),OPR_2P!$A$4:$I$18,SEG_6P!$A$4:$I$18,SOL_4P!$A$4:$I$18,RW_2P!$A$4:$I$18,RW2_4P!$A$4:$I$18,FLAP_4P!$A$4:$I$18,TUBE_4P!$A$4:$I$18),5,0),0))</f>
        <v>10</v>
      </c>
      <c r="L26" s="10">
        <f t="shared" si="0"/>
        <v>20</v>
      </c>
      <c r="M26" s="55">
        <f ca="1">IF($A26="","",IF(AND(ISNUMBER(G26),G26&gt;=J26,G26&lt;=(J26+(L26/(IF(F26="Contract Workman",Settings!$K$5,Settings!$K$4))))),J26+(L26/(IF(F26="Contract Workman",Settings!$K$5,Settings!$K$4)))+(H26/(IF(F26="Contract Workman",Settings!$K$5,Settings!$K$4))),J26+(L26/(IF(F26="Contract Workman",Settings!$K$5,Settings!$K$4)))))</f>
        <v>46140.606481481474</v>
      </c>
      <c r="N26" s="10" t="str">
        <f t="shared" ca="1" si="1"/>
        <v>Shift A</v>
      </c>
      <c r="O26" s="51" t="str">
        <f>IF(B26="","", IF(IFERROR(ISNUMBER(SEARCH(B26, VLOOKUP(E26, Machine_List!$B:$J, 9, 0))), FALSE()), "✅ Machine OK", "❌ Sug: " &amp; IFERROR(INDEX(Machine_List!$B$4:$B$50, MATCH("*"&amp;B26&amp;"*", Machine_List!$J$4:$J$50, 0)), "Check Limits")))</f>
        <v>✅ Machine OK</v>
      </c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2"/>
      <c r="BF26" s="52"/>
      <c r="BG26" s="52"/>
      <c r="BH26" s="52"/>
      <c r="BI26" s="52"/>
      <c r="BJ26" s="52"/>
      <c r="BK26" s="52"/>
      <c r="BL26" s="52"/>
      <c r="BM26" s="52"/>
    </row>
    <row r="27" spans="1:65" ht="28.8" customHeight="1" x14ac:dyDescent="0.3">
      <c r="A27" s="10" t="str">
        <f>IF(Job_Master!A27="","",Job_Master!A27)</f>
        <v>BJ-122</v>
      </c>
      <c r="B27" s="10">
        <f>IF($A27="","",Job_Master!B27)</f>
        <v>54</v>
      </c>
      <c r="C27" s="10" t="str">
        <f>IF($A27="","",Job_Master!C27)</f>
        <v>SOL</v>
      </c>
      <c r="D27" s="10">
        <f>IF($A27="","",Job_Master!D27)</f>
        <v>4</v>
      </c>
      <c r="E27" s="48" t="str">
        <f>IF($A27="","","ENG-MC-07")</f>
        <v>ENG-MC-07</v>
      </c>
      <c r="F27" s="106" t="str">
        <f>IF($E27="","",IFERROR(VLOOKUP($E27,Machine_List!$B:$G,6,0),""))</f>
        <v>General Workman</v>
      </c>
      <c r="G27" s="53">
        <f>IF($E27="","",IFERROR(VLOOKUP($E27,Machine_List!$B:$C,2,0),""))</f>
        <v>46272</v>
      </c>
      <c r="H27" s="10">
        <f>IF($E27="","",IFERROR(VLOOKUP($E27,Machine_List!$B:$D,3,0),""))</f>
        <v>6</v>
      </c>
      <c r="I27" s="54"/>
      <c r="J27" s="55">
        <f ca="1">IF($A27="","",IF($I27&lt;&gt;"",$I27,MAX(EDM_Plan!$M27,IFERROR(LOOKUP(2,1/($E$3:INDIRECT("E"&amp;(ROW()-1))=$E27),$M$3:INDIRECT("M"&amp;(ROW()-1))),EDM_Plan!$M27))))</f>
        <v>46198.476851851847</v>
      </c>
      <c r="K27" s="10">
        <f>IF($A27="","",IFERROR(VLOOKUP(B27,CHOOSE(MATCH(C27,Settings!$L$4:$L$10,0),OPR_2P!$A$4:$I$18,SEG_6P!$A$4:$I$18,SOL_4P!$A$4:$I$18,RW_2P!$A$4:$I$18,RW2_4P!$A$4:$I$18,FLAP_4P!$A$4:$I$18,TUBE_4P!$A$4:$I$18),5,0),0))</f>
        <v>87</v>
      </c>
      <c r="L27" s="10">
        <f t="shared" si="0"/>
        <v>348</v>
      </c>
      <c r="M27" s="55">
        <f ca="1">IF($A27="","",IF(AND(ISNUMBER(G27),G27&gt;=J27,G27&lt;=(J27+(L27/(IF(F27="Contract Workman",Settings!$K$5,Settings!$K$4))))),J27+(L27/(IF(F27="Contract Workman",Settings!$K$5,Settings!$K$4)))+(H27/(IF(F27="Contract Workman",Settings!$K$5,Settings!$K$4))),J27+(L27/(IF(F27="Contract Workman",Settings!$K$5,Settings!$K$4)))))</f>
        <v>46214.587962962956</v>
      </c>
      <c r="N27" s="10" t="str">
        <f t="shared" ca="1" si="1"/>
        <v>Shift A</v>
      </c>
      <c r="O27" s="51" t="str">
        <f>IF(B27="","", IF(IFERROR(ISNUMBER(SEARCH(B27, VLOOKUP(E27, Machine_List!$B:$J, 9, 0))), FALSE()), "✅ Machine OK", "❌ Sug: " &amp; IFERROR(INDEX(Machine_List!$B$4:$B$50, MATCH("*"&amp;B27&amp;"*", Machine_List!$J$4:$J$50, 0)), "Check Limits")))</f>
        <v>✅ Machine OK</v>
      </c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2"/>
      <c r="AQ27" s="52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52"/>
      <c r="BC27" s="52"/>
      <c r="BD27" s="52"/>
      <c r="BE27" s="52"/>
      <c r="BF27" s="52"/>
      <c r="BG27" s="52"/>
      <c r="BH27" s="52"/>
      <c r="BI27" s="52"/>
      <c r="BJ27" s="52"/>
      <c r="BK27" s="52"/>
      <c r="BL27" s="52"/>
      <c r="BM27" s="52"/>
    </row>
    <row r="28" spans="1:65" ht="28.8" customHeight="1" x14ac:dyDescent="0.3">
      <c r="A28" s="10" t="str">
        <f>IF(Job_Master!A28="","",Job_Master!A28)</f>
        <v>BJ-124</v>
      </c>
      <c r="B28" s="10">
        <f>IF($A28="","",Job_Master!B28)</f>
        <v>42</v>
      </c>
      <c r="C28" s="10" t="str">
        <f>IF($A28="","",Job_Master!C28)</f>
        <v>2P</v>
      </c>
      <c r="D28" s="10">
        <f>IF($A28="","",Job_Master!D28)</f>
        <v>2</v>
      </c>
      <c r="E28" s="48" t="str">
        <f>IF($A28="","","ENG-MC-03")</f>
        <v>ENG-MC-03</v>
      </c>
      <c r="F28" s="106" t="str">
        <f>IF($E28="","",IFERROR(VLOOKUP($E28,Machine_List!$B:$G,6,0),""))</f>
        <v>General Workman</v>
      </c>
      <c r="G28" s="53">
        <f>IF($E28="","",IFERROR(VLOOKUP($E28,Machine_List!$B:$C,2,0),""))</f>
        <v>46433</v>
      </c>
      <c r="H28" s="10">
        <f>IF($E28="","",IFERROR(VLOOKUP($E28,Machine_List!$B:$D,3,0),""))</f>
        <v>6</v>
      </c>
      <c r="I28" s="54"/>
      <c r="J28" s="55">
        <f ca="1">IF($A28="","",IF($I28&lt;&gt;"",$I28,MAX(EDM_Plan!$M28,IFERROR(LOOKUP(2,1/($E$3:INDIRECT("E"&amp;(ROW()-1))=$E28),$M$3:INDIRECT("M"&amp;(ROW()-1))),EDM_Plan!$M28))))</f>
        <v>46158.106481481474</v>
      </c>
      <c r="K28" s="10">
        <f>IF($A28="","",IFERROR(VLOOKUP(B28,CHOOSE(MATCH(C28,Settings!$L$4:$L$10,0),OPR_2P!$A$4:$I$18,SEG_6P!$A$4:$I$18,SOL_4P!$A$4:$I$18,RW_2P!$A$4:$I$18,RW2_4P!$A$4:$I$18,FLAP_4P!$A$4:$I$18,TUBE_4P!$A$4:$I$18),5,0),0))</f>
        <v>64</v>
      </c>
      <c r="L28" s="10">
        <f t="shared" si="0"/>
        <v>128</v>
      </c>
      <c r="M28" s="55">
        <f ca="1">IF($A28="","",IF(AND(ISNUMBER(G28),G28&gt;=J28,G28&lt;=(J28+(L28/(IF(F28="Contract Workman",Settings!$K$5,Settings!$K$4))))),J28+(L28/(IF(F28="Contract Workman",Settings!$K$5,Settings!$K$4)))+(H28/(IF(F28="Contract Workman",Settings!$K$5,Settings!$K$4))),J28+(L28/(IF(F28="Contract Workman",Settings!$K$5,Settings!$K$4)))))</f>
        <v>46164.032407407401</v>
      </c>
      <c r="N28" s="10" t="str">
        <f t="shared" ca="1" si="1"/>
        <v>Shift C</v>
      </c>
      <c r="O28" s="51" t="str">
        <f>IF(B28="","", IF(IFERROR(ISNUMBER(SEARCH(B28, VLOOKUP(E28, Machine_List!$B:$J, 9, 0))), FALSE()), "✅ Machine OK", "❌ Sug: " &amp; IFERROR(INDEX(Machine_List!$B$4:$B$50, MATCH("*"&amp;B28&amp;"*", Machine_List!$J$4:$J$50, 0)), "Check Limits")))</f>
        <v>✅ Machine OK</v>
      </c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2"/>
      <c r="AO28" s="52"/>
      <c r="AP28" s="52"/>
      <c r="AQ28" s="52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52"/>
      <c r="BC28" s="52"/>
      <c r="BD28" s="52"/>
      <c r="BE28" s="52"/>
      <c r="BF28" s="52"/>
      <c r="BG28" s="52"/>
      <c r="BH28" s="52"/>
      <c r="BI28" s="52"/>
      <c r="BJ28" s="52"/>
      <c r="BK28" s="52"/>
      <c r="BL28" s="52"/>
      <c r="BM28" s="52"/>
    </row>
    <row r="29" spans="1:65" ht="28.8" customHeight="1" x14ac:dyDescent="0.3">
      <c r="A29" s="10" t="str">
        <f>IF(Job_Master!A29="","",Job_Master!A29)</f>
        <v>BJ-126</v>
      </c>
      <c r="B29" s="10">
        <f>IF($A29="","",Job_Master!B29)</f>
        <v>42</v>
      </c>
      <c r="C29" s="10" t="str">
        <f>IF($A29="","",Job_Master!C29)</f>
        <v>2P</v>
      </c>
      <c r="D29" s="10">
        <f>IF($A29="","",Job_Master!D29)</f>
        <v>2</v>
      </c>
      <c r="E29" s="48" t="str">
        <f>IF($A29="","","ENG-MC-04")</f>
        <v>ENG-MC-04</v>
      </c>
      <c r="F29" s="106" t="str">
        <f>IF($E29="","",IFERROR(VLOOKUP($E29,Machine_List!$B:$G,6,0),""))</f>
        <v>General Workman</v>
      </c>
      <c r="G29" s="53">
        <f>IF($E29="","",IFERROR(VLOOKUP($E29,Machine_List!$B:$C,2,0),""))</f>
        <v>46450</v>
      </c>
      <c r="H29" s="10">
        <f>IF($E29="","",IFERROR(VLOOKUP($E29,Machine_List!$B:$D,3,0),""))</f>
        <v>6</v>
      </c>
      <c r="I29" s="54"/>
      <c r="J29" s="55">
        <f ca="1">IF($A29="","",IF($I29&lt;&gt;"",$I29,MAX(EDM_Plan!$M29,IFERROR(LOOKUP(2,1/($E$3:INDIRECT("E"&amp;(ROW()-1))=$E29),$M$3:INDIRECT("M"&amp;(ROW()-1))),EDM_Plan!$M29))))</f>
        <v>46161.069444444431</v>
      </c>
      <c r="K29" s="10">
        <f>IF($A29="","",IFERROR(VLOOKUP(B29,CHOOSE(MATCH(C29,Settings!$L$4:$L$10,0),OPR_2P!$A$4:$I$18,SEG_6P!$A$4:$I$18,SOL_4P!$A$4:$I$18,RW_2P!$A$4:$I$18,RW2_4P!$A$4:$I$18,FLAP_4P!$A$4:$I$18,TUBE_4P!$A$4:$I$18),5,0),0))</f>
        <v>64</v>
      </c>
      <c r="L29" s="10">
        <f t="shared" si="0"/>
        <v>128</v>
      </c>
      <c r="M29" s="55">
        <f ca="1">IF($A29="","",IF(AND(ISNUMBER(G29),G29&gt;=J29,G29&lt;=(J29+(L29/(IF(F29="Contract Workman",Settings!$K$5,Settings!$K$4))))),J29+(L29/(IF(F29="Contract Workman",Settings!$K$5,Settings!$K$4)))+(H29/(IF(F29="Contract Workman",Settings!$K$5,Settings!$K$4))),J29+(L29/(IF(F29="Contract Workman",Settings!$K$5,Settings!$K$4)))))</f>
        <v>46166.995370370358</v>
      </c>
      <c r="N29" s="10" t="str">
        <f t="shared" ca="1" si="1"/>
        <v>Shift C</v>
      </c>
      <c r="O29" s="51" t="str">
        <f>IF(B29="","", IF(IFERROR(ISNUMBER(SEARCH(B29, VLOOKUP(E29, Machine_List!$B:$J, 9, 0))), FALSE()), "✅ Machine OK", "❌ Sug: " &amp; IFERROR(INDEX(Machine_List!$B$4:$B$50, MATCH("*"&amp;B29&amp;"*", Machine_List!$J$4:$J$50, 0)), "Check Limits")))</f>
        <v>✅ Machine OK</v>
      </c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2"/>
      <c r="AQ29" s="52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52"/>
      <c r="BC29" s="52"/>
      <c r="BD29" s="52"/>
      <c r="BE29" s="52"/>
      <c r="BF29" s="52"/>
      <c r="BG29" s="52"/>
      <c r="BH29" s="52"/>
      <c r="BI29" s="52"/>
      <c r="BJ29" s="52"/>
      <c r="BK29" s="52"/>
      <c r="BL29" s="52"/>
      <c r="BM29" s="52"/>
    </row>
    <row r="30" spans="1:65" ht="28.8" customHeight="1" x14ac:dyDescent="0.3">
      <c r="A30" s="10" t="str">
        <f>IF(Job_Master!A30="","",Job_Master!A30)</f>
        <v>BJ-127</v>
      </c>
      <c r="B30" s="10">
        <f>IF($A30="","",Job_Master!B30)</f>
        <v>15</v>
      </c>
      <c r="C30" s="10" t="str">
        <f>IF($A30="","",Job_Master!C30)</f>
        <v>RW</v>
      </c>
      <c r="D30" s="10">
        <f>IF($A30="","",Job_Master!D30)</f>
        <v>2</v>
      </c>
      <c r="E30" s="48" t="str">
        <f>IF($A30="","","ENG-MC-05")</f>
        <v>ENG-MC-05</v>
      </c>
      <c r="F30" s="106" t="str">
        <f>IF($E30="","",IFERROR(VLOOKUP($E30,Machine_List!$B:$G,6,0),""))</f>
        <v>General Workman</v>
      </c>
      <c r="G30" s="53">
        <f>IF($E30="","",IFERROR(VLOOKUP($E30,Machine_List!$B:$C,2,0),""))</f>
        <v>46049</v>
      </c>
      <c r="H30" s="10">
        <f>IF($E30="","",IFERROR(VLOOKUP($E30,Machine_List!$B:$D,3,0),""))</f>
        <v>6</v>
      </c>
      <c r="I30" s="54"/>
      <c r="J30" s="55">
        <f ca="1">IF($A30="","",IF($I30&lt;&gt;"",$I30,MAX(EDM_Plan!$M30,IFERROR(LOOKUP(2,1/($E$3:INDIRECT("E"&amp;(ROW()-1))=$E30),$M$3:INDIRECT("M"&amp;(ROW()-1))),EDM_Plan!$M30))))</f>
        <v>46140.606481481474</v>
      </c>
      <c r="K30" s="10">
        <f>IF($A30="","",IFERROR(VLOOKUP(B30,CHOOSE(MATCH(C30,Settings!$L$4:$L$10,0),OPR_2P!$A$4:$I$18,SEG_6P!$A$4:$I$18,SOL_4P!$A$4:$I$18,RW_2P!$A$4:$I$18,RW2_4P!$A$4:$I$18,FLAP_4P!$A$4:$I$18,TUBE_4P!$A$4:$I$18),5,0),0))</f>
        <v>10</v>
      </c>
      <c r="L30" s="10">
        <f t="shared" si="0"/>
        <v>20</v>
      </c>
      <c r="M30" s="55">
        <f ca="1">IF($A30="","",IF(AND(ISNUMBER(G30),G30&gt;=J30,G30&lt;=(J30+(L30/(IF(F30="Contract Workman",Settings!$K$5,Settings!$K$4))))),J30+(L30/(IF(F30="Contract Workman",Settings!$K$5,Settings!$K$4)))+(H30/(IF(F30="Contract Workman",Settings!$K$5,Settings!$K$4))),J30+(L30/(IF(F30="Contract Workman",Settings!$K$5,Settings!$K$4)))))</f>
        <v>46141.532407407401</v>
      </c>
      <c r="N30" s="10" t="str">
        <f t="shared" ca="1" si="1"/>
        <v>Shift A</v>
      </c>
      <c r="O30" s="51" t="str">
        <f>IF(B30="","", IF(IFERROR(ISNUMBER(SEARCH(B30, VLOOKUP(E30, Machine_List!$B:$J, 9, 0))), FALSE()), "✅ Machine OK", "❌ Sug: " &amp; IFERROR(INDEX(Machine_List!$B$4:$B$50, MATCH("*"&amp;B30&amp;"*", Machine_List!$J$4:$J$50, 0)), "Check Limits")))</f>
        <v>✅ Machine OK</v>
      </c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P30" s="52"/>
      <c r="AQ30" s="52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52"/>
      <c r="BC30" s="52"/>
      <c r="BD30" s="52"/>
      <c r="BE30" s="52"/>
      <c r="BF30" s="52"/>
      <c r="BG30" s="52"/>
      <c r="BH30" s="52"/>
      <c r="BI30" s="52"/>
      <c r="BJ30" s="52"/>
      <c r="BK30" s="52"/>
      <c r="BL30" s="52"/>
      <c r="BM30" s="52"/>
    </row>
    <row r="31" spans="1:65" ht="28.8" customHeight="1" x14ac:dyDescent="0.3">
      <c r="A31" s="10" t="str">
        <f>IF(Job_Master!A31="","",Job_Master!A31)</f>
        <v>BJ-128</v>
      </c>
      <c r="B31" s="10">
        <f>IF($A31="","",Job_Master!B31)</f>
        <v>46</v>
      </c>
      <c r="C31" s="10" t="str">
        <f>IF($A31="","",Job_Master!C31)</f>
        <v>2P</v>
      </c>
      <c r="D31" s="10">
        <f>IF($A31="","",Job_Master!D31)</f>
        <v>2</v>
      </c>
      <c r="E31" s="48" t="str">
        <f>IF($A31="","","ENG-MC-08")</f>
        <v>ENG-MC-08</v>
      </c>
      <c r="F31" s="106" t="str">
        <f>IF($E31="","",IFERROR(VLOOKUP($E31,Machine_List!$B:$G,6,0),""))</f>
        <v>General Workman</v>
      </c>
      <c r="G31" s="53">
        <f>IF($E31="","",IFERROR(VLOOKUP($E31,Machine_List!$B:$C,2,0),""))</f>
        <v>46383</v>
      </c>
      <c r="H31" s="10">
        <f>IF($E31="","",IFERROR(VLOOKUP($E31,Machine_List!$B:$D,3,0),""))</f>
        <v>6</v>
      </c>
      <c r="I31" s="54"/>
      <c r="J31" s="55">
        <f ca="1">IF($A31="","",IF($I31&lt;&gt;"",$I31,MAX(EDM_Plan!$M31,IFERROR(LOOKUP(2,1/($E$3:INDIRECT("E"&amp;(ROW()-1))=$E31),$M$3:INDIRECT("M"&amp;(ROW()-1))),EDM_Plan!$M31))))</f>
        <v>46166.717592592599</v>
      </c>
      <c r="K31" s="10">
        <f>IF($A31="","",IFERROR(VLOOKUP(B31,CHOOSE(MATCH(C31,Settings!$L$4:$L$10,0),OPR_2P!$A$4:$I$18,SEG_6P!$A$4:$I$18,SOL_4P!$A$4:$I$18,RW_2P!$A$4:$I$18,RW2_4P!$A$4:$I$18,FLAP_4P!$A$4:$I$18,TUBE_4P!$A$4:$I$18),5,0),0))</f>
        <v>64</v>
      </c>
      <c r="L31" s="10">
        <f t="shared" si="0"/>
        <v>128</v>
      </c>
      <c r="M31" s="55">
        <f ca="1">IF($A31="","",IF(AND(ISNUMBER(G31),G31&gt;=J31,G31&lt;=(J31+(L31/(IF(F31="Contract Workman",Settings!$K$5,Settings!$K$4))))),J31+(L31/(IF(F31="Contract Workman",Settings!$K$5,Settings!$K$4)))+(H31/(IF(F31="Contract Workman",Settings!$K$5,Settings!$K$4))),J31+(L31/(IF(F31="Contract Workman",Settings!$K$5,Settings!$K$4)))))</f>
        <v>46172.643518518526</v>
      </c>
      <c r="N31" s="10" t="str">
        <f t="shared" ca="1" si="1"/>
        <v>Shift B</v>
      </c>
      <c r="O31" s="51" t="str">
        <f>IF(B31="","", IF(IFERROR(ISNUMBER(SEARCH(B31, VLOOKUP(E31, Machine_List!$B:$J, 9, 0))), FALSE()), "✅ Machine OK", "❌ Sug: " &amp; IFERROR(INDEX(Machine_List!$B$4:$B$50, MATCH("*"&amp;B31&amp;"*", Machine_List!$J$4:$J$50, 0)), "Check Limits")))</f>
        <v>✅ Machine OK</v>
      </c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2"/>
      <c r="BC31" s="52"/>
      <c r="BD31" s="52"/>
      <c r="BE31" s="52"/>
      <c r="BF31" s="52"/>
      <c r="BG31" s="52"/>
      <c r="BH31" s="52"/>
      <c r="BI31" s="52"/>
      <c r="BJ31" s="52"/>
      <c r="BK31" s="52"/>
      <c r="BL31" s="52"/>
      <c r="BM31" s="52"/>
    </row>
    <row r="32" spans="1:65" ht="28.8" customHeight="1" x14ac:dyDescent="0.3">
      <c r="A32" s="10" t="str">
        <f>IF(Job_Master!A32="","",Job_Master!A32)</f>
        <v>BJ-125</v>
      </c>
      <c r="B32" s="10">
        <f>IF($A32="","",Job_Master!B32)</f>
        <v>25</v>
      </c>
      <c r="C32" s="10" t="str">
        <f>IF($A32="","",Job_Master!C32)</f>
        <v>SEG</v>
      </c>
      <c r="D32" s="10">
        <f>IF($A32="","",Job_Master!D32)</f>
        <v>6</v>
      </c>
      <c r="E32" s="48" t="str">
        <f>IF($A32="","","ENG-MC-01")</f>
        <v>ENG-MC-01</v>
      </c>
      <c r="F32" s="106" t="str">
        <f>IF($E32="","",IFERROR(VLOOKUP($E32,Machine_List!$B:$G,6,0),""))</f>
        <v>General Workman</v>
      </c>
      <c r="G32" s="53">
        <f>IF($E32="","",IFERROR(VLOOKUP($E32,Machine_List!$B:$C,2,0),""))</f>
        <v>46090</v>
      </c>
      <c r="H32" s="10">
        <f>IF($E32="","",IFERROR(VLOOKUP($E32,Machine_List!$B:$D,3,0),""))</f>
        <v>6</v>
      </c>
      <c r="I32" s="54"/>
      <c r="J32" s="55">
        <f ca="1">IF($A32="","",IF($I32&lt;&gt;"",$I32,MAX(EDM_Plan!$M32,IFERROR(LOOKUP(2,1/($E$3:INDIRECT("E"&amp;(ROW()-1))=$E32),$M$3:INDIRECT("M"&amp;(ROW()-1))),EDM_Plan!$M32))))</f>
        <v>46160.421296296292</v>
      </c>
      <c r="K32" s="10">
        <f>IF($A32="","",IFERROR(VLOOKUP(B32,CHOOSE(MATCH(C32,Settings!$L$4:$L$10,0),OPR_2P!$A$4:$I$18,SEG_6P!$A$4:$I$18,SOL_4P!$A$4:$I$18,RW_2P!$A$4:$I$18,RW2_4P!$A$4:$I$18,FLAP_4P!$A$4:$I$18,TUBE_4P!$A$4:$I$18),5,0),0))</f>
        <v>35</v>
      </c>
      <c r="L32" s="10">
        <f t="shared" si="0"/>
        <v>210</v>
      </c>
      <c r="M32" s="55">
        <f ca="1">IF($A32="","",IF(AND(ISNUMBER(G32),G32&gt;=J32,G32&lt;=(J32+(L32/(IF(F32="Contract Workman",Settings!$K$5,Settings!$K$4))))),J32+(L32/(IF(F32="Contract Workman",Settings!$K$5,Settings!$K$4)))+(H32/(IF(F32="Contract Workman",Settings!$K$5,Settings!$K$4))),J32+(L32/(IF(F32="Contract Workman",Settings!$K$5,Settings!$K$4)))))</f>
        <v>46170.143518518511</v>
      </c>
      <c r="N32" s="10" t="str">
        <f t="shared" ca="1" si="1"/>
        <v>Shift C</v>
      </c>
      <c r="O32" s="51" t="str">
        <f>IF(B32="","", IF(IFERROR(ISNUMBER(SEARCH(B32, VLOOKUP(E32, Machine_List!$B:$J, 9, 0))), FALSE()), "✅ Machine OK", "❌ Sug: " &amp; IFERROR(INDEX(Machine_List!$B$4:$B$50, MATCH("*"&amp;B32&amp;"*", Machine_List!$J$4:$J$50, 0)), "Check Limits")))</f>
        <v>✅ Machine OK</v>
      </c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2"/>
      <c r="AO32" s="52"/>
      <c r="AP32" s="52"/>
      <c r="AQ32" s="52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52"/>
      <c r="BC32" s="52"/>
      <c r="BD32" s="52"/>
      <c r="BE32" s="52"/>
      <c r="BF32" s="52"/>
      <c r="BG32" s="52"/>
      <c r="BH32" s="52"/>
      <c r="BI32" s="52"/>
      <c r="BJ32" s="52"/>
      <c r="BK32" s="52"/>
      <c r="BL32" s="52"/>
      <c r="BM32" s="52"/>
    </row>
    <row r="33" spans="1:65" ht="28.8" customHeight="1" x14ac:dyDescent="0.3">
      <c r="A33" s="10" t="str">
        <f>IF(Job_Master!A33="","",Job_Master!A33)</f>
        <v>BJ-129</v>
      </c>
      <c r="B33" s="10">
        <f>IF($A33="","",Job_Master!B33)</f>
        <v>9</v>
      </c>
      <c r="C33" s="10" t="str">
        <f>IF($A33="","",Job_Master!C33)</f>
        <v>RW</v>
      </c>
      <c r="D33" s="10">
        <f>IF($A33="","",Job_Master!D33)</f>
        <v>2</v>
      </c>
      <c r="E33" s="48" t="str">
        <f>IF($A33="","","ENG-MC-05")</f>
        <v>ENG-MC-05</v>
      </c>
      <c r="F33" s="106" t="str">
        <f>IF($E33="","",IFERROR(VLOOKUP($E33,Machine_List!$B:$G,6,0),""))</f>
        <v>General Workman</v>
      </c>
      <c r="G33" s="53">
        <f>IF($E33="","",IFERROR(VLOOKUP($E33,Machine_List!$B:$C,2,0),""))</f>
        <v>46049</v>
      </c>
      <c r="H33" s="10">
        <f>IF($E33="","",IFERROR(VLOOKUP($E33,Machine_List!$B:$D,3,0),""))</f>
        <v>6</v>
      </c>
      <c r="I33" s="54"/>
      <c r="J33" s="55">
        <f ca="1">IF($A33="","",IF($I33&lt;&gt;"",$I33,MAX(EDM_Plan!$M33,IFERROR(LOOKUP(2,1/($E$3:INDIRECT("E"&amp;(ROW()-1))=$E33),$M$3:INDIRECT("M"&amp;(ROW()-1))),EDM_Plan!$M33))))</f>
        <v>46146.902777777774</v>
      </c>
      <c r="K33" s="10">
        <f>IF($A33="","",IFERROR(VLOOKUP(B33,CHOOSE(MATCH(C33,Settings!$L$4:$L$10,0),OPR_2P!$A$4:$I$18,SEG_6P!$A$4:$I$18,SOL_4P!$A$4:$I$18,RW_2P!$A$4:$I$18,RW2_4P!$A$4:$I$18,FLAP_4P!$A$4:$I$18,TUBE_4P!$A$4:$I$18),5,0),0))</f>
        <v>6</v>
      </c>
      <c r="L33" s="10">
        <f t="shared" si="0"/>
        <v>12</v>
      </c>
      <c r="M33" s="55">
        <f ca="1">IF($A33="","",IF(AND(ISNUMBER(G33),G33&gt;=J33,G33&lt;=(J33+(L33/(IF(F33="Contract Workman",Settings!$K$5,Settings!$K$4))))),J33+(L33/(IF(F33="Contract Workman",Settings!$K$5,Settings!$K$4)))+(H33/(IF(F33="Contract Workman",Settings!$K$5,Settings!$K$4))),J33+(L33/(IF(F33="Contract Workman",Settings!$K$5,Settings!$K$4)))))</f>
        <v>46147.458333333328</v>
      </c>
      <c r="N33" s="10" t="str">
        <f t="shared" ca="1" si="1"/>
        <v>Shift A</v>
      </c>
      <c r="O33" s="51" t="str">
        <f>IF(B33="","", IF(IFERROR(ISNUMBER(SEARCH(B33, VLOOKUP(E33, Machine_List!$B:$J, 9, 0))), FALSE()), "✅ Machine OK", "❌ Sug: " &amp; IFERROR(INDEX(Machine_List!$B$4:$B$50, MATCH("*"&amp;B33&amp;"*", Machine_List!$J$4:$J$50, 0)), "Check Limits")))</f>
        <v>✅ Machine OK</v>
      </c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2"/>
      <c r="AQ33" s="52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/>
      <c r="BD33" s="52"/>
      <c r="BE33" s="52"/>
      <c r="BF33" s="52"/>
      <c r="BG33" s="52"/>
      <c r="BH33" s="52"/>
      <c r="BI33" s="52"/>
      <c r="BJ33" s="52"/>
      <c r="BK33" s="52"/>
      <c r="BL33" s="52"/>
      <c r="BM33" s="52"/>
    </row>
    <row r="34" spans="1:65" ht="28.8" customHeight="1" x14ac:dyDescent="0.3">
      <c r="A34" s="10" t="str">
        <f>IF(Job_Master!A34="","",Job_Master!A34)</f>
        <v>BJ-130</v>
      </c>
      <c r="B34" s="10">
        <f>IF($A34="","",Job_Master!B34)</f>
        <v>57</v>
      </c>
      <c r="C34" s="10" t="str">
        <f>IF($A34="","",Job_Master!C34)</f>
        <v>RW</v>
      </c>
      <c r="D34" s="10">
        <f>IF($A34="","",Job_Master!D34)</f>
        <v>2</v>
      </c>
      <c r="E34" s="48" t="str">
        <f>IF($A34="","","ENG-MC-08")</f>
        <v>ENG-MC-08</v>
      </c>
      <c r="F34" s="106" t="str">
        <f>IF($E34="","",IFERROR(VLOOKUP($E34,Machine_List!$B:$G,6,0),""))</f>
        <v>General Workman</v>
      </c>
      <c r="G34" s="53">
        <f>IF($E34="","",IFERROR(VLOOKUP($E34,Machine_List!$B:$C,2,0),""))</f>
        <v>46383</v>
      </c>
      <c r="H34" s="10">
        <f>IF($E34="","",IFERROR(VLOOKUP($E34,Machine_List!$B:$D,3,0),""))</f>
        <v>6</v>
      </c>
      <c r="I34" s="54"/>
      <c r="J34" s="55">
        <f ca="1">IF($A34="","",IF($I34&lt;&gt;"",$I34,MAX(EDM_Plan!$M34,IFERROR(LOOKUP(2,1/($E$3:INDIRECT("E"&amp;(ROW()-1))=$E34),$M$3:INDIRECT("M"&amp;(ROW()-1))),EDM_Plan!$M34))))</f>
        <v>46172.643518518526</v>
      </c>
      <c r="K34" s="10">
        <f>IF($A34="","",IFERROR(VLOOKUP(B34,CHOOSE(MATCH(C34,Settings!$L$4:$L$10,0),OPR_2P!$A$4:$I$18,SEG_6P!$A$4:$I$18,SOL_4P!$A$4:$I$18,RW_2P!$A$4:$I$18,RW2_4P!$A$4:$I$18,FLAP_4P!$A$4:$I$18,TUBE_4P!$A$4:$I$18),5,0),0))</f>
        <v>94</v>
      </c>
      <c r="L34" s="10">
        <f t="shared" si="0"/>
        <v>188</v>
      </c>
      <c r="M34" s="55">
        <f ca="1">IF($A34="","",IF(AND(ISNUMBER(G34),G34&gt;=J34,G34&lt;=(J34+(L34/(IF(F34="Contract Workman",Settings!$K$5,Settings!$K$4))))),J34+(L34/(IF(F34="Contract Workman",Settings!$K$5,Settings!$K$4)))+(H34/(IF(F34="Contract Workman",Settings!$K$5,Settings!$K$4))),J34+(L34/(IF(F34="Contract Workman",Settings!$K$5,Settings!$K$4)))))</f>
        <v>46181.347222222226</v>
      </c>
      <c r="N34" s="10" t="str">
        <f t="shared" ca="1" si="1"/>
        <v>Shift A</v>
      </c>
      <c r="O34" s="51" t="str">
        <f>IF(B34="","", IF(IFERROR(ISNUMBER(SEARCH(B34, VLOOKUP(E34, Machine_List!$B:$J, 9, 0))), FALSE()), "✅ Machine OK", "❌ Sug: " &amp; IFERROR(INDEX(Machine_List!$B$4:$B$50, MATCH("*"&amp;B34&amp;"*", Machine_List!$J$4:$J$50, 0)), "Check Limits")))</f>
        <v>✅ Machine OK</v>
      </c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2"/>
      <c r="AO34" s="52"/>
      <c r="AP34" s="52"/>
      <c r="AQ34" s="52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52"/>
      <c r="BC34" s="52"/>
      <c r="BD34" s="52"/>
      <c r="BE34" s="52"/>
      <c r="BF34" s="52"/>
      <c r="BG34" s="52"/>
      <c r="BH34" s="52"/>
      <c r="BI34" s="52"/>
      <c r="BJ34" s="52"/>
      <c r="BK34" s="52"/>
      <c r="BL34" s="52"/>
      <c r="BM34" s="52"/>
    </row>
    <row r="35" spans="1:65" ht="28.8" customHeight="1" x14ac:dyDescent="0.3">
      <c r="A35" s="10" t="str">
        <f>IF(Job_Master!A35="","",Job_Master!A35)</f>
        <v>BJ-133</v>
      </c>
      <c r="B35" s="10">
        <f>IF($A35="","",Job_Master!B35)</f>
        <v>25</v>
      </c>
      <c r="C35" s="10" t="str">
        <f>IF($A35="","",Job_Master!C35)</f>
        <v>RW</v>
      </c>
      <c r="D35" s="10">
        <f>IF($A35="","",Job_Master!D35)</f>
        <v>2</v>
      </c>
      <c r="E35" s="48" t="str">
        <f>IF($A35="","","ENG-MC-02")</f>
        <v>ENG-MC-02</v>
      </c>
      <c r="F35" s="106" t="str">
        <f>IF($E35="","",IFERROR(VLOOKUP($E35,Machine_List!$B:$G,6,0),""))</f>
        <v>General Workman</v>
      </c>
      <c r="G35" s="53">
        <f>IF($E35="","",IFERROR(VLOOKUP($E35,Machine_List!$B:$C,2,0),""))</f>
        <v>46230</v>
      </c>
      <c r="H35" s="10">
        <f>IF($E35="","",IFERROR(VLOOKUP($E35,Machine_List!$B:$D,3,0),""))</f>
        <v>6</v>
      </c>
      <c r="I35" s="54"/>
      <c r="J35" s="55">
        <f ca="1">IF($A35="","",IF($I35&lt;&gt;"",$I35,MAX(EDM_Plan!$M35,IFERROR(LOOKUP(2,1/($E$3:INDIRECT("E"&amp;(ROW()-1))=$E35),$M$3:INDIRECT("M"&amp;(ROW()-1))),EDM_Plan!$M35))))</f>
        <v>46161.347222222212</v>
      </c>
      <c r="K35" s="10">
        <f>IF($A35="","",IFERROR(VLOOKUP(B35,CHOOSE(MATCH(C35,Settings!$L$4:$L$10,0),OPR_2P!$A$4:$I$18,SEG_6P!$A$4:$I$18,SOL_4P!$A$4:$I$18,RW_2P!$A$4:$I$18,RW2_4P!$A$4:$I$18,FLAP_4P!$A$4:$I$18,TUBE_4P!$A$4:$I$18),5,0),0))</f>
        <v>39</v>
      </c>
      <c r="L35" s="10">
        <f t="shared" si="0"/>
        <v>78</v>
      </c>
      <c r="M35" s="55">
        <f ca="1">IF($A35="","",IF(AND(ISNUMBER(G35),G35&gt;=J35,G35&lt;=(J35+(L35/(IF(F35="Contract Workman",Settings!$K$5,Settings!$K$4))))),J35+(L35/(IF(F35="Contract Workman",Settings!$K$5,Settings!$K$4)))+(H35/(IF(F35="Contract Workman",Settings!$K$5,Settings!$K$4))),J35+(L35/(IF(F35="Contract Workman",Settings!$K$5,Settings!$K$4)))))</f>
        <v>46164.958333333321</v>
      </c>
      <c r="N35" s="10" t="str">
        <f t="shared" ca="1" si="1"/>
        <v>Shift B</v>
      </c>
      <c r="O35" s="51" t="str">
        <f>IF(B35="","", IF(IFERROR(ISNUMBER(SEARCH(B35, VLOOKUP(E35, Machine_List!$B:$J, 9, 0))), FALSE()), "✅ Machine OK", "❌ Sug: " &amp; IFERROR(INDEX(Machine_List!$B$4:$B$50, MATCH("*"&amp;B35&amp;"*", Machine_List!$J$4:$J$50, 0)), "Check Limits")))</f>
        <v>✅ Machine OK</v>
      </c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2"/>
      <c r="BF35" s="52"/>
      <c r="BG35" s="52"/>
      <c r="BH35" s="52"/>
      <c r="BI35" s="52"/>
      <c r="BJ35" s="52"/>
      <c r="BK35" s="52"/>
      <c r="BL35" s="52"/>
      <c r="BM35" s="52"/>
    </row>
    <row r="36" spans="1:65" ht="28.8" customHeight="1" x14ac:dyDescent="0.3">
      <c r="A36" s="10" t="str">
        <f>IF(Job_Master!A36="","",Job_Master!A36)</f>
        <v>BJ-131</v>
      </c>
      <c r="B36" s="10">
        <f>IF($A36="","",Job_Master!B36)</f>
        <v>70</v>
      </c>
      <c r="C36" s="10" t="str">
        <f>IF($A36="","",Job_Master!C36)</f>
        <v>2P</v>
      </c>
      <c r="D36" s="10">
        <f>IF($A36="","",Job_Master!D36)</f>
        <v>2</v>
      </c>
      <c r="E36" s="48" t="str">
        <f>IF($A36="","","ENG-MC-12")</f>
        <v>ENG-MC-12</v>
      </c>
      <c r="F36" s="106" t="str">
        <f>IF($E36="","",IFERROR(VLOOKUP($E36,Machine_List!$B:$G,6,0),""))</f>
        <v>General Workman</v>
      </c>
      <c r="G36" s="53">
        <f>IF($E36="","",IFERROR(VLOOKUP($E36,Machine_List!$B:$C,2,0),""))</f>
        <v>46454</v>
      </c>
      <c r="H36" s="10">
        <f>IF($E36="","",IFERROR(VLOOKUP($E36,Machine_List!$B:$D,3,0),""))</f>
        <v>6</v>
      </c>
      <c r="I36" s="54"/>
      <c r="J36" s="55">
        <f ca="1">IF($A36="","",IF($I36&lt;&gt;"",$I36,MAX(EDM_Plan!$M36,IFERROR(LOOKUP(2,1/($E$3:INDIRECT("E"&amp;(ROW()-1))=$E36),$M$3:INDIRECT("M"&amp;(ROW()-1))),EDM_Plan!$M36))))</f>
        <v>46184.86574074073</v>
      </c>
      <c r="K36" s="10">
        <f>IF($A36="","",IFERROR(VLOOKUP(B36,CHOOSE(MATCH(C36,Settings!$L$4:$L$10,0),OPR_2P!$A$4:$I$18,SEG_6P!$A$4:$I$18,SOL_4P!$A$4:$I$18,RW_2P!$A$4:$I$18,RW2_4P!$A$4:$I$18,FLAP_4P!$A$4:$I$18,TUBE_4P!$A$4:$I$18),5,0),0))</f>
        <v>106</v>
      </c>
      <c r="L36" s="10">
        <f t="shared" si="0"/>
        <v>212</v>
      </c>
      <c r="M36" s="55">
        <f ca="1">IF($A36="","",IF(AND(ISNUMBER(G36),G36&gt;=J36,G36&lt;=(J36+(L36/(IF(F36="Contract Workman",Settings!$K$5,Settings!$K$4))))),J36+(L36/(IF(F36="Contract Workman",Settings!$K$5,Settings!$K$4)))+(H36/(IF(F36="Contract Workman",Settings!$K$5,Settings!$K$4))),J36+(L36/(IF(F36="Contract Workman",Settings!$K$5,Settings!$K$4)))))</f>
        <v>46194.680555555547</v>
      </c>
      <c r="N36" s="10" t="str">
        <f t="shared" ref="N36:N67" ca="1" si="2">IF($A36="","",IF(F36="Contract Workman",IF(AND(MOD(M36,1)&gt;=8/24,MOD(M36,1)&lt;20/24),"Shift S1","Shift S2"),IF(AND(MOD(M36,1)&gt;=7/24,MOD(M36,1)&lt;15/24),"Shift A",IF(AND(MOD(M36,1)&gt;=15/24,MOD(M36,1)&lt;23/24),"Shift B","Shift C"))))</f>
        <v>Shift B</v>
      </c>
      <c r="O36" s="51" t="str">
        <f>IF(B36="","", IF(IFERROR(ISNUMBER(SEARCH(B36, VLOOKUP(E36, Machine_List!$B:$J, 9, 0))), FALSE()), "✅ Machine OK", "❌ Sug: " &amp; IFERROR(INDEX(Machine_List!$B$4:$B$50, MATCH("*"&amp;B36&amp;"*", Machine_List!$J$4:$J$50, 0)), "Check Limits")))</f>
        <v>✅ Machine OK</v>
      </c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2"/>
      <c r="AN36" s="52"/>
      <c r="AO36" s="52"/>
      <c r="AP36" s="52"/>
      <c r="AQ36" s="52"/>
      <c r="AR36" s="52"/>
      <c r="AS36" s="52"/>
      <c r="AT36" s="52"/>
      <c r="AU36" s="52"/>
      <c r="AV36" s="52"/>
      <c r="AW36" s="52"/>
      <c r="AX36" s="52"/>
      <c r="AY36" s="52"/>
      <c r="AZ36" s="52"/>
      <c r="BA36" s="52"/>
      <c r="BB36" s="52"/>
      <c r="BC36" s="52"/>
      <c r="BD36" s="52"/>
      <c r="BE36" s="52"/>
      <c r="BF36" s="52"/>
      <c r="BG36" s="52"/>
      <c r="BH36" s="52"/>
      <c r="BI36" s="52"/>
      <c r="BJ36" s="52"/>
      <c r="BK36" s="52"/>
      <c r="BL36" s="52"/>
      <c r="BM36" s="52"/>
    </row>
    <row r="37" spans="1:65" ht="28.8" customHeight="1" x14ac:dyDescent="0.3">
      <c r="A37" s="10" t="str">
        <f>IF(Job_Master!A37="","",Job_Master!A37)</f>
        <v>BJ-134</v>
      </c>
      <c r="B37" s="10">
        <f>IF($A37="","",Job_Master!B37)</f>
        <v>15</v>
      </c>
      <c r="C37" s="10" t="str">
        <f>IF($A37="","",Job_Master!C37)</f>
        <v>RW</v>
      </c>
      <c r="D37" s="10">
        <f>IF($A37="","",Job_Master!D37)</f>
        <v>2</v>
      </c>
      <c r="E37" s="48" t="str">
        <f>IF($A37="","","ENG-MC-05")</f>
        <v>ENG-MC-05</v>
      </c>
      <c r="F37" s="106" t="str">
        <f>IF($E37="","",IFERROR(VLOOKUP($E37,Machine_List!$B:$G,6,0),""))</f>
        <v>General Workman</v>
      </c>
      <c r="G37" s="53">
        <f>IF($E37="","",IFERROR(VLOOKUP($E37,Machine_List!$B:$C,2,0),""))</f>
        <v>46049</v>
      </c>
      <c r="H37" s="10">
        <f>IF($E37="","",IFERROR(VLOOKUP($E37,Machine_List!$B:$D,3,0),""))</f>
        <v>6</v>
      </c>
      <c r="I37" s="54"/>
      <c r="J37" s="55">
        <f ca="1">IF($A37="","",IF($I37&lt;&gt;"",$I37,MAX(EDM_Plan!$M37,IFERROR(LOOKUP(2,1/($E$3:INDIRECT("E"&amp;(ROW()-1))=$E37),$M$3:INDIRECT("M"&amp;(ROW()-1))),EDM_Plan!$M37))))</f>
        <v>46152.180555555562</v>
      </c>
      <c r="K37" s="10">
        <f>IF($A37="","",IFERROR(VLOOKUP(B37,CHOOSE(MATCH(C37,Settings!$L$4:$L$10,0),OPR_2P!$A$4:$I$18,SEG_6P!$A$4:$I$18,SOL_4P!$A$4:$I$18,RW_2P!$A$4:$I$18,RW2_4P!$A$4:$I$18,FLAP_4P!$A$4:$I$18,TUBE_4P!$A$4:$I$18),5,0),0))</f>
        <v>10</v>
      </c>
      <c r="L37" s="10">
        <f t="shared" si="0"/>
        <v>20</v>
      </c>
      <c r="M37" s="55">
        <f ca="1">IF($A37="","",IF(AND(ISNUMBER(G37),G37&gt;=J37,G37&lt;=(J37+(L37/(IF(F37="Contract Workman",Settings!$K$5,Settings!$K$4))))),J37+(L37/(IF(F37="Contract Workman",Settings!$K$5,Settings!$K$4)))+(H37/(IF(F37="Contract Workman",Settings!$K$5,Settings!$K$4))),J37+(L37/(IF(F37="Contract Workman",Settings!$K$5,Settings!$K$4)))))</f>
        <v>46153.106481481489</v>
      </c>
      <c r="N37" s="10" t="str">
        <f t="shared" ca="1" si="2"/>
        <v>Shift C</v>
      </c>
      <c r="O37" s="51" t="str">
        <f>IF(B37="","", IF(IFERROR(ISNUMBER(SEARCH(B37, VLOOKUP(E37, Machine_List!$B:$J, 9, 0))), FALSE()), "✅ Machine OK", "❌ Sug: " &amp; IFERROR(INDEX(Machine_List!$B$4:$B$50, MATCH("*"&amp;B37&amp;"*", Machine_List!$J$4:$J$50, 0)), "Check Limits")))</f>
        <v>✅ Machine OK</v>
      </c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2"/>
      <c r="AN37" s="52"/>
      <c r="AO37" s="52"/>
      <c r="AP37" s="52"/>
      <c r="AQ37" s="52"/>
      <c r="AR37" s="52"/>
      <c r="AS37" s="52"/>
      <c r="AT37" s="52"/>
      <c r="AU37" s="52"/>
      <c r="AV37" s="52"/>
      <c r="AW37" s="52"/>
      <c r="AX37" s="52"/>
      <c r="AY37" s="52"/>
      <c r="AZ37" s="52"/>
      <c r="BA37" s="52"/>
      <c r="BB37" s="52"/>
      <c r="BC37" s="52"/>
      <c r="BD37" s="52"/>
      <c r="BE37" s="52"/>
      <c r="BF37" s="52"/>
      <c r="BG37" s="52"/>
      <c r="BH37" s="52"/>
      <c r="BI37" s="52"/>
      <c r="BJ37" s="52"/>
      <c r="BK37" s="52"/>
      <c r="BL37" s="52"/>
      <c r="BM37" s="52"/>
    </row>
    <row r="38" spans="1:65" ht="28.8" customHeight="1" x14ac:dyDescent="0.3">
      <c r="A38" s="10" t="str">
        <f>IF(Job_Master!A38="","",Job_Master!A38)</f>
        <v>BJ-135</v>
      </c>
      <c r="B38" s="10">
        <f>IF($A38="","",Job_Master!B38)</f>
        <v>28</v>
      </c>
      <c r="C38" s="10" t="str">
        <f>IF($A38="","",Job_Master!C38)</f>
        <v>2P</v>
      </c>
      <c r="D38" s="10">
        <f>IF($A38="","",Job_Master!D38)</f>
        <v>2</v>
      </c>
      <c r="E38" s="48" t="str">
        <f>IF($A38="","","ENG-MC-02")</f>
        <v>ENG-MC-02</v>
      </c>
      <c r="F38" s="106" t="str">
        <f>IF($E38="","",IFERROR(VLOOKUP($E38,Machine_List!$B:$G,6,0),""))</f>
        <v>General Workman</v>
      </c>
      <c r="G38" s="53">
        <f>IF($E38="","",IFERROR(VLOOKUP($E38,Machine_List!$B:$C,2,0),""))</f>
        <v>46230</v>
      </c>
      <c r="H38" s="10">
        <f>IF($E38="","",IFERROR(VLOOKUP($E38,Machine_List!$B:$D,3,0),""))</f>
        <v>6</v>
      </c>
      <c r="I38" s="54"/>
      <c r="J38" s="55">
        <f ca="1">IF($A38="","",IF($I38&lt;&gt;"",$I38,MAX(EDM_Plan!$M38,IFERROR(LOOKUP(2,1/($E$3:INDIRECT("E"&amp;(ROW()-1))=$E38),$M$3:INDIRECT("M"&amp;(ROW()-1))),EDM_Plan!$M38))))</f>
        <v>46164.958333333321</v>
      </c>
      <c r="K38" s="10">
        <f>IF($A38="","",IFERROR(VLOOKUP(B38,CHOOSE(MATCH(C38,Settings!$L$4:$L$10,0),OPR_2P!$A$4:$I$18,SEG_6P!$A$4:$I$18,SOL_4P!$A$4:$I$18,RW_2P!$A$4:$I$18,RW2_4P!$A$4:$I$18,FLAP_4P!$A$4:$I$18,TUBE_4P!$A$4:$I$18),5,0),0))</f>
        <v>26</v>
      </c>
      <c r="L38" s="10">
        <f t="shared" si="0"/>
        <v>52</v>
      </c>
      <c r="M38" s="55">
        <f ca="1">IF($A38="","",IF(AND(ISNUMBER(G38),G38&gt;=J38,G38&lt;=(J38+(L38/(IF(F38="Contract Workman",Settings!$K$5,Settings!$K$4))))),J38+(L38/(IF(F38="Contract Workman",Settings!$K$5,Settings!$K$4)))+(H38/(IF(F38="Contract Workman",Settings!$K$5,Settings!$K$4))),J38+(L38/(IF(F38="Contract Workman",Settings!$K$5,Settings!$K$4)))))</f>
        <v>46167.36574074073</v>
      </c>
      <c r="N38" s="10" t="str">
        <f t="shared" ca="1" si="2"/>
        <v>Shift A</v>
      </c>
      <c r="O38" s="51" t="str">
        <f>IF(B38="","", IF(IFERROR(ISNUMBER(SEARCH(B38, VLOOKUP(E38, Machine_List!$B:$J, 9, 0))), FALSE()), "✅ Machine OK", "❌ Sug: " &amp; IFERROR(INDEX(Machine_List!$B$4:$B$50, MATCH("*"&amp;B38&amp;"*", Machine_List!$J$4:$J$50, 0)), "Check Limits")))</f>
        <v>✅ Machine OK</v>
      </c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2"/>
      <c r="AN38" s="52"/>
      <c r="AO38" s="52"/>
      <c r="AP38" s="52"/>
      <c r="AQ38" s="52"/>
      <c r="AR38" s="52"/>
      <c r="AS38" s="52"/>
      <c r="AT38" s="52"/>
      <c r="AU38" s="52"/>
      <c r="AV38" s="52"/>
      <c r="AW38" s="52"/>
      <c r="AX38" s="52"/>
      <c r="AY38" s="52"/>
      <c r="AZ38" s="52"/>
      <c r="BA38" s="52"/>
      <c r="BB38" s="52"/>
      <c r="BC38" s="52"/>
      <c r="BD38" s="52"/>
      <c r="BE38" s="52"/>
      <c r="BF38" s="52"/>
      <c r="BG38" s="52"/>
      <c r="BH38" s="52"/>
      <c r="BI38" s="52"/>
      <c r="BJ38" s="52"/>
      <c r="BK38" s="52"/>
      <c r="BL38" s="52"/>
      <c r="BM38" s="52"/>
    </row>
    <row r="39" spans="1:65" ht="28.8" customHeight="1" x14ac:dyDescent="0.3">
      <c r="A39" s="10" t="str">
        <f>IF(Job_Master!A39="","",Job_Master!A39)</f>
        <v>BJ-132</v>
      </c>
      <c r="B39" s="10">
        <f>IF($A39="","",Job_Master!B39)</f>
        <v>57</v>
      </c>
      <c r="C39" s="10" t="str">
        <f>IF($A39="","",Job_Master!C39)</f>
        <v>SOL</v>
      </c>
      <c r="D39" s="10">
        <f>IF($A39="","",Job_Master!D39)</f>
        <v>4</v>
      </c>
      <c r="E39" s="48" t="str">
        <f>IF($A39="","","ENG-MC-06")</f>
        <v>ENG-MC-06</v>
      </c>
      <c r="F39" s="106" t="str">
        <f>IF($E39="","",IFERROR(VLOOKUP($E39,Machine_List!$B:$G,6,0),""))</f>
        <v>General Workman</v>
      </c>
      <c r="G39" s="53">
        <f>IF($E39="","",IFERROR(VLOOKUP($E39,Machine_List!$B:$C,2,0),""))</f>
        <v>46074</v>
      </c>
      <c r="H39" s="10">
        <f>IF($E39="","",IFERROR(VLOOKUP($E39,Machine_List!$B:$D,3,0),""))</f>
        <v>6</v>
      </c>
      <c r="I39" s="54"/>
      <c r="J39" s="55">
        <f ca="1">IF($A39="","",IF($I39&lt;&gt;"",$I39,MAX(EDM_Plan!$M39,IFERROR(LOOKUP(2,1/($E$3:INDIRECT("E"&amp;(ROW()-1))=$E39),$M$3:INDIRECT("M"&amp;(ROW()-1))),EDM_Plan!$M39))))</f>
        <v>46221.717592592584</v>
      </c>
      <c r="K39" s="10">
        <f>IF($A39="","",IFERROR(VLOOKUP(B39,CHOOSE(MATCH(C39,Settings!$L$4:$L$10,0),OPR_2P!$A$4:$I$18,SEG_6P!$A$4:$I$18,SOL_4P!$A$4:$I$18,RW_2P!$A$4:$I$18,RW2_4P!$A$4:$I$18,FLAP_4P!$A$4:$I$18,TUBE_4P!$A$4:$I$18),5,0),0))</f>
        <v>89</v>
      </c>
      <c r="L39" s="10">
        <f t="shared" si="0"/>
        <v>356</v>
      </c>
      <c r="M39" s="55">
        <f ca="1">IF($A39="","",IF(AND(ISNUMBER(G39),G39&gt;=J39,G39&lt;=(J39+(L39/(IF(F39="Contract Workman",Settings!$K$5,Settings!$K$4))))),J39+(L39/(IF(F39="Contract Workman",Settings!$K$5,Settings!$K$4)))+(H39/(IF(F39="Contract Workman",Settings!$K$5,Settings!$K$4))),J39+(L39/(IF(F39="Contract Workman",Settings!$K$5,Settings!$K$4)))))</f>
        <v>46238.199074074066</v>
      </c>
      <c r="N39" s="10" t="str">
        <f t="shared" ca="1" si="2"/>
        <v>Shift C</v>
      </c>
      <c r="O39" s="51" t="str">
        <f>IF(B39="","", IF(IFERROR(ISNUMBER(SEARCH(B39, VLOOKUP(E39, Machine_List!$B:$J, 9, 0))), FALSE()), "✅ Machine OK", "❌ Sug: " &amp; IFERROR(INDEX(Machine_List!$B$4:$B$50, MATCH("*"&amp;B39&amp;"*", Machine_List!$J$4:$J$50, 0)), "Check Limits")))</f>
        <v>✅ Machine OK</v>
      </c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2"/>
      <c r="AN39" s="52"/>
      <c r="AO39" s="52"/>
      <c r="AP39" s="52"/>
      <c r="AQ39" s="52"/>
      <c r="AR39" s="52"/>
      <c r="AS39" s="52"/>
      <c r="AT39" s="52"/>
      <c r="AU39" s="52"/>
      <c r="AV39" s="52"/>
      <c r="AW39" s="52"/>
      <c r="AX39" s="52"/>
      <c r="AY39" s="52"/>
      <c r="AZ39" s="52"/>
      <c r="BA39" s="52"/>
      <c r="BB39" s="52"/>
      <c r="BC39" s="52"/>
      <c r="BD39" s="52"/>
      <c r="BE39" s="52"/>
      <c r="BF39" s="52"/>
      <c r="BG39" s="52"/>
      <c r="BH39" s="52"/>
      <c r="BI39" s="52"/>
      <c r="BJ39" s="52"/>
      <c r="BK39" s="52"/>
      <c r="BL39" s="52"/>
      <c r="BM39" s="52"/>
    </row>
    <row r="40" spans="1:65" ht="28.8" customHeight="1" x14ac:dyDescent="0.3">
      <c r="A40" s="10" t="str">
        <f>IF(Job_Master!A40="","",Job_Master!A40)</f>
        <v>BJ-136</v>
      </c>
      <c r="B40" s="10">
        <f>IF($A40="","",Job_Master!B40)</f>
        <v>20</v>
      </c>
      <c r="C40" s="10" t="str">
        <f>IF($A40="","",Job_Master!C40)</f>
        <v>RW</v>
      </c>
      <c r="D40" s="10">
        <f>IF($A40="","",Job_Master!D40)</f>
        <v>2</v>
      </c>
      <c r="E40" s="48" t="str">
        <f>IF($A40="","","ENG-MC-05")</f>
        <v>ENG-MC-05</v>
      </c>
      <c r="F40" s="106" t="str">
        <f>IF($E40="","",IFERROR(VLOOKUP($E40,Machine_List!$B:$G,6,0),""))</f>
        <v>General Workman</v>
      </c>
      <c r="G40" s="53">
        <f>IF($E40="","",IFERROR(VLOOKUP($E40,Machine_List!$B:$C,2,0),""))</f>
        <v>46049</v>
      </c>
      <c r="H40" s="10">
        <f>IF($E40="","",IFERROR(VLOOKUP($E40,Machine_List!$B:$D,3,0),""))</f>
        <v>6</v>
      </c>
      <c r="I40" s="54"/>
      <c r="J40" s="55">
        <f ca="1">IF($A40="","",IF($I40&lt;&gt;"",$I40,MAX(EDM_Plan!$M40,IFERROR(LOOKUP(2,1/($E$3:INDIRECT("E"&amp;(ROW()-1))=$E40),$M$3:INDIRECT("M"&amp;(ROW()-1))),EDM_Plan!$M40))))</f>
        <v>46159.402777777781</v>
      </c>
      <c r="K40" s="10">
        <f>IF($A40="","",IFERROR(VLOOKUP(B40,CHOOSE(MATCH(C40,Settings!$L$4:$L$10,0),OPR_2P!$A$4:$I$18,SEG_6P!$A$4:$I$18,SOL_4P!$A$4:$I$18,RW_2P!$A$4:$I$18,RW2_4P!$A$4:$I$18,FLAP_4P!$A$4:$I$18,TUBE_4P!$A$4:$I$18),5,0),0))</f>
        <v>28</v>
      </c>
      <c r="L40" s="10">
        <f t="shared" si="0"/>
        <v>56</v>
      </c>
      <c r="M40" s="55">
        <f ca="1">IF($A40="","",IF(AND(ISNUMBER(G40),G40&gt;=J40,G40&lt;=(J40+(L40/(IF(F40="Contract Workman",Settings!$K$5,Settings!$K$4))))),J40+(L40/(IF(F40="Contract Workman",Settings!$K$5,Settings!$K$4)))+(H40/(IF(F40="Contract Workman",Settings!$K$5,Settings!$K$4))),J40+(L40/(IF(F40="Contract Workman",Settings!$K$5,Settings!$K$4)))))</f>
        <v>46161.995370370372</v>
      </c>
      <c r="N40" s="10" t="str">
        <f t="shared" ca="1" si="2"/>
        <v>Shift C</v>
      </c>
      <c r="O40" s="51" t="str">
        <f>IF(B40="","", IF(IFERROR(ISNUMBER(SEARCH(B40, VLOOKUP(E40, Machine_List!$B:$J, 9, 0))), FALSE()), "✅ Machine OK", "❌ Sug: " &amp; IFERROR(INDEX(Machine_List!$B$4:$B$50, MATCH("*"&amp;B40&amp;"*", Machine_List!$J$4:$J$50, 0)), "Check Limits")))</f>
        <v>✅ Machine OK</v>
      </c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2"/>
      <c r="AN40" s="52"/>
      <c r="AO40" s="52"/>
      <c r="AP40" s="52"/>
      <c r="AQ40" s="52"/>
      <c r="AR40" s="52"/>
      <c r="AS40" s="52"/>
      <c r="AT40" s="52"/>
      <c r="AU40" s="52"/>
      <c r="AV40" s="52"/>
      <c r="AW40" s="52"/>
      <c r="AX40" s="52"/>
      <c r="AY40" s="52"/>
      <c r="AZ40" s="52"/>
      <c r="BA40" s="52"/>
      <c r="BB40" s="52"/>
      <c r="BC40" s="52"/>
      <c r="BD40" s="52"/>
      <c r="BE40" s="52"/>
      <c r="BF40" s="52"/>
      <c r="BG40" s="52"/>
      <c r="BH40" s="52"/>
      <c r="BI40" s="52"/>
      <c r="BJ40" s="52"/>
      <c r="BK40" s="52"/>
      <c r="BL40" s="52"/>
      <c r="BM40" s="52"/>
    </row>
    <row r="41" spans="1:65" ht="28.8" customHeight="1" x14ac:dyDescent="0.3">
      <c r="A41" s="10" t="str">
        <f>IF(Job_Master!A41="","",Job_Master!A41)</f>
        <v>BJ-137</v>
      </c>
      <c r="B41" s="10">
        <f>IF($A41="","",Job_Master!B41)</f>
        <v>34</v>
      </c>
      <c r="C41" s="10" t="str">
        <f>IF($A41="","",Job_Master!C41)</f>
        <v>RW</v>
      </c>
      <c r="D41" s="10">
        <f>IF($A41="","",Job_Master!D41)</f>
        <v>2</v>
      </c>
      <c r="E41" s="48" t="str">
        <f>IF($A41="","","ENG-MC-01")</f>
        <v>ENG-MC-01</v>
      </c>
      <c r="F41" s="106" t="str">
        <f>IF($E41="","",IFERROR(VLOOKUP($E41,Machine_List!$B:$G,6,0),""))</f>
        <v>General Workman</v>
      </c>
      <c r="G41" s="53">
        <f>IF($E41="","",IFERROR(VLOOKUP($E41,Machine_List!$B:$C,2,0),""))</f>
        <v>46090</v>
      </c>
      <c r="H41" s="10">
        <f>IF($E41="","",IFERROR(VLOOKUP($E41,Machine_List!$B:$D,3,0),""))</f>
        <v>6</v>
      </c>
      <c r="I41" s="54"/>
      <c r="J41" s="55">
        <f ca="1">IF($A41="","",IF($I41&lt;&gt;"",$I41,MAX(EDM_Plan!$M41,IFERROR(LOOKUP(2,1/($E$3:INDIRECT("E"&amp;(ROW()-1))=$E41),$M$3:INDIRECT("M"&amp;(ROW()-1))),EDM_Plan!$M41))))</f>
        <v>46170.143518518511</v>
      </c>
      <c r="K41" s="10">
        <f>IF($A41="","",IFERROR(VLOOKUP(B41,CHOOSE(MATCH(C41,Settings!$L$4:$L$10,0),OPR_2P!$A$4:$I$18,SEG_6P!$A$4:$I$18,SOL_4P!$A$4:$I$18,RW_2P!$A$4:$I$18,RW2_4P!$A$4:$I$18,FLAP_4P!$A$4:$I$18,TUBE_4P!$A$4:$I$18),5,0),0))</f>
        <v>52</v>
      </c>
      <c r="L41" s="10">
        <f t="shared" si="0"/>
        <v>104</v>
      </c>
      <c r="M41" s="55">
        <f ca="1">IF($A41="","",IF(AND(ISNUMBER(G41),G41&gt;=J41,G41&lt;=(J41+(L41/(IF(F41="Contract Workman",Settings!$K$5,Settings!$K$4))))),J41+(L41/(IF(F41="Contract Workman",Settings!$K$5,Settings!$K$4)))+(H41/(IF(F41="Contract Workman",Settings!$K$5,Settings!$K$4))),J41+(L41/(IF(F41="Contract Workman",Settings!$K$5,Settings!$K$4)))))</f>
        <v>46174.958333333328</v>
      </c>
      <c r="N41" s="10" t="str">
        <f t="shared" ca="1" si="2"/>
        <v>Shift B</v>
      </c>
      <c r="O41" s="51" t="str">
        <f>IF(B41="","", IF(IFERROR(ISNUMBER(SEARCH(B41, VLOOKUP(E41, Machine_List!$B:$J, 9, 0))), FALSE()), "✅ Machine OK", "❌ Sug: " &amp; IFERROR(INDEX(Machine_List!$B$4:$B$50, MATCH("*"&amp;B41&amp;"*", Machine_List!$J$4:$J$50, 0)), "Check Limits")))</f>
        <v>✅ Machine OK</v>
      </c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2"/>
      <c r="AN41" s="52"/>
      <c r="AO41" s="52"/>
      <c r="AP41" s="52"/>
      <c r="AQ41" s="52"/>
      <c r="AR41" s="52"/>
      <c r="AS41" s="52"/>
      <c r="AT41" s="52"/>
      <c r="AU41" s="52"/>
      <c r="AV41" s="52"/>
      <c r="AW41" s="52"/>
      <c r="AX41" s="52"/>
      <c r="AY41" s="52"/>
      <c r="AZ41" s="52"/>
      <c r="BA41" s="52"/>
      <c r="BB41" s="52"/>
      <c r="BC41" s="52"/>
      <c r="BD41" s="52"/>
      <c r="BE41" s="52"/>
      <c r="BF41" s="52"/>
      <c r="BG41" s="52"/>
      <c r="BH41" s="52"/>
      <c r="BI41" s="52"/>
      <c r="BJ41" s="52"/>
      <c r="BK41" s="52"/>
      <c r="BL41" s="52"/>
      <c r="BM41" s="52"/>
    </row>
    <row r="42" spans="1:65" ht="28.8" customHeight="1" x14ac:dyDescent="0.3">
      <c r="A42" s="10" t="str">
        <f>IF(Job_Master!A42="","",Job_Master!A42)</f>
        <v>BJ-140</v>
      </c>
      <c r="B42" s="10">
        <f>IF($A42="","",Job_Master!B42)</f>
        <v>54</v>
      </c>
      <c r="C42" s="10" t="str">
        <f>IF($A42="","",Job_Master!C42)</f>
        <v>RW</v>
      </c>
      <c r="D42" s="10">
        <f>IF($A42="","",Job_Master!D42)</f>
        <v>2</v>
      </c>
      <c r="E42" s="48" t="str">
        <f>IF($A42="","","ENG-MC-08")</f>
        <v>ENG-MC-08</v>
      </c>
      <c r="F42" s="106" t="str">
        <f>IF($E42="","",IFERROR(VLOOKUP($E42,Machine_List!$B:$G,6,0),""))</f>
        <v>General Workman</v>
      </c>
      <c r="G42" s="53">
        <f>IF($E42="","",IFERROR(VLOOKUP($E42,Machine_List!$B:$C,2,0),""))</f>
        <v>46383</v>
      </c>
      <c r="H42" s="10">
        <f>IF($E42="","",IFERROR(VLOOKUP($E42,Machine_List!$B:$D,3,0),""))</f>
        <v>6</v>
      </c>
      <c r="I42" s="54"/>
      <c r="J42" s="55">
        <f ca="1">IF($A42="","",IF($I42&lt;&gt;"",$I42,MAX(EDM_Plan!$M42,IFERROR(LOOKUP(2,1/($E$3:INDIRECT("E"&amp;(ROW()-1))=$E42),$M$3:INDIRECT("M"&amp;(ROW()-1))),EDM_Plan!$M42))))</f>
        <v>46181.347222222226</v>
      </c>
      <c r="K42" s="10">
        <f>IF($A42="","",IFERROR(VLOOKUP(B42,CHOOSE(MATCH(C42,Settings!$L$4:$L$10,0),OPR_2P!$A$4:$I$18,SEG_6P!$A$4:$I$18,SOL_4P!$A$4:$I$18,RW_2P!$A$4:$I$18,RW2_4P!$A$4:$I$18,FLAP_4P!$A$4:$I$18,TUBE_4P!$A$4:$I$18),5,0),0))</f>
        <v>73</v>
      </c>
      <c r="L42" s="10">
        <f t="shared" si="0"/>
        <v>146</v>
      </c>
      <c r="M42" s="55">
        <f ca="1">IF($A42="","",IF(AND(ISNUMBER(G42),G42&gt;=J42,G42&lt;=(J42+(L42/(IF(F42="Contract Workman",Settings!$K$5,Settings!$K$4))))),J42+(L42/(IF(F42="Contract Workman",Settings!$K$5,Settings!$K$4)))+(H42/(IF(F42="Contract Workman",Settings!$K$5,Settings!$K$4))),J42+(L42/(IF(F42="Contract Workman",Settings!$K$5,Settings!$K$4)))))</f>
        <v>46188.106481481489</v>
      </c>
      <c r="N42" s="10" t="str">
        <f t="shared" ca="1" si="2"/>
        <v>Shift C</v>
      </c>
      <c r="O42" s="51" t="str">
        <f>IF(B42="","", IF(IFERROR(ISNUMBER(SEARCH(B42, VLOOKUP(E42, Machine_List!$B:$J, 9, 0))), FALSE()), "✅ Machine OK", "❌ Sug: " &amp; IFERROR(INDEX(Machine_List!$B$4:$B$50, MATCH("*"&amp;B42&amp;"*", Machine_List!$J$4:$J$50, 0)), "Check Limits")))</f>
        <v>✅ Machine OK</v>
      </c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2"/>
      <c r="AN42" s="52"/>
      <c r="AO42" s="52"/>
      <c r="AP42" s="52"/>
      <c r="AQ42" s="52"/>
      <c r="AR42" s="52"/>
      <c r="AS42" s="52"/>
      <c r="AT42" s="52"/>
      <c r="AU42" s="52"/>
      <c r="AV42" s="52"/>
      <c r="AW42" s="52"/>
      <c r="AX42" s="52"/>
      <c r="AY42" s="52"/>
      <c r="AZ42" s="52"/>
      <c r="BA42" s="52"/>
      <c r="BB42" s="52"/>
      <c r="BC42" s="52"/>
      <c r="BD42" s="52"/>
      <c r="BE42" s="52"/>
      <c r="BF42" s="52"/>
      <c r="BG42" s="52"/>
      <c r="BH42" s="52"/>
      <c r="BI42" s="52"/>
      <c r="BJ42" s="52"/>
      <c r="BK42" s="52"/>
      <c r="BL42" s="52"/>
      <c r="BM42" s="52"/>
    </row>
    <row r="43" spans="1:65" ht="28.8" customHeight="1" x14ac:dyDescent="0.3">
      <c r="A43" s="10" t="str">
        <f>IF(Job_Master!A43="","",Job_Master!A43)</f>
        <v>BJ-138</v>
      </c>
      <c r="B43" s="10">
        <f>IF($A43="","",Job_Master!B43)</f>
        <v>9</v>
      </c>
      <c r="C43" s="10" t="str">
        <f>IF($A43="","",Job_Master!C43)</f>
        <v>RW</v>
      </c>
      <c r="D43" s="10">
        <f>IF($A43="","",Job_Master!D43)</f>
        <v>2</v>
      </c>
      <c r="E43" s="48" t="str">
        <f>IF($A43="","","ENG-MC-02")</f>
        <v>ENG-MC-02</v>
      </c>
      <c r="F43" s="106" t="str">
        <f>IF($E43="","",IFERROR(VLOOKUP($E43,Machine_List!$B:$G,6,0),""))</f>
        <v>General Workman</v>
      </c>
      <c r="G43" s="53">
        <f>IF($E43="","",IFERROR(VLOOKUP($E43,Machine_List!$B:$C,2,0),""))</f>
        <v>46230</v>
      </c>
      <c r="H43" s="10">
        <f>IF($E43="","",IFERROR(VLOOKUP($E43,Machine_List!$B:$D,3,0),""))</f>
        <v>6</v>
      </c>
      <c r="I43" s="54"/>
      <c r="J43" s="55">
        <f ca="1">IF($A43="","",IF($I43&lt;&gt;"",$I43,MAX(EDM_Plan!$M43,IFERROR(LOOKUP(2,1/($E$3:INDIRECT("E"&amp;(ROW()-1))=$E43),$M$3:INDIRECT("M"&amp;(ROW()-1))),EDM_Plan!$M43))))</f>
        <v>46167.36574074073</v>
      </c>
      <c r="K43" s="10">
        <f>IF($A43="","",IFERROR(VLOOKUP(B43,CHOOSE(MATCH(C43,Settings!$L$4:$L$10,0),OPR_2P!$A$4:$I$18,SEG_6P!$A$4:$I$18,SOL_4P!$A$4:$I$18,RW_2P!$A$4:$I$18,RW2_4P!$A$4:$I$18,FLAP_4P!$A$4:$I$18,TUBE_4P!$A$4:$I$18),5,0),0))</f>
        <v>6</v>
      </c>
      <c r="L43" s="10">
        <f t="shared" si="0"/>
        <v>12</v>
      </c>
      <c r="M43" s="55">
        <f ca="1">IF($A43="","",IF(AND(ISNUMBER(G43),G43&gt;=J43,G43&lt;=(J43+(L43/(IF(F43="Contract Workman",Settings!$K$5,Settings!$K$4))))),J43+(L43/(IF(F43="Contract Workman",Settings!$K$5,Settings!$K$4)))+(H43/(IF(F43="Contract Workman",Settings!$K$5,Settings!$K$4))),J43+(L43/(IF(F43="Contract Workman",Settings!$K$5,Settings!$K$4)))))</f>
        <v>46167.921296296285</v>
      </c>
      <c r="N43" s="10" t="str">
        <f t="shared" ca="1" si="2"/>
        <v>Shift B</v>
      </c>
      <c r="O43" s="51" t="str">
        <f>IF(B43="","", IF(IFERROR(ISNUMBER(SEARCH(B43, VLOOKUP(E43, Machine_List!$B:$J, 9, 0))), FALSE()), "✅ Machine OK", "❌ Sug: " &amp; IFERROR(INDEX(Machine_List!$B$4:$B$50, MATCH("*"&amp;B43&amp;"*", Machine_List!$J$4:$J$50, 0)), "Check Limits")))</f>
        <v>✅ Machine OK</v>
      </c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52"/>
      <c r="AN43" s="52"/>
      <c r="AO43" s="52"/>
      <c r="AP43" s="52"/>
      <c r="AQ43" s="52"/>
      <c r="AR43" s="52"/>
      <c r="AS43" s="52"/>
      <c r="AT43" s="52"/>
      <c r="AU43" s="52"/>
      <c r="AV43" s="52"/>
      <c r="AW43" s="52"/>
      <c r="AX43" s="52"/>
      <c r="AY43" s="52"/>
      <c r="AZ43" s="52"/>
      <c r="BA43" s="52"/>
      <c r="BB43" s="52"/>
      <c r="BC43" s="52"/>
      <c r="BD43" s="52"/>
      <c r="BE43" s="52"/>
      <c r="BF43" s="52"/>
      <c r="BG43" s="52"/>
      <c r="BH43" s="52"/>
      <c r="BI43" s="52"/>
      <c r="BJ43" s="52"/>
      <c r="BK43" s="52"/>
      <c r="BL43" s="52"/>
      <c r="BM43" s="52"/>
    </row>
    <row r="44" spans="1:65" ht="28.8" customHeight="1" x14ac:dyDescent="0.3">
      <c r="A44" s="10" t="str">
        <f>IF(Job_Master!A44="","",Job_Master!A44)</f>
        <v>BJ-144</v>
      </c>
      <c r="B44" s="10">
        <f>IF($A44="","",Job_Master!B44)</f>
        <v>63</v>
      </c>
      <c r="C44" s="10" t="str">
        <f>IF($A44="","",Job_Master!C44)</f>
        <v>RW</v>
      </c>
      <c r="D44" s="10">
        <f>IF($A44="","",Job_Master!D44)</f>
        <v>2</v>
      </c>
      <c r="E44" s="48" t="str">
        <f>IF($A44="","","ENG-MC-07")</f>
        <v>ENG-MC-07</v>
      </c>
      <c r="F44" s="106" t="str">
        <f>IF($E44="","",IFERROR(VLOOKUP($E44,Machine_List!$B:$G,6,0),""))</f>
        <v>General Workman</v>
      </c>
      <c r="G44" s="53">
        <f>IF($E44="","",IFERROR(VLOOKUP($E44,Machine_List!$B:$C,2,0),""))</f>
        <v>46272</v>
      </c>
      <c r="H44" s="10">
        <f>IF($E44="","",IFERROR(VLOOKUP($E44,Machine_List!$B:$D,3,0),""))</f>
        <v>6</v>
      </c>
      <c r="I44" s="54"/>
      <c r="J44" s="55">
        <f ca="1">IF($A44="","",IF($I44&lt;&gt;"",$I44,MAX(EDM_Plan!$M44,IFERROR(LOOKUP(2,1/($E$3:INDIRECT("E"&amp;(ROW()-1))=$E44),$M$3:INDIRECT("M"&amp;(ROW()-1))),EDM_Plan!$M44))))</f>
        <v>46214.587962962956</v>
      </c>
      <c r="K44" s="10">
        <f>IF($A44="","",IFERROR(VLOOKUP(B44,CHOOSE(MATCH(C44,Settings!$L$4:$L$10,0),OPR_2P!$A$4:$I$18,SEG_6P!$A$4:$I$18,SOL_4P!$A$4:$I$18,RW_2P!$A$4:$I$18,RW2_4P!$A$4:$I$18,FLAP_4P!$A$4:$I$18,TUBE_4P!$A$4:$I$18),5,0),0))</f>
        <v>81</v>
      </c>
      <c r="L44" s="10">
        <f t="shared" si="0"/>
        <v>162</v>
      </c>
      <c r="M44" s="55">
        <f ca="1">IF($A44="","",IF(AND(ISNUMBER(G44),G44&gt;=J44,G44&lt;=(J44+(L44/(IF(F44="Contract Workman",Settings!$K$5,Settings!$K$4))))),J44+(L44/(IF(F44="Contract Workman",Settings!$K$5,Settings!$K$4)))+(H44/(IF(F44="Contract Workman",Settings!$K$5,Settings!$K$4))),J44+(L44/(IF(F44="Contract Workman",Settings!$K$5,Settings!$K$4)))))</f>
        <v>46222.087962962956</v>
      </c>
      <c r="N44" s="10" t="str">
        <f t="shared" ca="1" si="2"/>
        <v>Shift C</v>
      </c>
      <c r="O44" s="51" t="str">
        <f>IF(B44="","", IF(IFERROR(ISNUMBER(SEARCH(B44, VLOOKUP(E44, Machine_List!$B:$J, 9, 0))), FALSE()), "✅ Machine OK", "❌ Sug: " &amp; IFERROR(INDEX(Machine_List!$B$4:$B$50, MATCH("*"&amp;B44&amp;"*", Machine_List!$J$4:$J$50, 0)), "Check Limits")))</f>
        <v>✅ Machine OK</v>
      </c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2"/>
      <c r="AN44" s="52"/>
      <c r="AO44" s="52"/>
      <c r="AP44" s="52"/>
      <c r="AQ44" s="52"/>
      <c r="AR44" s="52"/>
      <c r="AS44" s="52"/>
      <c r="AT44" s="52"/>
      <c r="AU44" s="52"/>
      <c r="AV44" s="52"/>
      <c r="AW44" s="52"/>
      <c r="AX44" s="52"/>
      <c r="AY44" s="52"/>
      <c r="AZ44" s="52"/>
      <c r="BA44" s="52"/>
      <c r="BB44" s="52"/>
      <c r="BC44" s="52"/>
      <c r="BD44" s="52"/>
      <c r="BE44" s="52"/>
      <c r="BF44" s="52"/>
      <c r="BG44" s="52"/>
      <c r="BH44" s="52"/>
      <c r="BI44" s="52"/>
      <c r="BJ44" s="52"/>
      <c r="BK44" s="52"/>
      <c r="BL44" s="52"/>
      <c r="BM44" s="52"/>
    </row>
    <row r="45" spans="1:65" ht="28.8" customHeight="1" x14ac:dyDescent="0.3">
      <c r="A45" s="10" t="str">
        <f>IF(Job_Master!A45="","",Job_Master!A45)</f>
        <v>BJ-146</v>
      </c>
      <c r="B45" s="10">
        <f>IF($A45="","",Job_Master!B45)</f>
        <v>20</v>
      </c>
      <c r="C45" s="10" t="str">
        <f>IF($A45="","",Job_Master!C45)</f>
        <v>RW</v>
      </c>
      <c r="D45" s="10">
        <f>IF($A45="","",Job_Master!D45)</f>
        <v>2</v>
      </c>
      <c r="E45" s="48" t="str">
        <f>IF($A45="","","ENG-MC-02")</f>
        <v>ENG-MC-02</v>
      </c>
      <c r="F45" s="106" t="str">
        <f>IF($E45="","",IFERROR(VLOOKUP($E45,Machine_List!$B:$G,6,0),""))</f>
        <v>General Workman</v>
      </c>
      <c r="G45" s="53">
        <f>IF($E45="","",IFERROR(VLOOKUP($E45,Machine_List!$B:$C,2,0),""))</f>
        <v>46230</v>
      </c>
      <c r="H45" s="10">
        <f>IF($E45="","",IFERROR(VLOOKUP($E45,Machine_List!$B:$D,3,0),""))</f>
        <v>6</v>
      </c>
      <c r="I45" s="54"/>
      <c r="J45" s="55">
        <f ca="1">IF($A45="","",IF($I45&lt;&gt;"",$I45,MAX(EDM_Plan!$M45,IFERROR(LOOKUP(2,1/($E$3:INDIRECT("E"&amp;(ROW()-1))=$E45),$M$3:INDIRECT("M"&amp;(ROW()-1))),EDM_Plan!$M45))))</f>
        <v>46167.921296296285</v>
      </c>
      <c r="K45" s="10">
        <f>IF($A45="","",IFERROR(VLOOKUP(B45,CHOOSE(MATCH(C45,Settings!$L$4:$L$10,0),OPR_2P!$A$4:$I$18,SEG_6P!$A$4:$I$18,SOL_4P!$A$4:$I$18,RW_2P!$A$4:$I$18,RW2_4P!$A$4:$I$18,FLAP_4P!$A$4:$I$18,TUBE_4P!$A$4:$I$18),5,0),0))</f>
        <v>28</v>
      </c>
      <c r="L45" s="10">
        <f t="shared" si="0"/>
        <v>56</v>
      </c>
      <c r="M45" s="55">
        <f ca="1">IF($A45="","",IF(AND(ISNUMBER(G45),G45&gt;=J45,G45&lt;=(J45+(L45/(IF(F45="Contract Workman",Settings!$K$5,Settings!$K$4))))),J45+(L45/(IF(F45="Contract Workman",Settings!$K$5,Settings!$K$4)))+(H45/(IF(F45="Contract Workman",Settings!$K$5,Settings!$K$4))),J45+(L45/(IF(F45="Contract Workman",Settings!$K$5,Settings!$K$4)))))</f>
        <v>46170.513888888876</v>
      </c>
      <c r="N45" s="10" t="str">
        <f t="shared" ca="1" si="2"/>
        <v>Shift A</v>
      </c>
      <c r="O45" s="51" t="str">
        <f>IF(B45="","", IF(IFERROR(ISNUMBER(SEARCH(B45, VLOOKUP(E45, Machine_List!$B:$J, 9, 0))), FALSE()), "✅ Machine OK", "❌ Sug: " &amp; IFERROR(INDEX(Machine_List!$B$4:$B$50, MATCH("*"&amp;B45&amp;"*", Machine_List!$J$4:$J$50, 0)), "Check Limits")))</f>
        <v>✅ Machine OK</v>
      </c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2"/>
      <c r="AN45" s="52"/>
      <c r="AO45" s="52"/>
      <c r="AP45" s="52"/>
      <c r="AQ45" s="52"/>
      <c r="AR45" s="52"/>
      <c r="AS45" s="52"/>
      <c r="AT45" s="52"/>
      <c r="AU45" s="52"/>
      <c r="AV45" s="52"/>
      <c r="AW45" s="52"/>
      <c r="AX45" s="52"/>
      <c r="AY45" s="52"/>
      <c r="AZ45" s="52"/>
      <c r="BA45" s="52"/>
      <c r="BB45" s="52"/>
      <c r="BC45" s="52"/>
      <c r="BD45" s="52"/>
      <c r="BE45" s="52"/>
      <c r="BF45" s="52"/>
      <c r="BG45" s="52"/>
      <c r="BH45" s="52"/>
      <c r="BI45" s="52"/>
      <c r="BJ45" s="52"/>
      <c r="BK45" s="52"/>
      <c r="BL45" s="52"/>
      <c r="BM45" s="52"/>
    </row>
    <row r="46" spans="1:65" ht="28.8" customHeight="1" x14ac:dyDescent="0.3">
      <c r="A46" s="10" t="str">
        <f>IF(Job_Master!A46="","",Job_Master!A46)</f>
        <v>BJ-139</v>
      </c>
      <c r="B46" s="10">
        <f>IF($A46="","",Job_Master!B46)</f>
        <v>15</v>
      </c>
      <c r="C46" s="10" t="str">
        <f>IF($A46="","",Job_Master!C46)</f>
        <v>RW</v>
      </c>
      <c r="D46" s="10">
        <f>IF($A46="","",Job_Master!D46)</f>
        <v>2</v>
      </c>
      <c r="E46" s="48" t="str">
        <f>IF($A46="","","ENG-MC-05")</f>
        <v>ENG-MC-05</v>
      </c>
      <c r="F46" s="106" t="str">
        <f>IF($E46="","",IFERROR(VLOOKUP($E46,Machine_List!$B:$G,6,0),""))</f>
        <v>General Workman</v>
      </c>
      <c r="G46" s="53">
        <f>IF($E46="","",IFERROR(VLOOKUP($E46,Machine_List!$B:$C,2,0),""))</f>
        <v>46049</v>
      </c>
      <c r="H46" s="10">
        <f>IF($E46="","",IFERROR(VLOOKUP($E46,Machine_List!$B:$D,3,0),""))</f>
        <v>6</v>
      </c>
      <c r="I46" s="54"/>
      <c r="J46" s="55">
        <f ca="1">IF($A46="","",IF($I46&lt;&gt;"",$I46,MAX(EDM_Plan!$M46,IFERROR(LOOKUP(2,1/($E$3:INDIRECT("E"&amp;(ROW()-1))=$E46),$M$3:INDIRECT("M"&amp;(ROW()-1))),EDM_Plan!$M46))))</f>
        <v>46161.995370370372</v>
      </c>
      <c r="K46" s="10">
        <f>IF($A46="","",IFERROR(VLOOKUP(B46,CHOOSE(MATCH(C46,Settings!$L$4:$L$10,0),OPR_2P!$A$4:$I$18,SEG_6P!$A$4:$I$18,SOL_4P!$A$4:$I$18,RW_2P!$A$4:$I$18,RW2_4P!$A$4:$I$18,FLAP_4P!$A$4:$I$18,TUBE_4P!$A$4:$I$18),5,0),0))</f>
        <v>10</v>
      </c>
      <c r="L46" s="10">
        <f t="shared" si="0"/>
        <v>20</v>
      </c>
      <c r="M46" s="55">
        <f ca="1">IF($A46="","",IF(AND(ISNUMBER(G46),G46&gt;=J46,G46&lt;=(J46+(L46/(IF(F46="Contract Workman",Settings!$K$5,Settings!$K$4))))),J46+(L46/(IF(F46="Contract Workman",Settings!$K$5,Settings!$K$4)))+(H46/(IF(F46="Contract Workman",Settings!$K$5,Settings!$K$4))),J46+(L46/(IF(F46="Contract Workman",Settings!$K$5,Settings!$K$4)))))</f>
        <v>46162.921296296299</v>
      </c>
      <c r="N46" s="10" t="str">
        <f t="shared" ca="1" si="2"/>
        <v>Shift B</v>
      </c>
      <c r="O46" s="51" t="str">
        <f>IF(B46="","", IF(IFERROR(ISNUMBER(SEARCH(B46, VLOOKUP(E46, Machine_List!$B:$J, 9, 0))), FALSE()), "✅ Machine OK", "❌ Sug: " &amp; IFERROR(INDEX(Machine_List!$B$4:$B$50, MATCH("*"&amp;B46&amp;"*", Machine_List!$J$4:$J$50, 0)), "Check Limits")))</f>
        <v>✅ Machine OK</v>
      </c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2"/>
      <c r="AN46" s="52"/>
      <c r="AO46" s="52"/>
      <c r="AP46" s="52"/>
      <c r="AQ46" s="52"/>
      <c r="AR46" s="52"/>
      <c r="AS46" s="52"/>
      <c r="AT46" s="52"/>
      <c r="AU46" s="52"/>
      <c r="AV46" s="52"/>
      <c r="AW46" s="52"/>
      <c r="AX46" s="52"/>
      <c r="AY46" s="52"/>
      <c r="AZ46" s="52"/>
      <c r="BA46" s="52"/>
      <c r="BB46" s="52"/>
      <c r="BC46" s="52"/>
      <c r="BD46" s="52"/>
      <c r="BE46" s="52"/>
      <c r="BF46" s="52"/>
      <c r="BG46" s="52"/>
      <c r="BH46" s="52"/>
      <c r="BI46" s="52"/>
      <c r="BJ46" s="52"/>
      <c r="BK46" s="52"/>
      <c r="BL46" s="52"/>
      <c r="BM46" s="52"/>
    </row>
    <row r="47" spans="1:65" ht="28.8" customHeight="1" x14ac:dyDescent="0.3">
      <c r="A47" s="10" t="str">
        <f>IF(Job_Master!A47="","",Job_Master!A47)</f>
        <v>BJ-141</v>
      </c>
      <c r="B47" s="10">
        <f>IF($A47="","",Job_Master!B47)</f>
        <v>50</v>
      </c>
      <c r="C47" s="10" t="str">
        <f>IF($A47="","",Job_Master!C47)</f>
        <v>SOL</v>
      </c>
      <c r="D47" s="10">
        <f>IF($A47="","",Job_Master!D47)</f>
        <v>4</v>
      </c>
      <c r="E47" s="48" t="str">
        <f>IF($A47="","","ENG-MC-07")</f>
        <v>ENG-MC-07</v>
      </c>
      <c r="F47" s="106" t="str">
        <f>IF($E47="","",IFERROR(VLOOKUP($E47,Machine_List!$B:$G,6,0),""))</f>
        <v>General Workman</v>
      </c>
      <c r="G47" s="53">
        <f>IF($E47="","",IFERROR(VLOOKUP($E47,Machine_List!$B:$C,2,0),""))</f>
        <v>46272</v>
      </c>
      <c r="H47" s="10">
        <f>IF($E47="","",IFERROR(VLOOKUP($E47,Machine_List!$B:$D,3,0),""))</f>
        <v>6</v>
      </c>
      <c r="I47" s="54"/>
      <c r="J47" s="55">
        <f ca="1">IF($A47="","",IF($I47&lt;&gt;"",$I47,MAX(EDM_Plan!$M47,IFERROR(LOOKUP(2,1/($E$3:INDIRECT("E"&amp;(ROW()-1))=$E47),$M$3:INDIRECT("M"&amp;(ROW()-1))),EDM_Plan!$M47))))</f>
        <v>46226.347222222219</v>
      </c>
      <c r="K47" s="10">
        <f>IF($A47="","",IFERROR(VLOOKUP(B47,CHOOSE(MATCH(C47,Settings!$L$4:$L$10,0),OPR_2P!$A$4:$I$18,SEG_6P!$A$4:$I$18,SOL_4P!$A$4:$I$18,RW_2P!$A$4:$I$18,RW2_4P!$A$4:$I$18,FLAP_4P!$A$4:$I$18,TUBE_4P!$A$4:$I$18),5,0),0))</f>
        <v>66</v>
      </c>
      <c r="L47" s="10">
        <f t="shared" si="0"/>
        <v>264</v>
      </c>
      <c r="M47" s="55">
        <f ca="1">IF($A47="","",IF(AND(ISNUMBER(G47),G47&gt;=J47,G47&lt;=(J47+(L47/(IF(F47="Contract Workman",Settings!$K$5,Settings!$K$4))))),J47+(L47/(IF(F47="Contract Workman",Settings!$K$5,Settings!$K$4)))+(H47/(IF(F47="Contract Workman",Settings!$K$5,Settings!$K$4))),J47+(L47/(IF(F47="Contract Workman",Settings!$K$5,Settings!$K$4)))))</f>
        <v>46238.569444444438</v>
      </c>
      <c r="N47" s="10" t="str">
        <f t="shared" ca="1" si="2"/>
        <v>Shift A</v>
      </c>
      <c r="O47" s="51" t="str">
        <f>IF(B47="","", IF(IFERROR(ISNUMBER(SEARCH(B47, VLOOKUP(E47, Machine_List!$B:$J, 9, 0))), FALSE()), "✅ Machine OK", "❌ Sug: " &amp; IFERROR(INDEX(Machine_List!$B$4:$B$50, MATCH("*"&amp;B47&amp;"*", Machine_List!$J$4:$J$50, 0)), "Check Limits")))</f>
        <v>✅ Machine OK</v>
      </c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2"/>
      <c r="AN47" s="52"/>
      <c r="AO47" s="52"/>
      <c r="AP47" s="52"/>
      <c r="AQ47" s="52"/>
      <c r="AR47" s="52"/>
      <c r="AS47" s="52"/>
      <c r="AT47" s="52"/>
      <c r="AU47" s="52"/>
      <c r="AV47" s="52"/>
      <c r="AW47" s="52"/>
      <c r="AX47" s="52"/>
      <c r="AY47" s="52"/>
      <c r="AZ47" s="52"/>
      <c r="BA47" s="52"/>
      <c r="BB47" s="52"/>
      <c r="BC47" s="52"/>
      <c r="BD47" s="52"/>
      <c r="BE47" s="52"/>
      <c r="BF47" s="52"/>
      <c r="BG47" s="52"/>
      <c r="BH47" s="52"/>
      <c r="BI47" s="52"/>
      <c r="BJ47" s="52"/>
      <c r="BK47" s="52"/>
      <c r="BL47" s="52"/>
      <c r="BM47" s="52"/>
    </row>
    <row r="48" spans="1:65" ht="28.8" customHeight="1" x14ac:dyDescent="0.3">
      <c r="A48" s="10" t="str">
        <f>IF(Job_Master!A48="","",Job_Master!A48)</f>
        <v>BJ-142</v>
      </c>
      <c r="B48" s="10">
        <f>IF($A48="","",Job_Master!B48)</f>
        <v>9</v>
      </c>
      <c r="C48" s="10" t="str">
        <f>IF($A48="","",Job_Master!C48)</f>
        <v>RW</v>
      </c>
      <c r="D48" s="10">
        <f>IF($A48="","",Job_Master!D48)</f>
        <v>2</v>
      </c>
      <c r="E48" s="48" t="str">
        <f>IF($A48="","","ENG-MC-03")</f>
        <v>ENG-MC-03</v>
      </c>
      <c r="F48" s="106" t="str">
        <f>IF($E48="","",IFERROR(VLOOKUP($E48,Machine_List!$B:$G,6,0),""))</f>
        <v>General Workman</v>
      </c>
      <c r="G48" s="53">
        <f>IF($E48="","",IFERROR(VLOOKUP($E48,Machine_List!$B:$C,2,0),""))</f>
        <v>46433</v>
      </c>
      <c r="H48" s="10">
        <f>IF($E48="","",IFERROR(VLOOKUP($E48,Machine_List!$B:$D,3,0),""))</f>
        <v>6</v>
      </c>
      <c r="I48" s="54"/>
      <c r="J48" s="55">
        <f ca="1">IF($A48="","",IF($I48&lt;&gt;"",$I48,MAX(EDM_Plan!$M48,IFERROR(LOOKUP(2,1/($E$3:INDIRECT("E"&amp;(ROW()-1))=$E48),$M$3:INDIRECT("M"&amp;(ROW()-1))),EDM_Plan!$M48))))</f>
        <v>46164.032407407401</v>
      </c>
      <c r="K48" s="10">
        <f>IF($A48="","",IFERROR(VLOOKUP(B48,CHOOSE(MATCH(C48,Settings!$L$4:$L$10,0),OPR_2P!$A$4:$I$18,SEG_6P!$A$4:$I$18,SOL_4P!$A$4:$I$18,RW_2P!$A$4:$I$18,RW2_4P!$A$4:$I$18,FLAP_4P!$A$4:$I$18,TUBE_4P!$A$4:$I$18),5,0),0))</f>
        <v>6</v>
      </c>
      <c r="L48" s="10">
        <f t="shared" si="0"/>
        <v>12</v>
      </c>
      <c r="M48" s="55">
        <f ca="1">IF($A48="","",IF(AND(ISNUMBER(G48),G48&gt;=J48,G48&lt;=(J48+(L48/(IF(F48="Contract Workman",Settings!$K$5,Settings!$K$4))))),J48+(L48/(IF(F48="Contract Workman",Settings!$K$5,Settings!$K$4)))+(H48/(IF(F48="Contract Workman",Settings!$K$5,Settings!$K$4))),J48+(L48/(IF(F48="Contract Workman",Settings!$K$5,Settings!$K$4)))))</f>
        <v>46164.587962962956</v>
      </c>
      <c r="N48" s="10" t="str">
        <f t="shared" ca="1" si="2"/>
        <v>Shift A</v>
      </c>
      <c r="O48" s="51" t="str">
        <f>IF(B48="","", IF(IFERROR(ISNUMBER(SEARCH(B48, VLOOKUP(E48, Machine_List!$B:$J, 9, 0))), FALSE()), "✅ Machine OK", "❌ Sug: " &amp; IFERROR(INDEX(Machine_List!$B$4:$B$50, MATCH("*"&amp;B48&amp;"*", Machine_List!$J$4:$J$50, 0)), "Check Limits")))</f>
        <v>✅ Machine OK</v>
      </c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2"/>
      <c r="AN48" s="52"/>
      <c r="AO48" s="52"/>
      <c r="AP48" s="52"/>
      <c r="AQ48" s="52"/>
      <c r="AR48" s="52"/>
      <c r="AS48" s="52"/>
      <c r="AT48" s="52"/>
      <c r="AU48" s="52"/>
      <c r="AV48" s="52"/>
      <c r="AW48" s="52"/>
      <c r="AX48" s="52"/>
      <c r="AY48" s="52"/>
      <c r="AZ48" s="52"/>
      <c r="BA48" s="52"/>
      <c r="BB48" s="52"/>
      <c r="BC48" s="52"/>
      <c r="BD48" s="52"/>
      <c r="BE48" s="52"/>
      <c r="BF48" s="52"/>
      <c r="BG48" s="52"/>
      <c r="BH48" s="52"/>
      <c r="BI48" s="52"/>
      <c r="BJ48" s="52"/>
      <c r="BK48" s="52"/>
      <c r="BL48" s="52"/>
      <c r="BM48" s="52"/>
    </row>
    <row r="49" spans="1:65" ht="28.8" customHeight="1" x14ac:dyDescent="0.3">
      <c r="A49" s="10" t="str">
        <f>IF(Job_Master!A49="","",Job_Master!A49)</f>
        <v>BJ-147</v>
      </c>
      <c r="B49" s="10">
        <f>IF($A49="","",Job_Master!B49)</f>
        <v>34</v>
      </c>
      <c r="C49" s="10" t="str">
        <f>IF($A49="","",Job_Master!C49)</f>
        <v>SOL</v>
      </c>
      <c r="D49" s="10">
        <f>IF($A49="","",Job_Master!D49)</f>
        <v>4</v>
      </c>
      <c r="E49" s="48" t="str">
        <f>IF($A49="","","ENG-MC-01")</f>
        <v>ENG-MC-01</v>
      </c>
      <c r="F49" s="106" t="str">
        <f>IF($E49="","",IFERROR(VLOOKUP($E49,Machine_List!$B:$G,6,0),""))</f>
        <v>General Workman</v>
      </c>
      <c r="G49" s="53">
        <f>IF($E49="","",IFERROR(VLOOKUP($E49,Machine_List!$B:$C,2,0),""))</f>
        <v>46090</v>
      </c>
      <c r="H49" s="10">
        <f>IF($E49="","",IFERROR(VLOOKUP($E49,Machine_List!$B:$D,3,0),""))</f>
        <v>6</v>
      </c>
      <c r="I49" s="54"/>
      <c r="J49" s="55">
        <f ca="1">IF($A49="","",IF($I49&lt;&gt;"",$I49,MAX(EDM_Plan!$M49,IFERROR(LOOKUP(2,1/($E$3:INDIRECT("E"&amp;(ROW()-1))=$E49),$M$3:INDIRECT("M"&amp;(ROW()-1))),EDM_Plan!$M49))))</f>
        <v>46181.439814814825</v>
      </c>
      <c r="K49" s="10">
        <f>IF($A49="","",IFERROR(VLOOKUP(B49,CHOOSE(MATCH(C49,Settings!$L$4:$L$10,0),OPR_2P!$A$4:$I$18,SEG_6P!$A$4:$I$18,SOL_4P!$A$4:$I$18,RW_2P!$A$4:$I$18,RW2_4P!$A$4:$I$18,FLAP_4P!$A$4:$I$18,TUBE_4P!$A$4:$I$18),5,0),0))</f>
        <v>61</v>
      </c>
      <c r="L49" s="10">
        <f t="shared" si="0"/>
        <v>244</v>
      </c>
      <c r="M49" s="55">
        <f ca="1">IF($A49="","",IF(AND(ISNUMBER(G49),G49&gt;=J49,G49&lt;=(J49+(L49/(IF(F49="Contract Workman",Settings!$K$5,Settings!$K$4))))),J49+(L49/(IF(F49="Contract Workman",Settings!$K$5,Settings!$K$4)))+(H49/(IF(F49="Contract Workman",Settings!$K$5,Settings!$K$4))),J49+(L49/(IF(F49="Contract Workman",Settings!$K$5,Settings!$K$4)))))</f>
        <v>46192.736111111124</v>
      </c>
      <c r="N49" s="10" t="str">
        <f t="shared" ca="1" si="2"/>
        <v>Shift B</v>
      </c>
      <c r="O49" s="51" t="str">
        <f>IF(B49="","", IF(IFERROR(ISNUMBER(SEARCH(B49, VLOOKUP(E49, Machine_List!$B:$J, 9, 0))), FALSE()), "✅ Machine OK", "❌ Sug: " &amp; IFERROR(INDEX(Machine_List!$B$4:$B$50, MATCH("*"&amp;B49&amp;"*", Machine_List!$J$4:$J$50, 0)), "Check Limits")))</f>
        <v>✅ Machine OK</v>
      </c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O49" s="52"/>
      <c r="AP49" s="52"/>
      <c r="AQ49" s="52"/>
      <c r="AR49" s="52"/>
      <c r="AS49" s="52"/>
      <c r="AT49" s="52"/>
      <c r="AU49" s="52"/>
      <c r="AV49" s="52"/>
      <c r="AW49" s="52"/>
      <c r="AX49" s="52"/>
      <c r="AY49" s="52"/>
      <c r="AZ49" s="52"/>
      <c r="BA49" s="52"/>
      <c r="BB49" s="52"/>
      <c r="BC49" s="52"/>
      <c r="BD49" s="52"/>
      <c r="BE49" s="52"/>
      <c r="BF49" s="52"/>
      <c r="BG49" s="52"/>
      <c r="BH49" s="52"/>
      <c r="BI49" s="52"/>
      <c r="BJ49" s="52"/>
      <c r="BK49" s="52"/>
      <c r="BL49" s="52"/>
      <c r="BM49" s="52"/>
    </row>
    <row r="50" spans="1:65" ht="28.8" customHeight="1" x14ac:dyDescent="0.3">
      <c r="A50" s="10" t="str">
        <f>IF(Job_Master!A50="","",Job_Master!A50)</f>
        <v>BJ-150</v>
      </c>
      <c r="B50" s="10">
        <f>IF($A50="","",Job_Master!B50)</f>
        <v>34</v>
      </c>
      <c r="C50" s="10" t="str">
        <f>IF($A50="","",Job_Master!C50)</f>
        <v>SOL</v>
      </c>
      <c r="D50" s="10">
        <f>IF($A50="","",Job_Master!D50)</f>
        <v>4</v>
      </c>
      <c r="E50" s="48" t="str">
        <f>IF($A50="","","ENG-MC-01")</f>
        <v>ENG-MC-01</v>
      </c>
      <c r="F50" s="106" t="str">
        <f>IF($E50="","",IFERROR(VLOOKUP($E50,Machine_List!$B:$G,6,0),""))</f>
        <v>General Workman</v>
      </c>
      <c r="G50" s="53">
        <f>IF($E50="","",IFERROR(VLOOKUP($E50,Machine_List!$B:$C,2,0),""))</f>
        <v>46090</v>
      </c>
      <c r="H50" s="10">
        <f>IF($E50="","",IFERROR(VLOOKUP($E50,Machine_List!$B:$D,3,0),""))</f>
        <v>6</v>
      </c>
      <c r="I50" s="54"/>
      <c r="J50" s="55">
        <f ca="1">IF($A50="","",IF($I50&lt;&gt;"",$I50,MAX(EDM_Plan!$M50,IFERROR(LOOKUP(2,1/($E$3:INDIRECT("E"&amp;(ROW()-1))=$E50),$M$3:INDIRECT("M"&amp;(ROW()-1))),EDM_Plan!$M50))))</f>
        <v>46193.476851851861</v>
      </c>
      <c r="K50" s="10">
        <f>IF($A50="","",IFERROR(VLOOKUP(B50,CHOOSE(MATCH(C50,Settings!$L$4:$L$10,0),OPR_2P!$A$4:$I$18,SEG_6P!$A$4:$I$18,SOL_4P!$A$4:$I$18,RW_2P!$A$4:$I$18,RW2_4P!$A$4:$I$18,FLAP_4P!$A$4:$I$18,TUBE_4P!$A$4:$I$18),5,0),0))</f>
        <v>61</v>
      </c>
      <c r="L50" s="10">
        <f t="shared" si="0"/>
        <v>244</v>
      </c>
      <c r="M50" s="55">
        <f ca="1">IF($A50="","",IF(AND(ISNUMBER(G50),G50&gt;=J50,G50&lt;=(J50+(L50/(IF(F50="Contract Workman",Settings!$K$5,Settings!$K$4))))),J50+(L50/(IF(F50="Contract Workman",Settings!$K$5,Settings!$K$4)))+(H50/(IF(F50="Contract Workman",Settings!$K$5,Settings!$K$4))),J50+(L50/(IF(F50="Contract Workman",Settings!$K$5,Settings!$K$4)))))</f>
        <v>46204.773148148161</v>
      </c>
      <c r="N50" s="10" t="str">
        <f t="shared" ca="1" si="2"/>
        <v>Shift B</v>
      </c>
      <c r="O50" s="51" t="str">
        <f>IF(B50="","", IF(IFERROR(ISNUMBER(SEARCH(B50, VLOOKUP(E50, Machine_List!$B:$J, 9, 0))), FALSE()), "✅ Machine OK", "❌ Sug: " &amp; IFERROR(INDEX(Machine_List!$B$4:$B$50, MATCH("*"&amp;B50&amp;"*", Machine_List!$J$4:$J$50, 0)), "Check Limits")))</f>
        <v>✅ Machine OK</v>
      </c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  <c r="AK50" s="52"/>
      <c r="AL50" s="52"/>
      <c r="AM50" s="52"/>
      <c r="AN50" s="52"/>
      <c r="AO50" s="52"/>
      <c r="AP50" s="52"/>
      <c r="AQ50" s="52"/>
      <c r="AR50" s="52"/>
      <c r="AS50" s="52"/>
      <c r="AT50" s="52"/>
      <c r="AU50" s="52"/>
      <c r="AV50" s="52"/>
      <c r="AW50" s="52"/>
      <c r="AX50" s="52"/>
      <c r="AY50" s="52"/>
      <c r="AZ50" s="52"/>
      <c r="BA50" s="52"/>
      <c r="BB50" s="52"/>
      <c r="BC50" s="52"/>
      <c r="BD50" s="52"/>
      <c r="BE50" s="52"/>
      <c r="BF50" s="52"/>
      <c r="BG50" s="52"/>
      <c r="BH50" s="52"/>
      <c r="BI50" s="52"/>
      <c r="BJ50" s="52"/>
      <c r="BK50" s="52"/>
      <c r="BL50" s="52"/>
      <c r="BM50" s="52"/>
    </row>
    <row r="51" spans="1:65" ht="28.8" customHeight="1" x14ac:dyDescent="0.3">
      <c r="A51" s="10" t="str">
        <f>IF(Job_Master!A51="","",Job_Master!A51)</f>
        <v>BJ-151</v>
      </c>
      <c r="B51" s="10">
        <f>IF($A51="","",Job_Master!B51)</f>
        <v>25</v>
      </c>
      <c r="C51" s="10" t="str">
        <f>IF($A51="","",Job_Master!C51)</f>
        <v>SOL</v>
      </c>
      <c r="D51" s="10">
        <f>IF($A51="","",Job_Master!D51)</f>
        <v>4</v>
      </c>
      <c r="E51" s="48" t="str">
        <f>IF($A51="","","ENG-MC-02")</f>
        <v>ENG-MC-02</v>
      </c>
      <c r="F51" s="106" t="str">
        <f>IF($E51="","",IFERROR(VLOOKUP($E51,Machine_List!$B:$G,6,0),""))</f>
        <v>General Workman</v>
      </c>
      <c r="G51" s="53">
        <f>IF($E51="","",IFERROR(VLOOKUP($E51,Machine_List!$B:$C,2,0),""))</f>
        <v>46230</v>
      </c>
      <c r="H51" s="10">
        <f>IF($E51="","",IFERROR(VLOOKUP($E51,Machine_List!$B:$D,3,0),""))</f>
        <v>6</v>
      </c>
      <c r="I51" s="54"/>
      <c r="J51" s="55">
        <f ca="1">IF($A51="","",IF($I51&lt;&gt;"",$I51,MAX(EDM_Plan!$M51,IFERROR(LOOKUP(2,1/($E$3:INDIRECT("E"&amp;(ROW()-1))=$E51),$M$3:INDIRECT("M"&amp;(ROW()-1))),EDM_Plan!$M51))))</f>
        <v>46172.828703703715</v>
      </c>
      <c r="K51" s="10">
        <f>IF($A51="","",IFERROR(VLOOKUP(B51,CHOOSE(MATCH(C51,Settings!$L$4:$L$10,0),OPR_2P!$A$4:$I$18,SEG_6P!$A$4:$I$18,SOL_4P!$A$4:$I$18,RW_2P!$A$4:$I$18,RW2_4P!$A$4:$I$18,FLAP_4P!$A$4:$I$18,TUBE_4P!$A$4:$I$18),5,0),0))</f>
        <v>30</v>
      </c>
      <c r="L51" s="10">
        <f t="shared" si="0"/>
        <v>120</v>
      </c>
      <c r="M51" s="55">
        <f ca="1">IF($A51="","",IF(AND(ISNUMBER(G51),G51&gt;=J51,G51&lt;=(J51+(L51/(IF(F51="Contract Workman",Settings!$K$5,Settings!$K$4))))),J51+(L51/(IF(F51="Contract Workman",Settings!$K$5,Settings!$K$4)))+(H51/(IF(F51="Contract Workman",Settings!$K$5,Settings!$K$4))),J51+(L51/(IF(F51="Contract Workman",Settings!$K$5,Settings!$K$4)))))</f>
        <v>46178.38425925927</v>
      </c>
      <c r="N51" s="10" t="str">
        <f t="shared" ca="1" si="2"/>
        <v>Shift A</v>
      </c>
      <c r="O51" s="51" t="str">
        <f>IF(B51="","", IF(IFERROR(ISNUMBER(SEARCH(B51, VLOOKUP(E51, Machine_List!$B:$J, 9, 0))), FALSE()), "✅ Machine OK", "❌ Sug: " &amp; IFERROR(INDEX(Machine_List!$B$4:$B$50, MATCH("*"&amp;B51&amp;"*", Machine_List!$J$4:$J$50, 0)), "Check Limits")))</f>
        <v>✅ Machine OK</v>
      </c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L51" s="52"/>
      <c r="AM51" s="52"/>
      <c r="AN51" s="52"/>
      <c r="AO51" s="52"/>
      <c r="AP51" s="52"/>
      <c r="AQ51" s="52"/>
      <c r="AR51" s="52"/>
      <c r="AS51" s="52"/>
      <c r="AT51" s="52"/>
      <c r="AU51" s="52"/>
      <c r="AV51" s="52"/>
      <c r="AW51" s="52"/>
      <c r="AX51" s="52"/>
      <c r="AY51" s="52"/>
      <c r="AZ51" s="52"/>
      <c r="BA51" s="52"/>
      <c r="BB51" s="52"/>
      <c r="BC51" s="52"/>
      <c r="BD51" s="52"/>
      <c r="BE51" s="52"/>
      <c r="BF51" s="52"/>
      <c r="BG51" s="52"/>
      <c r="BH51" s="52"/>
      <c r="BI51" s="52"/>
      <c r="BJ51" s="52"/>
      <c r="BK51" s="52"/>
      <c r="BL51" s="52"/>
      <c r="BM51" s="52"/>
    </row>
    <row r="52" spans="1:65" ht="28.8" customHeight="1" x14ac:dyDescent="0.3">
      <c r="A52" s="10" t="str">
        <f>IF(Job_Master!A52="","",Job_Master!A52)</f>
        <v>BJ-152</v>
      </c>
      <c r="B52" s="10">
        <f>IF($A52="","",Job_Master!B52)</f>
        <v>34</v>
      </c>
      <c r="C52" s="10" t="str">
        <f>IF($A52="","",Job_Master!C52)</f>
        <v>2P</v>
      </c>
      <c r="D52" s="10">
        <f>IF($A52="","",Job_Master!D52)</f>
        <v>2</v>
      </c>
      <c r="E52" s="48" t="str">
        <f>IF($A52="","","ENG-MC-02")</f>
        <v>ENG-MC-02</v>
      </c>
      <c r="F52" s="106" t="str">
        <f>IF($E52="","",IFERROR(VLOOKUP($E52,Machine_List!$B:$G,6,0),""))</f>
        <v>General Workman</v>
      </c>
      <c r="G52" s="53">
        <f>IF($E52="","",IFERROR(VLOOKUP($E52,Machine_List!$B:$C,2,0),""))</f>
        <v>46230</v>
      </c>
      <c r="H52" s="10">
        <f>IF($E52="","",IFERROR(VLOOKUP($E52,Machine_List!$B:$D,3,0),""))</f>
        <v>6</v>
      </c>
      <c r="I52" s="54"/>
      <c r="J52" s="55">
        <f ca="1">IF($A52="","",IF($I52&lt;&gt;"",$I52,MAX(EDM_Plan!$M52,IFERROR(LOOKUP(2,1/($E$3:INDIRECT("E"&amp;(ROW()-1))=$E52),$M$3:INDIRECT("M"&amp;(ROW()-1))),EDM_Plan!$M52))))</f>
        <v>46182.365740740752</v>
      </c>
      <c r="K52" s="10">
        <f>IF($A52="","",IFERROR(VLOOKUP(B52,CHOOSE(MATCH(C52,Settings!$L$4:$L$10,0),OPR_2P!$A$4:$I$18,SEG_6P!$A$4:$I$18,SOL_4P!$A$4:$I$18,RW_2P!$A$4:$I$18,RW2_4P!$A$4:$I$18,FLAP_4P!$A$4:$I$18,TUBE_4P!$A$4:$I$18),5,0),0))</f>
        <v>35</v>
      </c>
      <c r="L52" s="10">
        <f t="shared" si="0"/>
        <v>70</v>
      </c>
      <c r="M52" s="55">
        <f ca="1">IF($A52="","",IF(AND(ISNUMBER(G52),G52&gt;=J52,G52&lt;=(J52+(L52/(IF(F52="Contract Workman",Settings!$K$5,Settings!$K$4))))),J52+(L52/(IF(F52="Contract Workman",Settings!$K$5,Settings!$K$4)))+(H52/(IF(F52="Contract Workman",Settings!$K$5,Settings!$K$4))),J52+(L52/(IF(F52="Contract Workman",Settings!$K$5,Settings!$K$4)))))</f>
        <v>46185.606481481489</v>
      </c>
      <c r="N52" s="10" t="str">
        <f t="shared" ca="1" si="2"/>
        <v>Shift A</v>
      </c>
      <c r="O52" s="51" t="str">
        <f>IF(B52="","", IF(IFERROR(ISNUMBER(SEARCH(B52, VLOOKUP(E52, Machine_List!$B:$J, 9, 0))), FALSE()), "✅ Machine OK", "❌ Sug: " &amp; IFERROR(INDEX(Machine_List!$B$4:$B$50, MATCH("*"&amp;B52&amp;"*", Machine_List!$J$4:$J$50, 0)), "Check Limits")))</f>
        <v>✅ Machine OK</v>
      </c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  <c r="AK52" s="52"/>
      <c r="AL52" s="52"/>
      <c r="AM52" s="52"/>
      <c r="AN52" s="52"/>
      <c r="AO52" s="52"/>
      <c r="AP52" s="52"/>
      <c r="AQ52" s="52"/>
      <c r="AR52" s="52"/>
      <c r="AS52" s="52"/>
      <c r="AT52" s="52"/>
      <c r="AU52" s="52"/>
      <c r="AV52" s="52"/>
      <c r="AW52" s="52"/>
      <c r="AX52" s="52"/>
      <c r="AY52" s="52"/>
      <c r="AZ52" s="52"/>
      <c r="BA52" s="52"/>
      <c r="BB52" s="52"/>
      <c r="BC52" s="52"/>
      <c r="BD52" s="52"/>
      <c r="BE52" s="52"/>
      <c r="BF52" s="52"/>
      <c r="BG52" s="52"/>
      <c r="BH52" s="52"/>
      <c r="BI52" s="52"/>
      <c r="BJ52" s="52"/>
      <c r="BK52" s="52"/>
      <c r="BL52" s="52"/>
      <c r="BM52" s="52"/>
    </row>
    <row r="53" spans="1:65" ht="28.8" customHeight="1" x14ac:dyDescent="0.3">
      <c r="A53" s="10" t="str">
        <f>IF(Job_Master!A53="","",Job_Master!A53)</f>
        <v>BJ-143</v>
      </c>
      <c r="B53" s="10">
        <f>IF($A53="","",Job_Master!B53)</f>
        <v>17</v>
      </c>
      <c r="C53" s="10" t="str">
        <f>IF($A53="","",Job_Master!C53)</f>
        <v>SOL</v>
      </c>
      <c r="D53" s="10">
        <f>IF($A53="","",Job_Master!D53)</f>
        <v>4</v>
      </c>
      <c r="E53" s="48" t="str">
        <f>IF($A53="","","ENG-MC-03")</f>
        <v>ENG-MC-03</v>
      </c>
      <c r="F53" s="106" t="str">
        <f>IF($E53="","",IFERROR(VLOOKUP($E53,Machine_List!$B:$G,6,0),""))</f>
        <v>General Workman</v>
      </c>
      <c r="G53" s="53">
        <f>IF($E53="","",IFERROR(VLOOKUP($E53,Machine_List!$B:$C,2,0),""))</f>
        <v>46433</v>
      </c>
      <c r="H53" s="10">
        <f>IF($E53="","",IFERROR(VLOOKUP($E53,Machine_List!$B:$D,3,0),""))</f>
        <v>6</v>
      </c>
      <c r="I53" s="54"/>
      <c r="J53" s="55">
        <f ca="1">IF($A53="","",IF($I53&lt;&gt;"",$I53,MAX(EDM_Plan!$M53,IFERROR(LOOKUP(2,1/($E$3:INDIRECT("E"&amp;(ROW()-1))=$E53),$M$3:INDIRECT("M"&amp;(ROW()-1))),EDM_Plan!$M53))))</f>
        <v>46170.606481481496</v>
      </c>
      <c r="K53" s="10">
        <f>IF($A53="","",IFERROR(VLOOKUP(B53,CHOOSE(MATCH(C53,Settings!$L$4:$L$10,0),OPR_2P!$A$4:$I$18,SEG_6P!$A$4:$I$18,SOL_4P!$A$4:$I$18,RW_2P!$A$4:$I$18,RW2_4P!$A$4:$I$18,FLAP_4P!$A$4:$I$18,TUBE_4P!$A$4:$I$18),5,0),0))</f>
        <v>22</v>
      </c>
      <c r="L53" s="10">
        <f t="shared" si="0"/>
        <v>88</v>
      </c>
      <c r="M53" s="55">
        <f ca="1">IF($A53="","",IF(AND(ISNUMBER(G53),G53&gt;=J53,G53&lt;=(J53+(L53/(IF(F53="Contract Workman",Settings!$K$5,Settings!$K$4))))),J53+(L53/(IF(F53="Contract Workman",Settings!$K$5,Settings!$K$4)))+(H53/(IF(F53="Contract Workman",Settings!$K$5,Settings!$K$4))),J53+(L53/(IF(F53="Contract Workman",Settings!$K$5,Settings!$K$4)))))</f>
        <v>46174.680555555569</v>
      </c>
      <c r="N53" s="10" t="str">
        <f t="shared" ca="1" si="2"/>
        <v>Shift B</v>
      </c>
      <c r="O53" s="51" t="str">
        <f>IF(B53="","", IF(IFERROR(ISNUMBER(SEARCH(B53, VLOOKUP(E53, Machine_List!$B:$J, 9, 0))), FALSE()), "✅ Machine OK", "❌ Sug: " &amp; IFERROR(INDEX(Machine_List!$B$4:$B$50, MATCH("*"&amp;B53&amp;"*", Machine_List!$J$4:$J$50, 0)), "Check Limits")))</f>
        <v>✅ Machine OK</v>
      </c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52"/>
      <c r="AN53" s="52"/>
      <c r="AO53" s="52"/>
      <c r="AP53" s="52"/>
      <c r="AQ53" s="52"/>
      <c r="AR53" s="52"/>
      <c r="AS53" s="52"/>
      <c r="AT53" s="52"/>
      <c r="AU53" s="52"/>
      <c r="AV53" s="52"/>
      <c r="AW53" s="52"/>
      <c r="AX53" s="52"/>
      <c r="AY53" s="52"/>
      <c r="AZ53" s="52"/>
      <c r="BA53" s="52"/>
      <c r="BB53" s="52"/>
      <c r="BC53" s="52"/>
      <c r="BD53" s="52"/>
      <c r="BE53" s="52"/>
      <c r="BF53" s="52"/>
      <c r="BG53" s="52"/>
      <c r="BH53" s="52"/>
      <c r="BI53" s="52"/>
      <c r="BJ53" s="52"/>
      <c r="BK53" s="52"/>
      <c r="BL53" s="52"/>
      <c r="BM53" s="52"/>
    </row>
    <row r="54" spans="1:65" ht="28.8" customHeight="1" x14ac:dyDescent="0.3">
      <c r="A54" s="10" t="str">
        <f>IF(Job_Master!A54="","",Job_Master!A54)</f>
        <v>BJ-154</v>
      </c>
      <c r="B54" s="10">
        <f>IF($A54="","",Job_Master!B54)</f>
        <v>25</v>
      </c>
      <c r="C54" s="10" t="str">
        <f>IF($A54="","",Job_Master!C54)</f>
        <v>RW</v>
      </c>
      <c r="D54" s="10">
        <f>IF($A54="","",Job_Master!D54)</f>
        <v>2</v>
      </c>
      <c r="E54" s="48" t="str">
        <f>IF($A54="","","ENG-MC-04")</f>
        <v>ENG-MC-04</v>
      </c>
      <c r="F54" s="106" t="str">
        <f>IF($E54="","",IFERROR(VLOOKUP($E54,Machine_List!$B:$G,6,0),""))</f>
        <v>General Workman</v>
      </c>
      <c r="G54" s="53">
        <f>IF($E54="","",IFERROR(VLOOKUP($E54,Machine_List!$B:$C,2,0),""))</f>
        <v>46450</v>
      </c>
      <c r="H54" s="10">
        <f>IF($E54="","",IFERROR(VLOOKUP($E54,Machine_List!$B:$D,3,0),""))</f>
        <v>6</v>
      </c>
      <c r="I54" s="54"/>
      <c r="J54" s="55">
        <f ca="1">IF($A54="","",IF($I54&lt;&gt;"",$I54,MAX(EDM_Plan!$M54,IFERROR(LOOKUP(2,1/($E$3:INDIRECT("E"&amp;(ROW()-1))=$E54),$M$3:INDIRECT("M"&amp;(ROW()-1))),EDM_Plan!$M54))))</f>
        <v>46176.069444444453</v>
      </c>
      <c r="K54" s="10">
        <f>IF($A54="","",IFERROR(VLOOKUP(B54,CHOOSE(MATCH(C54,Settings!$L$4:$L$10,0),OPR_2P!$A$4:$I$18,SEG_6P!$A$4:$I$18,SOL_4P!$A$4:$I$18,RW_2P!$A$4:$I$18,RW2_4P!$A$4:$I$18,FLAP_4P!$A$4:$I$18,TUBE_4P!$A$4:$I$18),5,0),0))</f>
        <v>39</v>
      </c>
      <c r="L54" s="10">
        <f t="shared" si="0"/>
        <v>78</v>
      </c>
      <c r="M54" s="55">
        <f ca="1">IF($A54="","",IF(AND(ISNUMBER(G54),G54&gt;=J54,G54&lt;=(J54+(L54/(IF(F54="Contract Workman",Settings!$K$5,Settings!$K$4))))),J54+(L54/(IF(F54="Contract Workman",Settings!$K$5,Settings!$K$4)))+(H54/(IF(F54="Contract Workman",Settings!$K$5,Settings!$K$4))),J54+(L54/(IF(F54="Contract Workman",Settings!$K$5,Settings!$K$4)))))</f>
        <v>46179.680555555562</v>
      </c>
      <c r="N54" s="10" t="str">
        <f t="shared" ca="1" si="2"/>
        <v>Shift B</v>
      </c>
      <c r="O54" s="51" t="str">
        <f>IF(B54="","", IF(IFERROR(ISNUMBER(SEARCH(B54, VLOOKUP(E54, Machine_List!$B:$J, 9, 0))), FALSE()), "✅ Machine OK", "❌ Sug: " &amp; IFERROR(INDEX(Machine_List!$B$4:$B$50, MATCH("*"&amp;B54&amp;"*", Machine_List!$J$4:$J$50, 0)), "Check Limits")))</f>
        <v>✅ Machine OK</v>
      </c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  <c r="AK54" s="52"/>
      <c r="AL54" s="52"/>
      <c r="AM54" s="52"/>
      <c r="AN54" s="52"/>
      <c r="AO54" s="52"/>
      <c r="AP54" s="52"/>
      <c r="AQ54" s="52"/>
      <c r="AR54" s="52"/>
      <c r="AS54" s="52"/>
      <c r="AT54" s="52"/>
      <c r="AU54" s="52"/>
      <c r="AV54" s="52"/>
      <c r="AW54" s="52"/>
      <c r="AX54" s="52"/>
      <c r="AY54" s="52"/>
      <c r="AZ54" s="52"/>
      <c r="BA54" s="52"/>
      <c r="BB54" s="52"/>
      <c r="BC54" s="52"/>
      <c r="BD54" s="52"/>
      <c r="BE54" s="52"/>
      <c r="BF54" s="52"/>
      <c r="BG54" s="52"/>
      <c r="BH54" s="52"/>
      <c r="BI54" s="52"/>
      <c r="BJ54" s="52"/>
      <c r="BK54" s="52"/>
      <c r="BL54" s="52"/>
      <c r="BM54" s="52"/>
    </row>
    <row r="55" spans="1:65" ht="28.8" customHeight="1" x14ac:dyDescent="0.3">
      <c r="A55" s="10" t="str">
        <f>IF(Job_Master!A55="","",Job_Master!A55)</f>
        <v>BJ-156</v>
      </c>
      <c r="B55" s="10">
        <f>IF($A55="","",Job_Master!B55)</f>
        <v>25</v>
      </c>
      <c r="C55" s="10" t="str">
        <f>IF($A55="","",Job_Master!C55)</f>
        <v>2P</v>
      </c>
      <c r="D55" s="10">
        <f>IF($A55="","",Job_Master!D55)</f>
        <v>2</v>
      </c>
      <c r="E55" s="48" t="str">
        <f>IF($A55="","","ENG-MC-03")</f>
        <v>ENG-MC-03</v>
      </c>
      <c r="F55" s="106" t="str">
        <f>IF($E55="","",IFERROR(VLOOKUP($E55,Machine_List!$B:$G,6,0),""))</f>
        <v>General Workman</v>
      </c>
      <c r="G55" s="53">
        <f>IF($E55="","",IFERROR(VLOOKUP($E55,Machine_List!$B:$C,2,0),""))</f>
        <v>46433</v>
      </c>
      <c r="H55" s="10">
        <f>IF($E55="","",IFERROR(VLOOKUP($E55,Machine_List!$B:$D,3,0),""))</f>
        <v>6</v>
      </c>
      <c r="I55" s="54"/>
      <c r="J55" s="55">
        <f ca="1">IF($A55="","",IF($I55&lt;&gt;"",$I55,MAX(EDM_Plan!$M55,IFERROR(LOOKUP(2,1/($E$3:INDIRECT("E"&amp;(ROW()-1))=$E55),$M$3:INDIRECT("M"&amp;(ROW()-1))),EDM_Plan!$M55))))</f>
        <v>46176.902777777796</v>
      </c>
      <c r="K55" s="10">
        <f>IF($A55="","",IFERROR(VLOOKUP(B55,CHOOSE(MATCH(C55,Settings!$L$4:$L$10,0),OPR_2P!$A$4:$I$18,SEG_6P!$A$4:$I$18,SOL_4P!$A$4:$I$18,RW_2P!$A$4:$I$18,RW2_4P!$A$4:$I$18,FLAP_4P!$A$4:$I$18,TUBE_4P!$A$4:$I$18),5,0),0))</f>
        <v>24</v>
      </c>
      <c r="L55" s="10">
        <f t="shared" si="0"/>
        <v>48</v>
      </c>
      <c r="M55" s="55">
        <f ca="1">IF($A55="","",IF(AND(ISNUMBER(G55),G55&gt;=J55,G55&lt;=(J55+(L55/(IF(F55="Contract Workman",Settings!$K$5,Settings!$K$4))))),J55+(L55/(IF(F55="Contract Workman",Settings!$K$5,Settings!$K$4)))+(H55/(IF(F55="Contract Workman",Settings!$K$5,Settings!$K$4))),J55+(L55/(IF(F55="Contract Workman",Settings!$K$5,Settings!$K$4)))))</f>
        <v>46179.125000000015</v>
      </c>
      <c r="N55" s="10" t="str">
        <f t="shared" ca="1" si="2"/>
        <v>Shift C</v>
      </c>
      <c r="O55" s="51" t="str">
        <f>IF(B55="","", IF(IFERROR(ISNUMBER(SEARCH(B55, VLOOKUP(E55, Machine_List!$B:$J, 9, 0))), FALSE()), "✅ Machine OK", "❌ Sug: " &amp; IFERROR(INDEX(Machine_List!$B$4:$B$50, MATCH("*"&amp;B55&amp;"*", Machine_List!$J$4:$J$50, 0)), "Check Limits")))</f>
        <v>✅ Machine OK</v>
      </c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  <c r="AK55" s="52"/>
      <c r="AL55" s="52"/>
      <c r="AM55" s="52"/>
      <c r="AN55" s="52"/>
      <c r="AO55" s="52"/>
      <c r="AP55" s="52"/>
      <c r="AQ55" s="52"/>
      <c r="AR55" s="52"/>
      <c r="AS55" s="52"/>
      <c r="AT55" s="52"/>
      <c r="AU55" s="52"/>
      <c r="AV55" s="52"/>
      <c r="AW55" s="52"/>
      <c r="AX55" s="52"/>
      <c r="AY55" s="52"/>
      <c r="AZ55" s="52"/>
      <c r="BA55" s="52"/>
      <c r="BB55" s="52"/>
      <c r="BC55" s="52"/>
      <c r="BD55" s="52"/>
      <c r="BE55" s="52"/>
      <c r="BF55" s="52"/>
      <c r="BG55" s="52"/>
      <c r="BH55" s="52"/>
      <c r="BI55" s="52"/>
      <c r="BJ55" s="52"/>
      <c r="BK55" s="52"/>
      <c r="BL55" s="52"/>
      <c r="BM55" s="52"/>
    </row>
    <row r="56" spans="1:65" ht="28.8" customHeight="1" x14ac:dyDescent="0.3">
      <c r="A56" s="10" t="str">
        <f>IF(Job_Master!A56="","",Job_Master!A56)</f>
        <v>BJ-145</v>
      </c>
      <c r="B56" s="10">
        <f>IF($A56="","",Job_Master!B56)</f>
        <v>15</v>
      </c>
      <c r="C56" s="10" t="str">
        <f>IF($A56="","",Job_Master!C56)</f>
        <v>2P</v>
      </c>
      <c r="D56" s="10">
        <f>IF($A56="","",Job_Master!D56)</f>
        <v>2</v>
      </c>
      <c r="E56" s="48" t="str">
        <f>IF($A56="","","ENG-MC-05")</f>
        <v>ENG-MC-05</v>
      </c>
      <c r="F56" s="106" t="str">
        <f>IF($E56="","",IFERROR(VLOOKUP($E56,Machine_List!$B:$G,6,0),""))</f>
        <v>General Workman</v>
      </c>
      <c r="G56" s="53">
        <f>IF($E56="","",IFERROR(VLOOKUP($E56,Machine_List!$B:$C,2,0),""))</f>
        <v>46049</v>
      </c>
      <c r="H56" s="10">
        <f>IF($E56="","",IFERROR(VLOOKUP($E56,Machine_List!$B:$D,3,0),""))</f>
        <v>6</v>
      </c>
      <c r="I56" s="54"/>
      <c r="J56" s="55">
        <f ca="1">IF($A56="","",IF($I56&lt;&gt;"",$I56,MAX(EDM_Plan!$M56,IFERROR(LOOKUP(2,1/($E$3:INDIRECT("E"&amp;(ROW()-1))=$E56),$M$3:INDIRECT("M"&amp;(ROW()-1))),EDM_Plan!$M56))))</f>
        <v>46177.82870370373</v>
      </c>
      <c r="K56" s="10">
        <f>IF($A56="","",IFERROR(VLOOKUP(B56,CHOOSE(MATCH(C56,Settings!$L$4:$L$10,0),OPR_2P!$A$4:$I$18,SEG_6P!$A$4:$I$18,SOL_4P!$A$4:$I$18,RW_2P!$A$4:$I$18,RW2_4P!$A$4:$I$18,FLAP_4P!$A$4:$I$18,TUBE_4P!$A$4:$I$18),5,0),0))</f>
        <v>16</v>
      </c>
      <c r="L56" s="10">
        <f t="shared" si="0"/>
        <v>32</v>
      </c>
      <c r="M56" s="55">
        <f ca="1">IF($A56="","",IF(AND(ISNUMBER(G56),G56&gt;=J56,G56&lt;=(J56+(L56/(IF(F56="Contract Workman",Settings!$K$5,Settings!$K$4))))),J56+(L56/(IF(F56="Contract Workman",Settings!$K$5,Settings!$K$4)))+(H56/(IF(F56="Contract Workman",Settings!$K$5,Settings!$K$4))),J56+(L56/(IF(F56="Contract Workman",Settings!$K$5,Settings!$K$4)))))</f>
        <v>46179.310185185212</v>
      </c>
      <c r="N56" s="10" t="str">
        <f t="shared" ca="1" si="2"/>
        <v>Shift A</v>
      </c>
      <c r="O56" s="51" t="str">
        <f>IF(B56="","", IF(IFERROR(ISNUMBER(SEARCH(B56, VLOOKUP(E56, Machine_List!$B:$J, 9, 0))), FALSE()), "✅ Machine OK", "❌ Sug: " &amp; IFERROR(INDEX(Machine_List!$B$4:$B$50, MATCH("*"&amp;B56&amp;"*", Machine_List!$J$4:$J$50, 0)), "Check Limits")))</f>
        <v>✅ Machine OK</v>
      </c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  <c r="AK56" s="52"/>
      <c r="AL56" s="52"/>
      <c r="AM56" s="52"/>
      <c r="AN56" s="52"/>
      <c r="AO56" s="52"/>
      <c r="AP56" s="52"/>
      <c r="AQ56" s="52"/>
      <c r="AR56" s="52"/>
      <c r="AS56" s="52"/>
      <c r="AT56" s="52"/>
      <c r="AU56" s="52"/>
      <c r="AV56" s="52"/>
      <c r="AW56" s="52"/>
      <c r="AX56" s="52"/>
      <c r="AY56" s="52"/>
      <c r="AZ56" s="52"/>
      <c r="BA56" s="52"/>
      <c r="BB56" s="52"/>
      <c r="BC56" s="52"/>
      <c r="BD56" s="52"/>
      <c r="BE56" s="52"/>
      <c r="BF56" s="52"/>
      <c r="BG56" s="52"/>
      <c r="BH56" s="52"/>
      <c r="BI56" s="52"/>
      <c r="BJ56" s="52"/>
      <c r="BK56" s="52"/>
      <c r="BL56" s="52"/>
      <c r="BM56" s="52"/>
    </row>
    <row r="57" spans="1:65" ht="28.8" customHeight="1" x14ac:dyDescent="0.3">
      <c r="A57" s="10" t="str">
        <f>IF(Job_Master!A57="","",Job_Master!A57)</f>
        <v>BJ-153</v>
      </c>
      <c r="B57" s="10">
        <f>IF($A57="","",Job_Master!B57)</f>
        <v>34</v>
      </c>
      <c r="C57" s="10" t="str">
        <f>IF($A57="","",Job_Master!C57)</f>
        <v>SEG</v>
      </c>
      <c r="D57" s="10">
        <f>IF($A57="","",Job_Master!D57)</f>
        <v>6</v>
      </c>
      <c r="E57" s="48" t="str">
        <f>IF($A57="","","ENG-MC-01")</f>
        <v>ENG-MC-01</v>
      </c>
      <c r="F57" s="106" t="str">
        <f>IF($E57="","",IFERROR(VLOOKUP($E57,Machine_List!$B:$G,6,0),""))</f>
        <v>General Workman</v>
      </c>
      <c r="G57" s="53">
        <f>IF($E57="","",IFERROR(VLOOKUP($E57,Machine_List!$B:$C,2,0),""))</f>
        <v>46090</v>
      </c>
      <c r="H57" s="10">
        <f>IF($E57="","",IFERROR(VLOOKUP($E57,Machine_List!$B:$D,3,0),""))</f>
        <v>6</v>
      </c>
      <c r="I57" s="54"/>
      <c r="J57" s="55">
        <f ca="1">IF($A57="","",IF($I57&lt;&gt;"",$I57,MAX(EDM_Plan!$M57,IFERROR(LOOKUP(2,1/($E$3:INDIRECT("E"&amp;(ROW()-1))=$E57),$M$3:INDIRECT("M"&amp;(ROW()-1))),EDM_Plan!$M57))))</f>
        <v>46209.125000000015</v>
      </c>
      <c r="K57" s="10">
        <f>IF($A57="","",IFERROR(VLOOKUP(B57,CHOOSE(MATCH(C57,Settings!$L$4:$L$10,0),OPR_2P!$A$4:$I$18,SEG_6P!$A$4:$I$18,SOL_4P!$A$4:$I$18,RW_2P!$A$4:$I$18,RW2_4P!$A$4:$I$18,FLAP_4P!$A$4:$I$18,TUBE_4P!$A$4:$I$18),5,0),0))</f>
        <v>42</v>
      </c>
      <c r="L57" s="10">
        <f t="shared" si="0"/>
        <v>252</v>
      </c>
      <c r="M57" s="55">
        <f ca="1">IF($A57="","",IF(AND(ISNUMBER(G57),G57&gt;=J57,G57&lt;=(J57+(L57/(IF(F57="Contract Workman",Settings!$K$5,Settings!$K$4))))),J57+(L57/(IF(F57="Contract Workman",Settings!$K$5,Settings!$K$4)))+(H57/(IF(F57="Contract Workman",Settings!$K$5,Settings!$K$4))),J57+(L57/(IF(F57="Contract Workman",Settings!$K$5,Settings!$K$4)))))</f>
        <v>46220.791666666679</v>
      </c>
      <c r="N57" s="10" t="str">
        <f t="shared" ca="1" si="2"/>
        <v>Shift B</v>
      </c>
      <c r="O57" s="51" t="str">
        <f>IF(B57="","", IF(IFERROR(ISNUMBER(SEARCH(B57, VLOOKUP(E57, Machine_List!$B:$J, 9, 0))), FALSE()), "✅ Machine OK", "❌ Sug: " &amp; IFERROR(INDEX(Machine_List!$B$4:$B$50, MATCH("*"&amp;B57&amp;"*", Machine_List!$J$4:$J$50, 0)), "Check Limits")))</f>
        <v>✅ Machine OK</v>
      </c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  <c r="AK57" s="52"/>
      <c r="AL57" s="52"/>
      <c r="AM57" s="52"/>
      <c r="AN57" s="52"/>
      <c r="AO57" s="52"/>
      <c r="AP57" s="52"/>
      <c r="AQ57" s="52"/>
      <c r="AR57" s="52"/>
      <c r="AS57" s="52"/>
      <c r="AT57" s="52"/>
      <c r="AU57" s="52"/>
      <c r="AV57" s="52"/>
      <c r="AW57" s="52"/>
      <c r="AX57" s="52"/>
      <c r="AY57" s="52"/>
      <c r="AZ57" s="52"/>
      <c r="BA57" s="52"/>
      <c r="BB57" s="52"/>
      <c r="BC57" s="52"/>
      <c r="BD57" s="52"/>
      <c r="BE57" s="52"/>
      <c r="BF57" s="52"/>
      <c r="BG57" s="52"/>
      <c r="BH57" s="52"/>
      <c r="BI57" s="52"/>
      <c r="BJ57" s="52"/>
      <c r="BK57" s="52"/>
      <c r="BL57" s="52"/>
      <c r="BM57" s="52"/>
    </row>
    <row r="58" spans="1:65" ht="28.8" customHeight="1" x14ac:dyDescent="0.3">
      <c r="A58" s="10" t="str">
        <f>IF(Job_Master!A58="","",Job_Master!A58)</f>
        <v>BJ-160</v>
      </c>
      <c r="B58" s="10">
        <f>IF($A58="","",Job_Master!B58)</f>
        <v>34</v>
      </c>
      <c r="C58" s="10" t="str">
        <f>IF($A58="","",Job_Master!C58)</f>
        <v>2P</v>
      </c>
      <c r="D58" s="10">
        <f>IF($A58="","",Job_Master!D58)</f>
        <v>2</v>
      </c>
      <c r="E58" s="48" t="str">
        <f>IF($A58="","","ENG-MC-02")</f>
        <v>ENG-MC-02</v>
      </c>
      <c r="F58" s="106" t="str">
        <f>IF($E58="","",IFERROR(VLOOKUP($E58,Machine_List!$B:$G,6,0),""))</f>
        <v>General Workman</v>
      </c>
      <c r="G58" s="53">
        <f>IF($E58="","",IFERROR(VLOOKUP($E58,Machine_List!$B:$C,2,0),""))</f>
        <v>46230</v>
      </c>
      <c r="H58" s="10">
        <f>IF($E58="","",IFERROR(VLOOKUP($E58,Machine_List!$B:$D,3,0),""))</f>
        <v>6</v>
      </c>
      <c r="I58" s="54"/>
      <c r="J58" s="55">
        <f ca="1">IF($A58="","",IF($I58&lt;&gt;"",$I58,MAX(EDM_Plan!$M58,IFERROR(LOOKUP(2,1/($E$3:INDIRECT("E"&amp;(ROW()-1))=$E58),$M$3:INDIRECT("M"&amp;(ROW()-1))),EDM_Plan!$M58))))</f>
        <v>46196.99537037038</v>
      </c>
      <c r="K58" s="10">
        <f>IF($A58="","",IFERROR(VLOOKUP(B58,CHOOSE(MATCH(C58,Settings!$L$4:$L$10,0),OPR_2P!$A$4:$I$18,SEG_6P!$A$4:$I$18,SOL_4P!$A$4:$I$18,RW_2P!$A$4:$I$18,RW2_4P!$A$4:$I$18,FLAP_4P!$A$4:$I$18,TUBE_4P!$A$4:$I$18),5,0),0))</f>
        <v>35</v>
      </c>
      <c r="L58" s="10">
        <f t="shared" si="0"/>
        <v>70</v>
      </c>
      <c r="M58" s="55">
        <f ca="1">IF($A58="","",IF(AND(ISNUMBER(G58),G58&gt;=J58,G58&lt;=(J58+(L58/(IF(F58="Contract Workman",Settings!$K$5,Settings!$K$4))))),J58+(L58/(IF(F58="Contract Workman",Settings!$K$5,Settings!$K$4)))+(H58/(IF(F58="Contract Workman",Settings!$K$5,Settings!$K$4))),J58+(L58/(IF(F58="Contract Workman",Settings!$K$5,Settings!$K$4)))))</f>
        <v>46200.236111111117</v>
      </c>
      <c r="N58" s="10" t="str">
        <f t="shared" ca="1" si="2"/>
        <v>Shift C</v>
      </c>
      <c r="O58" s="51" t="str">
        <f>IF(B58="","", IF(IFERROR(ISNUMBER(SEARCH(B58, VLOOKUP(E58, Machine_List!$B:$J, 9, 0))), FALSE()), "✅ Machine OK", "❌ Sug: " &amp; IFERROR(INDEX(Machine_List!$B$4:$B$50, MATCH("*"&amp;B58&amp;"*", Machine_List!$J$4:$J$50, 0)), "Check Limits")))</f>
        <v>✅ Machine OK</v>
      </c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52"/>
      <c r="AK58" s="52"/>
      <c r="AL58" s="52"/>
      <c r="AM58" s="52"/>
      <c r="AN58" s="52"/>
      <c r="AO58" s="52"/>
      <c r="AP58" s="52"/>
      <c r="AQ58" s="52"/>
      <c r="AR58" s="52"/>
      <c r="AS58" s="52"/>
      <c r="AT58" s="52"/>
      <c r="AU58" s="52"/>
      <c r="AV58" s="52"/>
      <c r="AW58" s="52"/>
      <c r="AX58" s="52"/>
      <c r="AY58" s="52"/>
      <c r="AZ58" s="52"/>
      <c r="BA58" s="52"/>
      <c r="BB58" s="52"/>
      <c r="BC58" s="52"/>
      <c r="BD58" s="52"/>
      <c r="BE58" s="52"/>
      <c r="BF58" s="52"/>
      <c r="BG58" s="52"/>
      <c r="BH58" s="52"/>
      <c r="BI58" s="52"/>
      <c r="BJ58" s="52"/>
      <c r="BK58" s="52"/>
      <c r="BL58" s="52"/>
      <c r="BM58" s="52"/>
    </row>
    <row r="59" spans="1:65" ht="28.8" customHeight="1" x14ac:dyDescent="0.3">
      <c r="A59" s="10" t="str">
        <f>IF(Job_Master!A59="","",Job_Master!A59)</f>
        <v>BJ-158</v>
      </c>
      <c r="B59" s="10">
        <f>IF($A59="","",Job_Master!B59)</f>
        <v>54</v>
      </c>
      <c r="C59" s="10" t="str">
        <f>IF($A59="","",Job_Master!C59)</f>
        <v>2P</v>
      </c>
      <c r="D59" s="10">
        <f>IF($A59="","",Job_Master!D59)</f>
        <v>2</v>
      </c>
      <c r="E59" s="48" t="str">
        <f>IF($A59="","","ENG-MC-08")</f>
        <v>ENG-MC-08</v>
      </c>
      <c r="F59" s="106" t="str">
        <f>IF($E59="","",IFERROR(VLOOKUP($E59,Machine_List!$B:$G,6,0),""))</f>
        <v>General Workman</v>
      </c>
      <c r="G59" s="53">
        <f>IF($E59="","",IFERROR(VLOOKUP($E59,Machine_List!$B:$C,2,0),""))</f>
        <v>46383</v>
      </c>
      <c r="H59" s="10">
        <f>IF($E59="","",IFERROR(VLOOKUP($E59,Machine_List!$B:$D,3,0),""))</f>
        <v>6</v>
      </c>
      <c r="I59" s="54"/>
      <c r="J59" s="55">
        <f ca="1">IF($A59="","",IF($I59&lt;&gt;"",$I59,MAX(EDM_Plan!$M59,IFERROR(LOOKUP(2,1/($E$3:INDIRECT("E"&amp;(ROW()-1))=$E59),$M$3:INDIRECT("M"&amp;(ROW()-1))),EDM_Plan!$M59))))</f>
        <v>46217.828703703701</v>
      </c>
      <c r="K59" s="10">
        <f>IF($A59="","",IFERROR(VLOOKUP(B59,CHOOSE(MATCH(C59,Settings!$L$4:$L$10,0),OPR_2P!$A$4:$I$18,SEG_6P!$A$4:$I$18,SOL_4P!$A$4:$I$18,RW_2P!$A$4:$I$18,RW2_4P!$A$4:$I$18,FLAP_4P!$A$4:$I$18,TUBE_4P!$A$4:$I$18),5,0),0))</f>
        <v>66</v>
      </c>
      <c r="L59" s="10">
        <f t="shared" si="0"/>
        <v>132</v>
      </c>
      <c r="M59" s="55">
        <f ca="1">IF($A59="","",IF(AND(ISNUMBER(G59),G59&gt;=J59,G59&lt;=(J59+(L59/(IF(F59="Contract Workman",Settings!$K$5,Settings!$K$4))))),J59+(L59/(IF(F59="Contract Workman",Settings!$K$5,Settings!$K$4)))+(H59/(IF(F59="Contract Workman",Settings!$K$5,Settings!$K$4))),J59+(L59/(IF(F59="Contract Workman",Settings!$K$5,Settings!$K$4)))))</f>
        <v>46223.93981481481</v>
      </c>
      <c r="N59" s="10" t="str">
        <f t="shared" ca="1" si="2"/>
        <v>Shift B</v>
      </c>
      <c r="O59" s="51" t="str">
        <f>IF(B59="","", IF(IFERROR(ISNUMBER(SEARCH(B59, VLOOKUP(E59, Machine_List!$B:$J, 9, 0))), FALSE()), "✅ Machine OK", "❌ Sug: " &amp; IFERROR(INDEX(Machine_List!$B$4:$B$50, MATCH("*"&amp;B59&amp;"*", Machine_List!$J$4:$J$50, 0)), "Check Limits")))</f>
        <v>✅ Machine OK</v>
      </c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  <c r="AK59" s="52"/>
      <c r="AL59" s="52"/>
      <c r="AM59" s="52"/>
      <c r="AN59" s="52"/>
      <c r="AO59" s="52"/>
      <c r="AP59" s="52"/>
      <c r="AQ59" s="52"/>
      <c r="AR59" s="52"/>
      <c r="AS59" s="52"/>
      <c r="AT59" s="52"/>
      <c r="AU59" s="52"/>
      <c r="AV59" s="52"/>
      <c r="AW59" s="52"/>
      <c r="AX59" s="52"/>
      <c r="AY59" s="52"/>
      <c r="AZ59" s="52"/>
      <c r="BA59" s="52"/>
      <c r="BB59" s="52"/>
      <c r="BC59" s="52"/>
      <c r="BD59" s="52"/>
      <c r="BE59" s="52"/>
      <c r="BF59" s="52"/>
      <c r="BG59" s="52"/>
      <c r="BH59" s="52"/>
      <c r="BI59" s="52"/>
      <c r="BJ59" s="52"/>
      <c r="BK59" s="52"/>
      <c r="BL59" s="52"/>
      <c r="BM59" s="52"/>
    </row>
    <row r="60" spans="1:65" ht="28.8" customHeight="1" x14ac:dyDescent="0.3">
      <c r="A60" s="10" t="str">
        <f>IF(Job_Master!A60="","",Job_Master!A60)</f>
        <v>BJ-157</v>
      </c>
      <c r="B60" s="10">
        <f>IF($A60="","",Job_Master!B60)</f>
        <v>50</v>
      </c>
      <c r="C60" s="10" t="str">
        <f>IF($A60="","",Job_Master!C60)</f>
        <v>SEG</v>
      </c>
      <c r="D60" s="10">
        <f>IF($A60="","",Job_Master!D60)</f>
        <v>6</v>
      </c>
      <c r="E60" s="48" t="str">
        <f>IF($A60="","","ENG-MC-06")</f>
        <v>ENG-MC-06</v>
      </c>
      <c r="F60" s="106" t="str">
        <f>IF($E60="","",IFERROR(VLOOKUP($E60,Machine_List!$B:$G,6,0),""))</f>
        <v>General Workman</v>
      </c>
      <c r="G60" s="53">
        <f>IF($E60="","",IFERROR(VLOOKUP($E60,Machine_List!$B:$C,2,0),""))</f>
        <v>46074</v>
      </c>
      <c r="H60" s="10">
        <f>IF($E60="","",IFERROR(VLOOKUP($E60,Machine_List!$B:$D,3,0),""))</f>
        <v>6</v>
      </c>
      <c r="I60" s="54"/>
      <c r="J60" s="55">
        <f ca="1">IF($A60="","",IF($I60&lt;&gt;"",$I60,MAX(EDM_Plan!$M60,IFERROR(LOOKUP(2,1/($E$3:INDIRECT("E"&amp;(ROW()-1))=$E60),$M$3:INDIRECT("M"&amp;(ROW()-1))),EDM_Plan!$M60))))</f>
        <v>46260.606481481474</v>
      </c>
      <c r="K60" s="10">
        <f>IF($A60="","",IFERROR(VLOOKUP(B60,CHOOSE(MATCH(C60,Settings!$L$4:$L$10,0),OPR_2P!$A$4:$I$18,SEG_6P!$A$4:$I$18,SOL_4P!$A$4:$I$18,RW_2P!$A$4:$I$18,RW2_4P!$A$4:$I$18,FLAP_4P!$A$4:$I$18,TUBE_4P!$A$4:$I$18),5,0),0))</f>
        <v>57</v>
      </c>
      <c r="L60" s="10">
        <f t="shared" si="0"/>
        <v>342</v>
      </c>
      <c r="M60" s="55">
        <f ca="1">IF($A60="","",IF(AND(ISNUMBER(G60),G60&gt;=J60,G60&lt;=(J60+(L60/(IF(F60="Contract Workman",Settings!$K$5,Settings!$K$4))))),J60+(L60/(IF(F60="Contract Workman",Settings!$K$5,Settings!$K$4)))+(H60/(IF(F60="Contract Workman",Settings!$K$5,Settings!$K$4))),J60+(L60/(IF(F60="Contract Workman",Settings!$K$5,Settings!$K$4)))))</f>
        <v>46276.43981481481</v>
      </c>
      <c r="N60" s="10" t="str">
        <f t="shared" ca="1" si="2"/>
        <v>Shift A</v>
      </c>
      <c r="O60" s="51" t="str">
        <f>IF(B60="","", IF(IFERROR(ISNUMBER(SEARCH(B60, VLOOKUP(E60, Machine_List!$B:$J, 9, 0))), FALSE()), "✅ Machine OK", "❌ Sug: " &amp; IFERROR(INDEX(Machine_List!$B$4:$B$50, MATCH("*"&amp;B60&amp;"*", Machine_List!$J$4:$J$50, 0)), "Check Limits")))</f>
        <v>✅ Machine OK</v>
      </c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52"/>
      <c r="AN60" s="52"/>
      <c r="AO60" s="52"/>
      <c r="AP60" s="52"/>
      <c r="AQ60" s="52"/>
      <c r="AR60" s="52"/>
      <c r="AS60" s="52"/>
      <c r="AT60" s="52"/>
      <c r="AU60" s="52"/>
      <c r="AV60" s="52"/>
      <c r="AW60" s="52"/>
      <c r="AX60" s="52"/>
      <c r="AY60" s="52"/>
      <c r="AZ60" s="52"/>
      <c r="BA60" s="52"/>
      <c r="BB60" s="52"/>
      <c r="BC60" s="52"/>
      <c r="BD60" s="52"/>
      <c r="BE60" s="52"/>
      <c r="BF60" s="52"/>
      <c r="BG60" s="52"/>
      <c r="BH60" s="52"/>
      <c r="BI60" s="52"/>
      <c r="BJ60" s="52"/>
      <c r="BK60" s="52"/>
      <c r="BL60" s="52"/>
      <c r="BM60" s="52"/>
    </row>
    <row r="61" spans="1:65" ht="28.8" customHeight="1" x14ac:dyDescent="0.3">
      <c r="A61" s="10" t="str">
        <f>IF(Job_Master!A61="","",Job_Master!A61)</f>
        <v>BJ-159</v>
      </c>
      <c r="B61" s="10">
        <f>IF($A61="","",Job_Master!B61)</f>
        <v>54</v>
      </c>
      <c r="C61" s="10" t="str">
        <f>IF($A61="","",Job_Master!C61)</f>
        <v>RW</v>
      </c>
      <c r="D61" s="10">
        <f>IF($A61="","",Job_Master!D61)</f>
        <v>2</v>
      </c>
      <c r="E61" s="48" t="str">
        <f>IF($A61="","","ENG-MC-08")</f>
        <v>ENG-MC-08</v>
      </c>
      <c r="F61" s="106" t="str">
        <f>IF($E61="","",IFERROR(VLOOKUP($E61,Machine_List!$B:$G,6,0),""))</f>
        <v>General Workman</v>
      </c>
      <c r="G61" s="53">
        <f>IF($E61="","",IFERROR(VLOOKUP($E61,Machine_List!$B:$C,2,0),""))</f>
        <v>46383</v>
      </c>
      <c r="H61" s="10">
        <f>IF($E61="","",IFERROR(VLOOKUP($E61,Machine_List!$B:$D,3,0),""))</f>
        <v>6</v>
      </c>
      <c r="I61" s="54"/>
      <c r="J61" s="55">
        <f ca="1">IF($A61="","",IF($I61&lt;&gt;"",$I61,MAX(EDM_Plan!$M61,IFERROR(LOOKUP(2,1/($E$3:INDIRECT("E"&amp;(ROW()-1))=$E61),$M$3:INDIRECT("M"&amp;(ROW()-1))),EDM_Plan!$M61))))</f>
        <v>46223.93981481481</v>
      </c>
      <c r="K61" s="10">
        <f>IF($A61="","",IFERROR(VLOOKUP(B61,CHOOSE(MATCH(C61,Settings!$L$4:$L$10,0),OPR_2P!$A$4:$I$18,SEG_6P!$A$4:$I$18,SOL_4P!$A$4:$I$18,RW_2P!$A$4:$I$18,RW2_4P!$A$4:$I$18,FLAP_4P!$A$4:$I$18,TUBE_4P!$A$4:$I$18),5,0),0))</f>
        <v>73</v>
      </c>
      <c r="L61" s="10">
        <f t="shared" si="0"/>
        <v>146</v>
      </c>
      <c r="M61" s="55">
        <f ca="1">IF($A61="","",IF(AND(ISNUMBER(G61),G61&gt;=J61,G61&lt;=(J61+(L61/(IF(F61="Contract Workman",Settings!$K$5,Settings!$K$4))))),J61+(L61/(IF(F61="Contract Workman",Settings!$K$5,Settings!$K$4)))+(H61/(IF(F61="Contract Workman",Settings!$K$5,Settings!$K$4))),J61+(L61/(IF(F61="Contract Workman",Settings!$K$5,Settings!$K$4)))))</f>
        <v>46230.699074074073</v>
      </c>
      <c r="N61" s="10" t="str">
        <f t="shared" ca="1" si="2"/>
        <v>Shift B</v>
      </c>
      <c r="O61" s="51" t="str">
        <f>IF(B61="","", IF(IFERROR(ISNUMBER(SEARCH(B61, VLOOKUP(E61, Machine_List!$B:$J, 9, 0))), FALSE()), "✅ Machine OK", "❌ Sug: " &amp; IFERROR(INDEX(Machine_List!$B$4:$B$50, MATCH("*"&amp;B61&amp;"*", Machine_List!$J$4:$J$50, 0)), "Check Limits")))</f>
        <v>✅ Machine OK</v>
      </c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52"/>
      <c r="AG61" s="52"/>
      <c r="AH61" s="52"/>
      <c r="AI61" s="52"/>
      <c r="AJ61" s="52"/>
      <c r="AK61" s="52"/>
      <c r="AL61" s="52"/>
      <c r="AM61" s="52"/>
      <c r="AN61" s="52"/>
      <c r="AO61" s="52"/>
      <c r="AP61" s="52"/>
      <c r="AQ61" s="52"/>
      <c r="AR61" s="52"/>
      <c r="AS61" s="52"/>
      <c r="AT61" s="52"/>
      <c r="AU61" s="52"/>
      <c r="AV61" s="52"/>
      <c r="AW61" s="52"/>
      <c r="AX61" s="52"/>
      <c r="AY61" s="52"/>
      <c r="AZ61" s="52"/>
      <c r="BA61" s="52"/>
      <c r="BB61" s="52"/>
      <c r="BC61" s="52"/>
      <c r="BD61" s="52"/>
      <c r="BE61" s="52"/>
      <c r="BF61" s="52"/>
      <c r="BG61" s="52"/>
      <c r="BH61" s="52"/>
      <c r="BI61" s="52"/>
      <c r="BJ61" s="52"/>
      <c r="BK61" s="52"/>
      <c r="BL61" s="52"/>
      <c r="BM61" s="52"/>
    </row>
    <row r="62" spans="1:65" ht="28.8" customHeight="1" x14ac:dyDescent="0.3">
      <c r="A62" s="10" t="str">
        <f>IF(Job_Master!A62="","",Job_Master!A62)</f>
        <v>BJ-148</v>
      </c>
      <c r="B62" s="10">
        <f>IF($A62="","",Job_Master!B62)</f>
        <v>9</v>
      </c>
      <c r="C62" s="10" t="str">
        <f>IF($A62="","",Job_Master!C62)</f>
        <v>SEG</v>
      </c>
      <c r="D62" s="10">
        <f>IF($A62="","",Job_Master!D62)</f>
        <v>6</v>
      </c>
      <c r="E62" s="48" t="str">
        <f>IF($A62="","","ENG-MC-04")</f>
        <v>ENG-MC-04</v>
      </c>
      <c r="F62" s="106" t="str">
        <f>IF($E62="","",IFERROR(VLOOKUP($E62,Machine_List!$B:$G,6,0),""))</f>
        <v>General Workman</v>
      </c>
      <c r="G62" s="53">
        <f>IF($E62="","",IFERROR(VLOOKUP($E62,Machine_List!$B:$C,2,0),""))</f>
        <v>46450</v>
      </c>
      <c r="H62" s="10">
        <f>IF($E62="","",IFERROR(VLOOKUP($E62,Machine_List!$B:$D,3,0),""))</f>
        <v>6</v>
      </c>
      <c r="I62" s="54"/>
      <c r="J62" s="55">
        <f ca="1">IF($A62="","",IF($I62&lt;&gt;"",$I62,MAX(EDM_Plan!$M62,IFERROR(LOOKUP(2,1/($E$3:INDIRECT("E"&amp;(ROW()-1))=$E62),$M$3:INDIRECT("M"&amp;(ROW()-1))),EDM_Plan!$M62))))</f>
        <v>46180.884259259285</v>
      </c>
      <c r="K62" s="10">
        <f>IF($A62="","",IFERROR(VLOOKUP(B62,CHOOSE(MATCH(C62,Settings!$L$4:$L$10,0),OPR_2P!$A$4:$I$18,SEG_6P!$A$4:$I$18,SOL_4P!$A$4:$I$18,RW_2P!$A$4:$I$18,RW2_4P!$A$4:$I$18,FLAP_4P!$A$4:$I$18,TUBE_4P!$A$4:$I$18),5,0),0))</f>
        <v>5</v>
      </c>
      <c r="L62" s="10">
        <f t="shared" si="0"/>
        <v>30</v>
      </c>
      <c r="M62" s="55">
        <f ca="1">IF($A62="","",IF(AND(ISNUMBER(G62),G62&gt;=J62,G62&lt;=(J62+(L62/(IF(F62="Contract Workman",Settings!$K$5,Settings!$K$4))))),J62+(L62/(IF(F62="Contract Workman",Settings!$K$5,Settings!$K$4)))+(H62/(IF(F62="Contract Workman",Settings!$K$5,Settings!$K$4))),J62+(L62/(IF(F62="Contract Workman",Settings!$K$5,Settings!$K$4)))))</f>
        <v>46182.273148148175</v>
      </c>
      <c r="N62" s="10" t="str">
        <f t="shared" ca="1" si="2"/>
        <v>Shift C</v>
      </c>
      <c r="O62" s="51" t="str">
        <f>IF(B62="","", IF(IFERROR(ISNUMBER(SEARCH(B62, VLOOKUP(E62, Machine_List!$B:$J, 9, 0))), FALSE()), "✅ Machine OK", "❌ Sug: " &amp; IFERROR(INDEX(Machine_List!$B$4:$B$50, MATCH("*"&amp;B62&amp;"*", Machine_List!$J$4:$J$50, 0)), "Check Limits")))</f>
        <v>✅ Machine OK</v>
      </c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52"/>
      <c r="AK62" s="52"/>
      <c r="AL62" s="52"/>
      <c r="AM62" s="52"/>
      <c r="AN62" s="52"/>
      <c r="AO62" s="52"/>
      <c r="AP62" s="52"/>
      <c r="AQ62" s="52"/>
      <c r="AR62" s="52"/>
      <c r="AS62" s="52"/>
      <c r="AT62" s="52"/>
      <c r="AU62" s="52"/>
      <c r="AV62" s="52"/>
      <c r="AW62" s="52"/>
      <c r="AX62" s="52"/>
      <c r="AY62" s="52"/>
      <c r="AZ62" s="52"/>
      <c r="BA62" s="52"/>
      <c r="BB62" s="52"/>
      <c r="BC62" s="52"/>
      <c r="BD62" s="52"/>
      <c r="BE62" s="52"/>
      <c r="BF62" s="52"/>
      <c r="BG62" s="52"/>
      <c r="BH62" s="52"/>
      <c r="BI62" s="52"/>
      <c r="BJ62" s="52"/>
      <c r="BK62" s="52"/>
      <c r="BL62" s="52"/>
      <c r="BM62" s="52"/>
    </row>
    <row r="63" spans="1:65" ht="28.8" customHeight="1" x14ac:dyDescent="0.3">
      <c r="A63" s="10" t="str">
        <f>IF(Job_Master!A63="","",Job_Master!A63)</f>
        <v>BJ-161</v>
      </c>
      <c r="B63" s="10">
        <f>IF($A63="","",Job_Master!B63)</f>
        <v>30</v>
      </c>
      <c r="C63" s="10" t="str">
        <f>IF($A63="","",Job_Master!C63)</f>
        <v>SEG</v>
      </c>
      <c r="D63" s="10">
        <f>IF($A63="","",Job_Master!D63)</f>
        <v>6</v>
      </c>
      <c r="E63" s="48" t="str">
        <f>IF($A63="","","ENG-MC-02")</f>
        <v>ENG-MC-02</v>
      </c>
      <c r="F63" s="106" t="str">
        <f>IF($E63="","",IFERROR(VLOOKUP($E63,Machine_List!$B:$G,6,0),""))</f>
        <v>General Workman</v>
      </c>
      <c r="G63" s="53">
        <f>IF($E63="","",IFERROR(VLOOKUP($E63,Machine_List!$B:$C,2,0),""))</f>
        <v>46230</v>
      </c>
      <c r="H63" s="10">
        <f>IF($E63="","",IFERROR(VLOOKUP($E63,Machine_List!$B:$D,3,0),""))</f>
        <v>6</v>
      </c>
      <c r="I63" s="54"/>
      <c r="J63" s="55">
        <f ca="1">IF($A63="","",IF($I63&lt;&gt;"",$I63,MAX(EDM_Plan!$M63,IFERROR(LOOKUP(2,1/($E$3:INDIRECT("E"&amp;(ROW()-1))=$E63),$M$3:INDIRECT("M"&amp;(ROW()-1))),EDM_Plan!$M63))))</f>
        <v>46209.49537037038</v>
      </c>
      <c r="K63" s="10">
        <f>IF($A63="","",IFERROR(VLOOKUP(B63,CHOOSE(MATCH(C63,Settings!$L$4:$L$10,0),OPR_2P!$A$4:$I$18,SEG_6P!$A$4:$I$18,SOL_4P!$A$4:$I$18,RW_2P!$A$4:$I$18,RW2_4P!$A$4:$I$18,FLAP_4P!$A$4:$I$18,TUBE_4P!$A$4:$I$18),5,0),0))</f>
        <v>38</v>
      </c>
      <c r="L63" s="10">
        <f t="shared" si="0"/>
        <v>228</v>
      </c>
      <c r="M63" s="55">
        <f ca="1">IF($A63="","",IF(AND(ISNUMBER(G63),G63&gt;=J63,G63&lt;=(J63+(L63/(IF(F63="Contract Workman",Settings!$K$5,Settings!$K$4))))),J63+(L63/(IF(F63="Contract Workman",Settings!$K$5,Settings!$K$4)))+(H63/(IF(F63="Contract Workman",Settings!$K$5,Settings!$K$4))),J63+(L63/(IF(F63="Contract Workman",Settings!$K$5,Settings!$K$4)))))</f>
        <v>46220.050925925934</v>
      </c>
      <c r="N63" s="10" t="str">
        <f t="shared" ca="1" si="2"/>
        <v>Shift C</v>
      </c>
      <c r="O63" s="51" t="str">
        <f>IF(B63="","", IF(IFERROR(ISNUMBER(SEARCH(B63, VLOOKUP(E63, Machine_List!$B:$J, 9, 0))), FALSE()), "✅ Machine OK", "❌ Sug: " &amp; IFERROR(INDEX(Machine_List!$B$4:$B$50, MATCH("*"&amp;B63&amp;"*", Machine_List!$J$4:$J$50, 0)), "Check Limits")))</f>
        <v>✅ Machine OK</v>
      </c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52"/>
      <c r="AK63" s="52"/>
      <c r="AL63" s="52"/>
      <c r="AM63" s="52"/>
      <c r="AN63" s="52"/>
      <c r="AO63" s="52"/>
      <c r="AP63" s="52"/>
      <c r="AQ63" s="52"/>
      <c r="AR63" s="52"/>
      <c r="AS63" s="52"/>
      <c r="AT63" s="52"/>
      <c r="AU63" s="52"/>
      <c r="AV63" s="52"/>
      <c r="AW63" s="52"/>
      <c r="AX63" s="52"/>
      <c r="AY63" s="52"/>
      <c r="AZ63" s="52"/>
      <c r="BA63" s="52"/>
      <c r="BB63" s="52"/>
      <c r="BC63" s="52"/>
      <c r="BD63" s="52"/>
      <c r="BE63" s="52"/>
      <c r="BF63" s="52"/>
      <c r="BG63" s="52"/>
      <c r="BH63" s="52"/>
      <c r="BI63" s="52"/>
      <c r="BJ63" s="52"/>
      <c r="BK63" s="52"/>
      <c r="BL63" s="52"/>
      <c r="BM63" s="52"/>
    </row>
    <row r="64" spans="1:65" ht="28.8" customHeight="1" x14ac:dyDescent="0.3">
      <c r="A64" s="10" t="str">
        <f>IF(Job_Master!A64="","",Job_Master!A64)</f>
        <v>BJ-149</v>
      </c>
      <c r="B64" s="10">
        <f>IF($A64="","",Job_Master!B64)</f>
        <v>9</v>
      </c>
      <c r="C64" s="10" t="str">
        <f>IF($A64="","",Job_Master!C64)</f>
        <v>2P</v>
      </c>
      <c r="D64" s="10">
        <f>IF($A64="","",Job_Master!D64)</f>
        <v>2</v>
      </c>
      <c r="E64" s="48" t="str">
        <f>IF($A64="","","ENG-MC-05")</f>
        <v>ENG-MC-05</v>
      </c>
      <c r="F64" s="106" t="str">
        <f>IF($E64="","",IFERROR(VLOOKUP($E64,Machine_List!$B:$G,6,0),""))</f>
        <v>General Workman</v>
      </c>
      <c r="G64" s="53">
        <f>IF($E64="","",IFERROR(VLOOKUP($E64,Machine_List!$B:$C,2,0),""))</f>
        <v>46049</v>
      </c>
      <c r="H64" s="10">
        <f>IF($E64="","",IFERROR(VLOOKUP($E64,Machine_List!$B:$D,3,0),""))</f>
        <v>6</v>
      </c>
      <c r="I64" s="54"/>
      <c r="J64" s="55">
        <f ca="1">IF($A64="","",IF($I64&lt;&gt;"",$I64,MAX(EDM_Plan!$M64,IFERROR(LOOKUP(2,1/($E$3:INDIRECT("E"&amp;(ROW()-1))=$E64),$M$3:INDIRECT("M"&amp;(ROW()-1))),EDM_Plan!$M64))))</f>
        <v>46180.050925925949</v>
      </c>
      <c r="K64" s="10">
        <f>IF($A64="","",IFERROR(VLOOKUP(B64,CHOOSE(MATCH(C64,Settings!$L$4:$L$10,0),OPR_2P!$A$4:$I$18,SEG_6P!$A$4:$I$18,SOL_4P!$A$4:$I$18,RW_2P!$A$4:$I$18,RW2_4P!$A$4:$I$18,FLAP_4P!$A$4:$I$18,TUBE_4P!$A$4:$I$18),5,0),0))</f>
        <v>4</v>
      </c>
      <c r="L64" s="10">
        <f t="shared" si="0"/>
        <v>8</v>
      </c>
      <c r="M64" s="55">
        <f ca="1">IF($A64="","",IF(AND(ISNUMBER(G64),G64&gt;=J64,G64&lt;=(J64+(L64/(IF(F64="Contract Workman",Settings!$K$5,Settings!$K$4))))),J64+(L64/(IF(F64="Contract Workman",Settings!$K$5,Settings!$K$4)))+(H64/(IF(F64="Contract Workman",Settings!$K$5,Settings!$K$4))),J64+(L64/(IF(F64="Contract Workman",Settings!$K$5,Settings!$K$4)))))</f>
        <v>46180.421296296321</v>
      </c>
      <c r="N64" s="10" t="str">
        <f t="shared" ca="1" si="2"/>
        <v>Shift A</v>
      </c>
      <c r="O64" s="51" t="str">
        <f>IF(B64="","", IF(IFERROR(ISNUMBER(SEARCH(B64, VLOOKUP(E64, Machine_List!$B:$J, 9, 0))), FALSE()), "✅ Machine OK", "❌ Sug: " &amp; IFERROR(INDEX(Machine_List!$B$4:$B$50, MATCH("*"&amp;B64&amp;"*", Machine_List!$J$4:$J$50, 0)), "Check Limits")))</f>
        <v>✅ Machine OK</v>
      </c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2"/>
      <c r="AJ64" s="52"/>
      <c r="AK64" s="52"/>
      <c r="AL64" s="52"/>
      <c r="AM64" s="52"/>
      <c r="AN64" s="52"/>
      <c r="AO64" s="52"/>
      <c r="AP64" s="52"/>
      <c r="AQ64" s="52"/>
      <c r="AR64" s="52"/>
      <c r="AS64" s="52"/>
      <c r="AT64" s="52"/>
      <c r="AU64" s="52"/>
      <c r="AV64" s="52"/>
      <c r="AW64" s="52"/>
      <c r="AX64" s="52"/>
      <c r="AY64" s="52"/>
      <c r="AZ64" s="52"/>
      <c r="BA64" s="52"/>
      <c r="BB64" s="52"/>
      <c r="BC64" s="52"/>
      <c r="BD64" s="52"/>
      <c r="BE64" s="52"/>
      <c r="BF64" s="52"/>
      <c r="BG64" s="52"/>
      <c r="BH64" s="52"/>
      <c r="BI64" s="52"/>
      <c r="BJ64" s="52"/>
      <c r="BK64" s="52"/>
      <c r="BL64" s="52"/>
      <c r="BM64" s="52"/>
    </row>
    <row r="65" spans="1:65" ht="28.8" customHeight="1" x14ac:dyDescent="0.3">
      <c r="A65" s="10" t="str">
        <f>IF(Job_Master!A65="","",Job_Master!A65)</f>
        <v>BJ-163</v>
      </c>
      <c r="B65" s="10">
        <f>IF($A65="","",Job_Master!B65)</f>
        <v>70</v>
      </c>
      <c r="C65" s="10" t="str">
        <f>IF($A65="","",Job_Master!C65)</f>
        <v>SOL</v>
      </c>
      <c r="D65" s="10">
        <f>IF($A65="","",Job_Master!D65)</f>
        <v>4</v>
      </c>
      <c r="E65" s="48" t="str">
        <f>IF($A65="","","ENG-MC-12")</f>
        <v>ENG-MC-12</v>
      </c>
      <c r="F65" s="106" t="str">
        <f>IF($E65="","",IFERROR(VLOOKUP($E65,Machine_List!$B:$G,6,0),""))</f>
        <v>General Workman</v>
      </c>
      <c r="G65" s="53">
        <f>IF($E65="","",IFERROR(VLOOKUP($E65,Machine_List!$B:$C,2,0),""))</f>
        <v>46454</v>
      </c>
      <c r="H65" s="10">
        <f>IF($E65="","",IFERROR(VLOOKUP($E65,Machine_List!$B:$D,3,0),""))</f>
        <v>6</v>
      </c>
      <c r="I65" s="54"/>
      <c r="J65" s="55">
        <f ca="1">IF($A65="","",IF($I65&lt;&gt;"",$I65,MAX(EDM_Plan!$M65,IFERROR(LOOKUP(2,1/($E$3:INDIRECT("E"&amp;(ROW()-1))=$E65),$M$3:INDIRECT("M"&amp;(ROW()-1))),EDM_Plan!$M65))))</f>
        <v>46246.995370370358</v>
      </c>
      <c r="K65" s="10">
        <f>IF($A65="","",IFERROR(VLOOKUP(B65,CHOOSE(MATCH(C65,Settings!$L$4:$L$10,0),OPR_2P!$A$4:$I$18,SEG_6P!$A$4:$I$18,SOL_4P!$A$4:$I$18,RW_2P!$A$4:$I$18,RW2_4P!$A$4:$I$18,FLAP_4P!$A$4:$I$18,TUBE_4P!$A$4:$I$18),5,0),0))</f>
        <v>111</v>
      </c>
      <c r="L65" s="10">
        <f t="shared" si="0"/>
        <v>444</v>
      </c>
      <c r="M65" s="55">
        <f ca="1">IF($A65="","",IF(AND(ISNUMBER(G65),G65&gt;=J65,G65&lt;=(J65+(L65/(IF(F65="Contract Workman",Settings!$K$5,Settings!$K$4))))),J65+(L65/(IF(F65="Contract Workman",Settings!$K$5,Settings!$K$4)))+(H65/(IF(F65="Contract Workman",Settings!$K$5,Settings!$K$4))),J65+(L65/(IF(F65="Contract Workman",Settings!$K$5,Settings!$K$4)))))</f>
        <v>46267.550925925912</v>
      </c>
      <c r="N65" s="10" t="str">
        <f t="shared" ca="1" si="2"/>
        <v>Shift A</v>
      </c>
      <c r="O65" s="51" t="str">
        <f>IF(B65="","", IF(IFERROR(ISNUMBER(SEARCH(B65, VLOOKUP(E65, Machine_List!$B:$J, 9, 0))), FALSE()), "✅ Machine OK", "❌ Sug: " &amp; IFERROR(INDEX(Machine_List!$B$4:$B$50, MATCH("*"&amp;B65&amp;"*", Machine_List!$J$4:$J$50, 0)), "Check Limits")))</f>
        <v>✅ Machine OK</v>
      </c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52"/>
      <c r="AG65" s="52"/>
      <c r="AH65" s="52"/>
      <c r="AI65" s="52"/>
      <c r="AJ65" s="52"/>
      <c r="AK65" s="52"/>
      <c r="AL65" s="52"/>
      <c r="AM65" s="52"/>
      <c r="AN65" s="52"/>
      <c r="AO65" s="52"/>
      <c r="AP65" s="52"/>
      <c r="AQ65" s="52"/>
      <c r="AR65" s="52"/>
      <c r="AS65" s="52"/>
      <c r="AT65" s="52"/>
      <c r="AU65" s="52"/>
      <c r="AV65" s="52"/>
      <c r="AW65" s="52"/>
      <c r="AX65" s="52"/>
      <c r="AY65" s="52"/>
      <c r="AZ65" s="52"/>
      <c r="BA65" s="52"/>
      <c r="BB65" s="52"/>
      <c r="BC65" s="52"/>
      <c r="BD65" s="52"/>
      <c r="BE65" s="52"/>
      <c r="BF65" s="52"/>
      <c r="BG65" s="52"/>
      <c r="BH65" s="52"/>
      <c r="BI65" s="52"/>
      <c r="BJ65" s="52"/>
      <c r="BK65" s="52"/>
      <c r="BL65" s="52"/>
      <c r="BM65" s="52"/>
    </row>
    <row r="66" spans="1:65" ht="28.8" customHeight="1" x14ac:dyDescent="0.3">
      <c r="A66" s="10" t="str">
        <f>IF(Job_Master!A66="","",Job_Master!A66)</f>
        <v>BJ-164</v>
      </c>
      <c r="B66" s="10">
        <f>IF($A66="","",Job_Master!B66)</f>
        <v>42</v>
      </c>
      <c r="C66" s="10" t="str">
        <f>IF($A66="","",Job_Master!C66)</f>
        <v>SOL</v>
      </c>
      <c r="D66" s="10">
        <f>IF($A66="","",Job_Master!D66)</f>
        <v>4</v>
      </c>
      <c r="E66" s="48" t="str">
        <f>IF($A66="","","ENG-MC-03")</f>
        <v>ENG-MC-03</v>
      </c>
      <c r="F66" s="106" t="str">
        <f>IF($E66="","",IFERROR(VLOOKUP($E66,Machine_List!$B:$G,6,0),""))</f>
        <v>General Workman</v>
      </c>
      <c r="G66" s="53">
        <f>IF($E66="","",IFERROR(VLOOKUP($E66,Machine_List!$B:$C,2,0),""))</f>
        <v>46433</v>
      </c>
      <c r="H66" s="10">
        <f>IF($E66="","",IFERROR(VLOOKUP($E66,Machine_List!$B:$D,3,0),""))</f>
        <v>6</v>
      </c>
      <c r="I66" s="54"/>
      <c r="J66" s="55">
        <f ca="1">IF($A66="","",IF($I66&lt;&gt;"",$I66,MAX(EDM_Plan!$M66,IFERROR(LOOKUP(2,1/($E$3:INDIRECT("E"&amp;(ROW()-1))=$E66),$M$3:INDIRECT("M"&amp;(ROW()-1))),EDM_Plan!$M66))))</f>
        <v>46220.791666666679</v>
      </c>
      <c r="K66" s="10">
        <f>IF($A66="","",IFERROR(VLOOKUP(B66,CHOOSE(MATCH(C66,Settings!$L$4:$L$10,0),OPR_2P!$A$4:$I$18,SEG_6P!$A$4:$I$18,SOL_4P!$A$4:$I$18,RW_2P!$A$4:$I$18,RW2_4P!$A$4:$I$18,FLAP_4P!$A$4:$I$18,TUBE_4P!$A$4:$I$18),5,0),0))</f>
        <v>41</v>
      </c>
      <c r="L66" s="10">
        <f t="shared" si="0"/>
        <v>164</v>
      </c>
      <c r="M66" s="55">
        <f ca="1">IF($A66="","",IF(AND(ISNUMBER(G66),G66&gt;=J66,G66&lt;=(J66+(L66/(IF(F66="Contract Workman",Settings!$K$5,Settings!$K$4))))),J66+(L66/(IF(F66="Contract Workman",Settings!$K$5,Settings!$K$4)))+(H66/(IF(F66="Contract Workman",Settings!$K$5,Settings!$K$4))),J66+(L66/(IF(F66="Contract Workman",Settings!$K$5,Settings!$K$4)))))</f>
        <v>46228.38425925927</v>
      </c>
      <c r="N66" s="10" t="str">
        <f t="shared" ca="1" si="2"/>
        <v>Shift A</v>
      </c>
      <c r="O66" s="51" t="str">
        <f>IF(B66="","", IF(IFERROR(ISNUMBER(SEARCH(B66, VLOOKUP(E66, Machine_List!$B:$J, 9, 0))), FALSE()), "✅ Machine OK", "❌ Sug: " &amp; IFERROR(INDEX(Machine_List!$B$4:$B$50, MATCH("*"&amp;B66&amp;"*", Machine_List!$J$4:$J$50, 0)), "Check Limits")))</f>
        <v>✅ Machine OK</v>
      </c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2"/>
      <c r="AJ66" s="52"/>
      <c r="AK66" s="52"/>
      <c r="AL66" s="52"/>
      <c r="AM66" s="52"/>
      <c r="AN66" s="52"/>
      <c r="AO66" s="52"/>
      <c r="AP66" s="52"/>
      <c r="AQ66" s="52"/>
      <c r="AR66" s="52"/>
      <c r="AS66" s="52"/>
      <c r="AT66" s="52"/>
      <c r="AU66" s="52"/>
      <c r="AV66" s="52"/>
      <c r="AW66" s="52"/>
      <c r="AX66" s="52"/>
      <c r="AY66" s="52"/>
      <c r="AZ66" s="52"/>
      <c r="BA66" s="52"/>
      <c r="BB66" s="52"/>
      <c r="BC66" s="52"/>
      <c r="BD66" s="52"/>
      <c r="BE66" s="52"/>
      <c r="BF66" s="52"/>
      <c r="BG66" s="52"/>
      <c r="BH66" s="52"/>
      <c r="BI66" s="52"/>
      <c r="BJ66" s="52"/>
      <c r="BK66" s="52"/>
      <c r="BL66" s="52"/>
      <c r="BM66" s="52"/>
    </row>
    <row r="67" spans="1:65" ht="28.8" customHeight="1" x14ac:dyDescent="0.3">
      <c r="A67" s="10" t="str">
        <f>IF(Job_Master!A67="","",Job_Master!A67)</f>
        <v>BJ-168</v>
      </c>
      <c r="B67" s="10">
        <f>IF($A67="","",Job_Master!B67)</f>
        <v>20</v>
      </c>
      <c r="C67" s="10" t="str">
        <f>IF($A67="","",Job_Master!C67)</f>
        <v>2P</v>
      </c>
      <c r="D67" s="10">
        <f>IF($A67="","",Job_Master!D67)</f>
        <v>2</v>
      </c>
      <c r="E67" s="48" t="str">
        <f>IF($A67="","","ENG-MC-04")</f>
        <v>ENG-MC-04</v>
      </c>
      <c r="F67" s="106" t="str">
        <f>IF($E67="","",IFERROR(VLOOKUP($E67,Machine_List!$B:$G,6,0),""))</f>
        <v>General Workman</v>
      </c>
      <c r="G67" s="53">
        <f>IF($E67="","",IFERROR(VLOOKUP($E67,Machine_List!$B:$C,2,0),""))</f>
        <v>46450</v>
      </c>
      <c r="H67" s="10">
        <f>IF($E67="","",IFERROR(VLOOKUP($E67,Machine_List!$B:$D,3,0),""))</f>
        <v>6</v>
      </c>
      <c r="I67" s="54"/>
      <c r="J67" s="55">
        <f ca="1">IF($A67="","",IF($I67&lt;&gt;"",$I67,MAX(EDM_Plan!$M67,IFERROR(LOOKUP(2,1/($E$3:INDIRECT("E"&amp;(ROW()-1))=$E67),$M$3:INDIRECT("M"&amp;(ROW()-1))),EDM_Plan!$M67))))</f>
        <v>46184.21759259262</v>
      </c>
      <c r="K67" s="10">
        <f>IF($A67="","",IFERROR(VLOOKUP(B67,CHOOSE(MATCH(C67,Settings!$L$4:$L$10,0),OPR_2P!$A$4:$I$18,SEG_6P!$A$4:$I$18,SOL_4P!$A$4:$I$18,RW_2P!$A$4:$I$18,RW2_4P!$A$4:$I$18,FLAP_4P!$A$4:$I$18,TUBE_4P!$A$4:$I$18),5,0),0))</f>
        <v>27</v>
      </c>
      <c r="L67" s="10">
        <f t="shared" si="0"/>
        <v>54</v>
      </c>
      <c r="M67" s="55">
        <f ca="1">IF($A67="","",IF(AND(ISNUMBER(G67),G67&gt;=J67,G67&lt;=(J67+(L67/(IF(F67="Contract Workman",Settings!$K$5,Settings!$K$4))))),J67+(L67/(IF(F67="Contract Workman",Settings!$K$5,Settings!$K$4)))+(H67/(IF(F67="Contract Workman",Settings!$K$5,Settings!$K$4))),J67+(L67/(IF(F67="Contract Workman",Settings!$K$5,Settings!$K$4)))))</f>
        <v>46186.71759259262</v>
      </c>
      <c r="N67" s="10" t="str">
        <f t="shared" ca="1" si="2"/>
        <v>Shift B</v>
      </c>
      <c r="O67" s="51" t="str">
        <f>IF(B67="","", IF(IFERROR(ISNUMBER(SEARCH(B67, VLOOKUP(E67, Machine_List!$B:$J, 9, 0))), FALSE()), "✅ Machine OK", "❌ Sug: " &amp; IFERROR(INDEX(Machine_List!$B$4:$B$50, MATCH("*"&amp;B67&amp;"*", Machine_List!$J$4:$J$50, 0)), "Check Limits")))</f>
        <v>✅ Machine OK</v>
      </c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52"/>
      <c r="AG67" s="52"/>
      <c r="AH67" s="52"/>
      <c r="AI67" s="52"/>
      <c r="AJ67" s="52"/>
      <c r="AK67" s="52"/>
      <c r="AL67" s="52"/>
      <c r="AM67" s="52"/>
      <c r="AN67" s="52"/>
      <c r="AO67" s="52"/>
      <c r="AP67" s="52"/>
      <c r="AQ67" s="52"/>
      <c r="AR67" s="52"/>
      <c r="AS67" s="52"/>
      <c r="AT67" s="52"/>
      <c r="AU67" s="52"/>
      <c r="AV67" s="52"/>
      <c r="AW67" s="52"/>
      <c r="AX67" s="52"/>
      <c r="AY67" s="52"/>
      <c r="AZ67" s="52"/>
      <c r="BA67" s="52"/>
      <c r="BB67" s="52"/>
      <c r="BC67" s="52"/>
      <c r="BD67" s="52"/>
      <c r="BE67" s="52"/>
      <c r="BF67" s="52"/>
      <c r="BG67" s="52"/>
      <c r="BH67" s="52"/>
      <c r="BI67" s="52"/>
      <c r="BJ67" s="52"/>
      <c r="BK67" s="52"/>
      <c r="BL67" s="52"/>
      <c r="BM67" s="52"/>
    </row>
    <row r="68" spans="1:65" ht="28.8" customHeight="1" x14ac:dyDescent="0.3">
      <c r="A68" s="10" t="str">
        <f>IF(Job_Master!A68="","",Job_Master!A68)</f>
        <v>BJ-155</v>
      </c>
      <c r="B68" s="10">
        <f>IF($A68="","",Job_Master!B68)</f>
        <v>17</v>
      </c>
      <c r="C68" s="10" t="str">
        <f>IF($A68="","",Job_Master!C68)</f>
        <v>RW</v>
      </c>
      <c r="D68" s="10">
        <f>IF($A68="","",Job_Master!D68)</f>
        <v>2</v>
      </c>
      <c r="E68" s="48" t="str">
        <f>IF($A68="","","ENG-MC-05")</f>
        <v>ENG-MC-05</v>
      </c>
      <c r="F68" s="106" t="str">
        <f>IF($E68="","",IFERROR(VLOOKUP($E68,Machine_List!$B:$G,6,0),""))</f>
        <v>General Workman</v>
      </c>
      <c r="G68" s="53">
        <f>IF($E68="","",IFERROR(VLOOKUP($E68,Machine_List!$B:$C,2,0),""))</f>
        <v>46049</v>
      </c>
      <c r="H68" s="10">
        <f>IF($E68="","",IFERROR(VLOOKUP($E68,Machine_List!$B:$D,3,0),""))</f>
        <v>6</v>
      </c>
      <c r="I68" s="54"/>
      <c r="J68" s="55">
        <f ca="1">IF($A68="","",IF($I68&lt;&gt;"",$I68,MAX(EDM_Plan!$M68,IFERROR(LOOKUP(2,1/($E$3:INDIRECT("E"&amp;(ROW()-1))=$E68),$M$3:INDIRECT("M"&amp;(ROW()-1))),EDM_Plan!$M68))))</f>
        <v>46185.699074074102</v>
      </c>
      <c r="K68" s="10">
        <f>IF($A68="","",IFERROR(VLOOKUP(B68,CHOOSE(MATCH(C68,Settings!$L$4:$L$10,0),OPR_2P!$A$4:$I$18,SEG_6P!$A$4:$I$18,SOL_4P!$A$4:$I$18,RW_2P!$A$4:$I$18,RW2_4P!$A$4:$I$18,FLAP_4P!$A$4:$I$18,TUBE_4P!$A$4:$I$18),5,0),0))</f>
        <v>22</v>
      </c>
      <c r="L68" s="10">
        <f t="shared" ref="L68:L131" si="3">IF($A68="","",K68*D68)</f>
        <v>44</v>
      </c>
      <c r="M68" s="55">
        <f ca="1">IF($A68="","",IF(AND(ISNUMBER(G68),G68&gt;=J68,G68&lt;=(J68+(L68/(IF(F68="Contract Workman",Settings!$K$5,Settings!$K$4))))),J68+(L68/(IF(F68="Contract Workman",Settings!$K$5,Settings!$K$4)))+(H68/(IF(F68="Contract Workman",Settings!$K$5,Settings!$K$4))),J68+(L68/(IF(F68="Contract Workman",Settings!$K$5,Settings!$K$4)))))</f>
        <v>46187.736111111139</v>
      </c>
      <c r="N68" s="10" t="str">
        <f t="shared" ref="N68:N99" ca="1" si="4">IF($A68="","",IF(F68="Contract Workman",IF(AND(MOD(M68,1)&gt;=8/24,MOD(M68,1)&lt;20/24),"Shift S1","Shift S2"),IF(AND(MOD(M68,1)&gt;=7/24,MOD(M68,1)&lt;15/24),"Shift A",IF(AND(MOD(M68,1)&gt;=15/24,MOD(M68,1)&lt;23/24),"Shift B","Shift C"))))</f>
        <v>Shift B</v>
      </c>
      <c r="O68" s="51" t="str">
        <f>IF(B68="","", IF(IFERROR(ISNUMBER(SEARCH(B68, VLOOKUP(E68, Machine_List!$B:$J, 9, 0))), FALSE()), "✅ Machine OK", "❌ Sug: " &amp; IFERROR(INDEX(Machine_List!$B$4:$B$50, MATCH("*"&amp;B68&amp;"*", Machine_List!$J$4:$J$50, 0)), "Check Limits")))</f>
        <v>✅ Machine OK</v>
      </c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2"/>
      <c r="AJ68" s="52"/>
      <c r="AK68" s="52"/>
      <c r="AL68" s="52"/>
      <c r="AM68" s="52"/>
      <c r="AN68" s="52"/>
      <c r="AO68" s="52"/>
      <c r="AP68" s="52"/>
      <c r="AQ68" s="52"/>
      <c r="AR68" s="52"/>
      <c r="AS68" s="52"/>
      <c r="AT68" s="52"/>
      <c r="AU68" s="52"/>
      <c r="AV68" s="52"/>
      <c r="AW68" s="52"/>
      <c r="AX68" s="52"/>
      <c r="AY68" s="52"/>
      <c r="AZ68" s="52"/>
      <c r="BA68" s="52"/>
      <c r="BB68" s="52"/>
      <c r="BC68" s="52"/>
      <c r="BD68" s="52"/>
      <c r="BE68" s="52"/>
      <c r="BF68" s="52"/>
      <c r="BG68" s="52"/>
      <c r="BH68" s="52"/>
      <c r="BI68" s="52"/>
      <c r="BJ68" s="52"/>
      <c r="BK68" s="52"/>
      <c r="BL68" s="52"/>
      <c r="BM68" s="52"/>
    </row>
    <row r="69" spans="1:65" ht="28.8" customHeight="1" x14ac:dyDescent="0.3">
      <c r="A69" s="10" t="str">
        <f>IF(Job_Master!A69="","",Job_Master!A69)</f>
        <v>BJ-167</v>
      </c>
      <c r="B69" s="10">
        <f>IF($A69="","",Job_Master!B69)</f>
        <v>54</v>
      </c>
      <c r="C69" s="10" t="str">
        <f>IF($A69="","",Job_Master!C69)</f>
        <v>2P</v>
      </c>
      <c r="D69" s="10">
        <f>IF($A69="","",Job_Master!D69)</f>
        <v>2</v>
      </c>
      <c r="E69" s="48" t="str">
        <f>IF($A69="","","ENG-MC-07")</f>
        <v>ENG-MC-07</v>
      </c>
      <c r="F69" s="106" t="str">
        <f>IF($E69="","",IFERROR(VLOOKUP($E69,Machine_List!$B:$G,6,0),""))</f>
        <v>General Workman</v>
      </c>
      <c r="G69" s="53">
        <f>IF($E69="","",IFERROR(VLOOKUP($E69,Machine_List!$B:$C,2,0),""))</f>
        <v>46272</v>
      </c>
      <c r="H69" s="10">
        <f>IF($E69="","",IFERROR(VLOOKUP($E69,Machine_List!$B:$D,3,0),""))</f>
        <v>6</v>
      </c>
      <c r="I69" s="54"/>
      <c r="J69" s="55">
        <f ca="1">IF($A69="","",IF($I69&lt;&gt;"",$I69,MAX(EDM_Plan!$M69,IFERROR(LOOKUP(2,1/($E$3:INDIRECT("E"&amp;(ROW()-1))=$E69),$M$3:INDIRECT("M"&amp;(ROW()-1))),EDM_Plan!$M69))))</f>
        <v>46238.569444444438</v>
      </c>
      <c r="K69" s="10">
        <f>IF($A69="","",IFERROR(VLOOKUP(B69,CHOOSE(MATCH(C69,Settings!$L$4:$L$10,0),OPR_2P!$A$4:$I$18,SEG_6P!$A$4:$I$18,SOL_4P!$A$4:$I$18,RW_2P!$A$4:$I$18,RW2_4P!$A$4:$I$18,FLAP_4P!$A$4:$I$18,TUBE_4P!$A$4:$I$18),5,0),0))</f>
        <v>66</v>
      </c>
      <c r="L69" s="10">
        <f t="shared" si="3"/>
        <v>132</v>
      </c>
      <c r="M69" s="55">
        <f ca="1">IF($A69="","",IF(AND(ISNUMBER(G69),G69&gt;=J69,G69&lt;=(J69+(L69/(IF(F69="Contract Workman",Settings!$K$5,Settings!$K$4))))),J69+(L69/(IF(F69="Contract Workman",Settings!$K$5,Settings!$K$4)))+(H69/(IF(F69="Contract Workman",Settings!$K$5,Settings!$K$4))),J69+(L69/(IF(F69="Contract Workman",Settings!$K$5,Settings!$K$4)))))</f>
        <v>46244.680555555547</v>
      </c>
      <c r="N69" s="10" t="str">
        <f t="shared" ca="1" si="4"/>
        <v>Shift B</v>
      </c>
      <c r="O69" s="51" t="str">
        <f>IF(B69="","", IF(IFERROR(ISNUMBER(SEARCH(B69, VLOOKUP(E69, Machine_List!$B:$J, 9, 0))), FALSE()), "✅ Machine OK", "❌ Sug: " &amp; IFERROR(INDEX(Machine_List!$B$4:$B$50, MATCH("*"&amp;B69&amp;"*", Machine_List!$J$4:$J$50, 0)), "Check Limits")))</f>
        <v>✅ Machine OK</v>
      </c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  <c r="AK69" s="52"/>
      <c r="AL69" s="52"/>
      <c r="AM69" s="52"/>
      <c r="AN69" s="52"/>
      <c r="AO69" s="52"/>
      <c r="AP69" s="52"/>
      <c r="AQ69" s="52"/>
      <c r="AR69" s="52"/>
      <c r="AS69" s="52"/>
      <c r="AT69" s="52"/>
      <c r="AU69" s="52"/>
      <c r="AV69" s="52"/>
      <c r="AW69" s="52"/>
      <c r="AX69" s="52"/>
      <c r="AY69" s="52"/>
      <c r="AZ69" s="52"/>
      <c r="BA69" s="52"/>
      <c r="BB69" s="52"/>
      <c r="BC69" s="52"/>
      <c r="BD69" s="52"/>
      <c r="BE69" s="52"/>
      <c r="BF69" s="52"/>
      <c r="BG69" s="52"/>
      <c r="BH69" s="52"/>
      <c r="BI69" s="52"/>
      <c r="BJ69" s="52"/>
      <c r="BK69" s="52"/>
      <c r="BL69" s="52"/>
      <c r="BM69" s="52"/>
    </row>
    <row r="70" spans="1:65" ht="28.8" customHeight="1" x14ac:dyDescent="0.3">
      <c r="A70" s="10" t="str">
        <f>IF(Job_Master!A70="","",Job_Master!A70)</f>
        <v>BJ-166</v>
      </c>
      <c r="B70" s="10">
        <f>IF($A70="","",Job_Master!B70)</f>
        <v>50</v>
      </c>
      <c r="C70" s="10" t="str">
        <f>IF($A70="","",Job_Master!C70)</f>
        <v>SOL</v>
      </c>
      <c r="D70" s="10">
        <f>IF($A70="","",Job_Master!D70)</f>
        <v>4</v>
      </c>
      <c r="E70" s="48" t="str">
        <f>IF($A70="","","ENG-MC-07")</f>
        <v>ENG-MC-07</v>
      </c>
      <c r="F70" s="106" t="str">
        <f>IF($E70="","",IFERROR(VLOOKUP($E70,Machine_List!$B:$G,6,0),""))</f>
        <v>General Workman</v>
      </c>
      <c r="G70" s="53">
        <f>IF($E70="","",IFERROR(VLOOKUP($E70,Machine_List!$B:$C,2,0),""))</f>
        <v>46272</v>
      </c>
      <c r="H70" s="10">
        <f>IF($E70="","",IFERROR(VLOOKUP($E70,Machine_List!$B:$D,3,0),""))</f>
        <v>6</v>
      </c>
      <c r="I70" s="54"/>
      <c r="J70" s="55">
        <f ca="1">IF($A70="","",IF($I70&lt;&gt;"",$I70,MAX(EDM_Plan!$M70,IFERROR(LOOKUP(2,1/($E$3:INDIRECT("E"&amp;(ROW()-1))=$E70),$M$3:INDIRECT("M"&amp;(ROW()-1))),EDM_Plan!$M70))))</f>
        <v>46269.680555555547</v>
      </c>
      <c r="K70" s="10">
        <f>IF($A70="","",IFERROR(VLOOKUP(B70,CHOOSE(MATCH(C70,Settings!$L$4:$L$10,0),OPR_2P!$A$4:$I$18,SEG_6P!$A$4:$I$18,SOL_4P!$A$4:$I$18,RW_2P!$A$4:$I$18,RW2_4P!$A$4:$I$18,FLAP_4P!$A$4:$I$18,TUBE_4P!$A$4:$I$18),5,0),0))</f>
        <v>66</v>
      </c>
      <c r="L70" s="10">
        <f t="shared" si="3"/>
        <v>264</v>
      </c>
      <c r="M70" s="55">
        <f ca="1">IF($A70="","",IF(AND(ISNUMBER(G70),G70&gt;=J70,G70&lt;=(J70+(L70/(IF(F70="Contract Workman",Settings!$K$5,Settings!$K$4))))),J70+(L70/(IF(F70="Contract Workman",Settings!$K$5,Settings!$K$4)))+(H70/(IF(F70="Contract Workman",Settings!$K$5,Settings!$K$4))),J70+(L70/(IF(F70="Contract Workman",Settings!$K$5,Settings!$K$4)))))</f>
        <v>46282.180555555547</v>
      </c>
      <c r="N70" s="10" t="str">
        <f t="shared" ca="1" si="4"/>
        <v>Shift C</v>
      </c>
      <c r="O70" s="51" t="str">
        <f>IF(B70="","", IF(IFERROR(ISNUMBER(SEARCH(B70, VLOOKUP(E70, Machine_List!$B:$J, 9, 0))), FALSE()), "✅ Machine OK", "❌ Sug: " &amp; IFERROR(INDEX(Machine_List!$B$4:$B$50, MATCH("*"&amp;B70&amp;"*", Machine_List!$J$4:$J$50, 0)), "Check Limits")))</f>
        <v>✅ Machine OK</v>
      </c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52"/>
      <c r="AJ70" s="52"/>
      <c r="AK70" s="52"/>
      <c r="AL70" s="52"/>
      <c r="AM70" s="52"/>
      <c r="AN70" s="52"/>
      <c r="AO70" s="52"/>
      <c r="AP70" s="52"/>
      <c r="AQ70" s="52"/>
      <c r="AR70" s="52"/>
      <c r="AS70" s="52"/>
      <c r="AT70" s="52"/>
      <c r="AU70" s="52"/>
      <c r="AV70" s="52"/>
      <c r="AW70" s="52"/>
      <c r="AX70" s="52"/>
      <c r="AY70" s="52"/>
      <c r="AZ70" s="52"/>
      <c r="BA70" s="52"/>
      <c r="BB70" s="52"/>
      <c r="BC70" s="52"/>
      <c r="BD70" s="52"/>
      <c r="BE70" s="52"/>
      <c r="BF70" s="52"/>
      <c r="BG70" s="52"/>
      <c r="BH70" s="52"/>
      <c r="BI70" s="52"/>
      <c r="BJ70" s="52"/>
      <c r="BK70" s="52"/>
      <c r="BL70" s="52"/>
      <c r="BM70" s="52"/>
    </row>
    <row r="71" spans="1:65" ht="28.8" customHeight="1" x14ac:dyDescent="0.3">
      <c r="A71" s="10" t="str">
        <f>IF(Job_Master!A71="","",Job_Master!A71)</f>
        <v>BJ-162</v>
      </c>
      <c r="B71" s="10">
        <f>IF($A71="","",Job_Master!B71)</f>
        <v>17</v>
      </c>
      <c r="C71" s="10" t="str">
        <f>IF($A71="","",Job_Master!C71)</f>
        <v>SOL</v>
      </c>
      <c r="D71" s="10">
        <f>IF($A71="","",Job_Master!D71)</f>
        <v>4</v>
      </c>
      <c r="E71" s="48" t="str">
        <f>IF($A71="","","ENG-MC-04")</f>
        <v>ENG-MC-04</v>
      </c>
      <c r="F71" s="106" t="str">
        <f>IF($E71="","",IFERROR(VLOOKUP($E71,Machine_List!$B:$G,6,0),""))</f>
        <v>General Workman</v>
      </c>
      <c r="G71" s="53">
        <f>IF($E71="","",IFERROR(VLOOKUP($E71,Machine_List!$B:$C,2,0),""))</f>
        <v>46450</v>
      </c>
      <c r="H71" s="10">
        <f>IF($E71="","",IFERROR(VLOOKUP($E71,Machine_List!$B:$D,3,0),""))</f>
        <v>6</v>
      </c>
      <c r="I71" s="54"/>
      <c r="J71" s="55">
        <f ca="1">IF($A71="","",IF($I71&lt;&gt;"",$I71,MAX(EDM_Plan!$M71,IFERROR(LOOKUP(2,1/($E$3:INDIRECT("E"&amp;(ROW()-1))=$E71),$M$3:INDIRECT("M"&amp;(ROW()-1))),EDM_Plan!$M71))))</f>
        <v>46188.384259259285</v>
      </c>
      <c r="K71" s="10">
        <f>IF($A71="","",IFERROR(VLOOKUP(B71,CHOOSE(MATCH(C71,Settings!$L$4:$L$10,0),OPR_2P!$A$4:$I$18,SEG_6P!$A$4:$I$18,SOL_4P!$A$4:$I$18,RW_2P!$A$4:$I$18,RW2_4P!$A$4:$I$18,FLAP_4P!$A$4:$I$18,TUBE_4P!$A$4:$I$18),5,0),0))</f>
        <v>22</v>
      </c>
      <c r="L71" s="10">
        <f t="shared" si="3"/>
        <v>88</v>
      </c>
      <c r="M71" s="55">
        <f ca="1">IF($A71="","",IF(AND(ISNUMBER(G71),G71&gt;=J71,G71&lt;=(J71+(L71/(IF(F71="Contract Workman",Settings!$K$5,Settings!$K$4))))),J71+(L71/(IF(F71="Contract Workman",Settings!$K$5,Settings!$K$4)))+(H71/(IF(F71="Contract Workman",Settings!$K$5,Settings!$K$4))),J71+(L71/(IF(F71="Contract Workman",Settings!$K$5,Settings!$K$4)))))</f>
        <v>46192.458333333358</v>
      </c>
      <c r="N71" s="10" t="str">
        <f t="shared" ca="1" si="4"/>
        <v>Shift A</v>
      </c>
      <c r="O71" s="51" t="str">
        <f>IF(B71="","", IF(IFERROR(ISNUMBER(SEARCH(B71, VLOOKUP(E71, Machine_List!$B:$J, 9, 0))), FALSE()), "✅ Machine OK", "❌ Sug: " &amp; IFERROR(INDEX(Machine_List!$B$4:$B$50, MATCH("*"&amp;B71&amp;"*", Machine_List!$J$4:$J$50, 0)), "Check Limits")))</f>
        <v>✅ Machine OK</v>
      </c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  <c r="AH71" s="52"/>
      <c r="AI71" s="52"/>
      <c r="AJ71" s="52"/>
      <c r="AK71" s="52"/>
      <c r="AL71" s="52"/>
      <c r="AM71" s="52"/>
      <c r="AN71" s="52"/>
      <c r="AO71" s="52"/>
      <c r="AP71" s="52"/>
      <c r="AQ71" s="52"/>
      <c r="AR71" s="52"/>
      <c r="AS71" s="52"/>
      <c r="AT71" s="52"/>
      <c r="AU71" s="52"/>
      <c r="AV71" s="52"/>
      <c r="AW71" s="52"/>
      <c r="AX71" s="52"/>
      <c r="AY71" s="52"/>
      <c r="AZ71" s="52"/>
      <c r="BA71" s="52"/>
      <c r="BB71" s="52"/>
      <c r="BC71" s="52"/>
      <c r="BD71" s="52"/>
      <c r="BE71" s="52"/>
      <c r="BF71" s="52"/>
      <c r="BG71" s="52"/>
      <c r="BH71" s="52"/>
      <c r="BI71" s="52"/>
      <c r="BJ71" s="52"/>
      <c r="BK71" s="52"/>
      <c r="BL71" s="52"/>
      <c r="BM71" s="52"/>
    </row>
    <row r="72" spans="1:65" ht="28.8" customHeight="1" x14ac:dyDescent="0.3">
      <c r="A72" s="10" t="str">
        <f>IF(Job_Master!A72="","",Job_Master!A72)</f>
        <v>BJ-165</v>
      </c>
      <c r="B72" s="10">
        <f>IF($A72="","",Job_Master!B72)</f>
        <v>17</v>
      </c>
      <c r="C72" s="10" t="str">
        <f>IF($A72="","",Job_Master!C72)</f>
        <v>2P</v>
      </c>
      <c r="D72" s="10">
        <f>IF($A72="","",Job_Master!D72)</f>
        <v>2</v>
      </c>
      <c r="E72" s="48" t="str">
        <f>IF($A72="","","ENG-MC-05")</f>
        <v>ENG-MC-05</v>
      </c>
      <c r="F72" s="106" t="str">
        <f>IF($E72="","",IFERROR(VLOOKUP($E72,Machine_List!$B:$G,6,0),""))</f>
        <v>General Workman</v>
      </c>
      <c r="G72" s="53">
        <f>IF($E72="","",IFERROR(VLOOKUP($E72,Machine_List!$B:$C,2,0),""))</f>
        <v>46049</v>
      </c>
      <c r="H72" s="10">
        <f>IF($E72="","",IFERROR(VLOOKUP($E72,Machine_List!$B:$D,3,0),""))</f>
        <v>6</v>
      </c>
      <c r="I72" s="54"/>
      <c r="J72" s="55">
        <f ca="1">IF($A72="","",IF($I72&lt;&gt;"",$I72,MAX(EDM_Plan!$M72,IFERROR(LOOKUP(2,1/($E$3:INDIRECT("E"&amp;(ROW()-1))=$E72),$M$3:INDIRECT("M"&amp;(ROW()-1))),EDM_Plan!$M72))))</f>
        <v>46189.310185185212</v>
      </c>
      <c r="K72" s="10">
        <f>IF($A72="","",IFERROR(VLOOKUP(B72,CHOOSE(MATCH(C72,Settings!$L$4:$L$10,0),OPR_2P!$A$4:$I$18,SEG_6P!$A$4:$I$18,SOL_4P!$A$4:$I$18,RW_2P!$A$4:$I$18,RW2_4P!$A$4:$I$18,FLAP_4P!$A$4:$I$18,TUBE_4P!$A$4:$I$18),5,0),0))</f>
        <v>12</v>
      </c>
      <c r="L72" s="10">
        <f t="shared" si="3"/>
        <v>24</v>
      </c>
      <c r="M72" s="55">
        <f ca="1">IF($A72="","",IF(AND(ISNUMBER(G72),G72&gt;=J72,G72&lt;=(J72+(L72/(IF(F72="Contract Workman",Settings!$K$5,Settings!$K$4))))),J72+(L72/(IF(F72="Contract Workman",Settings!$K$5,Settings!$K$4)))+(H72/(IF(F72="Contract Workman",Settings!$K$5,Settings!$K$4))),J72+(L72/(IF(F72="Contract Workman",Settings!$K$5,Settings!$K$4)))))</f>
        <v>46190.421296296321</v>
      </c>
      <c r="N72" s="10" t="str">
        <f t="shared" ca="1" si="4"/>
        <v>Shift A</v>
      </c>
      <c r="O72" s="51" t="str">
        <f>IF(B72="","", IF(IFERROR(ISNUMBER(SEARCH(B72, VLOOKUP(E72, Machine_List!$B:$J, 9, 0))), FALSE()), "✅ Machine OK", "❌ Sug: " &amp; IFERROR(INDEX(Machine_List!$B$4:$B$50, MATCH("*"&amp;B72&amp;"*", Machine_List!$J$4:$J$50, 0)), "Check Limits")))</f>
        <v>✅ Machine OK</v>
      </c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2"/>
      <c r="AJ72" s="52"/>
      <c r="AK72" s="52"/>
      <c r="AL72" s="52"/>
      <c r="AM72" s="52"/>
      <c r="AN72" s="52"/>
      <c r="AO72" s="52"/>
      <c r="AP72" s="52"/>
      <c r="AQ72" s="52"/>
      <c r="AR72" s="52"/>
      <c r="AS72" s="52"/>
      <c r="AT72" s="52"/>
      <c r="AU72" s="52"/>
      <c r="AV72" s="52"/>
      <c r="AW72" s="52"/>
      <c r="AX72" s="52"/>
      <c r="AY72" s="52"/>
      <c r="AZ72" s="52"/>
      <c r="BA72" s="52"/>
      <c r="BB72" s="52"/>
      <c r="BC72" s="52"/>
      <c r="BD72" s="52"/>
      <c r="BE72" s="52"/>
      <c r="BF72" s="52"/>
      <c r="BG72" s="52"/>
      <c r="BH72" s="52"/>
      <c r="BI72" s="52"/>
      <c r="BJ72" s="52"/>
      <c r="BK72" s="52"/>
      <c r="BL72" s="52"/>
      <c r="BM72" s="52"/>
    </row>
    <row r="73" spans="1:65" ht="28.8" customHeight="1" x14ac:dyDescent="0.3">
      <c r="A73" s="10" t="str">
        <f>IF(Job_Master!A73="","",Job_Master!A73)</f>
        <v>BJ-169</v>
      </c>
      <c r="B73" s="10">
        <f>IF($A73="","",Job_Master!B73)</f>
        <v>17</v>
      </c>
      <c r="C73" s="10" t="str">
        <f>IF($A73="","",Job_Master!C73)</f>
        <v>SEG</v>
      </c>
      <c r="D73" s="10">
        <f>IF($A73="","",Job_Master!D73)</f>
        <v>6</v>
      </c>
      <c r="E73" s="48" t="str">
        <f>IF($A73="","","ENG-MC-04")</f>
        <v>ENG-MC-04</v>
      </c>
      <c r="F73" s="106" t="str">
        <f>IF($E73="","",IFERROR(VLOOKUP($E73,Machine_List!$B:$G,6,0),""))</f>
        <v>General Workman</v>
      </c>
      <c r="G73" s="53">
        <f>IF($E73="","",IFERROR(VLOOKUP($E73,Machine_List!$B:$C,2,0),""))</f>
        <v>46450</v>
      </c>
      <c r="H73" s="10">
        <f>IF($E73="","",IFERROR(VLOOKUP($E73,Machine_List!$B:$D,3,0),""))</f>
        <v>6</v>
      </c>
      <c r="I73" s="54"/>
      <c r="J73" s="55">
        <f ca="1">IF($A73="","",IF($I73&lt;&gt;"",$I73,MAX(EDM_Plan!$M73,IFERROR(LOOKUP(2,1/($E$3:INDIRECT("E"&amp;(ROW()-1))=$E73),$M$3:INDIRECT("M"&amp;(ROW()-1))),EDM_Plan!$M73))))</f>
        <v>46199.032407407438</v>
      </c>
      <c r="K73" s="10">
        <f>IF($A73="","",IFERROR(VLOOKUP(B73,CHOOSE(MATCH(C73,Settings!$L$4:$L$10,0),OPR_2P!$A$4:$I$18,SEG_6P!$A$4:$I$18,SOL_4P!$A$4:$I$18,RW_2P!$A$4:$I$18,RW2_4P!$A$4:$I$18,FLAP_4P!$A$4:$I$18,TUBE_4P!$A$4:$I$18),5,0),0))</f>
        <v>20</v>
      </c>
      <c r="L73" s="10">
        <f t="shared" si="3"/>
        <v>120</v>
      </c>
      <c r="M73" s="55">
        <f ca="1">IF($A73="","",IF(AND(ISNUMBER(G73),G73&gt;=J73,G73&lt;=(J73+(L73/(IF(F73="Contract Workman",Settings!$K$5,Settings!$K$4))))),J73+(L73/(IF(F73="Contract Workman",Settings!$K$5,Settings!$K$4)))+(H73/(IF(F73="Contract Workman",Settings!$K$5,Settings!$K$4))),J73+(L73/(IF(F73="Contract Workman",Settings!$K$5,Settings!$K$4)))))</f>
        <v>46204.587962962993</v>
      </c>
      <c r="N73" s="10" t="str">
        <f t="shared" ca="1" si="4"/>
        <v>Shift A</v>
      </c>
      <c r="O73" s="51" t="str">
        <f>IF(B73="","", IF(IFERROR(ISNUMBER(SEARCH(B73, VLOOKUP(E73, Machine_List!$B:$J, 9, 0))), FALSE()), "✅ Machine OK", "❌ Sug: " &amp; IFERROR(INDEX(Machine_List!$B$4:$B$50, MATCH("*"&amp;B73&amp;"*", Machine_List!$J$4:$J$50, 0)), "Check Limits")))</f>
        <v>✅ Machine OK</v>
      </c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  <c r="AE73" s="52"/>
      <c r="AF73" s="52"/>
      <c r="AG73" s="52"/>
      <c r="AH73" s="52"/>
      <c r="AI73" s="52"/>
      <c r="AJ73" s="52"/>
      <c r="AK73" s="52"/>
      <c r="AL73" s="52"/>
      <c r="AM73" s="52"/>
      <c r="AN73" s="52"/>
      <c r="AO73" s="52"/>
      <c r="AP73" s="52"/>
      <c r="AQ73" s="52"/>
      <c r="AR73" s="52"/>
      <c r="AS73" s="52"/>
      <c r="AT73" s="52"/>
      <c r="AU73" s="52"/>
      <c r="AV73" s="52"/>
      <c r="AW73" s="52"/>
      <c r="AX73" s="52"/>
      <c r="AY73" s="52"/>
      <c r="AZ73" s="52"/>
      <c r="BA73" s="52"/>
      <c r="BB73" s="52"/>
      <c r="BC73" s="52"/>
      <c r="BD73" s="52"/>
      <c r="BE73" s="52"/>
      <c r="BF73" s="52"/>
      <c r="BG73" s="52"/>
      <c r="BH73" s="52"/>
      <c r="BI73" s="52"/>
      <c r="BJ73" s="52"/>
      <c r="BK73" s="52"/>
      <c r="BL73" s="52"/>
      <c r="BM73" s="52"/>
    </row>
    <row r="74" spans="1:65" x14ac:dyDescent="0.3">
      <c r="A74" s="10" t="str">
        <f>IF(Job_Master!A74="","",Job_Master!A74)</f>
        <v>BJ-170</v>
      </c>
      <c r="B74" s="10">
        <f>IF($A74="","",Job_Master!B74)</f>
        <v>20</v>
      </c>
      <c r="C74" s="10" t="str">
        <f>IF($A74="","",Job_Master!C74)</f>
        <v>SOL</v>
      </c>
      <c r="D74" s="10">
        <f>IF($A74="","",Job_Master!D74)</f>
        <v>4</v>
      </c>
      <c r="E74" s="48" t="str">
        <f>IF($A74="","",IFERROR(INDEX(Machine_List!$B$50:$B$63,MATCH("*"&amp;$B74&amp;"*",Machine_List!$J$50:$J$63,0)),"NO COMPATIBLE MACHINE"))</f>
        <v>ENG-MC-01</v>
      </c>
      <c r="F74" s="106" t="str">
        <f>IF($E74="","",IFERROR(VLOOKUP($E74,Machine_List!$B:$G,6,0),""))</f>
        <v>General Workman</v>
      </c>
      <c r="G74" s="53">
        <f>IF($E74="","",IFERROR(VLOOKUP($E74,Machine_List!$B:$C,2,0),""))</f>
        <v>46090</v>
      </c>
      <c r="H74" s="10">
        <f>IF($E74="","",IFERROR(VLOOKUP($E74,Machine_List!$B:$D,3,0),""))</f>
        <v>6</v>
      </c>
      <c r="I74" s="54"/>
      <c r="J74" s="55">
        <f ca="1">IF($A74="","",IF($I74&lt;&gt;"",$I74,MAX(EDM_Plan!$M74,IFERROR(LOOKUP(2,1/($E$3:INDIRECT("E"&amp;(ROW()-1))=$E74),$M$3:INDIRECT("M"&amp;(ROW()-1))),EDM_Plan!$M74))))</f>
        <v>46267.180555555555</v>
      </c>
      <c r="K74" s="10">
        <f>IF($A74="","",IFERROR(VLOOKUP(B74,CHOOSE(MATCH(C74,Settings!$L$4:$L$10,0),OPR_2P!$A$4:$I$18,SEG_6P!$A$4:$I$18,SOL_4P!$A$4:$I$18,RW_2P!$A$4:$I$18,RW2_4P!$A$4:$I$18,FLAP_4P!$A$4:$I$18,TUBE_4P!$A$4:$I$18),5,0),0))</f>
        <v>16</v>
      </c>
      <c r="L74" s="10">
        <f t="shared" si="3"/>
        <v>64</v>
      </c>
      <c r="M74" s="55">
        <f ca="1">IF($A74="","",IF(AND(ISNUMBER(G74),G74&gt;=J74,G74&lt;=(J74+(L74/(IF(F74="Contract Workman",Settings!$K$5,Settings!$K$4))))),J74+(L74/(IF(F74="Contract Workman",Settings!$K$5,Settings!$K$4)))+(H74/(IF(F74="Contract Workman",Settings!$K$5,Settings!$K$4))),J74+(L74/(IF(F74="Contract Workman",Settings!$K$5,Settings!$K$4)))))</f>
        <v>46270.143518518518</v>
      </c>
      <c r="N74" s="10" t="str">
        <f t="shared" ca="1" si="4"/>
        <v>Shift C</v>
      </c>
      <c r="O74" s="51" t="str">
        <f>IF(B74="","", IF(IFERROR(ISNUMBER(SEARCH(B74, VLOOKUP(E74, Machine_List!$B:$J, 9, 0))), FALSE()), "✅ Machine OK", "❌ Sug: " &amp; IFERROR(INDEX(Machine_List!$B$4:$B$50, MATCH("*"&amp;B74&amp;"*", Machine_List!$J$4:$J$50, 0)), "Check Limits")))</f>
        <v>✅ Machine OK</v>
      </c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2"/>
      <c r="AF74" s="52"/>
      <c r="AG74" s="52"/>
      <c r="AH74" s="52"/>
      <c r="AI74" s="52"/>
      <c r="AJ74" s="52"/>
      <c r="AK74" s="52"/>
      <c r="AL74" s="52"/>
      <c r="AM74" s="52"/>
      <c r="AN74" s="52"/>
      <c r="AO74" s="52"/>
      <c r="AP74" s="52"/>
      <c r="AQ74" s="52"/>
      <c r="AR74" s="52"/>
      <c r="AS74" s="52"/>
      <c r="AT74" s="52"/>
      <c r="AU74" s="52"/>
      <c r="AV74" s="52"/>
      <c r="AW74" s="52"/>
      <c r="AX74" s="52"/>
      <c r="AY74" s="52"/>
      <c r="AZ74" s="52"/>
      <c r="BA74" s="52"/>
      <c r="BB74" s="52"/>
      <c r="BC74" s="52"/>
      <c r="BD74" s="52"/>
      <c r="BE74" s="52"/>
      <c r="BF74" s="52"/>
      <c r="BG74" s="52"/>
      <c r="BH74" s="52"/>
      <c r="BI74" s="52"/>
      <c r="BJ74" s="52"/>
      <c r="BK74" s="52"/>
      <c r="BL74" s="52"/>
      <c r="BM74" s="52"/>
    </row>
    <row r="75" spans="1:65" x14ac:dyDescent="0.3">
      <c r="A75" s="10" t="str">
        <f>IF(Job_Master!A75="","",Job_Master!A75)</f>
        <v/>
      </c>
      <c r="B75" s="10" t="str">
        <f>IF($A75="","",Job_Master!B75)</f>
        <v/>
      </c>
      <c r="C75" s="10" t="str">
        <f>IF($A75="","",Job_Master!C75)</f>
        <v/>
      </c>
      <c r="D75" s="10" t="str">
        <f>IF($A75="","",Job_Master!D75)</f>
        <v/>
      </c>
      <c r="E75" s="48" t="str">
        <f>IF($A75="","",IFERROR(INDEX(Machine_List!$B$50:$B$63,MATCH("*"&amp;$B75&amp;"*",Machine_List!$J$50:$J$63,0)),"NO COMPATIBLE MACHINE"))</f>
        <v/>
      </c>
      <c r="F75" s="106" t="str">
        <f>IF($E75="","",IFERROR(VLOOKUP($E75,Machine_List!$B:$G,6,0),""))</f>
        <v/>
      </c>
      <c r="G75" s="53" t="str">
        <f>IF($E75="","",IFERROR(VLOOKUP($E75,Machine_List!$B:$C,2,0),""))</f>
        <v/>
      </c>
      <c r="H75" s="10" t="str">
        <f>IF($E75="","",IFERROR(VLOOKUP($E75,Machine_List!$B:$D,3,0),""))</f>
        <v/>
      </c>
      <c r="I75" s="54"/>
      <c r="J75" s="55" t="str">
        <f ca="1">IF($A75="","",IF($I75&lt;&gt;"",$I75,MAX(EDM_Plan!$M75,IFERROR(LOOKUP(2,1/($E$3:INDIRECT("E"&amp;(ROW()-1))=$E75),$M$3:INDIRECT("M"&amp;(ROW()-1))),EDM_Plan!$M75))))</f>
        <v/>
      </c>
      <c r="K75" s="10" t="str">
        <f>IF($A75="","",IFERROR(VLOOKUP(B75,CHOOSE(MATCH(C75,Settings!$L$4:$L$10,0),OPR_2P!$A$4:$I$18,SEG_6P!$A$4:$I$18,SOL_4P!$A$4:$I$18,RW_2P!$A$4:$I$18,RW2_4P!$A$4:$I$18,FLAP_4P!$A$4:$I$18,TUBE_4P!$A$4:$I$18),5,0),0))</f>
        <v/>
      </c>
      <c r="L75" s="10" t="str">
        <f t="shared" si="3"/>
        <v/>
      </c>
      <c r="M75" s="55" t="str">
        <f>IF($A75="","",IF(AND(ISNUMBER(G75),G75&gt;=J75,G75&lt;=(J75+(L75/(IF(F75="Contract Workman",Settings!$K$5,Settings!$K$4))))),J75+(L75/(IF(F75="Contract Workman",Settings!$K$5,Settings!$K$4)))+(H75/(IF(F75="Contract Workman",Settings!$K$5,Settings!$K$4))),J75+(L75/(IF(F75="Contract Workman",Settings!$K$5,Settings!$K$4)))))</f>
        <v/>
      </c>
      <c r="N75" s="10" t="str">
        <f t="shared" si="4"/>
        <v/>
      </c>
      <c r="O75" s="51" t="str">
        <f>IF(B75="","", IF(IFERROR(ISNUMBER(SEARCH(B75, VLOOKUP(E75, Machine_List!$B:$J, 9, 0))), FALSE()), "✅ Machine OK", "❌ Sug: " &amp; IFERROR(INDEX(Machine_List!$B$4:$B$50, MATCH("*"&amp;B75&amp;"*", Machine_List!$J$4:$J$50, 0)), "Check Limits")))</f>
        <v/>
      </c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52"/>
      <c r="AJ75" s="52"/>
      <c r="AK75" s="52"/>
      <c r="AL75" s="52"/>
      <c r="AM75" s="52"/>
      <c r="AN75" s="52"/>
      <c r="AO75" s="52"/>
      <c r="AP75" s="52"/>
      <c r="AQ75" s="52"/>
      <c r="AR75" s="52"/>
      <c r="AS75" s="52"/>
      <c r="AT75" s="52"/>
      <c r="AU75" s="52"/>
      <c r="AV75" s="52"/>
      <c r="AW75" s="52"/>
      <c r="AX75" s="52"/>
      <c r="AY75" s="52"/>
      <c r="AZ75" s="52"/>
      <c r="BA75" s="52"/>
      <c r="BB75" s="52"/>
      <c r="BC75" s="52"/>
      <c r="BD75" s="52"/>
      <c r="BE75" s="52"/>
      <c r="BF75" s="52"/>
      <c r="BG75" s="52"/>
      <c r="BH75" s="52"/>
      <c r="BI75" s="52"/>
      <c r="BJ75" s="52"/>
      <c r="BK75" s="52"/>
      <c r="BL75" s="52"/>
      <c r="BM75" s="52"/>
    </row>
    <row r="76" spans="1:65" x14ac:dyDescent="0.3">
      <c r="A76" s="10" t="str">
        <f>IF(Job_Master!A76="","",Job_Master!A76)</f>
        <v/>
      </c>
      <c r="B76" s="10" t="str">
        <f>IF($A76="","",Job_Master!B76)</f>
        <v/>
      </c>
      <c r="C76" s="10" t="str">
        <f>IF($A76="","",Job_Master!C76)</f>
        <v/>
      </c>
      <c r="D76" s="10" t="str">
        <f>IF($A76="","",Job_Master!D76)</f>
        <v/>
      </c>
      <c r="E76" s="48" t="str">
        <f>IF($A76="","",IFERROR(INDEX(Machine_List!$B$50:$B$63,MATCH("*"&amp;$B76&amp;"*",Machine_List!$J$50:$J$63,0)),"NO COMPATIBLE MACHINE"))</f>
        <v/>
      </c>
      <c r="F76" s="106" t="str">
        <f>IF($E76="","",IFERROR(VLOOKUP($E76,Machine_List!$B:$G,6,0),""))</f>
        <v/>
      </c>
      <c r="G76" s="53" t="str">
        <f>IF($E76="","",IFERROR(VLOOKUP($E76,Machine_List!$B:$C,2,0),""))</f>
        <v/>
      </c>
      <c r="H76" s="10" t="str">
        <f>IF($E76="","",IFERROR(VLOOKUP($E76,Machine_List!$B:$D,3,0),""))</f>
        <v/>
      </c>
      <c r="I76" s="54"/>
      <c r="J76" s="55" t="str">
        <f ca="1">IF($A76="","",IF($I76&lt;&gt;"",$I76,MAX(EDM_Plan!$M76,IFERROR(LOOKUP(2,1/($E$3:INDIRECT("E"&amp;(ROW()-1))=$E76),$M$3:INDIRECT("M"&amp;(ROW()-1))),EDM_Plan!$M76))))</f>
        <v/>
      </c>
      <c r="K76" s="10" t="str">
        <f>IF($A76="","",IFERROR(VLOOKUP(B76,CHOOSE(MATCH(C76,Settings!$L$4:$L$10,0),OPR_2P!$A$4:$I$18,SEG_6P!$A$4:$I$18,SOL_4P!$A$4:$I$18,RW_2P!$A$4:$I$18,RW2_4P!$A$4:$I$18,FLAP_4P!$A$4:$I$18,TUBE_4P!$A$4:$I$18),5,0),0))</f>
        <v/>
      </c>
      <c r="L76" s="10" t="str">
        <f t="shared" si="3"/>
        <v/>
      </c>
      <c r="M76" s="55" t="str">
        <f>IF($A76="","",IF(AND(ISNUMBER(G76),G76&gt;=J76,G76&lt;=(J76+(L76/(IF(F76="Contract Workman",Settings!$K$5,Settings!$K$4))))),J76+(L76/(IF(F76="Contract Workman",Settings!$K$5,Settings!$K$4)))+(H76/(IF(F76="Contract Workman",Settings!$K$5,Settings!$K$4))),J76+(L76/(IF(F76="Contract Workman",Settings!$K$5,Settings!$K$4)))))</f>
        <v/>
      </c>
      <c r="N76" s="10" t="str">
        <f t="shared" si="4"/>
        <v/>
      </c>
      <c r="O76" s="51" t="str">
        <f>IF(B76="","", IF(IFERROR(ISNUMBER(SEARCH(B76, VLOOKUP(E76, Machine_List!$B:$J, 9, 0))), FALSE()), "✅ Machine OK", "❌ Sug: " &amp; IFERROR(INDEX(Machine_List!$B$4:$B$50, MATCH("*"&amp;B76&amp;"*", Machine_List!$J$4:$J$50, 0)), "Check Limits")))</f>
        <v/>
      </c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52"/>
      <c r="AK76" s="52"/>
      <c r="AL76" s="52"/>
      <c r="AM76" s="52"/>
      <c r="AN76" s="52"/>
      <c r="AO76" s="52"/>
      <c r="AP76" s="52"/>
      <c r="AQ76" s="52"/>
      <c r="AR76" s="52"/>
      <c r="AS76" s="52"/>
      <c r="AT76" s="52"/>
      <c r="AU76" s="52"/>
      <c r="AV76" s="52"/>
      <c r="AW76" s="52"/>
      <c r="AX76" s="52"/>
      <c r="AY76" s="52"/>
      <c r="AZ76" s="52"/>
      <c r="BA76" s="52"/>
      <c r="BB76" s="52"/>
      <c r="BC76" s="52"/>
      <c r="BD76" s="52"/>
      <c r="BE76" s="52"/>
      <c r="BF76" s="52"/>
      <c r="BG76" s="52"/>
      <c r="BH76" s="52"/>
      <c r="BI76" s="52"/>
      <c r="BJ76" s="52"/>
      <c r="BK76" s="52"/>
      <c r="BL76" s="52"/>
      <c r="BM76" s="52"/>
    </row>
    <row r="77" spans="1:65" x14ac:dyDescent="0.3">
      <c r="A77" s="10" t="str">
        <f>IF(Job_Master!A77="","",Job_Master!A77)</f>
        <v/>
      </c>
      <c r="B77" s="10" t="str">
        <f>IF($A77="","",Job_Master!B77)</f>
        <v/>
      </c>
      <c r="C77" s="10" t="str">
        <f>IF($A77="","",Job_Master!C77)</f>
        <v/>
      </c>
      <c r="D77" s="10" t="str">
        <f>IF($A77="","",Job_Master!D77)</f>
        <v/>
      </c>
      <c r="E77" s="48" t="str">
        <f>IF($A77="","",IFERROR(INDEX(Machine_List!$B$50:$B$63,MATCH("*"&amp;$B77&amp;"*",Machine_List!$J$50:$J$63,0)),"NO COMPATIBLE MACHINE"))</f>
        <v/>
      </c>
      <c r="F77" s="106" t="str">
        <f>IF($E77="","",IFERROR(VLOOKUP($E77,Machine_List!$B:$G,6,0),""))</f>
        <v/>
      </c>
      <c r="G77" s="53" t="str">
        <f>IF($E77="","",IFERROR(VLOOKUP($E77,Machine_List!$B:$C,2,0),""))</f>
        <v/>
      </c>
      <c r="H77" s="10" t="str">
        <f>IF($E77="","",IFERROR(VLOOKUP($E77,Machine_List!$B:$D,3,0),""))</f>
        <v/>
      </c>
      <c r="I77" s="54"/>
      <c r="J77" s="55" t="str">
        <f ca="1">IF($A77="","",IF($I77&lt;&gt;"",$I77,MAX(EDM_Plan!$M77,IFERROR(LOOKUP(2,1/($E$3:INDIRECT("E"&amp;(ROW()-1))=$E77),$M$3:INDIRECT("M"&amp;(ROW()-1))),EDM_Plan!$M77))))</f>
        <v/>
      </c>
      <c r="K77" s="10" t="str">
        <f>IF($A77="","",IFERROR(VLOOKUP(B77,CHOOSE(MATCH(C77,Settings!$L$4:$L$10,0),OPR_2P!$A$4:$I$18,SEG_6P!$A$4:$I$18,SOL_4P!$A$4:$I$18,RW_2P!$A$4:$I$18,RW2_4P!$A$4:$I$18,FLAP_4P!$A$4:$I$18,TUBE_4P!$A$4:$I$18),5,0),0))</f>
        <v/>
      </c>
      <c r="L77" s="10" t="str">
        <f t="shared" si="3"/>
        <v/>
      </c>
      <c r="M77" s="55" t="str">
        <f>IF($A77="","",IF(AND(ISNUMBER(G77),G77&gt;=J77,G77&lt;=(J77+(L77/(IF(F77="Contract Workman",Settings!$K$5,Settings!$K$4))))),J77+(L77/(IF(F77="Contract Workman",Settings!$K$5,Settings!$K$4)))+(H77/(IF(F77="Contract Workman",Settings!$K$5,Settings!$K$4))),J77+(L77/(IF(F77="Contract Workman",Settings!$K$5,Settings!$K$4)))))</f>
        <v/>
      </c>
      <c r="N77" s="10" t="str">
        <f t="shared" si="4"/>
        <v/>
      </c>
      <c r="O77" s="51" t="str">
        <f>IF(B77="","", IF(IFERROR(ISNUMBER(SEARCH(B77, VLOOKUP(E77, Machine_List!$B:$J, 9, 0))), FALSE()), "✅ Machine OK", "❌ Sug: " &amp; IFERROR(INDEX(Machine_List!$B$4:$B$50, MATCH("*"&amp;B77&amp;"*", Machine_List!$J$4:$J$50, 0)), "Check Limits")))</f>
        <v/>
      </c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  <c r="AE77" s="52"/>
      <c r="AF77" s="52"/>
      <c r="AG77" s="52"/>
      <c r="AH77" s="52"/>
      <c r="AI77" s="52"/>
      <c r="AJ77" s="52"/>
      <c r="AK77" s="52"/>
      <c r="AL77" s="52"/>
      <c r="AM77" s="52"/>
      <c r="AN77" s="52"/>
      <c r="AO77" s="52"/>
      <c r="AP77" s="52"/>
      <c r="AQ77" s="52"/>
      <c r="AR77" s="52"/>
      <c r="AS77" s="52"/>
      <c r="AT77" s="52"/>
      <c r="AU77" s="52"/>
      <c r="AV77" s="52"/>
      <c r="AW77" s="52"/>
      <c r="AX77" s="52"/>
      <c r="AY77" s="52"/>
      <c r="AZ77" s="52"/>
      <c r="BA77" s="52"/>
      <c r="BB77" s="52"/>
      <c r="BC77" s="52"/>
      <c r="BD77" s="52"/>
      <c r="BE77" s="52"/>
      <c r="BF77" s="52"/>
      <c r="BG77" s="52"/>
      <c r="BH77" s="52"/>
      <c r="BI77" s="52"/>
      <c r="BJ77" s="52"/>
      <c r="BK77" s="52"/>
      <c r="BL77" s="52"/>
      <c r="BM77" s="52"/>
    </row>
    <row r="78" spans="1:65" x14ac:dyDescent="0.3">
      <c r="A78" s="10" t="str">
        <f>IF(Job_Master!A78="","",Job_Master!A78)</f>
        <v/>
      </c>
      <c r="B78" s="10" t="str">
        <f>IF($A78="","",Job_Master!B78)</f>
        <v/>
      </c>
      <c r="C78" s="10" t="str">
        <f>IF($A78="","",Job_Master!C78)</f>
        <v/>
      </c>
      <c r="D78" s="10" t="str">
        <f>IF($A78="","",Job_Master!D78)</f>
        <v/>
      </c>
      <c r="E78" s="48" t="str">
        <f>IF($A78="","",IFERROR(INDEX(Machine_List!$B$50:$B$63,MATCH("*"&amp;$B78&amp;"*",Machine_List!$J$50:$J$63,0)),"NO COMPATIBLE MACHINE"))</f>
        <v/>
      </c>
      <c r="F78" s="106" t="str">
        <f>IF($E78="","",IFERROR(VLOOKUP($E78,Machine_List!$B:$G,6,0),""))</f>
        <v/>
      </c>
      <c r="G78" s="53" t="str">
        <f>IF($E78="","",IFERROR(VLOOKUP($E78,Machine_List!$B:$C,2,0),""))</f>
        <v/>
      </c>
      <c r="H78" s="10" t="str">
        <f>IF($E78="","",IFERROR(VLOOKUP($E78,Machine_List!$B:$D,3,0),""))</f>
        <v/>
      </c>
      <c r="I78" s="54"/>
      <c r="J78" s="55" t="str">
        <f ca="1">IF($A78="","",IF($I78&lt;&gt;"",$I78,MAX(EDM_Plan!$M78,IFERROR(LOOKUP(2,1/($E$3:INDIRECT("E"&amp;(ROW()-1))=$E78),$M$3:INDIRECT("M"&amp;(ROW()-1))),EDM_Plan!$M78))))</f>
        <v/>
      </c>
      <c r="K78" s="10" t="str">
        <f>IF($A78="","",IFERROR(VLOOKUP(B78,CHOOSE(MATCH(C78,Settings!$L$4:$L$10,0),OPR_2P!$A$4:$I$18,SEG_6P!$A$4:$I$18,SOL_4P!$A$4:$I$18,RW_2P!$A$4:$I$18,RW2_4P!$A$4:$I$18,FLAP_4P!$A$4:$I$18,TUBE_4P!$A$4:$I$18),5,0),0))</f>
        <v/>
      </c>
      <c r="L78" s="10" t="str">
        <f t="shared" si="3"/>
        <v/>
      </c>
      <c r="M78" s="55" t="str">
        <f>IF($A78="","",IF(AND(ISNUMBER(G78),G78&gt;=J78,G78&lt;=(J78+(L78/(IF(F78="Contract Workman",Settings!$K$5,Settings!$K$4))))),J78+(L78/(IF(F78="Contract Workman",Settings!$K$5,Settings!$K$4)))+(H78/(IF(F78="Contract Workman",Settings!$K$5,Settings!$K$4))),J78+(L78/(IF(F78="Contract Workman",Settings!$K$5,Settings!$K$4)))))</f>
        <v/>
      </c>
      <c r="N78" s="10" t="str">
        <f t="shared" si="4"/>
        <v/>
      </c>
      <c r="O78" s="51" t="str">
        <f>IF(B78="","", IF(IFERROR(ISNUMBER(SEARCH(B78, VLOOKUP(E78, Machine_List!$B:$J, 9, 0))), FALSE()), "✅ Machine OK", "❌ Sug: " &amp; IFERROR(INDEX(Machine_List!$B$4:$B$50, MATCH("*"&amp;B78&amp;"*", Machine_List!$J$4:$J$50, 0)), "Check Limits")))</f>
        <v/>
      </c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52"/>
      <c r="AG78" s="52"/>
      <c r="AH78" s="52"/>
      <c r="AI78" s="52"/>
      <c r="AJ78" s="52"/>
      <c r="AK78" s="52"/>
      <c r="AL78" s="52"/>
      <c r="AM78" s="52"/>
      <c r="AN78" s="52"/>
      <c r="AO78" s="52"/>
      <c r="AP78" s="52"/>
      <c r="AQ78" s="52"/>
      <c r="AR78" s="52"/>
      <c r="AS78" s="52"/>
      <c r="AT78" s="52"/>
      <c r="AU78" s="52"/>
      <c r="AV78" s="52"/>
      <c r="AW78" s="52"/>
      <c r="AX78" s="52"/>
      <c r="AY78" s="52"/>
      <c r="AZ78" s="52"/>
      <c r="BA78" s="52"/>
      <c r="BB78" s="52"/>
      <c r="BC78" s="52"/>
      <c r="BD78" s="52"/>
      <c r="BE78" s="52"/>
      <c r="BF78" s="52"/>
      <c r="BG78" s="52"/>
      <c r="BH78" s="52"/>
      <c r="BI78" s="52"/>
      <c r="BJ78" s="52"/>
      <c r="BK78" s="52"/>
      <c r="BL78" s="52"/>
      <c r="BM78" s="52"/>
    </row>
    <row r="79" spans="1:65" x14ac:dyDescent="0.3">
      <c r="A79" s="10" t="str">
        <f>IF(Job_Master!A79="","",Job_Master!A79)</f>
        <v/>
      </c>
      <c r="B79" s="10" t="str">
        <f>IF($A79="","",Job_Master!B79)</f>
        <v/>
      </c>
      <c r="C79" s="10" t="str">
        <f>IF($A79="","",Job_Master!C79)</f>
        <v/>
      </c>
      <c r="D79" s="10" t="str">
        <f>IF($A79="","",Job_Master!D79)</f>
        <v/>
      </c>
      <c r="E79" s="48" t="str">
        <f>IF($A79="","",IFERROR(INDEX(Machine_List!$B$50:$B$63,MATCH("*"&amp;$B79&amp;"*",Machine_List!$J$50:$J$63,0)),"NO COMPATIBLE MACHINE"))</f>
        <v/>
      </c>
      <c r="F79" s="106" t="str">
        <f>IF($E79="","",IFERROR(VLOOKUP($E79,Machine_List!$B:$G,6,0),""))</f>
        <v/>
      </c>
      <c r="G79" s="53" t="str">
        <f>IF($E79="","",IFERROR(VLOOKUP($E79,Machine_List!$B:$C,2,0),""))</f>
        <v/>
      </c>
      <c r="H79" s="10" t="str">
        <f>IF($E79="","",IFERROR(VLOOKUP($E79,Machine_List!$B:$D,3,0),""))</f>
        <v/>
      </c>
      <c r="I79" s="54"/>
      <c r="J79" s="55" t="str">
        <f ca="1">IF($A79="","",IF($I79&lt;&gt;"",$I79,MAX(EDM_Plan!$M79,IFERROR(LOOKUP(2,1/($E$3:INDIRECT("E"&amp;(ROW()-1))=$E79),$M$3:INDIRECT("M"&amp;(ROW()-1))),EDM_Plan!$M79))))</f>
        <v/>
      </c>
      <c r="K79" s="10" t="str">
        <f>IF($A79="","",IFERROR(VLOOKUP(B79,CHOOSE(MATCH(C79,Settings!$L$4:$L$10,0),OPR_2P!$A$4:$I$18,SEG_6P!$A$4:$I$18,SOL_4P!$A$4:$I$18,RW_2P!$A$4:$I$18,RW2_4P!$A$4:$I$18,FLAP_4P!$A$4:$I$18,TUBE_4P!$A$4:$I$18),5,0),0))</f>
        <v/>
      </c>
      <c r="L79" s="10" t="str">
        <f t="shared" si="3"/>
        <v/>
      </c>
      <c r="M79" s="55" t="str">
        <f>IF($A79="","",IF(AND(ISNUMBER(G79),G79&gt;=J79,G79&lt;=(J79+(L79/(IF(F79="Contract Workman",Settings!$K$5,Settings!$K$4))))),J79+(L79/(IF(F79="Contract Workman",Settings!$K$5,Settings!$K$4)))+(H79/(IF(F79="Contract Workman",Settings!$K$5,Settings!$K$4))),J79+(L79/(IF(F79="Contract Workman",Settings!$K$5,Settings!$K$4)))))</f>
        <v/>
      </c>
      <c r="N79" s="10" t="str">
        <f t="shared" si="4"/>
        <v/>
      </c>
      <c r="O79" s="51" t="str">
        <f>IF(B79="","", IF(IFERROR(ISNUMBER(SEARCH(B79, VLOOKUP(E79, Machine_List!$B:$J, 9, 0))), FALSE()), "✅ Machine OK", "❌ Sug: " &amp; IFERROR(INDEX(Machine_List!$B$4:$B$50, MATCH("*"&amp;B79&amp;"*", Machine_List!$J$4:$J$50, 0)), "Check Limits")))</f>
        <v/>
      </c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  <c r="AF79" s="52"/>
      <c r="AG79" s="52"/>
      <c r="AH79" s="52"/>
      <c r="AI79" s="52"/>
      <c r="AJ79" s="52"/>
      <c r="AK79" s="52"/>
      <c r="AL79" s="52"/>
      <c r="AM79" s="52"/>
      <c r="AN79" s="52"/>
      <c r="AO79" s="52"/>
      <c r="AP79" s="52"/>
      <c r="AQ79" s="52"/>
      <c r="AR79" s="52"/>
      <c r="AS79" s="52"/>
      <c r="AT79" s="52"/>
      <c r="AU79" s="52"/>
      <c r="AV79" s="52"/>
      <c r="AW79" s="52"/>
      <c r="AX79" s="52"/>
      <c r="AY79" s="52"/>
      <c r="AZ79" s="52"/>
      <c r="BA79" s="52"/>
      <c r="BB79" s="52"/>
      <c r="BC79" s="52"/>
      <c r="BD79" s="52"/>
      <c r="BE79" s="52"/>
      <c r="BF79" s="52"/>
      <c r="BG79" s="52"/>
      <c r="BH79" s="52"/>
      <c r="BI79" s="52"/>
      <c r="BJ79" s="52"/>
      <c r="BK79" s="52"/>
      <c r="BL79" s="52"/>
      <c r="BM79" s="52"/>
    </row>
    <row r="80" spans="1:65" x14ac:dyDescent="0.3">
      <c r="A80" s="10" t="str">
        <f>IF(Job_Master!A80="","",Job_Master!A80)</f>
        <v/>
      </c>
      <c r="B80" s="10" t="str">
        <f>IF($A80="","",Job_Master!B80)</f>
        <v/>
      </c>
      <c r="C80" s="10" t="str">
        <f>IF($A80="","",Job_Master!C80)</f>
        <v/>
      </c>
      <c r="D80" s="10" t="str">
        <f>IF($A80="","",Job_Master!D80)</f>
        <v/>
      </c>
      <c r="E80" s="48" t="str">
        <f>IF($A80="","",IFERROR(INDEX(Machine_List!$B$50:$B$63,MATCH("*"&amp;$B80&amp;"*",Machine_List!$J$50:$J$63,0)),"NO COMPATIBLE MACHINE"))</f>
        <v/>
      </c>
      <c r="F80" s="106" t="str">
        <f>IF($E80="","",IFERROR(VLOOKUP($E80,Machine_List!$B:$G,6,0),""))</f>
        <v/>
      </c>
      <c r="G80" s="53" t="str">
        <f>IF($E80="","",IFERROR(VLOOKUP($E80,Machine_List!$B:$C,2,0),""))</f>
        <v/>
      </c>
      <c r="H80" s="10" t="str">
        <f>IF($E80="","",IFERROR(VLOOKUP($E80,Machine_List!$B:$D,3,0),""))</f>
        <v/>
      </c>
      <c r="I80" s="54"/>
      <c r="J80" s="55" t="str">
        <f ca="1">IF($A80="","",IF($I80&lt;&gt;"",$I80,MAX(EDM_Plan!$M80,IFERROR(LOOKUP(2,1/($E$3:INDIRECT("E"&amp;(ROW()-1))=$E80),$M$3:INDIRECT("M"&amp;(ROW()-1))),EDM_Plan!$M80))))</f>
        <v/>
      </c>
      <c r="K80" s="10" t="str">
        <f>IF($A80="","",IFERROR(VLOOKUP(B80,CHOOSE(MATCH(C80,Settings!$L$4:$L$10,0),OPR_2P!$A$4:$I$18,SEG_6P!$A$4:$I$18,SOL_4P!$A$4:$I$18,RW_2P!$A$4:$I$18,RW2_4P!$A$4:$I$18,FLAP_4P!$A$4:$I$18,TUBE_4P!$A$4:$I$18),5,0),0))</f>
        <v/>
      </c>
      <c r="L80" s="10" t="str">
        <f t="shared" si="3"/>
        <v/>
      </c>
      <c r="M80" s="55" t="str">
        <f>IF($A80="","",IF(AND(ISNUMBER(G80),G80&gt;=J80,G80&lt;=(J80+(L80/(IF(F80="Contract Workman",Settings!$K$5,Settings!$K$4))))),J80+(L80/(IF(F80="Contract Workman",Settings!$K$5,Settings!$K$4)))+(H80/(IF(F80="Contract Workman",Settings!$K$5,Settings!$K$4))),J80+(L80/(IF(F80="Contract Workman",Settings!$K$5,Settings!$K$4)))))</f>
        <v/>
      </c>
      <c r="N80" s="10" t="str">
        <f t="shared" si="4"/>
        <v/>
      </c>
      <c r="O80" s="51" t="str">
        <f>IF(B80="","", IF(IFERROR(ISNUMBER(SEARCH(B80, VLOOKUP(E80, Machine_List!$B:$J, 9, 0))), FALSE()), "✅ Machine OK", "❌ Sug: " &amp; IFERROR(INDEX(Machine_List!$B$4:$B$50, MATCH("*"&amp;B80&amp;"*", Machine_List!$J$4:$J$50, 0)), "Check Limits")))</f>
        <v/>
      </c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  <c r="AE80" s="52"/>
      <c r="AF80" s="52"/>
      <c r="AG80" s="52"/>
      <c r="AH80" s="52"/>
      <c r="AI80" s="52"/>
      <c r="AJ80" s="52"/>
      <c r="AK80" s="52"/>
      <c r="AL80" s="52"/>
      <c r="AM80" s="52"/>
      <c r="AN80" s="52"/>
      <c r="AO80" s="52"/>
      <c r="AP80" s="52"/>
      <c r="AQ80" s="52"/>
      <c r="AR80" s="52"/>
      <c r="AS80" s="52"/>
      <c r="AT80" s="52"/>
      <c r="AU80" s="52"/>
      <c r="AV80" s="52"/>
      <c r="AW80" s="52"/>
      <c r="AX80" s="52"/>
      <c r="AY80" s="52"/>
      <c r="AZ80" s="52"/>
      <c r="BA80" s="52"/>
      <c r="BB80" s="52"/>
      <c r="BC80" s="52"/>
      <c r="BD80" s="52"/>
      <c r="BE80" s="52"/>
      <c r="BF80" s="52"/>
      <c r="BG80" s="52"/>
      <c r="BH80" s="52"/>
      <c r="BI80" s="52"/>
      <c r="BJ80" s="52"/>
      <c r="BK80" s="52"/>
      <c r="BL80" s="52"/>
      <c r="BM80" s="52"/>
    </row>
    <row r="81" spans="1:65" ht="15" customHeight="1" x14ac:dyDescent="0.3">
      <c r="A81" s="10" t="str">
        <f>IF(Job_Master!A81="","",Job_Master!A81)</f>
        <v/>
      </c>
      <c r="B81" s="10" t="str">
        <f>IF($A81="","",Job_Master!B81)</f>
        <v/>
      </c>
      <c r="C81" s="10" t="str">
        <f>IF($A81="","",Job_Master!C81)</f>
        <v/>
      </c>
      <c r="D81" s="10" t="str">
        <f>IF($A81="","",Job_Master!D81)</f>
        <v/>
      </c>
      <c r="E81" s="48" t="str">
        <f>IF($A81="","",IFERROR(INDEX(Machine_List!$B$50:$B$63,MATCH("*"&amp;$B81&amp;"*",Machine_List!$J$50:$J$63,0)),"NO COMPATIBLE MACHINE"))</f>
        <v/>
      </c>
      <c r="F81" s="106" t="str">
        <f>IF($E81="","",IFERROR(VLOOKUP($E81,Machine_List!$B:$G,6,0),""))</f>
        <v/>
      </c>
      <c r="G81" s="53" t="str">
        <f>IF($E81="","",IFERROR(VLOOKUP($E81,Machine_List!$B:$C,2,0),""))</f>
        <v/>
      </c>
      <c r="H81" s="10" t="str">
        <f>IF($E81="","",IFERROR(VLOOKUP($E81,Machine_List!$B:$D,3,0),""))</f>
        <v/>
      </c>
      <c r="I81" s="54"/>
      <c r="J81" s="55" t="str">
        <f ca="1">IF($A81="","",IF($I81&lt;&gt;"",$I81,MAX(EDM_Plan!$M81,IFERROR(LOOKUP(2,1/($E$3:INDIRECT("E"&amp;(ROW()-1))=$E81),$M$3:INDIRECT("M"&amp;(ROW()-1))),EDM_Plan!$M81))))</f>
        <v/>
      </c>
      <c r="K81" s="10" t="str">
        <f>IF($A81="","",IFERROR(VLOOKUP(B81,CHOOSE(MATCH(C81,Settings!$L$4:$L$10,0),OPR_2P!$A$4:$I$18,SEG_6P!$A$4:$I$18,SOL_4P!$A$4:$I$18,RW_2P!$A$4:$I$18,RW2_4P!$A$4:$I$18,FLAP_4P!$A$4:$I$18,TUBE_4P!$A$4:$I$18),5,0),0))</f>
        <v/>
      </c>
      <c r="L81" s="10" t="str">
        <f t="shared" si="3"/>
        <v/>
      </c>
      <c r="M81" s="55" t="str">
        <f>IF($A81="","",IF(AND(ISNUMBER(G81),G81&gt;=J81,G81&lt;=(J81+(L81/(IF(F81="Contract Workman",Settings!$K$5,Settings!$K$4))))),J81+(L81/(IF(F81="Contract Workman",Settings!$K$5,Settings!$K$4)))+(H81/(IF(F81="Contract Workman",Settings!$K$5,Settings!$K$4))),J81+(L81/(IF(F81="Contract Workman",Settings!$K$5,Settings!$K$4)))))</f>
        <v/>
      </c>
      <c r="N81" s="10" t="str">
        <f t="shared" si="4"/>
        <v/>
      </c>
      <c r="O81" s="51" t="str">
        <f>IF(B81="","", IF(IFERROR(ISNUMBER(SEARCH(B81, VLOOKUP(E81, Machine_List!$B:$J, 9, 0))), FALSE()), "✅ Machine OK", "❌ Sug: " &amp; IFERROR(INDEX(Machine_List!$B$4:$B$50, MATCH("*"&amp;B81&amp;"*", Machine_List!$J$4:$J$50, 0)), "Check Limits")))</f>
        <v/>
      </c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  <c r="AE81" s="52"/>
      <c r="AF81" s="52"/>
      <c r="AG81" s="52"/>
      <c r="AH81" s="52"/>
      <c r="AI81" s="52"/>
      <c r="AJ81" s="52"/>
      <c r="AK81" s="52"/>
      <c r="AL81" s="52"/>
      <c r="AM81" s="52"/>
      <c r="AN81" s="52"/>
      <c r="AO81" s="52"/>
      <c r="AP81" s="52"/>
      <c r="AQ81" s="52"/>
      <c r="AR81" s="52"/>
      <c r="AS81" s="52"/>
      <c r="AT81" s="52"/>
      <c r="AU81" s="52"/>
      <c r="AV81" s="52"/>
      <c r="AW81" s="52"/>
      <c r="AX81" s="52"/>
      <c r="AY81" s="52"/>
      <c r="AZ81" s="52"/>
      <c r="BA81" s="52"/>
      <c r="BB81" s="52"/>
      <c r="BC81" s="52"/>
      <c r="BD81" s="52"/>
      <c r="BE81" s="52"/>
      <c r="BF81" s="52"/>
      <c r="BG81" s="52"/>
      <c r="BH81" s="52"/>
      <c r="BI81" s="52"/>
      <c r="BJ81" s="52"/>
      <c r="BK81" s="52"/>
      <c r="BL81" s="52"/>
      <c r="BM81" s="52"/>
    </row>
    <row r="82" spans="1:65" ht="15" customHeight="1" x14ac:dyDescent="0.3">
      <c r="A82" s="10" t="str">
        <f>IF(Job_Master!A82="","",Job_Master!A82)</f>
        <v/>
      </c>
      <c r="B82" s="10" t="str">
        <f>IF($A82="","",Job_Master!B82)</f>
        <v/>
      </c>
      <c r="C82" s="10" t="str">
        <f>IF($A82="","",Job_Master!C82)</f>
        <v/>
      </c>
      <c r="D82" s="10" t="str">
        <f>IF($A82="","",Job_Master!D82)</f>
        <v/>
      </c>
      <c r="E82" s="48" t="str">
        <f>IF($A82="","",IFERROR(INDEX(Machine_List!$B$50:$B$63,MATCH("*"&amp;$B82&amp;"*",Machine_List!$J$50:$J$63,0)),"NO COMPATIBLE MACHINE"))</f>
        <v/>
      </c>
      <c r="F82" s="106" t="str">
        <f>IF($E82="","",IFERROR(VLOOKUP($E82,Machine_List!$B:$G,6,0),""))</f>
        <v/>
      </c>
      <c r="G82" s="53" t="str">
        <f>IF($E82="","",IFERROR(VLOOKUP($E82,Machine_List!$B:$C,2,0),""))</f>
        <v/>
      </c>
      <c r="H82" s="10" t="str">
        <f>IF($E82="","",IFERROR(VLOOKUP($E82,Machine_List!$B:$D,3,0),""))</f>
        <v/>
      </c>
      <c r="I82" s="54"/>
      <c r="J82" s="55" t="str">
        <f ca="1">IF($A82="","",IF($I82&lt;&gt;"",$I82,MAX(EDM_Plan!$M82,IFERROR(LOOKUP(2,1/($E$3:INDIRECT("E"&amp;(ROW()-1))=$E82),$M$3:INDIRECT("M"&amp;(ROW()-1))),EDM_Plan!$M82))))</f>
        <v/>
      </c>
      <c r="K82" s="10" t="str">
        <f>IF($A82="","",IFERROR(VLOOKUP(B82,CHOOSE(MATCH(C82,Settings!$L$4:$L$10,0),OPR_2P!$A$4:$I$18,SEG_6P!$A$4:$I$18,SOL_4P!$A$4:$I$18,RW_2P!$A$4:$I$18,RW2_4P!$A$4:$I$18,FLAP_4P!$A$4:$I$18,TUBE_4P!$A$4:$I$18),5,0),0))</f>
        <v/>
      </c>
      <c r="L82" s="10" t="str">
        <f t="shared" si="3"/>
        <v/>
      </c>
      <c r="M82" s="55" t="str">
        <f>IF($A82="","",IF(AND(ISNUMBER(G82),G82&gt;=J82,G82&lt;=(J82+(L82/(IF(F82="Contract Workman",Settings!$K$5,Settings!$K$4))))),J82+(L82/(IF(F82="Contract Workman",Settings!$K$5,Settings!$K$4)))+(H82/(IF(F82="Contract Workman",Settings!$K$5,Settings!$K$4))),J82+(L82/(IF(F82="Contract Workman",Settings!$K$5,Settings!$K$4)))))</f>
        <v/>
      </c>
      <c r="N82" s="10" t="str">
        <f t="shared" si="4"/>
        <v/>
      </c>
      <c r="O82" s="51" t="str">
        <f>IF(B82="","", IF(IFERROR(ISNUMBER(SEARCH(B82, VLOOKUP(E82, Machine_List!$B:$J, 9, 0))), FALSE()), "✅ Machine OK", "❌ Sug: " &amp; IFERROR(INDEX(Machine_List!$B$4:$B$50, MATCH("*"&amp;B82&amp;"*", Machine_List!$J$4:$J$50, 0)), "Check Limits")))</f>
        <v/>
      </c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  <c r="AE82" s="52"/>
      <c r="AF82" s="52"/>
      <c r="AG82" s="52"/>
      <c r="AH82" s="52"/>
      <c r="AI82" s="52"/>
      <c r="AJ82" s="52"/>
      <c r="AK82" s="52"/>
      <c r="AL82" s="52"/>
      <c r="AM82" s="52"/>
      <c r="AN82" s="52"/>
      <c r="AO82" s="52"/>
      <c r="AP82" s="52"/>
      <c r="AQ82" s="52"/>
      <c r="AR82" s="52"/>
      <c r="AS82" s="52"/>
      <c r="AT82" s="52"/>
      <c r="AU82" s="52"/>
      <c r="AV82" s="52"/>
      <c r="AW82" s="52"/>
      <c r="AX82" s="52"/>
      <c r="AY82" s="52"/>
      <c r="AZ82" s="52"/>
      <c r="BA82" s="52"/>
      <c r="BB82" s="52"/>
      <c r="BC82" s="52"/>
      <c r="BD82" s="52"/>
      <c r="BE82" s="52"/>
      <c r="BF82" s="52"/>
      <c r="BG82" s="52"/>
      <c r="BH82" s="52"/>
      <c r="BI82" s="52"/>
      <c r="BJ82" s="52"/>
      <c r="BK82" s="52"/>
      <c r="BL82" s="52"/>
      <c r="BM82" s="52"/>
    </row>
    <row r="83" spans="1:65" ht="15" customHeight="1" x14ac:dyDescent="0.3">
      <c r="A83" s="10" t="str">
        <f>IF(Job_Master!A83="","",Job_Master!A83)</f>
        <v/>
      </c>
      <c r="B83" s="10" t="str">
        <f>IF($A83="","",Job_Master!B83)</f>
        <v/>
      </c>
      <c r="C83" s="10" t="str">
        <f>IF($A83="","",Job_Master!C83)</f>
        <v/>
      </c>
      <c r="D83" s="10" t="str">
        <f>IF($A83="","",Job_Master!D83)</f>
        <v/>
      </c>
      <c r="E83" s="48" t="str">
        <f>IF($A83="","",IFERROR(INDEX(Machine_List!$B$50:$B$63,MATCH("*"&amp;$B83&amp;"*",Machine_List!$J$50:$J$63,0)),"NO COMPATIBLE MACHINE"))</f>
        <v/>
      </c>
      <c r="F83" s="106" t="str">
        <f>IF($E83="","",IFERROR(VLOOKUP($E83,Machine_List!$B:$G,6,0),""))</f>
        <v/>
      </c>
      <c r="G83" s="53" t="str">
        <f>IF($E83="","",IFERROR(VLOOKUP($E83,Machine_List!$B:$C,2,0),""))</f>
        <v/>
      </c>
      <c r="H83" s="10" t="str">
        <f>IF($E83="","",IFERROR(VLOOKUP($E83,Machine_List!$B:$D,3,0),""))</f>
        <v/>
      </c>
      <c r="I83" s="54"/>
      <c r="J83" s="55" t="str">
        <f ca="1">IF($A83="","",IF($I83&lt;&gt;"",$I83,MAX(EDM_Plan!$M83,IFERROR(LOOKUP(2,1/($E$3:INDIRECT("E"&amp;(ROW()-1))=$E83),$M$3:INDIRECT("M"&amp;(ROW()-1))),EDM_Plan!$M83))))</f>
        <v/>
      </c>
      <c r="K83" s="10" t="str">
        <f>IF($A83="","",IFERROR(VLOOKUP(B83,CHOOSE(MATCH(C83,Settings!$L$4:$L$10,0),OPR_2P!$A$4:$I$18,SEG_6P!$A$4:$I$18,SOL_4P!$A$4:$I$18,RW_2P!$A$4:$I$18,RW2_4P!$A$4:$I$18,FLAP_4P!$A$4:$I$18,TUBE_4P!$A$4:$I$18),5,0),0))</f>
        <v/>
      </c>
      <c r="L83" s="10" t="str">
        <f t="shared" si="3"/>
        <v/>
      </c>
      <c r="M83" s="55" t="str">
        <f>IF($A83="","",IF(AND(ISNUMBER(G83),G83&gt;=J83,G83&lt;=(J83+(L83/(IF(F83="Contract Workman",Settings!$K$5,Settings!$K$4))))),J83+(L83/(IF(F83="Contract Workman",Settings!$K$5,Settings!$K$4)))+(H83/(IF(F83="Contract Workman",Settings!$K$5,Settings!$K$4))),J83+(L83/(IF(F83="Contract Workman",Settings!$K$5,Settings!$K$4)))))</f>
        <v/>
      </c>
      <c r="N83" s="10" t="str">
        <f t="shared" si="4"/>
        <v/>
      </c>
      <c r="O83" s="51" t="str">
        <f>IF(B83="","", IF(IFERROR(ISNUMBER(SEARCH(B83, VLOOKUP(E83, Machine_List!$B:$J, 9, 0))), FALSE()), "✅ Machine OK", "❌ Sug: " &amp; IFERROR(INDEX(Machine_List!$B$4:$B$50, MATCH("*"&amp;B83&amp;"*", Machine_List!$J$4:$J$50, 0)), "Check Limits")))</f>
        <v/>
      </c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2"/>
      <c r="AE83" s="52"/>
      <c r="AF83" s="52"/>
      <c r="AG83" s="52"/>
      <c r="AH83" s="52"/>
      <c r="AI83" s="52"/>
      <c r="AJ83" s="52"/>
      <c r="AK83" s="52"/>
      <c r="AL83" s="52"/>
      <c r="AM83" s="52"/>
      <c r="AN83" s="52"/>
      <c r="AO83" s="52"/>
      <c r="AP83" s="52"/>
      <c r="AQ83" s="52"/>
      <c r="AR83" s="52"/>
      <c r="AS83" s="52"/>
      <c r="AT83" s="52"/>
      <c r="AU83" s="52"/>
      <c r="AV83" s="52"/>
      <c r="AW83" s="52"/>
      <c r="AX83" s="52"/>
      <c r="AY83" s="52"/>
      <c r="AZ83" s="52"/>
      <c r="BA83" s="52"/>
      <c r="BB83" s="52"/>
      <c r="BC83" s="52"/>
      <c r="BD83" s="52"/>
      <c r="BE83" s="52"/>
      <c r="BF83" s="52"/>
      <c r="BG83" s="52"/>
      <c r="BH83" s="52"/>
      <c r="BI83" s="52"/>
      <c r="BJ83" s="52"/>
      <c r="BK83" s="52"/>
      <c r="BL83" s="52"/>
      <c r="BM83" s="52"/>
    </row>
    <row r="84" spans="1:65" ht="15" customHeight="1" x14ac:dyDescent="0.3">
      <c r="A84" s="10" t="str">
        <f>IF(Job_Master!A84="","",Job_Master!A84)</f>
        <v/>
      </c>
      <c r="B84" s="10" t="str">
        <f>IF($A84="","",Job_Master!B84)</f>
        <v/>
      </c>
      <c r="C84" s="10" t="str">
        <f>IF($A84="","",Job_Master!C84)</f>
        <v/>
      </c>
      <c r="D84" s="10" t="str">
        <f>IF($A84="","",Job_Master!D84)</f>
        <v/>
      </c>
      <c r="E84" s="48" t="str">
        <f>IF($A84="","",IFERROR(INDEX(Machine_List!$B$50:$B$63,MATCH("*"&amp;$B84&amp;"*",Machine_List!$J$50:$J$63,0)),"NO COMPATIBLE MACHINE"))</f>
        <v/>
      </c>
      <c r="F84" s="106" t="str">
        <f>IF($E84="","",IFERROR(VLOOKUP($E84,Machine_List!$B:$G,6,0),""))</f>
        <v/>
      </c>
      <c r="G84" s="53" t="str">
        <f>IF($E84="","",IFERROR(VLOOKUP($E84,Machine_List!$B:$C,2,0),""))</f>
        <v/>
      </c>
      <c r="H84" s="10" t="str">
        <f>IF($E84="","",IFERROR(VLOOKUP($E84,Machine_List!$B:$D,3,0),""))</f>
        <v/>
      </c>
      <c r="I84" s="54"/>
      <c r="J84" s="55" t="str">
        <f ca="1">IF($A84="","",IF($I84&lt;&gt;"",$I84,MAX(EDM_Plan!$M84,IFERROR(LOOKUP(2,1/($E$3:INDIRECT("E"&amp;(ROW()-1))=$E84),$M$3:INDIRECT("M"&amp;(ROW()-1))),EDM_Plan!$M84))))</f>
        <v/>
      </c>
      <c r="K84" s="10" t="str">
        <f>IF($A84="","",IFERROR(VLOOKUP(B84,CHOOSE(MATCH(C84,Settings!$L$4:$L$10,0),OPR_2P!$A$4:$I$18,SEG_6P!$A$4:$I$18,SOL_4P!$A$4:$I$18,RW_2P!$A$4:$I$18,RW2_4P!$A$4:$I$18,FLAP_4P!$A$4:$I$18,TUBE_4P!$A$4:$I$18),5,0),0))</f>
        <v/>
      </c>
      <c r="L84" s="10" t="str">
        <f t="shared" si="3"/>
        <v/>
      </c>
      <c r="M84" s="55" t="str">
        <f>IF($A84="","",IF(AND(ISNUMBER(G84),G84&gt;=J84,G84&lt;=(J84+(L84/(IF(F84="Contract Workman",Settings!$K$5,Settings!$K$4))))),J84+(L84/(IF(F84="Contract Workman",Settings!$K$5,Settings!$K$4)))+(H84/(IF(F84="Contract Workman",Settings!$K$5,Settings!$K$4))),J84+(L84/(IF(F84="Contract Workman",Settings!$K$5,Settings!$K$4)))))</f>
        <v/>
      </c>
      <c r="N84" s="10" t="str">
        <f t="shared" si="4"/>
        <v/>
      </c>
      <c r="O84" s="51" t="str">
        <f>IF(B84="","", IF(IFERROR(ISNUMBER(SEARCH(B84, VLOOKUP(E84, Machine_List!$B:$J, 9, 0))), FALSE()), "✅ Machine OK", "❌ Sug: " &amp; IFERROR(INDEX(Machine_List!$B$4:$B$50, MATCH("*"&amp;B84&amp;"*", Machine_List!$J$4:$J$50, 0)), "Check Limits")))</f>
        <v/>
      </c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52"/>
      <c r="AJ84" s="52"/>
      <c r="AK84" s="52"/>
      <c r="AL84" s="52"/>
      <c r="AM84" s="52"/>
      <c r="AN84" s="52"/>
      <c r="AO84" s="52"/>
      <c r="AP84" s="52"/>
      <c r="AQ84" s="52"/>
      <c r="AR84" s="52"/>
      <c r="AS84" s="52"/>
      <c r="AT84" s="52"/>
      <c r="AU84" s="52"/>
      <c r="AV84" s="52"/>
      <c r="AW84" s="52"/>
      <c r="AX84" s="52"/>
      <c r="AY84" s="52"/>
      <c r="AZ84" s="52"/>
      <c r="BA84" s="52"/>
      <c r="BB84" s="52"/>
      <c r="BC84" s="52"/>
      <c r="BD84" s="52"/>
      <c r="BE84" s="52"/>
      <c r="BF84" s="52"/>
      <c r="BG84" s="52"/>
      <c r="BH84" s="52"/>
      <c r="BI84" s="52"/>
      <c r="BJ84" s="52"/>
      <c r="BK84" s="52"/>
      <c r="BL84" s="52"/>
      <c r="BM84" s="52"/>
    </row>
    <row r="85" spans="1:65" ht="15" customHeight="1" x14ac:dyDescent="0.3">
      <c r="A85" s="10" t="str">
        <f>IF(Job_Master!A85="","",Job_Master!A85)</f>
        <v/>
      </c>
      <c r="B85" s="10" t="str">
        <f>IF($A85="","",Job_Master!B85)</f>
        <v/>
      </c>
      <c r="C85" s="10" t="str">
        <f>IF($A85="","",Job_Master!C85)</f>
        <v/>
      </c>
      <c r="D85" s="10" t="str">
        <f>IF($A85="","",Job_Master!D85)</f>
        <v/>
      </c>
      <c r="E85" s="48" t="str">
        <f>IF($A85="","",IFERROR(INDEX(Machine_List!$B$50:$B$63,MATCH("*"&amp;$B85&amp;"*",Machine_List!$J$50:$J$63,0)),"NO COMPATIBLE MACHINE"))</f>
        <v/>
      </c>
      <c r="F85" s="106" t="str">
        <f>IF($E85="","",IFERROR(VLOOKUP($E85,Machine_List!$B:$G,6,0),""))</f>
        <v/>
      </c>
      <c r="G85" s="53" t="str">
        <f>IF($E85="","",IFERROR(VLOOKUP($E85,Machine_List!$B:$C,2,0),""))</f>
        <v/>
      </c>
      <c r="H85" s="10" t="str">
        <f>IF($E85="","",IFERROR(VLOOKUP($E85,Machine_List!$B:$D,3,0),""))</f>
        <v/>
      </c>
      <c r="I85" s="54"/>
      <c r="J85" s="55" t="str">
        <f ca="1">IF($A85="","",IF($I85&lt;&gt;"",$I85,MAX(EDM_Plan!$M85,IFERROR(LOOKUP(2,1/($E$3:INDIRECT("E"&amp;(ROW()-1))=$E85),$M$3:INDIRECT("M"&amp;(ROW()-1))),EDM_Plan!$M85))))</f>
        <v/>
      </c>
      <c r="K85" s="10" t="str">
        <f>IF($A85="","",IFERROR(VLOOKUP(B85,CHOOSE(MATCH(C85,Settings!$L$4:$L$10,0),OPR_2P!$A$4:$I$18,SEG_6P!$A$4:$I$18,SOL_4P!$A$4:$I$18,RW_2P!$A$4:$I$18,RW2_4P!$A$4:$I$18,FLAP_4P!$A$4:$I$18,TUBE_4P!$A$4:$I$18),5,0),0))</f>
        <v/>
      </c>
      <c r="L85" s="10" t="str">
        <f t="shared" si="3"/>
        <v/>
      </c>
      <c r="M85" s="55" t="str">
        <f>IF($A85="","",IF(AND(ISNUMBER(G85),G85&gt;=J85,G85&lt;=(J85+(L85/(IF(F85="Contract Workman",Settings!$K$5,Settings!$K$4))))),J85+(L85/(IF(F85="Contract Workman",Settings!$K$5,Settings!$K$4)))+(H85/(IF(F85="Contract Workman",Settings!$K$5,Settings!$K$4))),J85+(L85/(IF(F85="Contract Workman",Settings!$K$5,Settings!$K$4)))))</f>
        <v/>
      </c>
      <c r="N85" s="10" t="str">
        <f t="shared" si="4"/>
        <v/>
      </c>
      <c r="O85" s="51" t="str">
        <f>IF(B85="","", IF(IFERROR(ISNUMBER(SEARCH(B85, VLOOKUP(E85, Machine_List!$B:$J, 9, 0))), FALSE()), "✅ Machine OK", "❌ Sug: " &amp; IFERROR(INDEX(Machine_List!$B$4:$B$50, MATCH("*"&amp;B85&amp;"*", Machine_List!$J$4:$J$50, 0)), "Check Limits")))</f>
        <v/>
      </c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52"/>
      <c r="AG85" s="52"/>
      <c r="AH85" s="52"/>
      <c r="AI85" s="52"/>
      <c r="AJ85" s="52"/>
      <c r="AK85" s="52"/>
      <c r="AL85" s="52"/>
      <c r="AM85" s="52"/>
      <c r="AN85" s="52"/>
      <c r="AO85" s="52"/>
      <c r="AP85" s="52"/>
      <c r="AQ85" s="52"/>
      <c r="AR85" s="52"/>
      <c r="AS85" s="52"/>
      <c r="AT85" s="52"/>
      <c r="AU85" s="52"/>
      <c r="AV85" s="52"/>
      <c r="AW85" s="52"/>
      <c r="AX85" s="52"/>
      <c r="AY85" s="52"/>
      <c r="AZ85" s="52"/>
      <c r="BA85" s="52"/>
      <c r="BB85" s="52"/>
      <c r="BC85" s="52"/>
      <c r="BD85" s="52"/>
      <c r="BE85" s="52"/>
      <c r="BF85" s="52"/>
      <c r="BG85" s="52"/>
      <c r="BH85" s="52"/>
      <c r="BI85" s="52"/>
      <c r="BJ85" s="52"/>
      <c r="BK85" s="52"/>
      <c r="BL85" s="52"/>
      <c r="BM85" s="52"/>
    </row>
    <row r="86" spans="1:65" ht="15" customHeight="1" x14ac:dyDescent="0.3">
      <c r="A86" s="10" t="str">
        <f>IF(Job_Master!A86="","",Job_Master!A86)</f>
        <v/>
      </c>
      <c r="B86" s="10" t="str">
        <f>IF($A86="","",Job_Master!B86)</f>
        <v/>
      </c>
      <c r="C86" s="10" t="str">
        <f>IF($A86="","",Job_Master!C86)</f>
        <v/>
      </c>
      <c r="D86" s="10" t="str">
        <f>IF($A86="","",Job_Master!D86)</f>
        <v/>
      </c>
      <c r="E86" s="48" t="str">
        <f>IF($A86="","",IFERROR(INDEX(Machine_List!$B$50:$B$63,MATCH("*"&amp;$B86&amp;"*",Machine_List!$J$50:$J$63,0)),"NO COMPATIBLE MACHINE"))</f>
        <v/>
      </c>
      <c r="F86" s="106" t="str">
        <f>IF($E86="","",IFERROR(VLOOKUP($E86,Machine_List!$B:$G,6,0),""))</f>
        <v/>
      </c>
      <c r="G86" s="53" t="str">
        <f>IF($E86="","",IFERROR(VLOOKUP($E86,Machine_List!$B:$C,2,0),""))</f>
        <v/>
      </c>
      <c r="H86" s="10" t="str">
        <f>IF($E86="","",IFERROR(VLOOKUP($E86,Machine_List!$B:$D,3,0),""))</f>
        <v/>
      </c>
      <c r="I86" s="54"/>
      <c r="J86" s="55" t="str">
        <f ca="1">IF($A86="","",IF($I86&lt;&gt;"",$I86,MAX(EDM_Plan!$M86,IFERROR(LOOKUP(2,1/($E$3:INDIRECT("E"&amp;(ROW()-1))=$E86),$M$3:INDIRECT("M"&amp;(ROW()-1))),EDM_Plan!$M86))))</f>
        <v/>
      </c>
      <c r="K86" s="10" t="str">
        <f>IF($A86="","",IFERROR(VLOOKUP(B86,CHOOSE(MATCH(C86,Settings!$L$4:$L$10,0),OPR_2P!$A$4:$I$18,SEG_6P!$A$4:$I$18,SOL_4P!$A$4:$I$18,RW_2P!$A$4:$I$18,RW2_4P!$A$4:$I$18,FLAP_4P!$A$4:$I$18,TUBE_4P!$A$4:$I$18),5,0),0))</f>
        <v/>
      </c>
      <c r="L86" s="10" t="str">
        <f t="shared" si="3"/>
        <v/>
      </c>
      <c r="M86" s="55" t="str">
        <f>IF($A86="","",IF(AND(ISNUMBER(G86),G86&gt;=J86,G86&lt;=(J86+(L86/(IF(F86="Contract Workman",Settings!$K$5,Settings!$K$4))))),J86+(L86/(IF(F86="Contract Workman",Settings!$K$5,Settings!$K$4)))+(H86/(IF(F86="Contract Workman",Settings!$K$5,Settings!$K$4))),J86+(L86/(IF(F86="Contract Workman",Settings!$K$5,Settings!$K$4)))))</f>
        <v/>
      </c>
      <c r="N86" s="10" t="str">
        <f t="shared" si="4"/>
        <v/>
      </c>
      <c r="O86" s="51" t="str">
        <f>IF(B86="","", IF(IFERROR(ISNUMBER(SEARCH(B86, VLOOKUP(E86, Machine_List!$B:$J, 9, 0))), FALSE()), "✅ Machine OK", "❌ Sug: " &amp; IFERROR(INDEX(Machine_List!$B$4:$B$50, MATCH("*"&amp;B86&amp;"*", Machine_List!$J$4:$J$50, 0)), "Check Limits")))</f>
        <v/>
      </c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2"/>
      <c r="AD86" s="52"/>
      <c r="AE86" s="52"/>
      <c r="AF86" s="52"/>
      <c r="AG86" s="52"/>
      <c r="AH86" s="52"/>
      <c r="AI86" s="52"/>
      <c r="AJ86" s="52"/>
      <c r="AK86" s="52"/>
      <c r="AL86" s="52"/>
      <c r="AM86" s="52"/>
      <c r="AN86" s="52"/>
      <c r="AO86" s="52"/>
      <c r="AP86" s="52"/>
      <c r="AQ86" s="52"/>
      <c r="AR86" s="52"/>
      <c r="AS86" s="52"/>
      <c r="AT86" s="52"/>
      <c r="AU86" s="52"/>
      <c r="AV86" s="52"/>
      <c r="AW86" s="52"/>
      <c r="AX86" s="52"/>
      <c r="AY86" s="52"/>
      <c r="AZ86" s="52"/>
      <c r="BA86" s="52"/>
      <c r="BB86" s="52"/>
      <c r="BC86" s="52"/>
      <c r="BD86" s="52"/>
      <c r="BE86" s="52"/>
      <c r="BF86" s="52"/>
      <c r="BG86" s="52"/>
      <c r="BH86" s="52"/>
      <c r="BI86" s="52"/>
      <c r="BJ86" s="52"/>
      <c r="BK86" s="52"/>
      <c r="BL86" s="52"/>
      <c r="BM86" s="52"/>
    </row>
    <row r="87" spans="1:65" ht="15" customHeight="1" x14ac:dyDescent="0.3">
      <c r="A87" s="10" t="str">
        <f>IF(Job_Master!A87="","",Job_Master!A87)</f>
        <v/>
      </c>
      <c r="B87" s="10" t="str">
        <f>IF($A87="","",Job_Master!B87)</f>
        <v/>
      </c>
      <c r="C87" s="10" t="str">
        <f>IF($A87="","",Job_Master!C87)</f>
        <v/>
      </c>
      <c r="D87" s="10" t="str">
        <f>IF($A87="","",Job_Master!D87)</f>
        <v/>
      </c>
      <c r="E87" s="48" t="str">
        <f>IF($A87="","",IFERROR(INDEX(Machine_List!$B$50:$B$63,MATCH("*"&amp;$B87&amp;"*",Machine_List!$J$50:$J$63,0)),"NO COMPATIBLE MACHINE"))</f>
        <v/>
      </c>
      <c r="F87" s="106" t="str">
        <f>IF($E87="","",IFERROR(VLOOKUP($E87,Machine_List!$B:$G,6,0),""))</f>
        <v/>
      </c>
      <c r="G87" s="53" t="str">
        <f>IF($E87="","",IFERROR(VLOOKUP($E87,Machine_List!$B:$C,2,0),""))</f>
        <v/>
      </c>
      <c r="H87" s="10" t="str">
        <f>IF($E87="","",IFERROR(VLOOKUP($E87,Machine_List!$B:$D,3,0),""))</f>
        <v/>
      </c>
      <c r="I87" s="54"/>
      <c r="J87" s="55" t="str">
        <f ca="1">IF($A87="","",IF($I87&lt;&gt;"",$I87,MAX(EDM_Plan!$M87,IFERROR(LOOKUP(2,1/($E$3:INDIRECT("E"&amp;(ROW()-1))=$E87),$M$3:INDIRECT("M"&amp;(ROW()-1))),EDM_Plan!$M87))))</f>
        <v/>
      </c>
      <c r="K87" s="10" t="str">
        <f>IF($A87="","",IFERROR(VLOOKUP(B87,CHOOSE(MATCH(C87,Settings!$L$4:$L$10,0),OPR_2P!$A$4:$I$18,SEG_6P!$A$4:$I$18,SOL_4P!$A$4:$I$18,RW_2P!$A$4:$I$18,RW2_4P!$A$4:$I$18,FLAP_4P!$A$4:$I$18,TUBE_4P!$A$4:$I$18),5,0),0))</f>
        <v/>
      </c>
      <c r="L87" s="10" t="str">
        <f t="shared" si="3"/>
        <v/>
      </c>
      <c r="M87" s="55" t="str">
        <f>IF($A87="","",IF(AND(ISNUMBER(G87),G87&gt;=J87,G87&lt;=(J87+(L87/(IF(F87="Contract Workman",Settings!$K$5,Settings!$K$4))))),J87+(L87/(IF(F87="Contract Workman",Settings!$K$5,Settings!$K$4)))+(H87/(IF(F87="Contract Workman",Settings!$K$5,Settings!$K$4))),J87+(L87/(IF(F87="Contract Workman",Settings!$K$5,Settings!$K$4)))))</f>
        <v/>
      </c>
      <c r="N87" s="10" t="str">
        <f t="shared" si="4"/>
        <v/>
      </c>
      <c r="O87" s="51" t="str">
        <f>IF(B87="","", IF(IFERROR(ISNUMBER(SEARCH(B87, VLOOKUP(E87, Machine_List!$B:$J, 9, 0))), FALSE()), "✅ Machine OK", "❌ Sug: " &amp; IFERROR(INDEX(Machine_List!$B$4:$B$50, MATCH("*"&amp;B87&amp;"*", Machine_List!$J$4:$J$50, 0)), "Check Limits")))</f>
        <v/>
      </c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  <c r="AE87" s="52"/>
      <c r="AF87" s="52"/>
      <c r="AG87" s="52"/>
      <c r="AH87" s="52"/>
      <c r="AI87" s="52"/>
      <c r="AJ87" s="52"/>
      <c r="AK87" s="52"/>
      <c r="AL87" s="52"/>
      <c r="AM87" s="52"/>
      <c r="AN87" s="52"/>
      <c r="AO87" s="52"/>
      <c r="AP87" s="52"/>
      <c r="AQ87" s="52"/>
      <c r="AR87" s="52"/>
      <c r="AS87" s="52"/>
      <c r="AT87" s="52"/>
      <c r="AU87" s="52"/>
      <c r="AV87" s="52"/>
      <c r="AW87" s="52"/>
      <c r="AX87" s="52"/>
      <c r="AY87" s="52"/>
      <c r="AZ87" s="52"/>
      <c r="BA87" s="52"/>
      <c r="BB87" s="52"/>
      <c r="BC87" s="52"/>
      <c r="BD87" s="52"/>
      <c r="BE87" s="52"/>
      <c r="BF87" s="52"/>
      <c r="BG87" s="52"/>
      <c r="BH87" s="52"/>
      <c r="BI87" s="52"/>
      <c r="BJ87" s="52"/>
      <c r="BK87" s="52"/>
      <c r="BL87" s="52"/>
      <c r="BM87" s="52"/>
    </row>
    <row r="88" spans="1:65" ht="15" customHeight="1" x14ac:dyDescent="0.3">
      <c r="A88" s="10" t="str">
        <f>IF(Job_Master!A88="","",Job_Master!A88)</f>
        <v/>
      </c>
      <c r="B88" s="10" t="str">
        <f>IF($A88="","",Job_Master!B88)</f>
        <v/>
      </c>
      <c r="C88" s="10" t="str">
        <f>IF($A88="","",Job_Master!C88)</f>
        <v/>
      </c>
      <c r="D88" s="10" t="str">
        <f>IF($A88="","",Job_Master!D88)</f>
        <v/>
      </c>
      <c r="E88" s="48" t="str">
        <f>IF($A88="","",IFERROR(INDEX(Machine_List!$B$50:$B$63,MATCH("*"&amp;$B88&amp;"*",Machine_List!$J$50:$J$63,0)),"NO COMPATIBLE MACHINE"))</f>
        <v/>
      </c>
      <c r="F88" s="106" t="str">
        <f>IF($E88="","",IFERROR(VLOOKUP($E88,Machine_List!$B:$G,6,0),""))</f>
        <v/>
      </c>
      <c r="G88" s="53" t="str">
        <f>IF($E88="","",IFERROR(VLOOKUP($E88,Machine_List!$B:$C,2,0),""))</f>
        <v/>
      </c>
      <c r="H88" s="10" t="str">
        <f>IF($E88="","",IFERROR(VLOOKUP($E88,Machine_List!$B:$D,3,0),""))</f>
        <v/>
      </c>
      <c r="I88" s="54"/>
      <c r="J88" s="55" t="str">
        <f ca="1">IF($A88="","",IF($I88&lt;&gt;"",$I88,MAX(EDM_Plan!$M88,IFERROR(LOOKUP(2,1/($E$3:INDIRECT("E"&amp;(ROW()-1))=$E88),$M$3:INDIRECT("M"&amp;(ROW()-1))),EDM_Plan!$M88))))</f>
        <v/>
      </c>
      <c r="K88" s="10" t="str">
        <f>IF($A88="","",IFERROR(VLOOKUP(B88,CHOOSE(MATCH(C88,Settings!$L$4:$L$10,0),OPR_2P!$A$4:$I$18,SEG_6P!$A$4:$I$18,SOL_4P!$A$4:$I$18,RW_2P!$A$4:$I$18,RW2_4P!$A$4:$I$18,FLAP_4P!$A$4:$I$18,TUBE_4P!$A$4:$I$18),5,0),0))</f>
        <v/>
      </c>
      <c r="L88" s="10" t="str">
        <f t="shared" si="3"/>
        <v/>
      </c>
      <c r="M88" s="55" t="str">
        <f>IF($A88="","",IF(AND(ISNUMBER(G88),G88&gt;=J88,G88&lt;=(J88+(L88/(IF(F88="Contract Workman",Settings!$K$5,Settings!$K$4))))),J88+(L88/(IF(F88="Contract Workman",Settings!$K$5,Settings!$K$4)))+(H88/(IF(F88="Contract Workman",Settings!$K$5,Settings!$K$4))),J88+(L88/(IF(F88="Contract Workman",Settings!$K$5,Settings!$K$4)))))</f>
        <v/>
      </c>
      <c r="N88" s="10" t="str">
        <f t="shared" si="4"/>
        <v/>
      </c>
      <c r="O88" s="51" t="str">
        <f>IF(B88="","", IF(IFERROR(ISNUMBER(SEARCH(B88, VLOOKUP(E88, Machine_List!$B:$J, 9, 0))), FALSE()), "✅ Machine OK", "❌ Sug: " &amp; IFERROR(INDEX(Machine_List!$B$4:$B$50, MATCH("*"&amp;B88&amp;"*", Machine_List!$J$4:$J$50, 0)), "Check Limits")))</f>
        <v/>
      </c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2"/>
      <c r="AD88" s="52"/>
      <c r="AE88" s="52"/>
      <c r="AF88" s="52"/>
      <c r="AG88" s="52"/>
      <c r="AH88" s="52"/>
      <c r="AI88" s="52"/>
      <c r="AJ88" s="52"/>
      <c r="AK88" s="52"/>
      <c r="AL88" s="52"/>
      <c r="AM88" s="52"/>
      <c r="AN88" s="52"/>
      <c r="AO88" s="52"/>
      <c r="AP88" s="52"/>
      <c r="AQ88" s="52"/>
      <c r="AR88" s="52"/>
      <c r="AS88" s="52"/>
      <c r="AT88" s="52"/>
      <c r="AU88" s="52"/>
      <c r="AV88" s="52"/>
      <c r="AW88" s="52"/>
      <c r="AX88" s="52"/>
      <c r="AY88" s="52"/>
      <c r="AZ88" s="52"/>
      <c r="BA88" s="52"/>
      <c r="BB88" s="52"/>
      <c r="BC88" s="52"/>
      <c r="BD88" s="52"/>
      <c r="BE88" s="52"/>
      <c r="BF88" s="52"/>
      <c r="BG88" s="52"/>
      <c r="BH88" s="52"/>
      <c r="BI88" s="52"/>
      <c r="BJ88" s="52"/>
      <c r="BK88" s="52"/>
      <c r="BL88" s="52"/>
      <c r="BM88" s="52"/>
    </row>
    <row r="89" spans="1:65" ht="15" customHeight="1" x14ac:dyDescent="0.3">
      <c r="A89" s="10" t="str">
        <f>IF(Job_Master!A89="","",Job_Master!A89)</f>
        <v/>
      </c>
      <c r="B89" s="10" t="str">
        <f>IF($A89="","",Job_Master!B89)</f>
        <v/>
      </c>
      <c r="C89" s="10" t="str">
        <f>IF($A89="","",Job_Master!C89)</f>
        <v/>
      </c>
      <c r="D89" s="10" t="str">
        <f>IF($A89="","",Job_Master!D89)</f>
        <v/>
      </c>
      <c r="E89" s="48" t="str">
        <f>IF($A89="","",IFERROR(INDEX(Machine_List!$B$50:$B$63,MATCH("*"&amp;$B89&amp;"*",Machine_List!$J$50:$J$63,0)),"NO COMPATIBLE MACHINE"))</f>
        <v/>
      </c>
      <c r="F89" s="106" t="str">
        <f>IF($E89="","",IFERROR(VLOOKUP($E89,Machine_List!$B:$G,6,0),""))</f>
        <v/>
      </c>
      <c r="G89" s="53" t="str">
        <f>IF($E89="","",IFERROR(VLOOKUP($E89,Machine_List!$B:$C,2,0),""))</f>
        <v/>
      </c>
      <c r="H89" s="10" t="str">
        <f>IF($E89="","",IFERROR(VLOOKUP($E89,Machine_List!$B:$D,3,0),""))</f>
        <v/>
      </c>
      <c r="I89" s="54"/>
      <c r="J89" s="55" t="str">
        <f ca="1">IF($A89="","",IF($I89&lt;&gt;"",$I89,MAX(EDM_Plan!$M89,IFERROR(LOOKUP(2,1/($E$3:INDIRECT("E"&amp;(ROW()-1))=$E89),$M$3:INDIRECT("M"&amp;(ROW()-1))),EDM_Plan!$M89))))</f>
        <v/>
      </c>
      <c r="K89" s="10" t="str">
        <f>IF($A89="","",IFERROR(VLOOKUP(B89,CHOOSE(MATCH(C89,Settings!$L$4:$L$10,0),OPR_2P!$A$4:$I$18,SEG_6P!$A$4:$I$18,SOL_4P!$A$4:$I$18,RW_2P!$A$4:$I$18,RW2_4P!$A$4:$I$18,FLAP_4P!$A$4:$I$18,TUBE_4P!$A$4:$I$18),5,0),0))</f>
        <v/>
      </c>
      <c r="L89" s="10" t="str">
        <f t="shared" si="3"/>
        <v/>
      </c>
      <c r="M89" s="55" t="str">
        <f>IF($A89="","",IF(AND(ISNUMBER(G89),G89&gt;=J89,G89&lt;=(J89+(L89/(IF(F89="Contract Workman",Settings!$K$5,Settings!$K$4))))),J89+(L89/(IF(F89="Contract Workman",Settings!$K$5,Settings!$K$4)))+(H89/(IF(F89="Contract Workman",Settings!$K$5,Settings!$K$4))),J89+(L89/(IF(F89="Contract Workman",Settings!$K$5,Settings!$K$4)))))</f>
        <v/>
      </c>
      <c r="N89" s="10" t="str">
        <f t="shared" si="4"/>
        <v/>
      </c>
      <c r="O89" s="51" t="str">
        <f>IF(B89="","", IF(IFERROR(ISNUMBER(SEARCH(B89, VLOOKUP(E89, Machine_List!$B:$J, 9, 0))), FALSE()), "✅ Machine OK", "❌ Sug: " &amp; IFERROR(INDEX(Machine_List!$B$4:$B$50, MATCH("*"&amp;B89&amp;"*", Machine_List!$J$4:$J$50, 0)), "Check Limits")))</f>
        <v/>
      </c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  <c r="AE89" s="52"/>
      <c r="AF89" s="52"/>
      <c r="AG89" s="52"/>
      <c r="AH89" s="52"/>
      <c r="AI89" s="52"/>
      <c r="AJ89" s="52"/>
      <c r="AK89" s="52"/>
      <c r="AL89" s="52"/>
      <c r="AM89" s="52"/>
      <c r="AN89" s="52"/>
      <c r="AO89" s="52"/>
      <c r="AP89" s="52"/>
      <c r="AQ89" s="52"/>
      <c r="AR89" s="52"/>
      <c r="AS89" s="52"/>
      <c r="AT89" s="52"/>
      <c r="AU89" s="52"/>
      <c r="AV89" s="52"/>
      <c r="AW89" s="52"/>
      <c r="AX89" s="52"/>
      <c r="AY89" s="52"/>
      <c r="AZ89" s="52"/>
      <c r="BA89" s="52"/>
      <c r="BB89" s="52"/>
      <c r="BC89" s="52"/>
      <c r="BD89" s="52"/>
      <c r="BE89" s="52"/>
      <c r="BF89" s="52"/>
      <c r="BG89" s="52"/>
      <c r="BH89" s="52"/>
      <c r="BI89" s="52"/>
      <c r="BJ89" s="52"/>
      <c r="BK89" s="52"/>
      <c r="BL89" s="52"/>
      <c r="BM89" s="52"/>
    </row>
    <row r="90" spans="1:65" ht="15" customHeight="1" x14ac:dyDescent="0.3">
      <c r="A90" s="10" t="str">
        <f>IF(Job_Master!A90="","",Job_Master!A90)</f>
        <v/>
      </c>
      <c r="B90" s="10" t="str">
        <f>IF($A90="","",Job_Master!B90)</f>
        <v/>
      </c>
      <c r="C90" s="10" t="str">
        <f>IF($A90="","",Job_Master!C90)</f>
        <v/>
      </c>
      <c r="D90" s="10" t="str">
        <f>IF($A90="","",Job_Master!D90)</f>
        <v/>
      </c>
      <c r="E90" s="48" t="str">
        <f>IF($A90="","",IFERROR(INDEX(Machine_List!$B$50:$B$63,MATCH("*"&amp;$B90&amp;"*",Machine_List!$J$50:$J$63,0)),"NO COMPATIBLE MACHINE"))</f>
        <v/>
      </c>
      <c r="F90" s="106" t="str">
        <f>IF($E90="","",IFERROR(VLOOKUP($E90,Machine_List!$B:$G,6,0),""))</f>
        <v/>
      </c>
      <c r="G90" s="53" t="str">
        <f>IF($E90="","",IFERROR(VLOOKUP($E90,Machine_List!$B:$C,2,0),""))</f>
        <v/>
      </c>
      <c r="H90" s="10" t="str">
        <f>IF($E90="","",IFERROR(VLOOKUP($E90,Machine_List!$B:$D,3,0),""))</f>
        <v/>
      </c>
      <c r="I90" s="54"/>
      <c r="J90" s="55" t="str">
        <f ca="1">IF($A90="","",IF($I90&lt;&gt;"",$I90,MAX(EDM_Plan!$M90,IFERROR(LOOKUP(2,1/($E$3:INDIRECT("E"&amp;(ROW()-1))=$E90),$M$3:INDIRECT("M"&amp;(ROW()-1))),EDM_Plan!$M90))))</f>
        <v/>
      </c>
      <c r="K90" s="10" t="str">
        <f>IF($A90="","",IFERROR(VLOOKUP(B90,CHOOSE(MATCH(C90,Settings!$L$4:$L$10,0),OPR_2P!$A$4:$I$18,SEG_6P!$A$4:$I$18,SOL_4P!$A$4:$I$18,RW_2P!$A$4:$I$18,RW2_4P!$A$4:$I$18,FLAP_4P!$A$4:$I$18,TUBE_4P!$A$4:$I$18),5,0),0))</f>
        <v/>
      </c>
      <c r="L90" s="10" t="str">
        <f t="shared" si="3"/>
        <v/>
      </c>
      <c r="M90" s="55" t="str">
        <f>IF($A90="","",IF(AND(ISNUMBER(G90),G90&gt;=J90,G90&lt;=(J90+(L90/(IF(F90="Contract Workman",Settings!$K$5,Settings!$K$4))))),J90+(L90/(IF(F90="Contract Workman",Settings!$K$5,Settings!$K$4)))+(H90/(IF(F90="Contract Workman",Settings!$K$5,Settings!$K$4))),J90+(L90/(IF(F90="Contract Workman",Settings!$K$5,Settings!$K$4)))))</f>
        <v/>
      </c>
      <c r="N90" s="10" t="str">
        <f t="shared" si="4"/>
        <v/>
      </c>
      <c r="O90" s="51" t="str">
        <f>IF(B90="","", IF(IFERROR(ISNUMBER(SEARCH(B90, VLOOKUP(E90, Machine_List!$B:$J, 9, 0))), FALSE()), "✅ Machine OK", "❌ Sug: " &amp; IFERROR(INDEX(Machine_List!$B$4:$B$50, MATCH("*"&amp;B90&amp;"*", Machine_List!$J$4:$J$50, 0)), "Check Limits")))</f>
        <v/>
      </c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  <c r="AE90" s="52"/>
      <c r="AF90" s="52"/>
      <c r="AG90" s="52"/>
      <c r="AH90" s="52"/>
      <c r="AI90" s="52"/>
      <c r="AJ90" s="52"/>
      <c r="AK90" s="52"/>
      <c r="AL90" s="52"/>
      <c r="AM90" s="52"/>
      <c r="AN90" s="52"/>
      <c r="AO90" s="52"/>
      <c r="AP90" s="52"/>
      <c r="AQ90" s="52"/>
      <c r="AR90" s="52"/>
      <c r="AS90" s="52"/>
      <c r="AT90" s="52"/>
      <c r="AU90" s="52"/>
      <c r="AV90" s="52"/>
      <c r="AW90" s="52"/>
      <c r="AX90" s="52"/>
      <c r="AY90" s="52"/>
      <c r="AZ90" s="52"/>
      <c r="BA90" s="52"/>
      <c r="BB90" s="52"/>
      <c r="BC90" s="52"/>
      <c r="BD90" s="52"/>
      <c r="BE90" s="52"/>
      <c r="BF90" s="52"/>
      <c r="BG90" s="52"/>
      <c r="BH90" s="52"/>
      <c r="BI90" s="52"/>
      <c r="BJ90" s="52"/>
      <c r="BK90" s="52"/>
      <c r="BL90" s="52"/>
      <c r="BM90" s="52"/>
    </row>
    <row r="91" spans="1:65" ht="15" customHeight="1" x14ac:dyDescent="0.3">
      <c r="A91" s="10" t="str">
        <f>IF(Job_Master!A91="","",Job_Master!A91)</f>
        <v/>
      </c>
      <c r="B91" s="10" t="str">
        <f>IF($A91="","",Job_Master!B91)</f>
        <v/>
      </c>
      <c r="C91" s="10" t="str">
        <f>IF($A91="","",Job_Master!C91)</f>
        <v/>
      </c>
      <c r="D91" s="10" t="str">
        <f>IF($A91="","",Job_Master!D91)</f>
        <v/>
      </c>
      <c r="E91" s="48" t="str">
        <f>IF($A91="","",IFERROR(INDEX(Machine_List!$B$50:$B$63,MATCH("*"&amp;$B91&amp;"*",Machine_List!$J$50:$J$63,0)),"NO COMPATIBLE MACHINE"))</f>
        <v/>
      </c>
      <c r="F91" s="106" t="str">
        <f>IF($E91="","",IFERROR(VLOOKUP($E91,Machine_List!$B:$G,6,0),""))</f>
        <v/>
      </c>
      <c r="G91" s="53" t="str">
        <f>IF($E91="","",IFERROR(VLOOKUP($E91,Machine_List!$B:$C,2,0),""))</f>
        <v/>
      </c>
      <c r="H91" s="10" t="str">
        <f>IF($E91="","",IFERROR(VLOOKUP($E91,Machine_List!$B:$D,3,0),""))</f>
        <v/>
      </c>
      <c r="I91" s="54"/>
      <c r="J91" s="55" t="str">
        <f ca="1">IF($A91="","",IF($I91&lt;&gt;"",$I91,MAX(EDM_Plan!$M91,IFERROR(LOOKUP(2,1/($E$3:INDIRECT("E"&amp;(ROW()-1))=$E91),$M$3:INDIRECT("M"&amp;(ROW()-1))),EDM_Plan!$M91))))</f>
        <v/>
      </c>
      <c r="K91" s="10" t="str">
        <f>IF($A91="","",IFERROR(VLOOKUP(B91,CHOOSE(MATCH(C91,Settings!$L$4:$L$10,0),OPR_2P!$A$4:$I$18,SEG_6P!$A$4:$I$18,SOL_4P!$A$4:$I$18,RW_2P!$A$4:$I$18,RW2_4P!$A$4:$I$18,FLAP_4P!$A$4:$I$18,TUBE_4P!$A$4:$I$18),5,0),0))</f>
        <v/>
      </c>
      <c r="L91" s="10" t="str">
        <f t="shared" si="3"/>
        <v/>
      </c>
      <c r="M91" s="55" t="str">
        <f>IF($A91="","",IF(AND(ISNUMBER(G91),G91&gt;=J91,G91&lt;=(J91+(L91/(IF(F91="Contract Workman",Settings!$K$5,Settings!$K$4))))),J91+(L91/(IF(F91="Contract Workman",Settings!$K$5,Settings!$K$4)))+(H91/(IF(F91="Contract Workman",Settings!$K$5,Settings!$K$4))),J91+(L91/(IF(F91="Contract Workman",Settings!$K$5,Settings!$K$4)))))</f>
        <v/>
      </c>
      <c r="N91" s="10" t="str">
        <f t="shared" si="4"/>
        <v/>
      </c>
      <c r="O91" s="51" t="str">
        <f>IF(B91="","", IF(IFERROR(ISNUMBER(SEARCH(B91, VLOOKUP(E91, Machine_List!$B:$J, 9, 0))), FALSE()), "✅ Machine OK", "❌ Sug: " &amp; IFERROR(INDEX(Machine_List!$B$4:$B$50, MATCH("*"&amp;B91&amp;"*", Machine_List!$J$4:$J$50, 0)), "Check Limits")))</f>
        <v/>
      </c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  <c r="AX91" s="52"/>
      <c r="AY91" s="52"/>
      <c r="AZ91" s="52"/>
      <c r="BA91" s="52"/>
      <c r="BB91" s="52"/>
      <c r="BC91" s="52"/>
      <c r="BD91" s="52"/>
      <c r="BE91" s="52"/>
      <c r="BF91" s="52"/>
      <c r="BG91" s="52"/>
      <c r="BH91" s="52"/>
      <c r="BI91" s="52"/>
      <c r="BJ91" s="52"/>
      <c r="BK91" s="52"/>
      <c r="BL91" s="52"/>
      <c r="BM91" s="52"/>
    </row>
    <row r="92" spans="1:65" ht="15" customHeight="1" x14ac:dyDescent="0.3">
      <c r="A92" s="10" t="str">
        <f>IF(Job_Master!A92="","",Job_Master!A92)</f>
        <v/>
      </c>
      <c r="B92" s="10" t="str">
        <f>IF($A92="","",Job_Master!B92)</f>
        <v/>
      </c>
      <c r="C92" s="10" t="str">
        <f>IF($A92="","",Job_Master!C92)</f>
        <v/>
      </c>
      <c r="D92" s="10" t="str">
        <f>IF($A92="","",Job_Master!D92)</f>
        <v/>
      </c>
      <c r="E92" s="48" t="str">
        <f>IF($A92="","",IFERROR(INDEX(Machine_List!$B$50:$B$63,MATCH("*"&amp;$B92&amp;"*",Machine_List!$J$50:$J$63,0)),"NO COMPATIBLE MACHINE"))</f>
        <v/>
      </c>
      <c r="F92" s="106" t="str">
        <f>IF($E92="","",IFERROR(VLOOKUP($E92,Machine_List!$B:$G,6,0),""))</f>
        <v/>
      </c>
      <c r="G92" s="53" t="str">
        <f>IF($E92="","",IFERROR(VLOOKUP($E92,Machine_List!$B:$C,2,0),""))</f>
        <v/>
      </c>
      <c r="H92" s="10" t="str">
        <f>IF($E92="","",IFERROR(VLOOKUP($E92,Machine_List!$B:$D,3,0),""))</f>
        <v/>
      </c>
      <c r="I92" s="54"/>
      <c r="J92" s="55" t="str">
        <f ca="1">IF($A92="","",IF($I92&lt;&gt;"",$I92,MAX(EDM_Plan!$M92,IFERROR(LOOKUP(2,1/($E$3:INDIRECT("E"&amp;(ROW()-1))=$E92),$M$3:INDIRECT("M"&amp;(ROW()-1))),EDM_Plan!$M92))))</f>
        <v/>
      </c>
      <c r="K92" s="10" t="str">
        <f>IF($A92="","",IFERROR(VLOOKUP(B92,CHOOSE(MATCH(C92,Settings!$L$4:$L$10,0),OPR_2P!$A$4:$I$18,SEG_6P!$A$4:$I$18,SOL_4P!$A$4:$I$18,RW_2P!$A$4:$I$18,RW2_4P!$A$4:$I$18,FLAP_4P!$A$4:$I$18,TUBE_4P!$A$4:$I$18),5,0),0))</f>
        <v/>
      </c>
      <c r="L92" s="10" t="str">
        <f t="shared" si="3"/>
        <v/>
      </c>
      <c r="M92" s="55" t="str">
        <f>IF($A92="","",IF(AND(ISNUMBER(G92),G92&gt;=J92,G92&lt;=(J92+(L92/(IF(F92="Contract Workman",Settings!$K$5,Settings!$K$4))))),J92+(L92/(IF(F92="Contract Workman",Settings!$K$5,Settings!$K$4)))+(H92/(IF(F92="Contract Workman",Settings!$K$5,Settings!$K$4))),J92+(L92/(IF(F92="Contract Workman",Settings!$K$5,Settings!$K$4)))))</f>
        <v/>
      </c>
      <c r="N92" s="10" t="str">
        <f t="shared" si="4"/>
        <v/>
      </c>
      <c r="O92" s="51" t="str">
        <f>IF(B92="","", IF(IFERROR(ISNUMBER(SEARCH(B92, VLOOKUP(E92, Machine_List!$B:$J, 9, 0))), FALSE()), "✅ Machine OK", "❌ Sug: " &amp; IFERROR(INDEX(Machine_List!$B$4:$B$50, MATCH("*"&amp;B92&amp;"*", Machine_List!$J$4:$J$50, 0)), "Check Limits")))</f>
        <v/>
      </c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  <c r="AX92" s="52"/>
      <c r="AY92" s="52"/>
      <c r="AZ92" s="52"/>
      <c r="BA92" s="52"/>
      <c r="BB92" s="52"/>
      <c r="BC92" s="52"/>
      <c r="BD92" s="52"/>
      <c r="BE92" s="52"/>
      <c r="BF92" s="52"/>
      <c r="BG92" s="52"/>
      <c r="BH92" s="52"/>
      <c r="BI92" s="52"/>
      <c r="BJ92" s="52"/>
      <c r="BK92" s="52"/>
      <c r="BL92" s="52"/>
      <c r="BM92" s="52"/>
    </row>
    <row r="93" spans="1:65" ht="15" customHeight="1" x14ac:dyDescent="0.3">
      <c r="A93" s="10" t="str">
        <f>IF(Job_Master!A93="","",Job_Master!A93)</f>
        <v/>
      </c>
      <c r="B93" s="10" t="str">
        <f>IF($A93="","",Job_Master!B93)</f>
        <v/>
      </c>
      <c r="C93" s="10" t="str">
        <f>IF($A93="","",Job_Master!C93)</f>
        <v/>
      </c>
      <c r="D93" s="10" t="str">
        <f>IF($A93="","",Job_Master!D93)</f>
        <v/>
      </c>
      <c r="E93" s="48" t="str">
        <f>IF($A93="","",IFERROR(INDEX(Machine_List!$B$50:$B$63,MATCH("*"&amp;$B93&amp;"*",Machine_List!$J$50:$J$63,0)),"NO COMPATIBLE MACHINE"))</f>
        <v/>
      </c>
      <c r="F93" s="106" t="str">
        <f>IF($E93="","",IFERROR(VLOOKUP($E93,Machine_List!$B:$G,6,0),""))</f>
        <v/>
      </c>
      <c r="G93" s="53" t="str">
        <f>IF($E93="","",IFERROR(VLOOKUP($E93,Machine_List!$B:$C,2,0),""))</f>
        <v/>
      </c>
      <c r="H93" s="10" t="str">
        <f>IF($E93="","",IFERROR(VLOOKUP($E93,Machine_List!$B:$D,3,0),""))</f>
        <v/>
      </c>
      <c r="I93" s="54"/>
      <c r="J93" s="55" t="str">
        <f ca="1">IF($A93="","",IF($I93&lt;&gt;"",$I93,MAX(EDM_Plan!$M93,IFERROR(LOOKUP(2,1/($E$3:INDIRECT("E"&amp;(ROW()-1))=$E93),$M$3:INDIRECT("M"&amp;(ROW()-1))),EDM_Plan!$M93))))</f>
        <v/>
      </c>
      <c r="K93" s="10" t="str">
        <f>IF($A93="","",IFERROR(VLOOKUP(B93,CHOOSE(MATCH(C93,Settings!$L$4:$L$10,0),OPR_2P!$A$4:$I$18,SEG_6P!$A$4:$I$18,SOL_4P!$A$4:$I$18,RW_2P!$A$4:$I$18,RW2_4P!$A$4:$I$18,FLAP_4P!$A$4:$I$18,TUBE_4P!$A$4:$I$18),5,0),0))</f>
        <v/>
      </c>
      <c r="L93" s="10" t="str">
        <f t="shared" si="3"/>
        <v/>
      </c>
      <c r="M93" s="55" t="str">
        <f>IF($A93="","",IF(AND(ISNUMBER(G93),G93&gt;=J93,G93&lt;=(J93+(L93/(IF(F93="Contract Workman",Settings!$K$5,Settings!$K$4))))),J93+(L93/(IF(F93="Contract Workman",Settings!$K$5,Settings!$K$4)))+(H93/(IF(F93="Contract Workman",Settings!$K$5,Settings!$K$4))),J93+(L93/(IF(F93="Contract Workman",Settings!$K$5,Settings!$K$4)))))</f>
        <v/>
      </c>
      <c r="N93" s="10" t="str">
        <f t="shared" si="4"/>
        <v/>
      </c>
      <c r="O93" s="51" t="str">
        <f>IF(B93="","", IF(IFERROR(ISNUMBER(SEARCH(B93, VLOOKUP(E93, Machine_List!$B:$J, 9, 0))), FALSE()), "✅ Machine OK", "❌ Sug: " &amp; IFERROR(INDEX(Machine_List!$B$4:$B$50, MATCH("*"&amp;B93&amp;"*", Machine_List!$J$4:$J$50, 0)), "Check Limits")))</f>
        <v/>
      </c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  <c r="AC93" s="52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  <c r="AX93" s="52"/>
      <c r="AY93" s="52"/>
      <c r="AZ93" s="52"/>
      <c r="BA93" s="52"/>
      <c r="BB93" s="52"/>
      <c r="BC93" s="52"/>
      <c r="BD93" s="52"/>
      <c r="BE93" s="52"/>
      <c r="BF93" s="52"/>
      <c r="BG93" s="52"/>
      <c r="BH93" s="52"/>
      <c r="BI93" s="52"/>
      <c r="BJ93" s="52"/>
      <c r="BK93" s="52"/>
      <c r="BL93" s="52"/>
      <c r="BM93" s="52"/>
    </row>
    <row r="94" spans="1:65" ht="15" customHeight="1" x14ac:dyDescent="0.3">
      <c r="A94" s="10" t="str">
        <f>IF(Job_Master!A94="","",Job_Master!A94)</f>
        <v/>
      </c>
      <c r="B94" s="10" t="str">
        <f>IF($A94="","",Job_Master!B94)</f>
        <v/>
      </c>
      <c r="C94" s="10" t="str">
        <f>IF($A94="","",Job_Master!C94)</f>
        <v/>
      </c>
      <c r="D94" s="10" t="str">
        <f>IF($A94="","",Job_Master!D94)</f>
        <v/>
      </c>
      <c r="E94" s="48" t="str">
        <f>IF($A94="","",IFERROR(INDEX(Machine_List!$B$50:$B$63,MATCH("*"&amp;$B94&amp;"*",Machine_List!$J$50:$J$63,0)),"NO COMPATIBLE MACHINE"))</f>
        <v/>
      </c>
      <c r="F94" s="106" t="str">
        <f>IF($E94="","",IFERROR(VLOOKUP($E94,Machine_List!$B:$G,6,0),""))</f>
        <v/>
      </c>
      <c r="G94" s="53" t="str">
        <f>IF($E94="","",IFERROR(VLOOKUP($E94,Machine_List!$B:$C,2,0),""))</f>
        <v/>
      </c>
      <c r="H94" s="10" t="str">
        <f>IF($E94="","",IFERROR(VLOOKUP($E94,Machine_List!$B:$D,3,0),""))</f>
        <v/>
      </c>
      <c r="I94" s="54"/>
      <c r="J94" s="55" t="str">
        <f ca="1">IF($A94="","",IF($I94&lt;&gt;"",$I94,MAX(EDM_Plan!$M94,IFERROR(LOOKUP(2,1/($E$3:INDIRECT("E"&amp;(ROW()-1))=$E94),$M$3:INDIRECT("M"&amp;(ROW()-1))),EDM_Plan!$M94))))</f>
        <v/>
      </c>
      <c r="K94" s="10" t="str">
        <f>IF($A94="","",IFERROR(VLOOKUP(B94,CHOOSE(MATCH(C94,Settings!$L$4:$L$10,0),OPR_2P!$A$4:$I$18,SEG_6P!$A$4:$I$18,SOL_4P!$A$4:$I$18,RW_2P!$A$4:$I$18,RW2_4P!$A$4:$I$18,FLAP_4P!$A$4:$I$18,TUBE_4P!$A$4:$I$18),5,0),0))</f>
        <v/>
      </c>
      <c r="L94" s="10" t="str">
        <f t="shared" si="3"/>
        <v/>
      </c>
      <c r="M94" s="55" t="str">
        <f>IF($A94="","",IF(AND(ISNUMBER(G94),G94&gt;=J94,G94&lt;=(J94+(L94/(IF(F94="Contract Workman",Settings!$K$5,Settings!$K$4))))),J94+(L94/(IF(F94="Contract Workman",Settings!$K$5,Settings!$K$4)))+(H94/(IF(F94="Contract Workman",Settings!$K$5,Settings!$K$4))),J94+(L94/(IF(F94="Contract Workman",Settings!$K$5,Settings!$K$4)))))</f>
        <v/>
      </c>
      <c r="N94" s="10" t="str">
        <f t="shared" si="4"/>
        <v/>
      </c>
      <c r="O94" s="51" t="str">
        <f>IF(B94="","", IF(IFERROR(ISNUMBER(SEARCH(B94, VLOOKUP(E94, Machine_List!$B:$J, 9, 0))), FALSE()), "✅ Machine OK", "❌ Sug: " &amp; IFERROR(INDEX(Machine_List!$B$4:$B$50, MATCH("*"&amp;B94&amp;"*", Machine_List!$J$4:$J$50, 0)), "Check Limits")))</f>
        <v/>
      </c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2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  <c r="AX94" s="52"/>
      <c r="AY94" s="52"/>
      <c r="AZ94" s="52"/>
      <c r="BA94" s="52"/>
      <c r="BB94" s="52"/>
      <c r="BC94" s="52"/>
      <c r="BD94" s="52"/>
      <c r="BE94" s="52"/>
      <c r="BF94" s="52"/>
      <c r="BG94" s="52"/>
      <c r="BH94" s="52"/>
      <c r="BI94" s="52"/>
      <c r="BJ94" s="52"/>
      <c r="BK94" s="52"/>
      <c r="BL94" s="52"/>
      <c r="BM94" s="52"/>
    </row>
    <row r="95" spans="1:65" ht="15" customHeight="1" x14ac:dyDescent="0.3">
      <c r="A95" s="10" t="str">
        <f>IF(Job_Master!A95="","",Job_Master!A95)</f>
        <v/>
      </c>
      <c r="B95" s="10" t="str">
        <f>IF($A95="","",Job_Master!B95)</f>
        <v/>
      </c>
      <c r="C95" s="10" t="str">
        <f>IF($A95="","",Job_Master!C95)</f>
        <v/>
      </c>
      <c r="D95" s="10" t="str">
        <f>IF($A95="","",Job_Master!D95)</f>
        <v/>
      </c>
      <c r="E95" s="48" t="str">
        <f>IF($A95="","",IFERROR(INDEX(Machine_List!$B$50:$B$63,MATCH("*"&amp;$B95&amp;"*",Machine_List!$J$50:$J$63,0)),"NO COMPATIBLE MACHINE"))</f>
        <v/>
      </c>
      <c r="F95" s="106" t="str">
        <f>IF($E95="","",IFERROR(VLOOKUP($E95,Machine_List!$B:$G,6,0),""))</f>
        <v/>
      </c>
      <c r="G95" s="53" t="str">
        <f>IF($E95="","",IFERROR(VLOOKUP($E95,Machine_List!$B:$C,2,0),""))</f>
        <v/>
      </c>
      <c r="H95" s="10" t="str">
        <f>IF($E95="","",IFERROR(VLOOKUP($E95,Machine_List!$B:$D,3,0),""))</f>
        <v/>
      </c>
      <c r="I95" s="54"/>
      <c r="J95" s="55" t="str">
        <f ca="1">IF($A95="","",IF($I95&lt;&gt;"",$I95,MAX(EDM_Plan!$M95,IFERROR(LOOKUP(2,1/($E$3:INDIRECT("E"&amp;(ROW()-1))=$E95),$M$3:INDIRECT("M"&amp;(ROW()-1))),EDM_Plan!$M95))))</f>
        <v/>
      </c>
      <c r="K95" s="10" t="str">
        <f>IF($A95="","",IFERROR(VLOOKUP(B95,CHOOSE(MATCH(C95,Settings!$L$4:$L$10,0),OPR_2P!$A$4:$I$18,SEG_6P!$A$4:$I$18,SOL_4P!$A$4:$I$18,RW_2P!$A$4:$I$18,RW2_4P!$A$4:$I$18,FLAP_4P!$A$4:$I$18,TUBE_4P!$A$4:$I$18),5,0),0))</f>
        <v/>
      </c>
      <c r="L95" s="10" t="str">
        <f t="shared" si="3"/>
        <v/>
      </c>
      <c r="M95" s="55" t="str">
        <f>IF($A95="","",IF(AND(ISNUMBER(G95),G95&gt;=J95,G95&lt;=(J95+(L95/(IF(F95="Contract Workman",Settings!$K$5,Settings!$K$4))))),J95+(L95/(IF(F95="Contract Workman",Settings!$K$5,Settings!$K$4)))+(H95/(IF(F95="Contract Workman",Settings!$K$5,Settings!$K$4))),J95+(L95/(IF(F95="Contract Workman",Settings!$K$5,Settings!$K$4)))))</f>
        <v/>
      </c>
      <c r="N95" s="10" t="str">
        <f t="shared" si="4"/>
        <v/>
      </c>
      <c r="O95" s="51" t="str">
        <f>IF(B95="","", IF(IFERROR(ISNUMBER(SEARCH(B95, VLOOKUP(E95, Machine_List!$B:$J, 9, 0))), FALSE()), "✅ Machine OK", "❌ Sug: " &amp; IFERROR(INDEX(Machine_List!$B$4:$B$50, MATCH("*"&amp;B95&amp;"*", Machine_List!$J$4:$J$50, 0)), "Check Limits")))</f>
        <v/>
      </c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  <c r="AC95" s="52"/>
      <c r="AD95" s="52"/>
      <c r="AE95" s="52"/>
      <c r="AF95" s="52"/>
      <c r="AG95" s="52"/>
      <c r="AH95" s="52"/>
      <c r="AI95" s="52"/>
      <c r="AJ95" s="52"/>
      <c r="AK95" s="52"/>
      <c r="AL95" s="52"/>
      <c r="AM95" s="52"/>
      <c r="AN95" s="52"/>
      <c r="AO95" s="52"/>
      <c r="AP95" s="52"/>
      <c r="AQ95" s="52"/>
      <c r="AR95" s="52"/>
      <c r="AS95" s="52"/>
      <c r="AT95" s="52"/>
      <c r="AU95" s="52"/>
      <c r="AV95" s="52"/>
      <c r="AW95" s="52"/>
      <c r="AX95" s="52"/>
      <c r="AY95" s="52"/>
      <c r="AZ95" s="52"/>
      <c r="BA95" s="52"/>
      <c r="BB95" s="52"/>
      <c r="BC95" s="52"/>
      <c r="BD95" s="52"/>
      <c r="BE95" s="52"/>
      <c r="BF95" s="52"/>
      <c r="BG95" s="52"/>
      <c r="BH95" s="52"/>
      <c r="BI95" s="52"/>
      <c r="BJ95" s="52"/>
      <c r="BK95" s="52"/>
      <c r="BL95" s="52"/>
      <c r="BM95" s="52"/>
    </row>
    <row r="96" spans="1:65" ht="15" customHeight="1" x14ac:dyDescent="0.3">
      <c r="A96" s="10" t="str">
        <f>IF(Job_Master!A96="","",Job_Master!A96)</f>
        <v/>
      </c>
      <c r="B96" s="10" t="str">
        <f>IF($A96="","",Job_Master!B96)</f>
        <v/>
      </c>
      <c r="C96" s="10" t="str">
        <f>IF($A96="","",Job_Master!C96)</f>
        <v/>
      </c>
      <c r="D96" s="10" t="str">
        <f>IF($A96="","",Job_Master!D96)</f>
        <v/>
      </c>
      <c r="E96" s="48" t="str">
        <f>IF($A96="","",IFERROR(INDEX(Machine_List!$B$50:$B$63,MATCH("*"&amp;$B96&amp;"*",Machine_List!$J$50:$J$63,0)),"NO COMPATIBLE MACHINE"))</f>
        <v/>
      </c>
      <c r="F96" s="106" t="str">
        <f>IF($E96="","",IFERROR(VLOOKUP($E96,Machine_List!$B:$G,6,0),""))</f>
        <v/>
      </c>
      <c r="G96" s="53" t="str">
        <f>IF($E96="","",IFERROR(VLOOKUP($E96,Machine_List!$B:$C,2,0),""))</f>
        <v/>
      </c>
      <c r="H96" s="10" t="str">
        <f>IF($E96="","",IFERROR(VLOOKUP($E96,Machine_List!$B:$D,3,0),""))</f>
        <v/>
      </c>
      <c r="I96" s="54"/>
      <c r="J96" s="55" t="str">
        <f ca="1">IF($A96="","",IF($I96&lt;&gt;"",$I96,MAX(EDM_Plan!$M96,IFERROR(LOOKUP(2,1/($E$3:INDIRECT("E"&amp;(ROW()-1))=$E96),$M$3:INDIRECT("M"&amp;(ROW()-1))),EDM_Plan!$M96))))</f>
        <v/>
      </c>
      <c r="K96" s="10" t="str">
        <f>IF($A96="","",IFERROR(VLOOKUP(B96,CHOOSE(MATCH(C96,Settings!$L$4:$L$10,0),OPR_2P!$A$4:$I$18,SEG_6P!$A$4:$I$18,SOL_4P!$A$4:$I$18,RW_2P!$A$4:$I$18,RW2_4P!$A$4:$I$18,FLAP_4P!$A$4:$I$18,TUBE_4P!$A$4:$I$18),5,0),0))</f>
        <v/>
      </c>
      <c r="L96" s="10" t="str">
        <f t="shared" si="3"/>
        <v/>
      </c>
      <c r="M96" s="55" t="str">
        <f>IF($A96="","",IF(AND(ISNUMBER(G96),G96&gt;=J96,G96&lt;=(J96+(L96/(IF(F96="Contract Workman",Settings!$K$5,Settings!$K$4))))),J96+(L96/(IF(F96="Contract Workman",Settings!$K$5,Settings!$K$4)))+(H96/(IF(F96="Contract Workman",Settings!$K$5,Settings!$K$4))),J96+(L96/(IF(F96="Contract Workman",Settings!$K$5,Settings!$K$4)))))</f>
        <v/>
      </c>
      <c r="N96" s="10" t="str">
        <f t="shared" si="4"/>
        <v/>
      </c>
      <c r="O96" s="51" t="str">
        <f>IF(B96="","", IF(IFERROR(ISNUMBER(SEARCH(B96, VLOOKUP(E96, Machine_List!$B:$J, 9, 0))), FALSE()), "✅ Machine OK", "❌ Sug: " &amp; IFERROR(INDEX(Machine_List!$B$4:$B$50, MATCH("*"&amp;B96&amp;"*", Machine_List!$J$4:$J$50, 0)), "Check Limits")))</f>
        <v/>
      </c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  <c r="AC96" s="52"/>
      <c r="AD96" s="52"/>
      <c r="AE96" s="52"/>
      <c r="AF96" s="52"/>
      <c r="AG96" s="52"/>
      <c r="AH96" s="52"/>
      <c r="AI96" s="52"/>
      <c r="AJ96" s="52"/>
      <c r="AK96" s="52"/>
      <c r="AL96" s="52"/>
      <c r="AM96" s="52"/>
      <c r="AN96" s="52"/>
      <c r="AO96" s="52"/>
      <c r="AP96" s="52"/>
      <c r="AQ96" s="52"/>
      <c r="AR96" s="52"/>
      <c r="AS96" s="52"/>
      <c r="AT96" s="52"/>
      <c r="AU96" s="52"/>
      <c r="AV96" s="52"/>
      <c r="AW96" s="52"/>
      <c r="AX96" s="52"/>
      <c r="AY96" s="52"/>
      <c r="AZ96" s="52"/>
      <c r="BA96" s="52"/>
      <c r="BB96" s="52"/>
      <c r="BC96" s="52"/>
      <c r="BD96" s="52"/>
      <c r="BE96" s="52"/>
      <c r="BF96" s="52"/>
      <c r="BG96" s="52"/>
      <c r="BH96" s="52"/>
      <c r="BI96" s="52"/>
      <c r="BJ96" s="52"/>
      <c r="BK96" s="52"/>
      <c r="BL96" s="52"/>
      <c r="BM96" s="52"/>
    </row>
    <row r="97" spans="1:65" ht="15" customHeight="1" x14ac:dyDescent="0.3">
      <c r="A97" s="10" t="str">
        <f>IF(Job_Master!A97="","",Job_Master!A97)</f>
        <v/>
      </c>
      <c r="B97" s="10" t="str">
        <f>IF($A97="","",Job_Master!B97)</f>
        <v/>
      </c>
      <c r="C97" s="10" t="str">
        <f>IF($A97="","",Job_Master!C97)</f>
        <v/>
      </c>
      <c r="D97" s="10" t="str">
        <f>IF($A97="","",Job_Master!D97)</f>
        <v/>
      </c>
      <c r="E97" s="48" t="str">
        <f>IF($A97="","",IFERROR(INDEX(Machine_List!$B$50:$B$63,MATCH("*"&amp;$B97&amp;"*",Machine_List!$J$50:$J$63,0)),"NO COMPATIBLE MACHINE"))</f>
        <v/>
      </c>
      <c r="F97" s="106" t="str">
        <f>IF($E97="","",IFERROR(VLOOKUP($E97,Machine_List!$B:$G,6,0),""))</f>
        <v/>
      </c>
      <c r="G97" s="53" t="str">
        <f>IF($E97="","",IFERROR(VLOOKUP($E97,Machine_List!$B:$C,2,0),""))</f>
        <v/>
      </c>
      <c r="H97" s="10" t="str">
        <f>IF($E97="","",IFERROR(VLOOKUP($E97,Machine_List!$B:$D,3,0),""))</f>
        <v/>
      </c>
      <c r="I97" s="54"/>
      <c r="J97" s="55" t="str">
        <f ca="1">IF($A97="","",IF($I97&lt;&gt;"",$I97,MAX(EDM_Plan!$M97,IFERROR(LOOKUP(2,1/($E$3:INDIRECT("E"&amp;(ROW()-1))=$E97),$M$3:INDIRECT("M"&amp;(ROW()-1))),EDM_Plan!$M97))))</f>
        <v/>
      </c>
      <c r="K97" s="10" t="str">
        <f>IF($A97="","",IFERROR(VLOOKUP(B97,CHOOSE(MATCH(C97,Settings!$L$4:$L$10,0),OPR_2P!$A$4:$I$18,SEG_6P!$A$4:$I$18,SOL_4P!$A$4:$I$18,RW_2P!$A$4:$I$18,RW2_4P!$A$4:$I$18,FLAP_4P!$A$4:$I$18,TUBE_4P!$A$4:$I$18),5,0),0))</f>
        <v/>
      </c>
      <c r="L97" s="10" t="str">
        <f t="shared" si="3"/>
        <v/>
      </c>
      <c r="M97" s="55" t="str">
        <f>IF($A97="","",IF(AND(ISNUMBER(G97),G97&gt;=J97,G97&lt;=(J97+(L97/(IF(F97="Contract Workman",Settings!$K$5,Settings!$K$4))))),J97+(L97/(IF(F97="Contract Workman",Settings!$K$5,Settings!$K$4)))+(H97/(IF(F97="Contract Workman",Settings!$K$5,Settings!$K$4))),J97+(L97/(IF(F97="Contract Workman",Settings!$K$5,Settings!$K$4)))))</f>
        <v/>
      </c>
      <c r="N97" s="10" t="str">
        <f t="shared" si="4"/>
        <v/>
      </c>
      <c r="O97" s="51" t="str">
        <f>IF(B97="","", IF(IFERROR(ISNUMBER(SEARCH(B97, VLOOKUP(E97, Machine_List!$B:$J, 9, 0))), FALSE()), "✅ Machine OK", "❌ Sug: " &amp; IFERROR(INDEX(Machine_List!$B$4:$B$50, MATCH("*"&amp;B97&amp;"*", Machine_List!$J$4:$J$50, 0)), "Check Limits")))</f>
        <v/>
      </c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  <c r="AE97" s="52"/>
      <c r="AF97" s="52"/>
      <c r="AG97" s="52"/>
      <c r="AH97" s="52"/>
      <c r="AI97" s="52"/>
      <c r="AJ97" s="52"/>
      <c r="AK97" s="52"/>
      <c r="AL97" s="52"/>
      <c r="AM97" s="52"/>
      <c r="AN97" s="52"/>
      <c r="AO97" s="52"/>
      <c r="AP97" s="52"/>
      <c r="AQ97" s="52"/>
      <c r="AR97" s="52"/>
      <c r="AS97" s="52"/>
      <c r="AT97" s="52"/>
      <c r="AU97" s="52"/>
      <c r="AV97" s="52"/>
      <c r="AW97" s="52"/>
      <c r="AX97" s="52"/>
      <c r="AY97" s="52"/>
      <c r="AZ97" s="52"/>
      <c r="BA97" s="52"/>
      <c r="BB97" s="52"/>
      <c r="BC97" s="52"/>
      <c r="BD97" s="52"/>
      <c r="BE97" s="52"/>
      <c r="BF97" s="52"/>
      <c r="BG97" s="52"/>
      <c r="BH97" s="52"/>
      <c r="BI97" s="52"/>
      <c r="BJ97" s="52"/>
      <c r="BK97" s="52"/>
      <c r="BL97" s="52"/>
      <c r="BM97" s="52"/>
    </row>
    <row r="98" spans="1:65" ht="15" customHeight="1" x14ac:dyDescent="0.3">
      <c r="A98" s="10" t="str">
        <f>IF(Job_Master!A98="","",Job_Master!A98)</f>
        <v/>
      </c>
      <c r="B98" s="10" t="str">
        <f>IF($A98="","",Job_Master!B98)</f>
        <v/>
      </c>
      <c r="C98" s="10" t="str">
        <f>IF($A98="","",Job_Master!C98)</f>
        <v/>
      </c>
      <c r="D98" s="10" t="str">
        <f>IF($A98="","",Job_Master!D98)</f>
        <v/>
      </c>
      <c r="E98" s="48" t="str">
        <f>IF($A98="","",IFERROR(INDEX(Machine_List!$B$50:$B$63,MATCH("*"&amp;$B98&amp;"*",Machine_List!$J$50:$J$63,0)),"NO COMPATIBLE MACHINE"))</f>
        <v/>
      </c>
      <c r="F98" s="106" t="str">
        <f>IF($E98="","",IFERROR(VLOOKUP($E98,Machine_List!$B:$G,6,0),""))</f>
        <v/>
      </c>
      <c r="G98" s="53" t="str">
        <f>IF($E98="","",IFERROR(VLOOKUP($E98,Machine_List!$B:$C,2,0),""))</f>
        <v/>
      </c>
      <c r="H98" s="10" t="str">
        <f>IF($E98="","",IFERROR(VLOOKUP($E98,Machine_List!$B:$D,3,0),""))</f>
        <v/>
      </c>
      <c r="I98" s="54"/>
      <c r="J98" s="55" t="str">
        <f ca="1">IF($A98="","",IF($I98&lt;&gt;"",$I98,MAX(EDM_Plan!$M98,IFERROR(LOOKUP(2,1/($E$3:INDIRECT("E"&amp;(ROW()-1))=$E98),$M$3:INDIRECT("M"&amp;(ROW()-1))),EDM_Plan!$M98))))</f>
        <v/>
      </c>
      <c r="K98" s="10" t="str">
        <f>IF($A98="","",IFERROR(VLOOKUP(B98,CHOOSE(MATCH(C98,Settings!$L$4:$L$10,0),OPR_2P!$A$4:$I$18,SEG_6P!$A$4:$I$18,SOL_4P!$A$4:$I$18,RW_2P!$A$4:$I$18,RW2_4P!$A$4:$I$18,FLAP_4P!$A$4:$I$18,TUBE_4P!$A$4:$I$18),5,0),0))</f>
        <v/>
      </c>
      <c r="L98" s="10" t="str">
        <f t="shared" si="3"/>
        <v/>
      </c>
      <c r="M98" s="55" t="str">
        <f>IF($A98="","",IF(AND(ISNUMBER(G98),G98&gt;=J98,G98&lt;=(J98+(L98/(IF(F98="Contract Workman",Settings!$K$5,Settings!$K$4))))),J98+(L98/(IF(F98="Contract Workman",Settings!$K$5,Settings!$K$4)))+(H98/(IF(F98="Contract Workman",Settings!$K$5,Settings!$K$4))),J98+(L98/(IF(F98="Contract Workman",Settings!$K$5,Settings!$K$4)))))</f>
        <v/>
      </c>
      <c r="N98" s="10" t="str">
        <f t="shared" si="4"/>
        <v/>
      </c>
      <c r="O98" s="51" t="str">
        <f>IF(B98="","", IF(IFERROR(ISNUMBER(SEARCH(B98, VLOOKUP(E98, Machine_List!$B:$J, 9, 0))), FALSE()), "✅ Machine OK", "❌ Sug: " &amp; IFERROR(INDEX(Machine_List!$B$4:$B$50, MATCH("*"&amp;B98&amp;"*", Machine_List!$J$4:$J$50, 0)), "Check Limits")))</f>
        <v/>
      </c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52"/>
      <c r="AN98" s="52"/>
      <c r="AO98" s="52"/>
      <c r="AP98" s="52"/>
      <c r="AQ98" s="52"/>
      <c r="AR98" s="52"/>
      <c r="AS98" s="52"/>
      <c r="AT98" s="52"/>
      <c r="AU98" s="52"/>
      <c r="AV98" s="52"/>
      <c r="AW98" s="52"/>
      <c r="AX98" s="52"/>
      <c r="AY98" s="52"/>
      <c r="AZ98" s="52"/>
      <c r="BA98" s="52"/>
      <c r="BB98" s="52"/>
      <c r="BC98" s="52"/>
      <c r="BD98" s="52"/>
      <c r="BE98" s="52"/>
      <c r="BF98" s="52"/>
      <c r="BG98" s="52"/>
      <c r="BH98" s="52"/>
      <c r="BI98" s="52"/>
      <c r="BJ98" s="52"/>
      <c r="BK98" s="52"/>
      <c r="BL98" s="52"/>
      <c r="BM98" s="52"/>
    </row>
    <row r="99" spans="1:65" ht="15" customHeight="1" x14ac:dyDescent="0.3">
      <c r="A99" s="10" t="str">
        <f>IF(Job_Master!A99="","",Job_Master!A99)</f>
        <v/>
      </c>
      <c r="B99" s="10" t="str">
        <f>IF($A99="","",Job_Master!B99)</f>
        <v/>
      </c>
      <c r="C99" s="10" t="str">
        <f>IF($A99="","",Job_Master!C99)</f>
        <v/>
      </c>
      <c r="D99" s="10" t="str">
        <f>IF($A99="","",Job_Master!D99)</f>
        <v/>
      </c>
      <c r="E99" s="48" t="str">
        <f>IF($A99="","",IFERROR(INDEX(Machine_List!$B$50:$B$63,MATCH("*"&amp;$B99&amp;"*",Machine_List!$J$50:$J$63,0)),"NO COMPATIBLE MACHINE"))</f>
        <v/>
      </c>
      <c r="F99" s="106" t="str">
        <f>IF($E99="","",IFERROR(VLOOKUP($E99,Machine_List!$B:$G,6,0),""))</f>
        <v/>
      </c>
      <c r="G99" s="53" t="str">
        <f>IF($E99="","",IFERROR(VLOOKUP($E99,Machine_List!$B:$C,2,0),""))</f>
        <v/>
      </c>
      <c r="H99" s="10" t="str">
        <f>IF($E99="","",IFERROR(VLOOKUP($E99,Machine_List!$B:$D,3,0),""))</f>
        <v/>
      </c>
      <c r="I99" s="54"/>
      <c r="J99" s="55" t="str">
        <f ca="1">IF($A99="","",IF($I99&lt;&gt;"",$I99,MAX(EDM_Plan!$M99,IFERROR(LOOKUP(2,1/($E$3:INDIRECT("E"&amp;(ROW()-1))=$E99),$M$3:INDIRECT("M"&amp;(ROW()-1))),EDM_Plan!$M99))))</f>
        <v/>
      </c>
      <c r="K99" s="10" t="str">
        <f>IF($A99="","",IFERROR(VLOOKUP(B99,CHOOSE(MATCH(C99,Settings!$L$4:$L$10,0),OPR_2P!$A$4:$I$18,SEG_6P!$A$4:$I$18,SOL_4P!$A$4:$I$18,RW_2P!$A$4:$I$18,RW2_4P!$A$4:$I$18,FLAP_4P!$A$4:$I$18,TUBE_4P!$A$4:$I$18),5,0),0))</f>
        <v/>
      </c>
      <c r="L99" s="10" t="str">
        <f t="shared" si="3"/>
        <v/>
      </c>
      <c r="M99" s="55" t="str">
        <f>IF($A99="","",IF(AND(ISNUMBER(G99),G99&gt;=J99,G99&lt;=(J99+(L99/(IF(F99="Contract Workman",Settings!$K$5,Settings!$K$4))))),J99+(L99/(IF(F99="Contract Workman",Settings!$K$5,Settings!$K$4)))+(H99/(IF(F99="Contract Workman",Settings!$K$5,Settings!$K$4))),J99+(L99/(IF(F99="Contract Workman",Settings!$K$5,Settings!$K$4)))))</f>
        <v/>
      </c>
      <c r="N99" s="10" t="str">
        <f t="shared" si="4"/>
        <v/>
      </c>
      <c r="O99" s="51" t="str">
        <f>IF(B99="","", IF(IFERROR(ISNUMBER(SEARCH(B99, VLOOKUP(E99, Machine_List!$B:$J, 9, 0))), FALSE()), "✅ Machine OK", "❌ Sug: " &amp; IFERROR(INDEX(Machine_List!$B$4:$B$50, MATCH("*"&amp;B99&amp;"*", Machine_List!$J$4:$J$50, 0)), "Check Limits")))</f>
        <v/>
      </c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  <c r="AE99" s="52"/>
      <c r="AF99" s="52"/>
      <c r="AG99" s="52"/>
      <c r="AH99" s="52"/>
      <c r="AI99" s="52"/>
      <c r="AJ99" s="52"/>
      <c r="AK99" s="52"/>
      <c r="AL99" s="52"/>
      <c r="AM99" s="52"/>
      <c r="AN99" s="52"/>
      <c r="AO99" s="52"/>
      <c r="AP99" s="52"/>
      <c r="AQ99" s="52"/>
      <c r="AR99" s="52"/>
      <c r="AS99" s="52"/>
      <c r="AT99" s="52"/>
      <c r="AU99" s="52"/>
      <c r="AV99" s="52"/>
      <c r="AW99" s="52"/>
      <c r="AX99" s="52"/>
      <c r="AY99" s="52"/>
      <c r="AZ99" s="52"/>
      <c r="BA99" s="52"/>
      <c r="BB99" s="52"/>
      <c r="BC99" s="52"/>
      <c r="BD99" s="52"/>
      <c r="BE99" s="52"/>
      <c r="BF99" s="52"/>
      <c r="BG99" s="52"/>
      <c r="BH99" s="52"/>
      <c r="BI99" s="52"/>
      <c r="BJ99" s="52"/>
      <c r="BK99" s="52"/>
      <c r="BL99" s="52"/>
      <c r="BM99" s="52"/>
    </row>
    <row r="100" spans="1:65" ht="15" customHeight="1" x14ac:dyDescent="0.3">
      <c r="A100" s="10" t="str">
        <f>IF(Job_Master!A100="","",Job_Master!A100)</f>
        <v/>
      </c>
      <c r="B100" s="10" t="str">
        <f>IF($A100="","",Job_Master!B100)</f>
        <v/>
      </c>
      <c r="C100" s="10" t="str">
        <f>IF($A100="","",Job_Master!C100)</f>
        <v/>
      </c>
      <c r="D100" s="10" t="str">
        <f>IF($A100="","",Job_Master!D100)</f>
        <v/>
      </c>
      <c r="E100" s="48" t="str">
        <f>IF($A100="","",IFERROR(INDEX(Machine_List!$B$50:$B$63,MATCH("*"&amp;$B100&amp;"*",Machine_List!$J$50:$J$63,0)),"NO COMPATIBLE MACHINE"))</f>
        <v/>
      </c>
      <c r="F100" s="106" t="str">
        <f>IF($E100="","",IFERROR(VLOOKUP($E100,Machine_List!$B:$G,6,0),""))</f>
        <v/>
      </c>
      <c r="G100" s="53" t="str">
        <f>IF($E100="","",IFERROR(VLOOKUP($E100,Machine_List!$B:$C,2,0),""))</f>
        <v/>
      </c>
      <c r="H100" s="10" t="str">
        <f>IF($E100="","",IFERROR(VLOOKUP($E100,Machine_List!$B:$D,3,0),""))</f>
        <v/>
      </c>
      <c r="I100" s="58"/>
      <c r="J100" s="55" t="str">
        <f ca="1">IF($A100="","",IF($I100&lt;&gt;"",$I100,MAX(EDM_Plan!$M100,IFERROR(LOOKUP(2,1/($E$3:INDIRECT("E"&amp;(ROW()-1))=$E100),$M$3:INDIRECT("M"&amp;(ROW()-1))),EDM_Plan!$M100))))</f>
        <v/>
      </c>
      <c r="K100" s="10" t="str">
        <f>IF($A100="","",IFERROR(VLOOKUP(B100,CHOOSE(MATCH(C100,Settings!$L$4:$L$10,0),OPR_2P!$A$4:$I$18,SEG_6P!$A$4:$I$18,SOL_4P!$A$4:$I$18,RW_2P!$A$4:$I$18,RW2_4P!$A$4:$I$18,FLAP_4P!$A$4:$I$18,TUBE_4P!$A$4:$I$18),5,0),0))</f>
        <v/>
      </c>
      <c r="L100" s="10" t="str">
        <f t="shared" si="3"/>
        <v/>
      </c>
      <c r="M100" s="55" t="str">
        <f>IF($A100="","",IF(AND(ISNUMBER(G100),G100&gt;=J100,G100&lt;=(J100+(L100/(IF(F100="Contract Workman",Settings!$K$5,Settings!$K$4))))),J100+(L100/(IF(F100="Contract Workman",Settings!$K$5,Settings!$K$4)))+(H100/(IF(F100="Contract Workman",Settings!$K$5,Settings!$K$4))),J100+(L100/(IF(F100="Contract Workman",Settings!$K$5,Settings!$K$4)))))</f>
        <v/>
      </c>
      <c r="N100" s="10" t="str">
        <f t="shared" ref="N100:N131" si="5">IF($A100="","",IF(F100="Contract Workman",IF(AND(MOD(M100,1)&gt;=8/24,MOD(M100,1)&lt;20/24),"Shift S1","Shift S2"),IF(AND(MOD(M100,1)&gt;=7/24,MOD(M100,1)&lt;15/24),"Shift A",IF(AND(MOD(M100,1)&gt;=15/24,MOD(M100,1)&lt;23/24),"Shift B","Shift C"))))</f>
        <v/>
      </c>
      <c r="O100" s="51" t="str">
        <f>IF(B100="","", IF(IFERROR(ISNUMBER(SEARCH(B100, VLOOKUP(E100, Machine_List!$B:$J, 9, 0))), FALSE()), "✅ Machine OK", "❌ Sug: " &amp; IFERROR(INDEX(Machine_List!$B$4:$B$50, MATCH("*"&amp;B100&amp;"*", Machine_List!$J$4:$J$50, 0)), "Check Limits")))</f>
        <v/>
      </c>
    </row>
    <row r="101" spans="1:65" ht="15" customHeight="1" x14ac:dyDescent="0.3">
      <c r="A101" s="10" t="str">
        <f>IF(Job_Master!A101="","",Job_Master!A101)</f>
        <v/>
      </c>
      <c r="B101" s="10" t="str">
        <f>IF($A101="","",Job_Master!B101)</f>
        <v/>
      </c>
      <c r="C101" s="10" t="str">
        <f>IF($A101="","",Job_Master!C101)</f>
        <v/>
      </c>
      <c r="D101" s="10" t="str">
        <f>IF($A101="","",Job_Master!D101)</f>
        <v/>
      </c>
      <c r="E101" s="48" t="str">
        <f>IF($A101="","",IFERROR(INDEX(Machine_List!$B$50:$B$63,MATCH("*"&amp;$B101&amp;"*",Machine_List!$J$50:$J$63,0)),"NO COMPATIBLE MACHINE"))</f>
        <v/>
      </c>
      <c r="F101" s="106" t="str">
        <f>IF($E101="","",IFERROR(VLOOKUP($E101,Machine_List!$B:$G,6,0),""))</f>
        <v/>
      </c>
      <c r="G101" s="53" t="str">
        <f>IF($E101="","",IFERROR(VLOOKUP($E101,Machine_List!$B:$C,2,0),""))</f>
        <v/>
      </c>
      <c r="H101" s="10" t="str">
        <f>IF($E101="","",IFERROR(VLOOKUP($E101,Machine_List!$B:$D,3,0),""))</f>
        <v/>
      </c>
      <c r="J101" s="55" t="str">
        <f ca="1">IF($A101="","",IF($I101&lt;&gt;"",$I101,MAX(EDM_Plan!$M101,IFERROR(LOOKUP(2,1/($E$3:INDIRECT("E"&amp;(ROW()-1))=$E101),$M$3:INDIRECT("M"&amp;(ROW()-1))),EDM_Plan!$M101))))</f>
        <v/>
      </c>
      <c r="K101" s="10" t="str">
        <f>IF($A101="","",IFERROR(VLOOKUP(B101,CHOOSE(MATCH(C101,Settings!$L$4:$L$10,0),OPR_2P!$A$4:$I$18,SEG_6P!$A$4:$I$18,SOL_4P!$A$4:$I$18,RW_2P!$A$4:$I$18,RW2_4P!$A$4:$I$18,FLAP_4P!$A$4:$I$18,TUBE_4P!$A$4:$I$18),5,0),0))</f>
        <v/>
      </c>
      <c r="L101" s="10" t="str">
        <f t="shared" si="3"/>
        <v/>
      </c>
      <c r="M101" s="55" t="str">
        <f>IF($A101="","",IF(AND(ISNUMBER(G101),G101&gt;=J101,G101&lt;=(J101+(L101/(IF(F101="Contract Workman",Settings!$K$5,Settings!$K$4))))),J101+(L101/(IF(F101="Contract Workman",Settings!$K$5,Settings!$K$4)))+(H101/(IF(F101="Contract Workman",Settings!$K$5,Settings!$K$4))),J101+(L101/(IF(F101="Contract Workman",Settings!$K$5,Settings!$K$4)))))</f>
        <v/>
      </c>
      <c r="N101" s="10" t="str">
        <f t="shared" si="5"/>
        <v/>
      </c>
      <c r="O101" s="51"/>
    </row>
    <row r="102" spans="1:65" ht="15" customHeight="1" x14ac:dyDescent="0.3">
      <c r="A102" s="10" t="str">
        <f>IF(Job_Master!A102="","",Job_Master!A102)</f>
        <v/>
      </c>
      <c r="B102" s="10" t="str">
        <f>IF($A102="","",Job_Master!B102)</f>
        <v/>
      </c>
      <c r="C102" s="10" t="str">
        <f>IF($A102="","",Job_Master!C102)</f>
        <v/>
      </c>
      <c r="D102" s="10" t="str">
        <f>IF($A102="","",Job_Master!D102)</f>
        <v/>
      </c>
      <c r="E102" s="48" t="str">
        <f>IF($A102="","",IFERROR(INDEX(Machine_List!$B$50:$B$63,MATCH("*"&amp;$B102&amp;"*",Machine_List!$J$50:$J$63,0)),"NO COMPATIBLE MACHINE"))</f>
        <v/>
      </c>
      <c r="F102" s="106" t="str">
        <f>IF($E102="","",IFERROR(VLOOKUP($E102,Machine_List!$B:$G,6,0),""))</f>
        <v/>
      </c>
      <c r="G102" s="53" t="str">
        <f>IF($E102="","",IFERROR(VLOOKUP($E102,Machine_List!$B:$C,2,0),""))</f>
        <v/>
      </c>
      <c r="H102" s="10" t="str">
        <f>IF($E102="","",IFERROR(VLOOKUP($E102,Machine_List!$B:$D,3,0),""))</f>
        <v/>
      </c>
      <c r="J102" s="55" t="str">
        <f ca="1">IF($A102="","",IF($I102&lt;&gt;"",$I102,MAX(EDM_Plan!$M102,IFERROR(LOOKUP(2,1/($E$3:INDIRECT("E"&amp;(ROW()-1))=$E102),$M$3:INDIRECT("M"&amp;(ROW()-1))),EDM_Plan!$M102))))</f>
        <v/>
      </c>
      <c r="K102" s="10" t="str">
        <f>IF($A102="","",IFERROR(VLOOKUP(B102,CHOOSE(MATCH(C102,Settings!$L$4:$L$10,0),OPR_2P!$A$4:$I$18,SEG_6P!$A$4:$I$18,SOL_4P!$A$4:$I$18,RW_2P!$A$4:$I$18,RW2_4P!$A$4:$I$18,FLAP_4P!$A$4:$I$18,TUBE_4P!$A$4:$I$18),5,0),0))</f>
        <v/>
      </c>
      <c r="L102" s="10" t="str">
        <f t="shared" si="3"/>
        <v/>
      </c>
      <c r="M102" s="55" t="str">
        <f>IF($A102="","",IF(AND(ISNUMBER(G102),G102&gt;=J102,G102&lt;=(J102+(L102/(IF(F102="Contract Workman",Settings!$K$5,Settings!$K$4))))),J102+(L102/(IF(F102="Contract Workman",Settings!$K$5,Settings!$K$4)))+(H102/(IF(F102="Contract Workman",Settings!$K$5,Settings!$K$4))),J102+(L102/(IF(F102="Contract Workman",Settings!$K$5,Settings!$K$4)))))</f>
        <v/>
      </c>
      <c r="N102" s="10" t="str">
        <f t="shared" si="5"/>
        <v/>
      </c>
      <c r="O102" s="51"/>
    </row>
    <row r="103" spans="1:65" ht="15" customHeight="1" x14ac:dyDescent="0.3">
      <c r="A103" s="10" t="str">
        <f>IF(Job_Master!A103="","",Job_Master!A103)</f>
        <v/>
      </c>
      <c r="B103" s="10" t="str">
        <f>IF($A103="","",Job_Master!B103)</f>
        <v/>
      </c>
      <c r="C103" s="10" t="str">
        <f>IF($A103="","",Job_Master!C103)</f>
        <v/>
      </c>
      <c r="D103" s="10" t="str">
        <f>IF($A103="","",Job_Master!D103)</f>
        <v/>
      </c>
      <c r="E103" s="48" t="str">
        <f>IF($A103="","",IFERROR(INDEX(Machine_List!$B$50:$B$63,MATCH("*"&amp;$B103&amp;"*",Machine_List!$J$50:$J$63,0)),"NO COMPATIBLE MACHINE"))</f>
        <v/>
      </c>
      <c r="F103" s="106" t="str">
        <f>IF($E103="","",IFERROR(VLOOKUP($E103,Machine_List!$B:$G,6,0),""))</f>
        <v/>
      </c>
      <c r="G103" s="53" t="str">
        <f>IF($E103="","",IFERROR(VLOOKUP($E103,Machine_List!$B:$C,2,0),""))</f>
        <v/>
      </c>
      <c r="H103" s="10" t="str">
        <f>IF($E103="","",IFERROR(VLOOKUP($E103,Machine_List!$B:$D,3,0),""))</f>
        <v/>
      </c>
      <c r="J103" s="55" t="str">
        <f ca="1">IF($A103="","",IF($I103&lt;&gt;"",$I103,MAX(EDM_Plan!$M103,IFERROR(LOOKUP(2,1/($E$3:INDIRECT("E"&amp;(ROW()-1))=$E103),$M$3:INDIRECT("M"&amp;(ROW()-1))),EDM_Plan!$M103))))</f>
        <v/>
      </c>
      <c r="K103" s="10" t="str">
        <f>IF($A103="","",IFERROR(VLOOKUP(B103,CHOOSE(MATCH(C103,Settings!$L$4:$L$10,0),OPR_2P!$A$4:$I$18,SEG_6P!$A$4:$I$18,SOL_4P!$A$4:$I$18,RW_2P!$A$4:$I$18,RW2_4P!$A$4:$I$18,FLAP_4P!$A$4:$I$18,TUBE_4P!$A$4:$I$18),5,0),0))</f>
        <v/>
      </c>
      <c r="L103" s="10" t="str">
        <f t="shared" si="3"/>
        <v/>
      </c>
      <c r="M103" s="55" t="str">
        <f>IF($A103="","",IF(AND(ISNUMBER(G103),G103&gt;=J103,G103&lt;=(J103+(L103/(IF(F103="Contract Workman",Settings!$K$5,Settings!$K$4))))),J103+(L103/(IF(F103="Contract Workman",Settings!$K$5,Settings!$K$4)))+(H103/(IF(F103="Contract Workman",Settings!$K$5,Settings!$K$4))),J103+(L103/(IF(F103="Contract Workman",Settings!$K$5,Settings!$K$4)))))</f>
        <v/>
      </c>
      <c r="N103" s="10" t="str">
        <f t="shared" si="5"/>
        <v/>
      </c>
      <c r="O103" s="51"/>
    </row>
    <row r="104" spans="1:65" ht="15" customHeight="1" x14ac:dyDescent="0.3">
      <c r="L104" t="str">
        <f t="shared" si="3"/>
        <v/>
      </c>
      <c r="O104" s="51"/>
    </row>
    <row r="105" spans="1:65" ht="15" customHeight="1" x14ac:dyDescent="0.3">
      <c r="L105" t="str">
        <f t="shared" si="3"/>
        <v/>
      </c>
      <c r="O105" s="51"/>
    </row>
    <row r="106" spans="1:65" ht="15" customHeight="1" x14ac:dyDescent="0.3">
      <c r="L106" t="str">
        <f t="shared" si="3"/>
        <v/>
      </c>
      <c r="O106" s="51"/>
    </row>
    <row r="107" spans="1:65" ht="15" customHeight="1" x14ac:dyDescent="0.3">
      <c r="L107" t="str">
        <f t="shared" si="3"/>
        <v/>
      </c>
      <c r="O107" s="51"/>
    </row>
    <row r="108" spans="1:65" ht="15" customHeight="1" x14ac:dyDescent="0.3">
      <c r="L108" t="str">
        <f t="shared" si="3"/>
        <v/>
      </c>
      <c r="O108" s="51"/>
    </row>
    <row r="109" spans="1:65" ht="15" customHeight="1" x14ac:dyDescent="0.3">
      <c r="L109" t="str">
        <f t="shared" si="3"/>
        <v/>
      </c>
      <c r="O109" s="51"/>
    </row>
    <row r="110" spans="1:65" ht="15" customHeight="1" x14ac:dyDescent="0.3">
      <c r="L110" t="str">
        <f t="shared" si="3"/>
        <v/>
      </c>
      <c r="O110" s="51"/>
    </row>
    <row r="111" spans="1:65" ht="15" customHeight="1" x14ac:dyDescent="0.3">
      <c r="L111" t="str">
        <f t="shared" si="3"/>
        <v/>
      </c>
      <c r="O111" s="51"/>
    </row>
    <row r="112" spans="1:65" ht="15" customHeight="1" x14ac:dyDescent="0.3">
      <c r="L112" t="str">
        <f t="shared" si="3"/>
        <v/>
      </c>
      <c r="O112" s="51"/>
    </row>
    <row r="113" spans="12:15" ht="15" customHeight="1" x14ac:dyDescent="0.3">
      <c r="L113" t="str">
        <f t="shared" si="3"/>
        <v/>
      </c>
      <c r="O113" s="51"/>
    </row>
    <row r="114" spans="12:15" ht="15" customHeight="1" x14ac:dyDescent="0.3">
      <c r="L114" t="str">
        <f t="shared" si="3"/>
        <v/>
      </c>
      <c r="O114" s="51"/>
    </row>
    <row r="115" spans="12:15" ht="15" customHeight="1" x14ac:dyDescent="0.3">
      <c r="L115" t="str">
        <f t="shared" si="3"/>
        <v/>
      </c>
      <c r="O115" s="51"/>
    </row>
    <row r="116" spans="12:15" ht="15" customHeight="1" x14ac:dyDescent="0.3">
      <c r="L116" t="str">
        <f t="shared" si="3"/>
        <v/>
      </c>
      <c r="O116" s="51"/>
    </row>
    <row r="117" spans="12:15" ht="15" customHeight="1" x14ac:dyDescent="0.3">
      <c r="L117" t="str">
        <f t="shared" si="3"/>
        <v/>
      </c>
      <c r="O117" s="51"/>
    </row>
    <row r="118" spans="12:15" ht="15" customHeight="1" x14ac:dyDescent="0.3">
      <c r="L118" t="str">
        <f t="shared" si="3"/>
        <v/>
      </c>
      <c r="O118" s="51"/>
    </row>
    <row r="119" spans="12:15" ht="15" customHeight="1" x14ac:dyDescent="0.3">
      <c r="L119" t="str">
        <f t="shared" si="3"/>
        <v/>
      </c>
      <c r="O119" s="51"/>
    </row>
    <row r="120" spans="12:15" ht="15" customHeight="1" x14ac:dyDescent="0.3">
      <c r="L120" t="str">
        <f t="shared" si="3"/>
        <v/>
      </c>
      <c r="O120" s="51"/>
    </row>
    <row r="121" spans="12:15" ht="15" customHeight="1" x14ac:dyDescent="0.3">
      <c r="L121" t="str">
        <f t="shared" si="3"/>
        <v/>
      </c>
      <c r="O121" s="51"/>
    </row>
    <row r="122" spans="12:15" ht="15" customHeight="1" x14ac:dyDescent="0.3">
      <c r="L122" t="str">
        <f t="shared" si="3"/>
        <v/>
      </c>
      <c r="O122" s="51"/>
    </row>
    <row r="123" spans="12:15" ht="15" customHeight="1" x14ac:dyDescent="0.3">
      <c r="L123" t="str">
        <f t="shared" si="3"/>
        <v/>
      </c>
      <c r="O123" s="51"/>
    </row>
    <row r="124" spans="12:15" ht="15" customHeight="1" x14ac:dyDescent="0.3">
      <c r="L124" t="str">
        <f t="shared" si="3"/>
        <v/>
      </c>
      <c r="O124" s="51"/>
    </row>
    <row r="125" spans="12:15" ht="15" customHeight="1" x14ac:dyDescent="0.3">
      <c r="L125" t="str">
        <f t="shared" si="3"/>
        <v/>
      </c>
      <c r="O125" s="51"/>
    </row>
    <row r="126" spans="12:15" ht="15" customHeight="1" x14ac:dyDescent="0.3">
      <c r="L126" t="str">
        <f t="shared" si="3"/>
        <v/>
      </c>
      <c r="O126" s="51"/>
    </row>
    <row r="127" spans="12:15" ht="15" customHeight="1" x14ac:dyDescent="0.3">
      <c r="L127" t="str">
        <f t="shared" si="3"/>
        <v/>
      </c>
      <c r="O127" s="51"/>
    </row>
    <row r="128" spans="12:15" ht="15" customHeight="1" x14ac:dyDescent="0.3">
      <c r="L128" t="str">
        <f t="shared" si="3"/>
        <v/>
      </c>
      <c r="O128" s="51"/>
    </row>
    <row r="129" spans="12:15" ht="15" customHeight="1" x14ac:dyDescent="0.3">
      <c r="L129" t="str">
        <f t="shared" si="3"/>
        <v/>
      </c>
      <c r="O129" s="51"/>
    </row>
    <row r="130" spans="12:15" ht="15" customHeight="1" x14ac:dyDescent="0.3">
      <c r="L130" t="str">
        <f t="shared" si="3"/>
        <v/>
      </c>
      <c r="O130" s="51"/>
    </row>
    <row r="131" spans="12:15" ht="15" customHeight="1" x14ac:dyDescent="0.3">
      <c r="L131" t="str">
        <f t="shared" si="3"/>
        <v/>
      </c>
      <c r="O131" s="51"/>
    </row>
    <row r="132" spans="12:15" ht="15" customHeight="1" x14ac:dyDescent="0.3">
      <c r="L132" t="str">
        <f t="shared" ref="L132:L195" si="6">IF($A132="","",K132*D132)</f>
        <v/>
      </c>
      <c r="O132" s="51"/>
    </row>
    <row r="133" spans="12:15" ht="15" customHeight="1" x14ac:dyDescent="0.3">
      <c r="L133" t="str">
        <f t="shared" si="6"/>
        <v/>
      </c>
      <c r="O133" s="51"/>
    </row>
    <row r="134" spans="12:15" ht="15" customHeight="1" x14ac:dyDescent="0.3">
      <c r="L134" t="str">
        <f t="shared" si="6"/>
        <v/>
      </c>
      <c r="O134" s="51"/>
    </row>
    <row r="135" spans="12:15" ht="15" customHeight="1" x14ac:dyDescent="0.3">
      <c r="L135" t="str">
        <f t="shared" si="6"/>
        <v/>
      </c>
      <c r="O135" s="51"/>
    </row>
    <row r="136" spans="12:15" ht="15" customHeight="1" x14ac:dyDescent="0.3">
      <c r="L136" t="str">
        <f t="shared" si="6"/>
        <v/>
      </c>
      <c r="O136" s="51"/>
    </row>
    <row r="137" spans="12:15" ht="15" customHeight="1" x14ac:dyDescent="0.3">
      <c r="L137" t="str">
        <f t="shared" si="6"/>
        <v/>
      </c>
      <c r="O137" s="51"/>
    </row>
    <row r="138" spans="12:15" ht="15" customHeight="1" x14ac:dyDescent="0.3">
      <c r="L138" t="str">
        <f t="shared" si="6"/>
        <v/>
      </c>
      <c r="O138" s="51"/>
    </row>
    <row r="139" spans="12:15" ht="15" customHeight="1" x14ac:dyDescent="0.3">
      <c r="L139" t="str">
        <f t="shared" si="6"/>
        <v/>
      </c>
      <c r="O139" s="51"/>
    </row>
    <row r="140" spans="12:15" ht="15" customHeight="1" x14ac:dyDescent="0.3">
      <c r="L140" t="str">
        <f t="shared" si="6"/>
        <v/>
      </c>
      <c r="O140" s="51"/>
    </row>
    <row r="141" spans="12:15" ht="15" customHeight="1" x14ac:dyDescent="0.3">
      <c r="L141" t="str">
        <f t="shared" si="6"/>
        <v/>
      </c>
      <c r="O141" s="51"/>
    </row>
    <row r="142" spans="12:15" ht="15" customHeight="1" x14ac:dyDescent="0.3">
      <c r="L142" t="str">
        <f t="shared" si="6"/>
        <v/>
      </c>
      <c r="O142" s="51"/>
    </row>
    <row r="143" spans="12:15" ht="15" customHeight="1" x14ac:dyDescent="0.3">
      <c r="L143" t="str">
        <f t="shared" si="6"/>
        <v/>
      </c>
      <c r="O143" s="51"/>
    </row>
    <row r="144" spans="12:15" ht="15" customHeight="1" x14ac:dyDescent="0.3">
      <c r="L144" t="str">
        <f t="shared" si="6"/>
        <v/>
      </c>
      <c r="O144" s="51"/>
    </row>
    <row r="145" spans="12:15" ht="15" customHeight="1" x14ac:dyDescent="0.3">
      <c r="L145" t="str">
        <f t="shared" si="6"/>
        <v/>
      </c>
      <c r="O145" s="51"/>
    </row>
    <row r="146" spans="12:15" ht="15" customHeight="1" x14ac:dyDescent="0.3">
      <c r="L146" t="str">
        <f t="shared" si="6"/>
        <v/>
      </c>
      <c r="O146" s="51"/>
    </row>
    <row r="147" spans="12:15" ht="15" customHeight="1" x14ac:dyDescent="0.3">
      <c r="L147" t="str">
        <f t="shared" si="6"/>
        <v/>
      </c>
      <c r="O147" s="51"/>
    </row>
    <row r="148" spans="12:15" ht="15" customHeight="1" x14ac:dyDescent="0.3">
      <c r="L148" t="str">
        <f t="shared" si="6"/>
        <v/>
      </c>
      <c r="O148" s="51"/>
    </row>
    <row r="149" spans="12:15" ht="15" customHeight="1" x14ac:dyDescent="0.3">
      <c r="L149" t="str">
        <f t="shared" si="6"/>
        <v/>
      </c>
      <c r="O149" s="51"/>
    </row>
    <row r="150" spans="12:15" ht="15" customHeight="1" x14ac:dyDescent="0.3">
      <c r="L150" t="str">
        <f t="shared" si="6"/>
        <v/>
      </c>
      <c r="O150" s="51"/>
    </row>
    <row r="151" spans="12:15" ht="15" customHeight="1" x14ac:dyDescent="0.3">
      <c r="L151" t="str">
        <f t="shared" si="6"/>
        <v/>
      </c>
      <c r="O151" s="51"/>
    </row>
    <row r="152" spans="12:15" ht="15" customHeight="1" x14ac:dyDescent="0.3">
      <c r="L152" t="str">
        <f t="shared" si="6"/>
        <v/>
      </c>
      <c r="O152" s="51"/>
    </row>
    <row r="153" spans="12:15" ht="15" customHeight="1" x14ac:dyDescent="0.3">
      <c r="L153" t="str">
        <f t="shared" si="6"/>
        <v/>
      </c>
      <c r="O153" s="51"/>
    </row>
    <row r="154" spans="12:15" ht="15" customHeight="1" x14ac:dyDescent="0.3">
      <c r="L154" t="str">
        <f t="shared" si="6"/>
        <v/>
      </c>
      <c r="O154" s="51"/>
    </row>
    <row r="155" spans="12:15" ht="15" customHeight="1" x14ac:dyDescent="0.3">
      <c r="L155" t="str">
        <f t="shared" si="6"/>
        <v/>
      </c>
      <c r="O155" s="51"/>
    </row>
    <row r="156" spans="12:15" ht="15" customHeight="1" x14ac:dyDescent="0.3">
      <c r="L156" t="str">
        <f t="shared" si="6"/>
        <v/>
      </c>
      <c r="O156" s="51"/>
    </row>
    <row r="157" spans="12:15" ht="15" customHeight="1" x14ac:dyDescent="0.3">
      <c r="L157" t="str">
        <f t="shared" si="6"/>
        <v/>
      </c>
      <c r="O157" s="51"/>
    </row>
    <row r="158" spans="12:15" ht="15" customHeight="1" x14ac:dyDescent="0.3">
      <c r="L158" t="str">
        <f t="shared" si="6"/>
        <v/>
      </c>
      <c r="O158" s="51"/>
    </row>
    <row r="159" spans="12:15" ht="15" customHeight="1" x14ac:dyDescent="0.3">
      <c r="L159" t="str">
        <f t="shared" si="6"/>
        <v/>
      </c>
      <c r="O159" s="51"/>
    </row>
    <row r="160" spans="12:15" ht="15" customHeight="1" x14ac:dyDescent="0.3">
      <c r="L160" t="str">
        <f t="shared" si="6"/>
        <v/>
      </c>
      <c r="O160" s="51"/>
    </row>
    <row r="161" spans="12:15" ht="15" customHeight="1" x14ac:dyDescent="0.3">
      <c r="L161" t="str">
        <f t="shared" si="6"/>
        <v/>
      </c>
      <c r="O161" s="51"/>
    </row>
    <row r="162" spans="12:15" ht="15" customHeight="1" x14ac:dyDescent="0.3">
      <c r="L162" t="str">
        <f t="shared" si="6"/>
        <v/>
      </c>
      <c r="O162" s="51"/>
    </row>
    <row r="163" spans="12:15" ht="15" customHeight="1" x14ac:dyDescent="0.3">
      <c r="L163" t="str">
        <f t="shared" si="6"/>
        <v/>
      </c>
      <c r="O163" s="51"/>
    </row>
    <row r="164" spans="12:15" ht="15" customHeight="1" x14ac:dyDescent="0.3">
      <c r="L164" t="str">
        <f t="shared" si="6"/>
        <v/>
      </c>
      <c r="O164" s="51"/>
    </row>
    <row r="165" spans="12:15" ht="15" customHeight="1" x14ac:dyDescent="0.3">
      <c r="L165" t="str">
        <f t="shared" si="6"/>
        <v/>
      </c>
      <c r="O165" s="51"/>
    </row>
    <row r="166" spans="12:15" ht="15" customHeight="1" x14ac:dyDescent="0.3">
      <c r="L166" t="str">
        <f t="shared" si="6"/>
        <v/>
      </c>
      <c r="O166" s="51"/>
    </row>
    <row r="167" spans="12:15" ht="15" customHeight="1" x14ac:dyDescent="0.3">
      <c r="L167" t="str">
        <f t="shared" si="6"/>
        <v/>
      </c>
      <c r="O167" s="51"/>
    </row>
    <row r="168" spans="12:15" ht="15" customHeight="1" x14ac:dyDescent="0.3">
      <c r="L168" t="str">
        <f t="shared" si="6"/>
        <v/>
      </c>
      <c r="O168" s="51"/>
    </row>
    <row r="169" spans="12:15" ht="15" customHeight="1" x14ac:dyDescent="0.3">
      <c r="L169" t="str">
        <f t="shared" si="6"/>
        <v/>
      </c>
      <c r="O169" s="51"/>
    </row>
    <row r="170" spans="12:15" ht="15" customHeight="1" x14ac:dyDescent="0.3">
      <c r="L170" t="str">
        <f t="shared" si="6"/>
        <v/>
      </c>
      <c r="O170" s="51"/>
    </row>
    <row r="171" spans="12:15" ht="15" customHeight="1" x14ac:dyDescent="0.3">
      <c r="L171" t="str">
        <f t="shared" si="6"/>
        <v/>
      </c>
      <c r="O171" s="51"/>
    </row>
    <row r="172" spans="12:15" ht="15" customHeight="1" x14ac:dyDescent="0.3">
      <c r="L172" t="str">
        <f t="shared" si="6"/>
        <v/>
      </c>
      <c r="O172" s="51"/>
    </row>
    <row r="173" spans="12:15" ht="15" customHeight="1" x14ac:dyDescent="0.3">
      <c r="L173" t="str">
        <f t="shared" si="6"/>
        <v/>
      </c>
      <c r="O173" s="51"/>
    </row>
    <row r="174" spans="12:15" ht="15" customHeight="1" x14ac:dyDescent="0.3">
      <c r="L174" t="str">
        <f t="shared" si="6"/>
        <v/>
      </c>
      <c r="O174" s="51"/>
    </row>
    <row r="175" spans="12:15" ht="15" customHeight="1" x14ac:dyDescent="0.3">
      <c r="L175" t="str">
        <f t="shared" si="6"/>
        <v/>
      </c>
      <c r="O175" s="51"/>
    </row>
    <row r="176" spans="12:15" ht="15" customHeight="1" x14ac:dyDescent="0.3">
      <c r="L176" t="str">
        <f t="shared" si="6"/>
        <v/>
      </c>
      <c r="O176" s="51"/>
    </row>
    <row r="177" spans="12:15" ht="15" customHeight="1" x14ac:dyDescent="0.3">
      <c r="L177" t="str">
        <f t="shared" si="6"/>
        <v/>
      </c>
      <c r="O177" s="51"/>
    </row>
    <row r="178" spans="12:15" ht="15" customHeight="1" x14ac:dyDescent="0.3">
      <c r="L178" t="str">
        <f t="shared" si="6"/>
        <v/>
      </c>
      <c r="O178" s="51"/>
    </row>
    <row r="179" spans="12:15" ht="15" customHeight="1" x14ac:dyDescent="0.3">
      <c r="L179" t="str">
        <f t="shared" si="6"/>
        <v/>
      </c>
      <c r="O179" s="51"/>
    </row>
    <row r="180" spans="12:15" ht="15" customHeight="1" x14ac:dyDescent="0.3">
      <c r="L180" t="str">
        <f t="shared" si="6"/>
        <v/>
      </c>
      <c r="O180" s="51"/>
    </row>
    <row r="181" spans="12:15" ht="15" customHeight="1" x14ac:dyDescent="0.3">
      <c r="L181" t="str">
        <f t="shared" si="6"/>
        <v/>
      </c>
      <c r="O181" s="51"/>
    </row>
    <row r="182" spans="12:15" ht="15" customHeight="1" x14ac:dyDescent="0.3">
      <c r="L182" t="str">
        <f t="shared" si="6"/>
        <v/>
      </c>
      <c r="O182" s="51"/>
    </row>
    <row r="183" spans="12:15" ht="15" customHeight="1" x14ac:dyDescent="0.3">
      <c r="L183" t="str">
        <f t="shared" si="6"/>
        <v/>
      </c>
      <c r="O183" s="51"/>
    </row>
    <row r="184" spans="12:15" ht="15" customHeight="1" x14ac:dyDescent="0.3">
      <c r="L184" t="str">
        <f t="shared" si="6"/>
        <v/>
      </c>
      <c r="O184" s="51"/>
    </row>
    <row r="185" spans="12:15" ht="15" customHeight="1" x14ac:dyDescent="0.3">
      <c r="L185" t="str">
        <f t="shared" si="6"/>
        <v/>
      </c>
      <c r="O185" s="51"/>
    </row>
    <row r="186" spans="12:15" ht="15" customHeight="1" x14ac:dyDescent="0.3">
      <c r="L186" t="str">
        <f t="shared" si="6"/>
        <v/>
      </c>
      <c r="O186" s="51"/>
    </row>
    <row r="187" spans="12:15" ht="15" customHeight="1" x14ac:dyDescent="0.3">
      <c r="L187" t="str">
        <f t="shared" si="6"/>
        <v/>
      </c>
      <c r="O187" s="51"/>
    </row>
    <row r="188" spans="12:15" ht="15" customHeight="1" x14ac:dyDescent="0.3">
      <c r="L188" t="str">
        <f t="shared" si="6"/>
        <v/>
      </c>
      <c r="O188" s="51"/>
    </row>
    <row r="189" spans="12:15" ht="15" customHeight="1" x14ac:dyDescent="0.3">
      <c r="L189" t="str">
        <f t="shared" si="6"/>
        <v/>
      </c>
      <c r="O189" s="51"/>
    </row>
    <row r="190" spans="12:15" ht="15" customHeight="1" x14ac:dyDescent="0.3">
      <c r="L190" t="str">
        <f t="shared" si="6"/>
        <v/>
      </c>
      <c r="O190" s="51"/>
    </row>
    <row r="191" spans="12:15" ht="15" customHeight="1" x14ac:dyDescent="0.3">
      <c r="L191" t="str">
        <f t="shared" si="6"/>
        <v/>
      </c>
      <c r="O191" s="51"/>
    </row>
    <row r="192" spans="12:15" ht="15" customHeight="1" x14ac:dyDescent="0.3">
      <c r="L192" t="str">
        <f t="shared" si="6"/>
        <v/>
      </c>
      <c r="O192" s="51"/>
    </row>
    <row r="193" spans="12:15" ht="15" customHeight="1" x14ac:dyDescent="0.3">
      <c r="L193" t="str">
        <f t="shared" si="6"/>
        <v/>
      </c>
      <c r="O193" s="51"/>
    </row>
    <row r="194" spans="12:15" ht="15" customHeight="1" x14ac:dyDescent="0.3">
      <c r="L194" t="str">
        <f t="shared" si="6"/>
        <v/>
      </c>
      <c r="O194" s="51"/>
    </row>
    <row r="195" spans="12:15" ht="15" customHeight="1" x14ac:dyDescent="0.3">
      <c r="L195" t="str">
        <f t="shared" si="6"/>
        <v/>
      </c>
      <c r="O195" s="51"/>
    </row>
    <row r="196" spans="12:15" ht="15" customHeight="1" x14ac:dyDescent="0.3">
      <c r="L196" t="str">
        <f t="shared" ref="L196:L259" si="7">IF($A196="","",K196*D196)</f>
        <v/>
      </c>
      <c r="O196" s="51"/>
    </row>
    <row r="197" spans="12:15" ht="15" customHeight="1" x14ac:dyDescent="0.3">
      <c r="L197" t="str">
        <f t="shared" si="7"/>
        <v/>
      </c>
      <c r="O197" s="51"/>
    </row>
    <row r="198" spans="12:15" ht="15" customHeight="1" x14ac:dyDescent="0.3">
      <c r="L198" t="str">
        <f t="shared" si="7"/>
        <v/>
      </c>
      <c r="O198" s="51"/>
    </row>
    <row r="199" spans="12:15" ht="15" customHeight="1" x14ac:dyDescent="0.3">
      <c r="L199" t="str">
        <f t="shared" si="7"/>
        <v/>
      </c>
      <c r="O199" s="51"/>
    </row>
    <row r="200" spans="12:15" ht="15" customHeight="1" x14ac:dyDescent="0.3">
      <c r="L200" t="str">
        <f t="shared" si="7"/>
        <v/>
      </c>
      <c r="O200" s="51"/>
    </row>
    <row r="201" spans="12:15" ht="15" customHeight="1" x14ac:dyDescent="0.3">
      <c r="L201" t="str">
        <f t="shared" si="7"/>
        <v/>
      </c>
      <c r="O201" s="51"/>
    </row>
    <row r="202" spans="12:15" ht="15" customHeight="1" x14ac:dyDescent="0.3">
      <c r="L202" t="str">
        <f t="shared" si="7"/>
        <v/>
      </c>
      <c r="O202" s="51"/>
    </row>
    <row r="203" spans="12:15" ht="15" customHeight="1" x14ac:dyDescent="0.3">
      <c r="L203" t="str">
        <f t="shared" si="7"/>
        <v/>
      </c>
      <c r="O203" s="51"/>
    </row>
    <row r="204" spans="12:15" ht="15" customHeight="1" x14ac:dyDescent="0.3">
      <c r="L204" t="str">
        <f t="shared" si="7"/>
        <v/>
      </c>
      <c r="O204" s="51"/>
    </row>
    <row r="205" spans="12:15" ht="15" customHeight="1" x14ac:dyDescent="0.3">
      <c r="L205" t="str">
        <f t="shared" si="7"/>
        <v/>
      </c>
      <c r="O205" s="51"/>
    </row>
    <row r="206" spans="12:15" ht="15" customHeight="1" x14ac:dyDescent="0.3">
      <c r="L206" t="str">
        <f t="shared" si="7"/>
        <v/>
      </c>
      <c r="O206" s="51"/>
    </row>
    <row r="207" spans="12:15" ht="15" customHeight="1" x14ac:dyDescent="0.3">
      <c r="L207" t="str">
        <f t="shared" si="7"/>
        <v/>
      </c>
      <c r="O207" s="51"/>
    </row>
    <row r="208" spans="12:15" ht="15" customHeight="1" x14ac:dyDescent="0.3">
      <c r="L208" t="str">
        <f t="shared" si="7"/>
        <v/>
      </c>
      <c r="O208" s="51"/>
    </row>
    <row r="209" spans="12:15" ht="15" customHeight="1" x14ac:dyDescent="0.3">
      <c r="L209" t="str">
        <f t="shared" si="7"/>
        <v/>
      </c>
      <c r="O209" s="51"/>
    </row>
    <row r="210" spans="12:15" ht="15" customHeight="1" x14ac:dyDescent="0.3">
      <c r="L210" t="str">
        <f t="shared" si="7"/>
        <v/>
      </c>
      <c r="O210" s="51"/>
    </row>
    <row r="211" spans="12:15" ht="15" customHeight="1" x14ac:dyDescent="0.3">
      <c r="L211" t="str">
        <f t="shared" si="7"/>
        <v/>
      </c>
      <c r="O211" s="51"/>
    </row>
    <row r="212" spans="12:15" ht="15" customHeight="1" x14ac:dyDescent="0.3">
      <c r="L212" t="str">
        <f t="shared" si="7"/>
        <v/>
      </c>
      <c r="O212" s="51"/>
    </row>
    <row r="213" spans="12:15" ht="15" customHeight="1" x14ac:dyDescent="0.3">
      <c r="L213" t="str">
        <f t="shared" si="7"/>
        <v/>
      </c>
      <c r="O213" s="51"/>
    </row>
    <row r="214" spans="12:15" ht="15" customHeight="1" x14ac:dyDescent="0.3">
      <c r="L214" t="str">
        <f t="shared" si="7"/>
        <v/>
      </c>
      <c r="O214" s="51"/>
    </row>
    <row r="215" spans="12:15" ht="15" customHeight="1" x14ac:dyDescent="0.3">
      <c r="L215" t="str">
        <f t="shared" si="7"/>
        <v/>
      </c>
      <c r="O215" s="51"/>
    </row>
    <row r="216" spans="12:15" ht="15" customHeight="1" x14ac:dyDescent="0.3">
      <c r="L216" t="str">
        <f t="shared" si="7"/>
        <v/>
      </c>
      <c r="O216" s="51"/>
    </row>
    <row r="217" spans="12:15" ht="15" customHeight="1" x14ac:dyDescent="0.3">
      <c r="L217" t="str">
        <f t="shared" si="7"/>
        <v/>
      </c>
      <c r="O217" s="51"/>
    </row>
    <row r="218" spans="12:15" ht="15" customHeight="1" x14ac:dyDescent="0.3">
      <c r="L218" t="str">
        <f t="shared" si="7"/>
        <v/>
      </c>
      <c r="O218" s="51"/>
    </row>
    <row r="219" spans="12:15" ht="15" customHeight="1" x14ac:dyDescent="0.3">
      <c r="L219" t="str">
        <f t="shared" si="7"/>
        <v/>
      </c>
      <c r="O219" s="51"/>
    </row>
    <row r="220" spans="12:15" ht="15" customHeight="1" x14ac:dyDescent="0.3">
      <c r="L220" t="str">
        <f t="shared" si="7"/>
        <v/>
      </c>
      <c r="O220" s="51"/>
    </row>
    <row r="221" spans="12:15" ht="15" customHeight="1" x14ac:dyDescent="0.3">
      <c r="L221" t="str">
        <f t="shared" si="7"/>
        <v/>
      </c>
      <c r="O221" s="51"/>
    </row>
    <row r="222" spans="12:15" ht="15" customHeight="1" x14ac:dyDescent="0.3">
      <c r="L222" t="str">
        <f t="shared" si="7"/>
        <v/>
      </c>
      <c r="O222" s="51"/>
    </row>
    <row r="223" spans="12:15" ht="15" customHeight="1" x14ac:dyDescent="0.3">
      <c r="L223" t="str">
        <f t="shared" si="7"/>
        <v/>
      </c>
      <c r="O223" s="51"/>
    </row>
    <row r="224" spans="12:15" ht="15" customHeight="1" x14ac:dyDescent="0.3">
      <c r="L224" t="str">
        <f t="shared" si="7"/>
        <v/>
      </c>
      <c r="O224" s="51"/>
    </row>
    <row r="225" spans="12:15" ht="15" customHeight="1" x14ac:dyDescent="0.3">
      <c r="L225" t="str">
        <f t="shared" si="7"/>
        <v/>
      </c>
      <c r="O225" s="51"/>
    </row>
    <row r="226" spans="12:15" ht="15" customHeight="1" x14ac:dyDescent="0.3">
      <c r="L226" t="str">
        <f t="shared" si="7"/>
        <v/>
      </c>
      <c r="O226" s="51"/>
    </row>
    <row r="227" spans="12:15" ht="15" customHeight="1" x14ac:dyDescent="0.3">
      <c r="L227" t="str">
        <f t="shared" si="7"/>
        <v/>
      </c>
      <c r="O227" s="51"/>
    </row>
    <row r="228" spans="12:15" ht="15" customHeight="1" x14ac:dyDescent="0.3">
      <c r="L228" t="str">
        <f t="shared" si="7"/>
        <v/>
      </c>
      <c r="O228" s="51"/>
    </row>
    <row r="229" spans="12:15" ht="15" customHeight="1" x14ac:dyDescent="0.3">
      <c r="L229" t="str">
        <f t="shared" si="7"/>
        <v/>
      </c>
      <c r="O229" s="51"/>
    </row>
    <row r="230" spans="12:15" ht="15" customHeight="1" x14ac:dyDescent="0.3">
      <c r="L230" t="str">
        <f t="shared" si="7"/>
        <v/>
      </c>
      <c r="O230" s="51"/>
    </row>
    <row r="231" spans="12:15" ht="15" customHeight="1" x14ac:dyDescent="0.3">
      <c r="L231" t="str">
        <f t="shared" si="7"/>
        <v/>
      </c>
      <c r="O231" s="51"/>
    </row>
    <row r="232" spans="12:15" ht="15" customHeight="1" x14ac:dyDescent="0.3">
      <c r="L232" t="str">
        <f t="shared" si="7"/>
        <v/>
      </c>
      <c r="O232" s="51"/>
    </row>
    <row r="233" spans="12:15" ht="15" customHeight="1" x14ac:dyDescent="0.3">
      <c r="L233" t="str">
        <f t="shared" si="7"/>
        <v/>
      </c>
      <c r="O233" s="51"/>
    </row>
    <row r="234" spans="12:15" ht="15" customHeight="1" x14ac:dyDescent="0.3">
      <c r="L234" t="str">
        <f t="shared" si="7"/>
        <v/>
      </c>
      <c r="O234" s="51"/>
    </row>
    <row r="235" spans="12:15" ht="15" customHeight="1" x14ac:dyDescent="0.3">
      <c r="L235" t="str">
        <f t="shared" si="7"/>
        <v/>
      </c>
      <c r="O235" s="51"/>
    </row>
    <row r="236" spans="12:15" ht="15" customHeight="1" x14ac:dyDescent="0.3">
      <c r="L236" t="str">
        <f t="shared" si="7"/>
        <v/>
      </c>
      <c r="O236" s="51"/>
    </row>
    <row r="237" spans="12:15" ht="15" customHeight="1" x14ac:dyDescent="0.3">
      <c r="L237" t="str">
        <f t="shared" si="7"/>
        <v/>
      </c>
      <c r="O237" s="51"/>
    </row>
    <row r="238" spans="12:15" ht="15" customHeight="1" x14ac:dyDescent="0.3">
      <c r="L238" t="str">
        <f t="shared" si="7"/>
        <v/>
      </c>
      <c r="O238" s="51"/>
    </row>
    <row r="239" spans="12:15" ht="15" customHeight="1" x14ac:dyDescent="0.3">
      <c r="L239" t="str">
        <f t="shared" si="7"/>
        <v/>
      </c>
      <c r="O239" s="51"/>
    </row>
    <row r="240" spans="12:15" ht="15" customHeight="1" x14ac:dyDescent="0.3">
      <c r="L240" t="str">
        <f t="shared" si="7"/>
        <v/>
      </c>
      <c r="O240" s="51"/>
    </row>
    <row r="241" spans="12:15" ht="15" customHeight="1" x14ac:dyDescent="0.3">
      <c r="L241" t="str">
        <f t="shared" si="7"/>
        <v/>
      </c>
      <c r="O241" s="51"/>
    </row>
    <row r="242" spans="12:15" ht="15" customHeight="1" x14ac:dyDescent="0.3">
      <c r="L242" t="str">
        <f t="shared" si="7"/>
        <v/>
      </c>
      <c r="O242" s="51"/>
    </row>
    <row r="243" spans="12:15" ht="15" customHeight="1" x14ac:dyDescent="0.3">
      <c r="L243" t="str">
        <f t="shared" si="7"/>
        <v/>
      </c>
      <c r="O243" s="51"/>
    </row>
    <row r="244" spans="12:15" ht="15" customHeight="1" x14ac:dyDescent="0.3">
      <c r="L244" t="str">
        <f t="shared" si="7"/>
        <v/>
      </c>
      <c r="O244" s="51"/>
    </row>
    <row r="245" spans="12:15" ht="15" customHeight="1" x14ac:dyDescent="0.3">
      <c r="L245" t="str">
        <f t="shared" si="7"/>
        <v/>
      </c>
      <c r="O245" s="51"/>
    </row>
    <row r="246" spans="12:15" ht="15" customHeight="1" x14ac:dyDescent="0.3">
      <c r="L246" t="str">
        <f t="shared" si="7"/>
        <v/>
      </c>
      <c r="O246" s="51"/>
    </row>
    <row r="247" spans="12:15" ht="15" customHeight="1" x14ac:dyDescent="0.3">
      <c r="L247" t="str">
        <f t="shared" si="7"/>
        <v/>
      </c>
      <c r="O247" s="51"/>
    </row>
    <row r="248" spans="12:15" ht="15" customHeight="1" x14ac:dyDescent="0.3">
      <c r="L248" t="str">
        <f t="shared" si="7"/>
        <v/>
      </c>
      <c r="O248" s="51"/>
    </row>
    <row r="249" spans="12:15" ht="15" customHeight="1" x14ac:dyDescent="0.3">
      <c r="L249" t="str">
        <f t="shared" si="7"/>
        <v/>
      </c>
      <c r="O249" s="51"/>
    </row>
    <row r="250" spans="12:15" ht="15" customHeight="1" x14ac:dyDescent="0.3">
      <c r="L250" t="str">
        <f t="shared" si="7"/>
        <v/>
      </c>
      <c r="O250" s="51"/>
    </row>
    <row r="251" spans="12:15" ht="15" customHeight="1" x14ac:dyDescent="0.3">
      <c r="L251" t="str">
        <f t="shared" si="7"/>
        <v/>
      </c>
      <c r="O251" s="51"/>
    </row>
    <row r="252" spans="12:15" ht="15" customHeight="1" x14ac:dyDescent="0.3">
      <c r="L252" t="str">
        <f t="shared" si="7"/>
        <v/>
      </c>
      <c r="O252" s="51"/>
    </row>
    <row r="253" spans="12:15" ht="15" customHeight="1" x14ac:dyDescent="0.3">
      <c r="L253" t="str">
        <f t="shared" si="7"/>
        <v/>
      </c>
      <c r="O253" s="51"/>
    </row>
    <row r="254" spans="12:15" ht="15" customHeight="1" x14ac:dyDescent="0.3">
      <c r="L254" t="str">
        <f t="shared" si="7"/>
        <v/>
      </c>
      <c r="O254" s="51"/>
    </row>
    <row r="255" spans="12:15" ht="15" customHeight="1" x14ac:dyDescent="0.3">
      <c r="L255" t="str">
        <f t="shared" si="7"/>
        <v/>
      </c>
      <c r="O255" s="51"/>
    </row>
    <row r="256" spans="12:15" ht="15" customHeight="1" x14ac:dyDescent="0.3">
      <c r="L256" t="str">
        <f t="shared" si="7"/>
        <v/>
      </c>
      <c r="O256" s="51"/>
    </row>
    <row r="257" spans="12:15" ht="15" customHeight="1" x14ac:dyDescent="0.3">
      <c r="L257" t="str">
        <f t="shared" si="7"/>
        <v/>
      </c>
      <c r="O257" s="51"/>
    </row>
    <row r="258" spans="12:15" ht="15" customHeight="1" x14ac:dyDescent="0.3">
      <c r="L258" t="str">
        <f t="shared" si="7"/>
        <v/>
      </c>
      <c r="O258" s="51"/>
    </row>
    <row r="259" spans="12:15" ht="15" customHeight="1" x14ac:dyDescent="0.3">
      <c r="L259" t="str">
        <f t="shared" si="7"/>
        <v/>
      </c>
      <c r="O259" s="51"/>
    </row>
    <row r="260" spans="12:15" ht="15" customHeight="1" x14ac:dyDescent="0.3">
      <c r="L260" t="str">
        <f t="shared" ref="L260:L323" si="8">IF($A260="","",K260*D260)</f>
        <v/>
      </c>
      <c r="O260" s="51"/>
    </row>
    <row r="261" spans="12:15" ht="15" customHeight="1" x14ac:dyDescent="0.3">
      <c r="L261" t="str">
        <f t="shared" si="8"/>
        <v/>
      </c>
      <c r="O261" s="51"/>
    </row>
    <row r="262" spans="12:15" ht="15" customHeight="1" x14ac:dyDescent="0.3">
      <c r="L262" t="str">
        <f t="shared" si="8"/>
        <v/>
      </c>
      <c r="O262" s="51"/>
    </row>
    <row r="263" spans="12:15" ht="15" customHeight="1" x14ac:dyDescent="0.3">
      <c r="L263" t="str">
        <f t="shared" si="8"/>
        <v/>
      </c>
      <c r="O263" s="51"/>
    </row>
    <row r="264" spans="12:15" ht="15" customHeight="1" x14ac:dyDescent="0.3">
      <c r="L264" t="str">
        <f t="shared" si="8"/>
        <v/>
      </c>
      <c r="O264" s="51"/>
    </row>
    <row r="265" spans="12:15" ht="15" customHeight="1" x14ac:dyDescent="0.3">
      <c r="L265" t="str">
        <f t="shared" si="8"/>
        <v/>
      </c>
      <c r="O265" s="51"/>
    </row>
    <row r="266" spans="12:15" ht="15" customHeight="1" x14ac:dyDescent="0.3">
      <c r="L266" t="str">
        <f t="shared" si="8"/>
        <v/>
      </c>
      <c r="O266" s="51"/>
    </row>
    <row r="267" spans="12:15" ht="15" customHeight="1" x14ac:dyDescent="0.3">
      <c r="L267" t="str">
        <f t="shared" si="8"/>
        <v/>
      </c>
      <c r="O267" s="51"/>
    </row>
    <row r="268" spans="12:15" ht="15" customHeight="1" x14ac:dyDescent="0.3">
      <c r="L268" t="str">
        <f t="shared" si="8"/>
        <v/>
      </c>
      <c r="O268" s="51"/>
    </row>
    <row r="269" spans="12:15" ht="15" customHeight="1" x14ac:dyDescent="0.3">
      <c r="L269" t="str">
        <f t="shared" si="8"/>
        <v/>
      </c>
      <c r="O269" s="51"/>
    </row>
    <row r="270" spans="12:15" ht="15" customHeight="1" x14ac:dyDescent="0.3">
      <c r="L270" t="str">
        <f t="shared" si="8"/>
        <v/>
      </c>
      <c r="O270" s="51"/>
    </row>
    <row r="271" spans="12:15" ht="15" customHeight="1" x14ac:dyDescent="0.3">
      <c r="L271" t="str">
        <f t="shared" si="8"/>
        <v/>
      </c>
      <c r="O271" s="51"/>
    </row>
    <row r="272" spans="12:15" ht="15" customHeight="1" x14ac:dyDescent="0.3">
      <c r="L272" t="str">
        <f t="shared" si="8"/>
        <v/>
      </c>
      <c r="O272" s="51"/>
    </row>
    <row r="273" spans="12:15" ht="15" customHeight="1" x14ac:dyDescent="0.3">
      <c r="L273" t="str">
        <f t="shared" si="8"/>
        <v/>
      </c>
      <c r="O273" s="51"/>
    </row>
    <row r="274" spans="12:15" ht="15" customHeight="1" x14ac:dyDescent="0.3">
      <c r="L274" t="str">
        <f t="shared" si="8"/>
        <v/>
      </c>
      <c r="O274" s="51"/>
    </row>
    <row r="275" spans="12:15" ht="15" customHeight="1" x14ac:dyDescent="0.3">
      <c r="L275" t="str">
        <f t="shared" si="8"/>
        <v/>
      </c>
      <c r="O275" s="51"/>
    </row>
    <row r="276" spans="12:15" ht="15" customHeight="1" x14ac:dyDescent="0.3">
      <c r="L276" t="str">
        <f t="shared" si="8"/>
        <v/>
      </c>
      <c r="O276" s="51"/>
    </row>
    <row r="277" spans="12:15" ht="15" customHeight="1" x14ac:dyDescent="0.3">
      <c r="L277" t="str">
        <f t="shared" si="8"/>
        <v/>
      </c>
      <c r="O277" s="51"/>
    </row>
    <row r="278" spans="12:15" ht="15" customHeight="1" x14ac:dyDescent="0.3">
      <c r="L278" t="str">
        <f t="shared" si="8"/>
        <v/>
      </c>
      <c r="O278" s="51"/>
    </row>
    <row r="279" spans="12:15" ht="15" customHeight="1" x14ac:dyDescent="0.3">
      <c r="L279" t="str">
        <f t="shared" si="8"/>
        <v/>
      </c>
      <c r="O279" s="51"/>
    </row>
    <row r="280" spans="12:15" ht="15" customHeight="1" x14ac:dyDescent="0.3">
      <c r="L280" t="str">
        <f t="shared" si="8"/>
        <v/>
      </c>
      <c r="O280" s="51"/>
    </row>
    <row r="281" spans="12:15" ht="15" customHeight="1" x14ac:dyDescent="0.3">
      <c r="L281" t="str">
        <f t="shared" si="8"/>
        <v/>
      </c>
      <c r="O281" s="51"/>
    </row>
    <row r="282" spans="12:15" ht="15" customHeight="1" x14ac:dyDescent="0.3">
      <c r="L282" t="str">
        <f t="shared" si="8"/>
        <v/>
      </c>
      <c r="O282" s="51"/>
    </row>
    <row r="283" spans="12:15" ht="15" customHeight="1" x14ac:dyDescent="0.3">
      <c r="L283" t="str">
        <f t="shared" si="8"/>
        <v/>
      </c>
      <c r="O283" s="51"/>
    </row>
    <row r="284" spans="12:15" ht="15" customHeight="1" x14ac:dyDescent="0.3">
      <c r="L284" t="str">
        <f t="shared" si="8"/>
        <v/>
      </c>
      <c r="O284" s="51"/>
    </row>
    <row r="285" spans="12:15" ht="15" customHeight="1" x14ac:dyDescent="0.3">
      <c r="L285" t="str">
        <f t="shared" si="8"/>
        <v/>
      </c>
      <c r="O285" s="51"/>
    </row>
    <row r="286" spans="12:15" ht="15" customHeight="1" x14ac:dyDescent="0.3">
      <c r="L286" t="str">
        <f t="shared" si="8"/>
        <v/>
      </c>
      <c r="O286" s="51"/>
    </row>
    <row r="287" spans="12:15" ht="15" customHeight="1" x14ac:dyDescent="0.3">
      <c r="L287" t="str">
        <f t="shared" si="8"/>
        <v/>
      </c>
      <c r="O287" s="51"/>
    </row>
    <row r="288" spans="12:15" ht="15" customHeight="1" x14ac:dyDescent="0.3">
      <c r="L288" t="str">
        <f t="shared" si="8"/>
        <v/>
      </c>
      <c r="O288" s="51"/>
    </row>
    <row r="289" spans="12:15" ht="15" customHeight="1" x14ac:dyDescent="0.3">
      <c r="L289" t="str">
        <f t="shared" si="8"/>
        <v/>
      </c>
      <c r="O289" s="51"/>
    </row>
    <row r="290" spans="12:15" ht="15" customHeight="1" x14ac:dyDescent="0.3">
      <c r="L290" t="str">
        <f t="shared" si="8"/>
        <v/>
      </c>
      <c r="O290" s="51"/>
    </row>
    <row r="291" spans="12:15" ht="15" customHeight="1" x14ac:dyDescent="0.3">
      <c r="L291" t="str">
        <f t="shared" si="8"/>
        <v/>
      </c>
      <c r="O291" s="51"/>
    </row>
    <row r="292" spans="12:15" ht="15" customHeight="1" x14ac:dyDescent="0.3">
      <c r="L292" t="str">
        <f t="shared" si="8"/>
        <v/>
      </c>
      <c r="O292" s="51"/>
    </row>
    <row r="293" spans="12:15" ht="15" customHeight="1" x14ac:dyDescent="0.3">
      <c r="L293" t="str">
        <f t="shared" si="8"/>
        <v/>
      </c>
      <c r="O293" s="51"/>
    </row>
    <row r="294" spans="12:15" ht="15" customHeight="1" x14ac:dyDescent="0.3">
      <c r="L294" t="str">
        <f t="shared" si="8"/>
        <v/>
      </c>
      <c r="O294" s="51"/>
    </row>
    <row r="295" spans="12:15" ht="15" customHeight="1" x14ac:dyDescent="0.3">
      <c r="L295" t="str">
        <f t="shared" si="8"/>
        <v/>
      </c>
      <c r="O295" s="51"/>
    </row>
    <row r="296" spans="12:15" ht="15" customHeight="1" x14ac:dyDescent="0.3">
      <c r="L296" t="str">
        <f t="shared" si="8"/>
        <v/>
      </c>
      <c r="O296" s="51"/>
    </row>
    <row r="297" spans="12:15" ht="15" customHeight="1" x14ac:dyDescent="0.3">
      <c r="L297" t="str">
        <f t="shared" si="8"/>
        <v/>
      </c>
      <c r="O297" s="51"/>
    </row>
    <row r="298" spans="12:15" ht="15" customHeight="1" x14ac:dyDescent="0.3">
      <c r="L298" t="str">
        <f t="shared" si="8"/>
        <v/>
      </c>
      <c r="O298" s="51"/>
    </row>
    <row r="299" spans="12:15" ht="15" customHeight="1" x14ac:dyDescent="0.3">
      <c r="L299" t="str">
        <f t="shared" si="8"/>
        <v/>
      </c>
      <c r="O299" s="51"/>
    </row>
    <row r="300" spans="12:15" ht="15" customHeight="1" x14ac:dyDescent="0.3">
      <c r="L300" t="str">
        <f t="shared" si="8"/>
        <v/>
      </c>
      <c r="O300" s="51"/>
    </row>
    <row r="301" spans="12:15" ht="15" customHeight="1" x14ac:dyDescent="0.3">
      <c r="L301" t="str">
        <f t="shared" si="8"/>
        <v/>
      </c>
      <c r="O301" s="51"/>
    </row>
    <row r="302" spans="12:15" ht="15" customHeight="1" x14ac:dyDescent="0.3">
      <c r="L302" t="str">
        <f t="shared" si="8"/>
        <v/>
      </c>
      <c r="O302" s="51"/>
    </row>
    <row r="303" spans="12:15" ht="15" customHeight="1" x14ac:dyDescent="0.3">
      <c r="L303" t="str">
        <f t="shared" si="8"/>
        <v/>
      </c>
      <c r="O303" s="51"/>
    </row>
    <row r="304" spans="12:15" ht="15" customHeight="1" x14ac:dyDescent="0.3">
      <c r="L304" t="str">
        <f t="shared" si="8"/>
        <v/>
      </c>
      <c r="O304" s="51"/>
    </row>
    <row r="305" spans="12:15" ht="15" customHeight="1" x14ac:dyDescent="0.3">
      <c r="L305" t="str">
        <f t="shared" si="8"/>
        <v/>
      </c>
      <c r="O305" s="51"/>
    </row>
    <row r="306" spans="12:15" ht="15" customHeight="1" x14ac:dyDescent="0.3">
      <c r="L306" t="str">
        <f t="shared" si="8"/>
        <v/>
      </c>
      <c r="O306" s="51"/>
    </row>
    <row r="307" spans="12:15" ht="15" customHeight="1" x14ac:dyDescent="0.3">
      <c r="L307" t="str">
        <f t="shared" si="8"/>
        <v/>
      </c>
      <c r="O307" s="51"/>
    </row>
    <row r="308" spans="12:15" ht="15" customHeight="1" x14ac:dyDescent="0.3">
      <c r="L308" t="str">
        <f t="shared" si="8"/>
        <v/>
      </c>
      <c r="O308" s="51"/>
    </row>
    <row r="309" spans="12:15" ht="15" customHeight="1" x14ac:dyDescent="0.3">
      <c r="L309" t="str">
        <f t="shared" si="8"/>
        <v/>
      </c>
      <c r="O309" s="51"/>
    </row>
    <row r="310" spans="12:15" ht="15" customHeight="1" x14ac:dyDescent="0.3">
      <c r="L310" t="str">
        <f t="shared" si="8"/>
        <v/>
      </c>
      <c r="O310" s="51"/>
    </row>
    <row r="311" spans="12:15" ht="15" customHeight="1" x14ac:dyDescent="0.3">
      <c r="L311" t="str">
        <f t="shared" si="8"/>
        <v/>
      </c>
      <c r="O311" s="51"/>
    </row>
    <row r="312" spans="12:15" ht="15" customHeight="1" x14ac:dyDescent="0.3">
      <c r="L312" t="str">
        <f t="shared" si="8"/>
        <v/>
      </c>
      <c r="O312" s="51"/>
    </row>
    <row r="313" spans="12:15" ht="15" customHeight="1" x14ac:dyDescent="0.3">
      <c r="L313" t="str">
        <f t="shared" si="8"/>
        <v/>
      </c>
      <c r="O313" s="51"/>
    </row>
    <row r="314" spans="12:15" ht="15" customHeight="1" x14ac:dyDescent="0.3">
      <c r="L314" t="str">
        <f t="shared" si="8"/>
        <v/>
      </c>
      <c r="O314" s="51"/>
    </row>
    <row r="315" spans="12:15" ht="15" customHeight="1" x14ac:dyDescent="0.3">
      <c r="L315" t="str">
        <f t="shared" si="8"/>
        <v/>
      </c>
      <c r="O315" s="51"/>
    </row>
    <row r="316" spans="12:15" ht="15" customHeight="1" x14ac:dyDescent="0.3">
      <c r="L316" t="str">
        <f t="shared" si="8"/>
        <v/>
      </c>
      <c r="O316" s="51"/>
    </row>
    <row r="317" spans="12:15" ht="15" customHeight="1" x14ac:dyDescent="0.3">
      <c r="L317" t="str">
        <f t="shared" si="8"/>
        <v/>
      </c>
      <c r="O317" s="51"/>
    </row>
    <row r="318" spans="12:15" ht="15" customHeight="1" x14ac:dyDescent="0.3">
      <c r="L318" t="str">
        <f t="shared" si="8"/>
        <v/>
      </c>
      <c r="O318" s="51"/>
    </row>
    <row r="319" spans="12:15" ht="15" customHeight="1" x14ac:dyDescent="0.3">
      <c r="L319" t="str">
        <f t="shared" si="8"/>
        <v/>
      </c>
      <c r="O319" s="51"/>
    </row>
    <row r="320" spans="12:15" ht="15" customHeight="1" x14ac:dyDescent="0.3">
      <c r="L320" t="str">
        <f t="shared" si="8"/>
        <v/>
      </c>
      <c r="O320" s="51"/>
    </row>
    <row r="321" spans="12:15" ht="15" customHeight="1" x14ac:dyDescent="0.3">
      <c r="L321" t="str">
        <f t="shared" si="8"/>
        <v/>
      </c>
      <c r="O321" s="51"/>
    </row>
    <row r="322" spans="12:15" ht="15" customHeight="1" x14ac:dyDescent="0.3">
      <c r="L322" t="str">
        <f t="shared" si="8"/>
        <v/>
      </c>
      <c r="O322" s="51"/>
    </row>
    <row r="323" spans="12:15" ht="15" customHeight="1" x14ac:dyDescent="0.3">
      <c r="L323" t="str">
        <f t="shared" si="8"/>
        <v/>
      </c>
      <c r="O323" s="51"/>
    </row>
    <row r="324" spans="12:15" ht="15" customHeight="1" x14ac:dyDescent="0.3">
      <c r="L324" t="str">
        <f t="shared" ref="L324:L387" si="9">IF($A324="","",K324*D324)</f>
        <v/>
      </c>
      <c r="O324" s="51"/>
    </row>
    <row r="325" spans="12:15" ht="15" customHeight="1" x14ac:dyDescent="0.3">
      <c r="L325" t="str">
        <f t="shared" si="9"/>
        <v/>
      </c>
      <c r="O325" s="51"/>
    </row>
    <row r="326" spans="12:15" ht="15" customHeight="1" x14ac:dyDescent="0.3">
      <c r="L326" t="str">
        <f t="shared" si="9"/>
        <v/>
      </c>
      <c r="O326" s="51"/>
    </row>
    <row r="327" spans="12:15" ht="15" customHeight="1" x14ac:dyDescent="0.3">
      <c r="L327" t="str">
        <f t="shared" si="9"/>
        <v/>
      </c>
      <c r="O327" s="51"/>
    </row>
    <row r="328" spans="12:15" ht="15" customHeight="1" x14ac:dyDescent="0.3">
      <c r="L328" t="str">
        <f t="shared" si="9"/>
        <v/>
      </c>
      <c r="O328" s="51"/>
    </row>
    <row r="329" spans="12:15" ht="15" customHeight="1" x14ac:dyDescent="0.3">
      <c r="L329" t="str">
        <f t="shared" si="9"/>
        <v/>
      </c>
      <c r="O329" s="51"/>
    </row>
    <row r="330" spans="12:15" ht="15" customHeight="1" x14ac:dyDescent="0.3">
      <c r="L330" t="str">
        <f t="shared" si="9"/>
        <v/>
      </c>
      <c r="O330" s="51"/>
    </row>
    <row r="331" spans="12:15" ht="15" customHeight="1" x14ac:dyDescent="0.3">
      <c r="L331" t="str">
        <f t="shared" si="9"/>
        <v/>
      </c>
      <c r="O331" s="51"/>
    </row>
    <row r="332" spans="12:15" ht="15" customHeight="1" x14ac:dyDescent="0.3">
      <c r="L332" t="str">
        <f t="shared" si="9"/>
        <v/>
      </c>
      <c r="O332" s="51"/>
    </row>
    <row r="333" spans="12:15" ht="15" customHeight="1" x14ac:dyDescent="0.3">
      <c r="L333" t="str">
        <f t="shared" si="9"/>
        <v/>
      </c>
      <c r="O333" s="51"/>
    </row>
    <row r="334" spans="12:15" ht="15" customHeight="1" x14ac:dyDescent="0.3">
      <c r="L334" t="str">
        <f t="shared" si="9"/>
        <v/>
      </c>
      <c r="O334" s="51"/>
    </row>
    <row r="335" spans="12:15" ht="15" customHeight="1" x14ac:dyDescent="0.3">
      <c r="L335" t="str">
        <f t="shared" si="9"/>
        <v/>
      </c>
      <c r="O335" s="51"/>
    </row>
    <row r="336" spans="12:15" ht="15" customHeight="1" x14ac:dyDescent="0.3">
      <c r="L336" t="str">
        <f t="shared" si="9"/>
        <v/>
      </c>
      <c r="O336" s="51"/>
    </row>
    <row r="337" spans="12:15" ht="15" customHeight="1" x14ac:dyDescent="0.3">
      <c r="L337" t="str">
        <f t="shared" si="9"/>
        <v/>
      </c>
      <c r="O337" s="51"/>
    </row>
    <row r="338" spans="12:15" ht="15" customHeight="1" x14ac:dyDescent="0.3">
      <c r="L338" t="str">
        <f t="shared" si="9"/>
        <v/>
      </c>
      <c r="O338" s="51"/>
    </row>
    <row r="339" spans="12:15" ht="15" customHeight="1" x14ac:dyDescent="0.3">
      <c r="L339" t="str">
        <f t="shared" si="9"/>
        <v/>
      </c>
      <c r="O339" s="51"/>
    </row>
    <row r="340" spans="12:15" ht="15" customHeight="1" x14ac:dyDescent="0.3">
      <c r="L340" t="str">
        <f t="shared" si="9"/>
        <v/>
      </c>
      <c r="O340" s="51"/>
    </row>
    <row r="341" spans="12:15" ht="15" customHeight="1" x14ac:dyDescent="0.3">
      <c r="L341" t="str">
        <f t="shared" si="9"/>
        <v/>
      </c>
      <c r="O341" s="51"/>
    </row>
    <row r="342" spans="12:15" ht="15" customHeight="1" x14ac:dyDescent="0.3">
      <c r="L342" t="str">
        <f t="shared" si="9"/>
        <v/>
      </c>
      <c r="O342" s="51"/>
    </row>
    <row r="343" spans="12:15" ht="15" customHeight="1" x14ac:dyDescent="0.3">
      <c r="L343" t="str">
        <f t="shared" si="9"/>
        <v/>
      </c>
      <c r="O343" s="51"/>
    </row>
    <row r="344" spans="12:15" ht="15" customHeight="1" x14ac:dyDescent="0.3">
      <c r="L344" t="str">
        <f t="shared" si="9"/>
        <v/>
      </c>
      <c r="O344" s="51"/>
    </row>
    <row r="345" spans="12:15" ht="15" customHeight="1" x14ac:dyDescent="0.3">
      <c r="L345" t="str">
        <f t="shared" si="9"/>
        <v/>
      </c>
      <c r="O345" s="51"/>
    </row>
    <row r="346" spans="12:15" ht="15" customHeight="1" x14ac:dyDescent="0.3">
      <c r="L346" t="str">
        <f t="shared" si="9"/>
        <v/>
      </c>
      <c r="O346" s="51"/>
    </row>
    <row r="347" spans="12:15" ht="15" customHeight="1" x14ac:dyDescent="0.3">
      <c r="L347" t="str">
        <f t="shared" si="9"/>
        <v/>
      </c>
      <c r="O347" s="51"/>
    </row>
    <row r="348" spans="12:15" ht="15" customHeight="1" x14ac:dyDescent="0.3">
      <c r="L348" t="str">
        <f t="shared" si="9"/>
        <v/>
      </c>
      <c r="O348" s="51"/>
    </row>
    <row r="349" spans="12:15" ht="15" customHeight="1" x14ac:dyDescent="0.3">
      <c r="L349" t="str">
        <f t="shared" si="9"/>
        <v/>
      </c>
      <c r="O349" s="51"/>
    </row>
    <row r="350" spans="12:15" ht="15" customHeight="1" x14ac:dyDescent="0.3">
      <c r="L350" t="str">
        <f t="shared" si="9"/>
        <v/>
      </c>
      <c r="O350" s="51"/>
    </row>
    <row r="351" spans="12:15" ht="15" customHeight="1" x14ac:dyDescent="0.3">
      <c r="L351" t="str">
        <f t="shared" si="9"/>
        <v/>
      </c>
      <c r="O351" s="51"/>
    </row>
    <row r="352" spans="12:15" ht="15" customHeight="1" x14ac:dyDescent="0.3">
      <c r="L352" t="str">
        <f t="shared" si="9"/>
        <v/>
      </c>
      <c r="O352" s="51"/>
    </row>
    <row r="353" spans="12:15" ht="15" customHeight="1" x14ac:dyDescent="0.3">
      <c r="L353" t="str">
        <f t="shared" si="9"/>
        <v/>
      </c>
      <c r="O353" s="51"/>
    </row>
    <row r="354" spans="12:15" ht="15" customHeight="1" x14ac:dyDescent="0.3">
      <c r="L354" t="str">
        <f t="shared" si="9"/>
        <v/>
      </c>
      <c r="O354" s="51"/>
    </row>
    <row r="355" spans="12:15" ht="15" customHeight="1" x14ac:dyDescent="0.3">
      <c r="L355" t="str">
        <f t="shared" si="9"/>
        <v/>
      </c>
      <c r="O355" s="51"/>
    </row>
    <row r="356" spans="12:15" ht="15" customHeight="1" x14ac:dyDescent="0.3">
      <c r="L356" t="str">
        <f t="shared" si="9"/>
        <v/>
      </c>
      <c r="O356" s="51"/>
    </row>
    <row r="357" spans="12:15" ht="15" customHeight="1" x14ac:dyDescent="0.3">
      <c r="L357" t="str">
        <f t="shared" si="9"/>
        <v/>
      </c>
      <c r="O357" s="51"/>
    </row>
    <row r="358" spans="12:15" ht="15" customHeight="1" x14ac:dyDescent="0.3">
      <c r="L358" t="str">
        <f t="shared" si="9"/>
        <v/>
      </c>
      <c r="O358" s="51"/>
    </row>
    <row r="359" spans="12:15" ht="15" customHeight="1" x14ac:dyDescent="0.3">
      <c r="L359" t="str">
        <f t="shared" si="9"/>
        <v/>
      </c>
      <c r="O359" s="51"/>
    </row>
    <row r="360" spans="12:15" ht="15" customHeight="1" x14ac:dyDescent="0.3">
      <c r="L360" t="str">
        <f t="shared" si="9"/>
        <v/>
      </c>
      <c r="O360" s="51"/>
    </row>
    <row r="361" spans="12:15" ht="15" customHeight="1" x14ac:dyDescent="0.3">
      <c r="L361" t="str">
        <f t="shared" si="9"/>
        <v/>
      </c>
      <c r="O361" s="51"/>
    </row>
    <row r="362" spans="12:15" ht="15" customHeight="1" x14ac:dyDescent="0.3">
      <c r="L362" t="str">
        <f t="shared" si="9"/>
        <v/>
      </c>
      <c r="O362" s="51"/>
    </row>
    <row r="363" spans="12:15" ht="15" customHeight="1" x14ac:dyDescent="0.3">
      <c r="L363" t="str">
        <f t="shared" si="9"/>
        <v/>
      </c>
      <c r="O363" s="51"/>
    </row>
    <row r="364" spans="12:15" ht="15" customHeight="1" x14ac:dyDescent="0.3">
      <c r="L364" t="str">
        <f t="shared" si="9"/>
        <v/>
      </c>
      <c r="O364" s="51"/>
    </row>
    <row r="365" spans="12:15" ht="15" customHeight="1" x14ac:dyDescent="0.3">
      <c r="L365" t="str">
        <f t="shared" si="9"/>
        <v/>
      </c>
      <c r="O365" s="51"/>
    </row>
    <row r="366" spans="12:15" ht="15" customHeight="1" x14ac:dyDescent="0.3">
      <c r="L366" t="str">
        <f t="shared" si="9"/>
        <v/>
      </c>
      <c r="O366" s="51"/>
    </row>
    <row r="367" spans="12:15" ht="15" customHeight="1" x14ac:dyDescent="0.3">
      <c r="L367" t="str">
        <f t="shared" si="9"/>
        <v/>
      </c>
      <c r="O367" s="51"/>
    </row>
    <row r="368" spans="12:15" ht="15" customHeight="1" x14ac:dyDescent="0.3">
      <c r="L368" t="str">
        <f t="shared" si="9"/>
        <v/>
      </c>
      <c r="O368" s="51"/>
    </row>
    <row r="369" spans="12:15" ht="15" customHeight="1" x14ac:dyDescent="0.3">
      <c r="L369" t="str">
        <f t="shared" si="9"/>
        <v/>
      </c>
      <c r="O369" s="51"/>
    </row>
    <row r="370" spans="12:15" ht="15" customHeight="1" x14ac:dyDescent="0.3">
      <c r="L370" t="str">
        <f t="shared" si="9"/>
        <v/>
      </c>
      <c r="O370" s="51"/>
    </row>
    <row r="371" spans="12:15" ht="15" customHeight="1" x14ac:dyDescent="0.3">
      <c r="L371" t="str">
        <f t="shared" si="9"/>
        <v/>
      </c>
      <c r="O371" s="51"/>
    </row>
    <row r="372" spans="12:15" ht="15" customHeight="1" x14ac:dyDescent="0.3">
      <c r="L372" t="str">
        <f t="shared" si="9"/>
        <v/>
      </c>
      <c r="O372" s="51"/>
    </row>
    <row r="373" spans="12:15" ht="15" customHeight="1" x14ac:dyDescent="0.3">
      <c r="L373" t="str">
        <f t="shared" si="9"/>
        <v/>
      </c>
      <c r="O373" s="51"/>
    </row>
    <row r="374" spans="12:15" ht="15" customHeight="1" x14ac:dyDescent="0.3">
      <c r="L374" t="str">
        <f t="shared" si="9"/>
        <v/>
      </c>
      <c r="O374" s="51"/>
    </row>
    <row r="375" spans="12:15" ht="15" customHeight="1" x14ac:dyDescent="0.3">
      <c r="L375" t="str">
        <f t="shared" si="9"/>
        <v/>
      </c>
      <c r="O375" s="51"/>
    </row>
    <row r="376" spans="12:15" ht="15" customHeight="1" x14ac:dyDescent="0.3">
      <c r="L376" t="str">
        <f t="shared" si="9"/>
        <v/>
      </c>
      <c r="O376" s="51"/>
    </row>
    <row r="377" spans="12:15" ht="15" customHeight="1" x14ac:dyDescent="0.3">
      <c r="L377" t="str">
        <f t="shared" si="9"/>
        <v/>
      </c>
      <c r="O377" s="51"/>
    </row>
    <row r="378" spans="12:15" ht="15" customHeight="1" x14ac:dyDescent="0.3">
      <c r="L378" t="str">
        <f t="shared" si="9"/>
        <v/>
      </c>
      <c r="O378" s="51"/>
    </row>
    <row r="379" spans="12:15" ht="15" customHeight="1" x14ac:dyDescent="0.3">
      <c r="L379" t="str">
        <f t="shared" si="9"/>
        <v/>
      </c>
      <c r="O379" s="51"/>
    </row>
    <row r="380" spans="12:15" ht="15" customHeight="1" x14ac:dyDescent="0.3">
      <c r="L380" t="str">
        <f t="shared" si="9"/>
        <v/>
      </c>
      <c r="O380" s="51"/>
    </row>
    <row r="381" spans="12:15" ht="15" customHeight="1" x14ac:dyDescent="0.3">
      <c r="L381" t="str">
        <f t="shared" si="9"/>
        <v/>
      </c>
      <c r="O381" s="51"/>
    </row>
    <row r="382" spans="12:15" ht="15" customHeight="1" x14ac:dyDescent="0.3">
      <c r="L382" t="str">
        <f t="shared" si="9"/>
        <v/>
      </c>
      <c r="O382" s="51"/>
    </row>
    <row r="383" spans="12:15" ht="15" customHeight="1" x14ac:dyDescent="0.3">
      <c r="L383" t="str">
        <f t="shared" si="9"/>
        <v/>
      </c>
      <c r="O383" s="51"/>
    </row>
    <row r="384" spans="12:15" ht="15" customHeight="1" x14ac:dyDescent="0.3">
      <c r="L384" t="str">
        <f t="shared" si="9"/>
        <v/>
      </c>
      <c r="O384" s="51"/>
    </row>
    <row r="385" spans="12:15" ht="15" customHeight="1" x14ac:dyDescent="0.3">
      <c r="L385" t="str">
        <f t="shared" si="9"/>
        <v/>
      </c>
      <c r="O385" s="51"/>
    </row>
    <row r="386" spans="12:15" ht="15" customHeight="1" x14ac:dyDescent="0.3">
      <c r="L386" t="str">
        <f t="shared" si="9"/>
        <v/>
      </c>
      <c r="O386" s="51"/>
    </row>
    <row r="387" spans="12:15" ht="15" customHeight="1" x14ac:dyDescent="0.3">
      <c r="L387" t="str">
        <f t="shared" si="9"/>
        <v/>
      </c>
      <c r="O387" s="51"/>
    </row>
    <row r="388" spans="12:15" ht="15" customHeight="1" x14ac:dyDescent="0.3">
      <c r="L388" t="str">
        <f t="shared" ref="L388:L451" si="10">IF($A388="","",K388*D388)</f>
        <v/>
      </c>
      <c r="O388" s="51"/>
    </row>
    <row r="389" spans="12:15" ht="15" customHeight="1" x14ac:dyDescent="0.3">
      <c r="L389" t="str">
        <f t="shared" si="10"/>
        <v/>
      </c>
      <c r="O389" s="51"/>
    </row>
    <row r="390" spans="12:15" ht="15" customHeight="1" x14ac:dyDescent="0.3">
      <c r="L390" t="str">
        <f t="shared" si="10"/>
        <v/>
      </c>
      <c r="O390" s="51"/>
    </row>
    <row r="391" spans="12:15" ht="15" customHeight="1" x14ac:dyDescent="0.3">
      <c r="L391" t="str">
        <f t="shared" si="10"/>
        <v/>
      </c>
      <c r="O391" s="51"/>
    </row>
    <row r="392" spans="12:15" ht="15" customHeight="1" x14ac:dyDescent="0.3">
      <c r="L392" t="str">
        <f t="shared" si="10"/>
        <v/>
      </c>
      <c r="O392" s="51"/>
    </row>
    <row r="393" spans="12:15" ht="15" customHeight="1" x14ac:dyDescent="0.3">
      <c r="L393" t="str">
        <f t="shared" si="10"/>
        <v/>
      </c>
      <c r="O393" s="51"/>
    </row>
    <row r="394" spans="12:15" ht="15" customHeight="1" x14ac:dyDescent="0.3">
      <c r="L394" t="str">
        <f t="shared" si="10"/>
        <v/>
      </c>
      <c r="O394" s="51"/>
    </row>
    <row r="395" spans="12:15" ht="15" customHeight="1" x14ac:dyDescent="0.3">
      <c r="L395" t="str">
        <f t="shared" si="10"/>
        <v/>
      </c>
      <c r="O395" s="51"/>
    </row>
    <row r="396" spans="12:15" ht="15" customHeight="1" x14ac:dyDescent="0.3">
      <c r="L396" t="str">
        <f t="shared" si="10"/>
        <v/>
      </c>
      <c r="O396" s="51"/>
    </row>
    <row r="397" spans="12:15" ht="15" customHeight="1" x14ac:dyDescent="0.3">
      <c r="L397" t="str">
        <f t="shared" si="10"/>
        <v/>
      </c>
      <c r="O397" s="51"/>
    </row>
    <row r="398" spans="12:15" ht="15" customHeight="1" x14ac:dyDescent="0.3">
      <c r="L398" t="str">
        <f t="shared" si="10"/>
        <v/>
      </c>
      <c r="O398" s="51"/>
    </row>
    <row r="399" spans="12:15" ht="15" customHeight="1" x14ac:dyDescent="0.3">
      <c r="L399" t="str">
        <f t="shared" si="10"/>
        <v/>
      </c>
      <c r="O399" s="51"/>
    </row>
    <row r="400" spans="12:15" ht="15" customHeight="1" x14ac:dyDescent="0.3">
      <c r="L400" t="str">
        <f t="shared" si="10"/>
        <v/>
      </c>
      <c r="O400" s="51"/>
    </row>
    <row r="401" spans="12:15" ht="15" customHeight="1" x14ac:dyDescent="0.3">
      <c r="L401" t="str">
        <f t="shared" si="10"/>
        <v/>
      </c>
      <c r="O401" s="51"/>
    </row>
    <row r="402" spans="12:15" ht="15" customHeight="1" x14ac:dyDescent="0.3">
      <c r="L402" t="str">
        <f t="shared" si="10"/>
        <v/>
      </c>
      <c r="O402" s="51"/>
    </row>
    <row r="403" spans="12:15" ht="15" customHeight="1" x14ac:dyDescent="0.3">
      <c r="L403" t="str">
        <f t="shared" si="10"/>
        <v/>
      </c>
      <c r="O403" s="51"/>
    </row>
    <row r="404" spans="12:15" ht="15" customHeight="1" x14ac:dyDescent="0.3">
      <c r="L404" t="str">
        <f t="shared" si="10"/>
        <v/>
      </c>
      <c r="O404" s="51"/>
    </row>
    <row r="405" spans="12:15" ht="15" customHeight="1" x14ac:dyDescent="0.3">
      <c r="L405" t="str">
        <f t="shared" si="10"/>
        <v/>
      </c>
      <c r="O405" s="51"/>
    </row>
    <row r="406" spans="12:15" ht="15" customHeight="1" x14ac:dyDescent="0.3">
      <c r="L406" t="str">
        <f t="shared" si="10"/>
        <v/>
      </c>
      <c r="O406" s="51"/>
    </row>
    <row r="407" spans="12:15" ht="15" customHeight="1" x14ac:dyDescent="0.3">
      <c r="L407" t="str">
        <f t="shared" si="10"/>
        <v/>
      </c>
      <c r="O407" s="51"/>
    </row>
    <row r="408" spans="12:15" ht="15" customHeight="1" x14ac:dyDescent="0.3">
      <c r="L408" t="str">
        <f t="shared" si="10"/>
        <v/>
      </c>
      <c r="O408" s="51"/>
    </row>
    <row r="409" spans="12:15" ht="15" customHeight="1" x14ac:dyDescent="0.3">
      <c r="L409" t="str">
        <f t="shared" si="10"/>
        <v/>
      </c>
      <c r="O409" s="51"/>
    </row>
    <row r="410" spans="12:15" ht="15" customHeight="1" x14ac:dyDescent="0.3">
      <c r="L410" t="str">
        <f t="shared" si="10"/>
        <v/>
      </c>
      <c r="O410" s="51"/>
    </row>
    <row r="411" spans="12:15" ht="15" customHeight="1" x14ac:dyDescent="0.3">
      <c r="L411" t="str">
        <f t="shared" si="10"/>
        <v/>
      </c>
      <c r="O411" s="51"/>
    </row>
    <row r="412" spans="12:15" ht="15" customHeight="1" x14ac:dyDescent="0.3">
      <c r="L412" t="str">
        <f t="shared" si="10"/>
        <v/>
      </c>
      <c r="O412" s="51"/>
    </row>
    <row r="413" spans="12:15" ht="15" customHeight="1" x14ac:dyDescent="0.3">
      <c r="L413" t="str">
        <f t="shared" si="10"/>
        <v/>
      </c>
      <c r="O413" s="51"/>
    </row>
    <row r="414" spans="12:15" ht="15" customHeight="1" x14ac:dyDescent="0.3">
      <c r="L414" t="str">
        <f t="shared" si="10"/>
        <v/>
      </c>
      <c r="O414" s="51"/>
    </row>
    <row r="415" spans="12:15" ht="15" customHeight="1" x14ac:dyDescent="0.3">
      <c r="L415" t="str">
        <f t="shared" si="10"/>
        <v/>
      </c>
      <c r="O415" s="51"/>
    </row>
    <row r="416" spans="12:15" ht="15" customHeight="1" x14ac:dyDescent="0.3">
      <c r="L416" t="str">
        <f t="shared" si="10"/>
        <v/>
      </c>
      <c r="O416" s="51"/>
    </row>
    <row r="417" spans="12:15" ht="15" customHeight="1" x14ac:dyDescent="0.3">
      <c r="L417" t="str">
        <f t="shared" si="10"/>
        <v/>
      </c>
      <c r="O417" s="51"/>
    </row>
    <row r="418" spans="12:15" ht="15" customHeight="1" x14ac:dyDescent="0.3">
      <c r="L418" t="str">
        <f t="shared" si="10"/>
        <v/>
      </c>
      <c r="O418" s="51"/>
    </row>
    <row r="419" spans="12:15" ht="15" customHeight="1" x14ac:dyDescent="0.3">
      <c r="L419" t="str">
        <f t="shared" si="10"/>
        <v/>
      </c>
      <c r="O419" s="51"/>
    </row>
    <row r="420" spans="12:15" ht="15" customHeight="1" x14ac:dyDescent="0.3">
      <c r="L420" t="str">
        <f t="shared" si="10"/>
        <v/>
      </c>
      <c r="O420" s="51"/>
    </row>
    <row r="421" spans="12:15" ht="15" customHeight="1" x14ac:dyDescent="0.3">
      <c r="L421" t="str">
        <f t="shared" si="10"/>
        <v/>
      </c>
      <c r="O421" s="51"/>
    </row>
    <row r="422" spans="12:15" ht="15" customHeight="1" x14ac:dyDescent="0.3">
      <c r="L422" t="str">
        <f t="shared" si="10"/>
        <v/>
      </c>
      <c r="O422" s="51"/>
    </row>
    <row r="423" spans="12:15" ht="15" customHeight="1" x14ac:dyDescent="0.3">
      <c r="L423" t="str">
        <f t="shared" si="10"/>
        <v/>
      </c>
      <c r="O423" s="51"/>
    </row>
    <row r="424" spans="12:15" ht="15" customHeight="1" x14ac:dyDescent="0.3">
      <c r="L424" t="str">
        <f t="shared" si="10"/>
        <v/>
      </c>
      <c r="O424" s="51"/>
    </row>
    <row r="425" spans="12:15" ht="15" customHeight="1" x14ac:dyDescent="0.3">
      <c r="L425" t="str">
        <f t="shared" si="10"/>
        <v/>
      </c>
      <c r="O425" s="51"/>
    </row>
    <row r="426" spans="12:15" ht="15" customHeight="1" x14ac:dyDescent="0.3">
      <c r="L426" t="str">
        <f t="shared" si="10"/>
        <v/>
      </c>
      <c r="O426" s="51"/>
    </row>
    <row r="427" spans="12:15" ht="15" customHeight="1" x14ac:dyDescent="0.3">
      <c r="L427" t="str">
        <f t="shared" si="10"/>
        <v/>
      </c>
      <c r="O427" s="51"/>
    </row>
    <row r="428" spans="12:15" ht="15" customHeight="1" x14ac:dyDescent="0.3">
      <c r="L428" t="str">
        <f t="shared" si="10"/>
        <v/>
      </c>
      <c r="O428" s="51"/>
    </row>
    <row r="429" spans="12:15" ht="15" customHeight="1" x14ac:dyDescent="0.3">
      <c r="L429" t="str">
        <f t="shared" si="10"/>
        <v/>
      </c>
      <c r="O429" s="51"/>
    </row>
    <row r="430" spans="12:15" ht="15" customHeight="1" x14ac:dyDescent="0.3">
      <c r="L430" t="str">
        <f t="shared" si="10"/>
        <v/>
      </c>
      <c r="O430" s="51"/>
    </row>
    <row r="431" spans="12:15" ht="15" customHeight="1" x14ac:dyDescent="0.3">
      <c r="L431" t="str">
        <f t="shared" si="10"/>
        <v/>
      </c>
      <c r="O431" s="51"/>
    </row>
    <row r="432" spans="12:15" ht="15" customHeight="1" x14ac:dyDescent="0.3">
      <c r="L432" t="str">
        <f t="shared" si="10"/>
        <v/>
      </c>
      <c r="O432" s="51"/>
    </row>
    <row r="433" spans="12:15" ht="15" customHeight="1" x14ac:dyDescent="0.3">
      <c r="L433" t="str">
        <f t="shared" si="10"/>
        <v/>
      </c>
      <c r="O433" s="51"/>
    </row>
    <row r="434" spans="12:15" ht="15" customHeight="1" x14ac:dyDescent="0.3">
      <c r="L434" t="str">
        <f t="shared" si="10"/>
        <v/>
      </c>
      <c r="O434" s="51"/>
    </row>
    <row r="435" spans="12:15" ht="15" customHeight="1" x14ac:dyDescent="0.3">
      <c r="L435" t="str">
        <f t="shared" si="10"/>
        <v/>
      </c>
      <c r="O435" s="51"/>
    </row>
    <row r="436" spans="12:15" ht="15" customHeight="1" x14ac:dyDescent="0.3">
      <c r="L436" t="str">
        <f t="shared" si="10"/>
        <v/>
      </c>
      <c r="O436" s="51"/>
    </row>
    <row r="437" spans="12:15" ht="15" customHeight="1" x14ac:dyDescent="0.3">
      <c r="L437" t="str">
        <f t="shared" si="10"/>
        <v/>
      </c>
      <c r="O437" s="51"/>
    </row>
    <row r="438" spans="12:15" ht="15" customHeight="1" x14ac:dyDescent="0.3">
      <c r="L438" t="str">
        <f t="shared" si="10"/>
        <v/>
      </c>
      <c r="O438" s="51"/>
    </row>
    <row r="439" spans="12:15" ht="15" customHeight="1" x14ac:dyDescent="0.3">
      <c r="L439" t="str">
        <f t="shared" si="10"/>
        <v/>
      </c>
      <c r="O439" s="51"/>
    </row>
    <row r="440" spans="12:15" ht="15" customHeight="1" x14ac:dyDescent="0.3">
      <c r="L440" t="str">
        <f t="shared" si="10"/>
        <v/>
      </c>
      <c r="O440" s="51"/>
    </row>
    <row r="441" spans="12:15" ht="15" customHeight="1" x14ac:dyDescent="0.3">
      <c r="L441" t="str">
        <f t="shared" si="10"/>
        <v/>
      </c>
      <c r="O441" s="51"/>
    </row>
    <row r="442" spans="12:15" ht="15" customHeight="1" x14ac:dyDescent="0.3">
      <c r="L442" t="str">
        <f t="shared" si="10"/>
        <v/>
      </c>
      <c r="O442" s="51"/>
    </row>
    <row r="443" spans="12:15" ht="15" customHeight="1" x14ac:dyDescent="0.3">
      <c r="L443" t="str">
        <f t="shared" si="10"/>
        <v/>
      </c>
      <c r="O443" s="51"/>
    </row>
    <row r="444" spans="12:15" ht="15" customHeight="1" x14ac:dyDescent="0.3">
      <c r="L444" t="str">
        <f t="shared" si="10"/>
        <v/>
      </c>
      <c r="O444" s="51"/>
    </row>
    <row r="445" spans="12:15" ht="15" customHeight="1" x14ac:dyDescent="0.3">
      <c r="L445" t="str">
        <f t="shared" si="10"/>
        <v/>
      </c>
      <c r="O445" s="51"/>
    </row>
    <row r="446" spans="12:15" ht="15" customHeight="1" x14ac:dyDescent="0.3">
      <c r="L446" t="str">
        <f t="shared" si="10"/>
        <v/>
      </c>
      <c r="O446" s="51"/>
    </row>
    <row r="447" spans="12:15" ht="15" customHeight="1" x14ac:dyDescent="0.3">
      <c r="L447" t="str">
        <f t="shared" si="10"/>
        <v/>
      </c>
      <c r="O447" s="51"/>
    </row>
    <row r="448" spans="12:15" ht="15" customHeight="1" x14ac:dyDescent="0.3">
      <c r="L448" t="str">
        <f t="shared" si="10"/>
        <v/>
      </c>
      <c r="O448" s="51"/>
    </row>
    <row r="449" spans="12:15" ht="15" customHeight="1" x14ac:dyDescent="0.3">
      <c r="L449" t="str">
        <f t="shared" si="10"/>
        <v/>
      </c>
      <c r="O449" s="51"/>
    </row>
    <row r="450" spans="12:15" ht="15" customHeight="1" x14ac:dyDescent="0.3">
      <c r="L450" t="str">
        <f t="shared" si="10"/>
        <v/>
      </c>
      <c r="O450" s="51"/>
    </row>
    <row r="451" spans="12:15" ht="15" customHeight="1" x14ac:dyDescent="0.3">
      <c r="L451" t="str">
        <f t="shared" si="10"/>
        <v/>
      </c>
      <c r="O451" s="51"/>
    </row>
    <row r="452" spans="12:15" ht="15" customHeight="1" x14ac:dyDescent="0.3">
      <c r="L452" t="str">
        <f t="shared" ref="L452:L515" si="11">IF($A452="","",K452*D452)</f>
        <v/>
      </c>
      <c r="O452" s="51"/>
    </row>
    <row r="453" spans="12:15" ht="15" customHeight="1" x14ac:dyDescent="0.3">
      <c r="L453" t="str">
        <f t="shared" si="11"/>
        <v/>
      </c>
      <c r="O453" s="51"/>
    </row>
    <row r="454" spans="12:15" ht="15" customHeight="1" x14ac:dyDescent="0.3">
      <c r="L454" t="str">
        <f t="shared" si="11"/>
        <v/>
      </c>
      <c r="O454" s="51"/>
    </row>
    <row r="455" spans="12:15" ht="15" customHeight="1" x14ac:dyDescent="0.3">
      <c r="L455" t="str">
        <f t="shared" si="11"/>
        <v/>
      </c>
      <c r="O455" s="51"/>
    </row>
    <row r="456" spans="12:15" ht="15" customHeight="1" x14ac:dyDescent="0.3">
      <c r="L456" t="str">
        <f t="shared" si="11"/>
        <v/>
      </c>
      <c r="O456" s="51"/>
    </row>
    <row r="457" spans="12:15" ht="15" customHeight="1" x14ac:dyDescent="0.3">
      <c r="L457" t="str">
        <f t="shared" si="11"/>
        <v/>
      </c>
      <c r="O457" s="51"/>
    </row>
    <row r="458" spans="12:15" ht="15" customHeight="1" x14ac:dyDescent="0.3">
      <c r="L458" t="str">
        <f t="shared" si="11"/>
        <v/>
      </c>
      <c r="O458" s="51"/>
    </row>
    <row r="459" spans="12:15" ht="15" customHeight="1" x14ac:dyDescent="0.3">
      <c r="L459" t="str">
        <f t="shared" si="11"/>
        <v/>
      </c>
      <c r="O459" s="51"/>
    </row>
    <row r="460" spans="12:15" ht="15" customHeight="1" x14ac:dyDescent="0.3">
      <c r="L460" t="str">
        <f t="shared" si="11"/>
        <v/>
      </c>
      <c r="O460" s="51"/>
    </row>
    <row r="461" spans="12:15" ht="15" customHeight="1" x14ac:dyDescent="0.3">
      <c r="L461" t="str">
        <f t="shared" si="11"/>
        <v/>
      </c>
      <c r="O461" s="51"/>
    </row>
    <row r="462" spans="12:15" ht="15" customHeight="1" x14ac:dyDescent="0.3">
      <c r="L462" t="str">
        <f t="shared" si="11"/>
        <v/>
      </c>
      <c r="O462" s="51"/>
    </row>
    <row r="463" spans="12:15" ht="15" customHeight="1" x14ac:dyDescent="0.3">
      <c r="L463" t="str">
        <f t="shared" si="11"/>
        <v/>
      </c>
      <c r="O463" s="51"/>
    </row>
    <row r="464" spans="12:15" ht="15" customHeight="1" x14ac:dyDescent="0.3">
      <c r="L464" t="str">
        <f t="shared" si="11"/>
        <v/>
      </c>
      <c r="O464" s="51"/>
    </row>
    <row r="465" spans="12:15" ht="15" customHeight="1" x14ac:dyDescent="0.3">
      <c r="L465" t="str">
        <f t="shared" si="11"/>
        <v/>
      </c>
      <c r="O465" s="51"/>
    </row>
    <row r="466" spans="12:15" ht="15" customHeight="1" x14ac:dyDescent="0.3">
      <c r="L466" t="str">
        <f t="shared" si="11"/>
        <v/>
      </c>
      <c r="O466" s="51"/>
    </row>
    <row r="467" spans="12:15" ht="15" customHeight="1" x14ac:dyDescent="0.3">
      <c r="L467" t="str">
        <f t="shared" si="11"/>
        <v/>
      </c>
      <c r="O467" s="51"/>
    </row>
    <row r="468" spans="12:15" ht="15" customHeight="1" x14ac:dyDescent="0.3">
      <c r="L468" t="str">
        <f t="shared" si="11"/>
        <v/>
      </c>
      <c r="O468" s="51"/>
    </row>
    <row r="469" spans="12:15" ht="15" customHeight="1" x14ac:dyDescent="0.3">
      <c r="L469" t="str">
        <f t="shared" si="11"/>
        <v/>
      </c>
      <c r="O469" s="51"/>
    </row>
    <row r="470" spans="12:15" ht="15" customHeight="1" x14ac:dyDescent="0.3">
      <c r="L470" t="str">
        <f t="shared" si="11"/>
        <v/>
      </c>
      <c r="O470" s="51"/>
    </row>
    <row r="471" spans="12:15" ht="15" customHeight="1" x14ac:dyDescent="0.3">
      <c r="L471" t="str">
        <f t="shared" si="11"/>
        <v/>
      </c>
      <c r="O471" s="51"/>
    </row>
    <row r="472" spans="12:15" ht="15" customHeight="1" x14ac:dyDescent="0.3">
      <c r="L472" t="str">
        <f t="shared" si="11"/>
        <v/>
      </c>
      <c r="O472" s="51"/>
    </row>
    <row r="473" spans="12:15" ht="15" customHeight="1" x14ac:dyDescent="0.3">
      <c r="L473" t="str">
        <f t="shared" si="11"/>
        <v/>
      </c>
      <c r="O473" s="51"/>
    </row>
    <row r="474" spans="12:15" ht="15" customHeight="1" x14ac:dyDescent="0.3">
      <c r="L474" t="str">
        <f t="shared" si="11"/>
        <v/>
      </c>
      <c r="O474" s="51"/>
    </row>
    <row r="475" spans="12:15" ht="15" customHeight="1" x14ac:dyDescent="0.3">
      <c r="L475" t="str">
        <f t="shared" si="11"/>
        <v/>
      </c>
      <c r="O475" s="51"/>
    </row>
    <row r="476" spans="12:15" ht="15" customHeight="1" x14ac:dyDescent="0.3">
      <c r="L476" t="str">
        <f t="shared" si="11"/>
        <v/>
      </c>
      <c r="O476" s="51"/>
    </row>
    <row r="477" spans="12:15" ht="15" customHeight="1" x14ac:dyDescent="0.3">
      <c r="L477" t="str">
        <f t="shared" si="11"/>
        <v/>
      </c>
      <c r="O477" s="51"/>
    </row>
    <row r="478" spans="12:15" ht="15" customHeight="1" x14ac:dyDescent="0.3">
      <c r="L478" t="str">
        <f t="shared" si="11"/>
        <v/>
      </c>
      <c r="O478" s="51"/>
    </row>
    <row r="479" spans="12:15" ht="15" customHeight="1" x14ac:dyDescent="0.3">
      <c r="L479" t="str">
        <f t="shared" si="11"/>
        <v/>
      </c>
      <c r="O479" s="51"/>
    </row>
    <row r="480" spans="12:15" ht="15" customHeight="1" x14ac:dyDescent="0.3">
      <c r="L480" t="str">
        <f t="shared" si="11"/>
        <v/>
      </c>
      <c r="O480" s="51"/>
    </row>
    <row r="481" spans="12:15" ht="15" customHeight="1" x14ac:dyDescent="0.3">
      <c r="L481" t="str">
        <f t="shared" si="11"/>
        <v/>
      </c>
      <c r="O481" s="51"/>
    </row>
    <row r="482" spans="12:15" ht="15" customHeight="1" x14ac:dyDescent="0.3">
      <c r="L482" t="str">
        <f t="shared" si="11"/>
        <v/>
      </c>
      <c r="O482" s="51"/>
    </row>
    <row r="483" spans="12:15" ht="15" customHeight="1" x14ac:dyDescent="0.3">
      <c r="L483" t="str">
        <f t="shared" si="11"/>
        <v/>
      </c>
      <c r="O483" s="51"/>
    </row>
    <row r="484" spans="12:15" ht="15" customHeight="1" x14ac:dyDescent="0.3">
      <c r="L484" t="str">
        <f t="shared" si="11"/>
        <v/>
      </c>
      <c r="O484" s="51"/>
    </row>
    <row r="485" spans="12:15" ht="15" customHeight="1" x14ac:dyDescent="0.3">
      <c r="L485" t="str">
        <f t="shared" si="11"/>
        <v/>
      </c>
      <c r="O485" s="51"/>
    </row>
    <row r="486" spans="12:15" ht="15" customHeight="1" x14ac:dyDescent="0.3">
      <c r="L486" t="str">
        <f t="shared" si="11"/>
        <v/>
      </c>
      <c r="O486" s="51"/>
    </row>
    <row r="487" spans="12:15" ht="15" customHeight="1" x14ac:dyDescent="0.3">
      <c r="L487" t="str">
        <f t="shared" si="11"/>
        <v/>
      </c>
      <c r="O487" s="51"/>
    </row>
    <row r="488" spans="12:15" ht="15" customHeight="1" x14ac:dyDescent="0.3">
      <c r="L488" t="str">
        <f t="shared" si="11"/>
        <v/>
      </c>
      <c r="O488" s="51"/>
    </row>
    <row r="489" spans="12:15" ht="15" customHeight="1" x14ac:dyDescent="0.3">
      <c r="L489" t="str">
        <f t="shared" si="11"/>
        <v/>
      </c>
      <c r="O489" s="51"/>
    </row>
    <row r="490" spans="12:15" ht="15" customHeight="1" x14ac:dyDescent="0.3">
      <c r="L490" t="str">
        <f t="shared" si="11"/>
        <v/>
      </c>
      <c r="O490" s="51"/>
    </row>
    <row r="491" spans="12:15" ht="15" customHeight="1" x14ac:dyDescent="0.3">
      <c r="L491" t="str">
        <f t="shared" si="11"/>
        <v/>
      </c>
      <c r="O491" s="51"/>
    </row>
    <row r="492" spans="12:15" ht="15" customHeight="1" x14ac:dyDescent="0.3">
      <c r="L492" t="str">
        <f t="shared" si="11"/>
        <v/>
      </c>
      <c r="O492" s="51"/>
    </row>
    <row r="493" spans="12:15" ht="15" customHeight="1" x14ac:dyDescent="0.3">
      <c r="L493" t="str">
        <f t="shared" si="11"/>
        <v/>
      </c>
      <c r="O493" s="51"/>
    </row>
    <row r="494" spans="12:15" ht="15" customHeight="1" x14ac:dyDescent="0.3">
      <c r="L494" t="str">
        <f t="shared" si="11"/>
        <v/>
      </c>
      <c r="O494" s="51"/>
    </row>
    <row r="495" spans="12:15" ht="15" customHeight="1" x14ac:dyDescent="0.3">
      <c r="L495" t="str">
        <f t="shared" si="11"/>
        <v/>
      </c>
      <c r="O495" s="51"/>
    </row>
    <row r="496" spans="12:15" ht="15" customHeight="1" x14ac:dyDescent="0.3">
      <c r="L496" t="str">
        <f t="shared" si="11"/>
        <v/>
      </c>
      <c r="O496" s="51"/>
    </row>
    <row r="497" spans="12:15" ht="15" customHeight="1" x14ac:dyDescent="0.3">
      <c r="L497" t="str">
        <f t="shared" si="11"/>
        <v/>
      </c>
      <c r="O497" s="51"/>
    </row>
    <row r="498" spans="12:15" ht="15" customHeight="1" x14ac:dyDescent="0.3">
      <c r="L498" t="str">
        <f t="shared" si="11"/>
        <v/>
      </c>
      <c r="O498" s="51"/>
    </row>
    <row r="499" spans="12:15" ht="15" customHeight="1" x14ac:dyDescent="0.3">
      <c r="L499" t="str">
        <f t="shared" si="11"/>
        <v/>
      </c>
      <c r="O499" s="51"/>
    </row>
    <row r="500" spans="12:15" ht="15" customHeight="1" x14ac:dyDescent="0.3">
      <c r="L500" t="str">
        <f t="shared" si="11"/>
        <v/>
      </c>
      <c r="O500" s="51"/>
    </row>
  </sheetData>
  <conditionalFormatting sqref="P4:BV103">
    <cfRule type="expression" dxfId="39" priority="2">
      <formula>AND($A4&lt;&gt;"",P$3&gt;=INT($J4),P$3&lt;=INT($M4))</formula>
    </cfRule>
  </conditionalFormatting>
  <printOptions horizontalCentered="1"/>
  <pageMargins left="0.7" right="0.7" top="0.75" bottom="0.75" header="0.511811023622047" footer="0.511811023622047"/>
  <pageSetup fitToHeight="0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CG500"/>
  <sheetViews>
    <sheetView topLeftCell="A12" zoomScale="55" zoomScaleNormal="55" workbookViewId="0">
      <selection activeCell="CE18" sqref="CE18"/>
    </sheetView>
  </sheetViews>
  <sheetFormatPr defaultColWidth="8.6640625" defaultRowHeight="14.4" x14ac:dyDescent="0.3"/>
  <cols>
    <col min="1" max="1" width="6.5546875" bestFit="1" customWidth="1"/>
    <col min="2" max="2" width="4.33203125" bestFit="1" customWidth="1"/>
    <col min="3" max="3" width="5.21875" bestFit="1" customWidth="1"/>
    <col min="4" max="4" width="5.109375" bestFit="1" customWidth="1"/>
    <col min="5" max="5" width="15.44140625" bestFit="1" customWidth="1"/>
    <col min="6" max="6" width="14.33203125" style="107" customWidth="1"/>
    <col min="7" max="7" width="11.88671875" bestFit="1" customWidth="1"/>
    <col min="8" max="8" width="6.5546875" bestFit="1" customWidth="1"/>
    <col min="9" max="9" width="8" bestFit="1" customWidth="1"/>
    <col min="10" max="10" width="16.44140625" bestFit="1" customWidth="1"/>
    <col min="11" max="11" width="6.6640625" bestFit="1" customWidth="1"/>
    <col min="12" max="12" width="9.21875" bestFit="1" customWidth="1"/>
    <col min="13" max="13" width="16.44140625" bestFit="1" customWidth="1"/>
    <col min="14" max="14" width="9.88671875" bestFit="1" customWidth="1"/>
    <col min="15" max="15" width="21.88671875" bestFit="1" customWidth="1"/>
    <col min="16" max="24" width="4.5546875" bestFit="1" customWidth="1"/>
    <col min="25" max="45" width="5.44140625" bestFit="1" customWidth="1"/>
    <col min="46" max="54" width="4.88671875" bestFit="1" customWidth="1"/>
    <col min="55" max="74" width="5.77734375" bestFit="1" customWidth="1"/>
    <col min="75" max="75" width="12" bestFit="1" customWidth="1"/>
    <col min="76" max="76" width="31.109375" bestFit="1" customWidth="1"/>
    <col min="77" max="77" width="8.88671875" bestFit="1" customWidth="1"/>
    <col min="78" max="78" width="8.21875" bestFit="1" customWidth="1"/>
    <col min="79" max="79" width="7.6640625" bestFit="1" customWidth="1"/>
    <col min="80" max="80" width="8.5546875" bestFit="1" customWidth="1"/>
    <col min="81" max="81" width="8.44140625" bestFit="1" customWidth="1"/>
    <col min="82" max="82" width="8.21875" bestFit="1" customWidth="1"/>
    <col min="83" max="83" width="8.5546875" bestFit="1" customWidth="1"/>
    <col min="84" max="84" width="8.44140625" bestFit="1" customWidth="1"/>
    <col min="85" max="85" width="8.109375" bestFit="1" customWidth="1"/>
    <col min="86" max="86" width="12.88671875" customWidth="1"/>
    <col min="87" max="100" width="13" customWidth="1"/>
  </cols>
  <sheetData>
    <row r="1" spans="1:85" ht="15" customHeight="1" x14ac:dyDescent="0.3">
      <c r="D1" s="31"/>
      <c r="E1" s="32"/>
      <c r="F1" s="103"/>
      <c r="G1" s="31"/>
      <c r="H1" s="31"/>
      <c r="I1" s="31"/>
      <c r="J1" s="31"/>
      <c r="K1" s="31"/>
      <c r="L1" s="31"/>
      <c r="M1" s="31"/>
      <c r="N1" s="31"/>
      <c r="BW1" s="31"/>
      <c r="BX1" s="33" t="s">
        <v>254</v>
      </c>
      <c r="BY1" s="31"/>
      <c r="BZ1" s="31"/>
      <c r="CA1" s="31"/>
      <c r="CB1" s="31"/>
      <c r="CC1" s="31"/>
      <c r="CD1" s="31"/>
      <c r="CE1" s="31"/>
      <c r="CF1" s="31"/>
      <c r="CG1" s="31"/>
    </row>
    <row r="2" spans="1:85" ht="15" customHeight="1" x14ac:dyDescent="0.3">
      <c r="D2" s="31"/>
      <c r="E2" s="34"/>
      <c r="F2" s="104"/>
      <c r="G2" s="34"/>
      <c r="H2" s="34"/>
      <c r="I2" s="34"/>
      <c r="J2" s="34"/>
      <c r="K2" s="34"/>
      <c r="L2" s="34"/>
      <c r="M2" s="34"/>
      <c r="N2" s="34"/>
      <c r="Q2" s="35"/>
      <c r="BW2" s="31"/>
      <c r="BX2" s="36" t="s">
        <v>226</v>
      </c>
      <c r="BY2" s="36" t="s">
        <v>227</v>
      </c>
      <c r="BZ2" s="36" t="s">
        <v>228</v>
      </c>
      <c r="CA2" s="36" t="s">
        <v>229</v>
      </c>
      <c r="CB2" s="36" t="s">
        <v>230</v>
      </c>
      <c r="CC2" s="36" t="s">
        <v>231</v>
      </c>
      <c r="CD2" s="36" t="s">
        <v>232</v>
      </c>
      <c r="CE2" s="36" t="s">
        <v>233</v>
      </c>
      <c r="CF2" s="36" t="s">
        <v>234</v>
      </c>
      <c r="CG2" s="36" t="s">
        <v>235</v>
      </c>
    </row>
    <row r="3" spans="1:85" ht="22.8" x14ac:dyDescent="0.3">
      <c r="A3" s="101" t="s">
        <v>2</v>
      </c>
      <c r="B3" s="101" t="s">
        <v>3</v>
      </c>
      <c r="C3" s="101" t="s">
        <v>4</v>
      </c>
      <c r="D3" s="37" t="s">
        <v>236</v>
      </c>
      <c r="E3" s="38" t="s">
        <v>237</v>
      </c>
      <c r="F3" s="39" t="s">
        <v>238</v>
      </c>
      <c r="G3" s="38" t="s">
        <v>239</v>
      </c>
      <c r="H3" s="38" t="s">
        <v>240</v>
      </c>
      <c r="I3" s="40" t="s">
        <v>241</v>
      </c>
      <c r="J3" s="41" t="s">
        <v>242</v>
      </c>
      <c r="K3" s="41" t="s">
        <v>243</v>
      </c>
      <c r="L3" s="41" t="s">
        <v>244</v>
      </c>
      <c r="M3" s="41" t="s">
        <v>245</v>
      </c>
      <c r="N3" s="42" t="s">
        <v>246</v>
      </c>
      <c r="O3" s="102" t="s">
        <v>247</v>
      </c>
      <c r="P3" s="100">
        <v>46113</v>
      </c>
      <c r="Q3" s="100">
        <v>46114</v>
      </c>
      <c r="R3" s="100">
        <v>46115</v>
      </c>
      <c r="S3" s="100">
        <v>46116</v>
      </c>
      <c r="T3" s="100">
        <v>46117</v>
      </c>
      <c r="U3" s="100">
        <v>46118</v>
      </c>
      <c r="V3" s="100">
        <v>46119</v>
      </c>
      <c r="W3" s="100">
        <v>46120</v>
      </c>
      <c r="X3" s="100">
        <v>46121</v>
      </c>
      <c r="Y3" s="100">
        <v>46122</v>
      </c>
      <c r="Z3" s="100">
        <v>46123</v>
      </c>
      <c r="AA3" s="100">
        <v>46124</v>
      </c>
      <c r="AB3" s="100">
        <v>46125</v>
      </c>
      <c r="AC3" s="100">
        <v>46126</v>
      </c>
      <c r="AD3" s="100">
        <v>46127</v>
      </c>
      <c r="AE3" s="100">
        <v>46128</v>
      </c>
      <c r="AF3" s="100">
        <v>46129</v>
      </c>
      <c r="AG3" s="100">
        <v>46130</v>
      </c>
      <c r="AH3" s="100">
        <v>46131</v>
      </c>
      <c r="AI3" s="100">
        <v>46132</v>
      </c>
      <c r="AJ3" s="100">
        <v>46133</v>
      </c>
      <c r="AK3" s="100">
        <v>46134</v>
      </c>
      <c r="AL3" s="100">
        <v>46135</v>
      </c>
      <c r="AM3" s="100">
        <v>46136</v>
      </c>
      <c r="AN3" s="100">
        <v>46137</v>
      </c>
      <c r="AO3" s="100">
        <v>46138</v>
      </c>
      <c r="AP3" s="100">
        <v>46139</v>
      </c>
      <c r="AQ3" s="100">
        <v>46140</v>
      </c>
      <c r="AR3" s="100">
        <v>46141</v>
      </c>
      <c r="AS3" s="100">
        <v>46142</v>
      </c>
      <c r="AT3" s="100">
        <v>46143</v>
      </c>
      <c r="AU3" s="100">
        <v>46144</v>
      </c>
      <c r="AV3" s="100">
        <v>46145</v>
      </c>
      <c r="AW3" s="100">
        <v>46146</v>
      </c>
      <c r="AX3" s="100">
        <v>46147</v>
      </c>
      <c r="AY3" s="100">
        <v>46148</v>
      </c>
      <c r="AZ3" s="100">
        <v>46149</v>
      </c>
      <c r="BA3" s="100">
        <v>46150</v>
      </c>
      <c r="BB3" s="100">
        <v>46151</v>
      </c>
      <c r="BC3" s="100">
        <v>46152</v>
      </c>
      <c r="BD3" s="100">
        <v>46153</v>
      </c>
      <c r="BE3" s="100">
        <v>46154</v>
      </c>
      <c r="BF3" s="100">
        <v>46155</v>
      </c>
      <c r="BG3" s="100">
        <v>46156</v>
      </c>
      <c r="BH3" s="100">
        <v>46157</v>
      </c>
      <c r="BI3" s="100">
        <v>46158</v>
      </c>
      <c r="BJ3" s="100">
        <v>46159</v>
      </c>
      <c r="BK3" s="100">
        <v>46160</v>
      </c>
      <c r="BL3" s="100">
        <v>46161</v>
      </c>
      <c r="BM3" s="100">
        <v>46162</v>
      </c>
      <c r="BN3" s="100">
        <v>46163</v>
      </c>
      <c r="BO3" s="100">
        <v>46164</v>
      </c>
      <c r="BP3" s="100">
        <v>46165</v>
      </c>
      <c r="BQ3" s="100">
        <v>46166</v>
      </c>
      <c r="BR3" s="100">
        <v>46167</v>
      </c>
      <c r="BS3" s="100">
        <v>46168</v>
      </c>
      <c r="BT3" s="100">
        <v>46169</v>
      </c>
      <c r="BU3" s="100">
        <v>46170</v>
      </c>
      <c r="BV3" s="100">
        <v>46171</v>
      </c>
      <c r="BW3" s="45" t="s">
        <v>248</v>
      </c>
      <c r="BX3" s="46">
        <v>122</v>
      </c>
      <c r="BY3" s="46">
        <v>882</v>
      </c>
      <c r="BZ3" s="46">
        <v>460</v>
      </c>
      <c r="CA3" s="46">
        <v>876</v>
      </c>
      <c r="CB3" s="46">
        <v>1354</v>
      </c>
      <c r="CC3" s="46">
        <v>980</v>
      </c>
      <c r="CD3" s="46">
        <v>932</v>
      </c>
      <c r="CE3" s="46">
        <v>512</v>
      </c>
      <c r="CF3" s="46">
        <v>1230</v>
      </c>
      <c r="CG3" s="46">
        <v>0</v>
      </c>
    </row>
    <row r="4" spans="1:85" ht="27.6" customHeight="1" x14ac:dyDescent="0.3">
      <c r="A4" s="10" t="str">
        <f>IF(Job_Master!A4="","",Job_Master!A4)</f>
        <v>BJ-104</v>
      </c>
      <c r="B4" s="10">
        <f>IF($A4="","",Job_Master!B4)</f>
        <v>28</v>
      </c>
      <c r="C4" s="10" t="str">
        <f>IF($A4="","",Job_Master!C4)</f>
        <v>2P</v>
      </c>
      <c r="D4" s="47">
        <f>IF($A4="","",Job_Master!D4)</f>
        <v>2</v>
      </c>
      <c r="E4" s="10" t="str">
        <f>IF($A4="","","VENT-MC-01")</f>
        <v>VENT-MC-01</v>
      </c>
      <c r="F4" s="105" t="str">
        <f>IF($E4="","",IFERROR(VLOOKUP($E4,Machine_List!$B:$G,6,0),""))</f>
        <v>Contract Workman</v>
      </c>
      <c r="G4" s="49">
        <f>IF($E4="","",IFERROR(VLOOKUP($E4,Machine_List!$B:$C,2,0),""))</f>
        <v>46230</v>
      </c>
      <c r="H4" s="48">
        <f>IF($E4="","",IFERROR(VLOOKUP($E4,Machine_List!$B:$D,3,0),""))</f>
        <v>6</v>
      </c>
      <c r="I4" s="46"/>
      <c r="J4" s="50">
        <f ca="1">IF($A4="","",IF($I4&lt;&gt;"",$I4,MAX(ENG_Plan!$M4,IFERROR(LOOKUP(2,1/($E$3:INDIRECT("E"&amp;(ROW()-1))=$E4),$M$3:INDIRECT("M"&amp;(ROW()-1))),ENG_Plan!$M4))))</f>
        <v>46125.050925925912</v>
      </c>
      <c r="K4" s="48">
        <f>IF($A4="","",IFERROR(VLOOKUP(B4,CHOOSE(MATCH(C4,Settings!$L$4:$L$10,0),OPR_2P!$A$4:$I$18,SEG_6P!$A$4:$I$18,SOL_4P!$A$4:$I$18,RW_2P!$A$4:$I$18,RW2_4P!$A$4:$I$18,FLAP_4P!$A$4:$I$18,TUBE_4P!$A$4:$I$18),6,0),0))</f>
        <v>32</v>
      </c>
      <c r="L4" s="48">
        <f t="shared" ref="L4:L67" si="0">IF($A4="","",K4*D4)</f>
        <v>64</v>
      </c>
      <c r="M4" s="50">
        <f ca="1">IF($A4="","",IF(AND(ISNUMBER(G4),G4&gt;=J4,G4&lt;=(J4+(L4/(IF(F4="Contract Workman",Settings!$K$5,Settings!$K$4))))),J4+(L4/(IF(F4="Contract Workman",Settings!$K$5,Settings!$K$4)))+(H4/(IF(F4="Contract Workman",Settings!$K$5,Settings!$K$4))),J4+(L4/(IF(F4="Contract Workman",Settings!$K$5,Settings!$K$4)))))</f>
        <v>46127.908068783057</v>
      </c>
      <c r="N4" s="48" t="str">
        <f t="shared" ref="N4:N35" ca="1" si="1">IF($A4="","",IF(F4="Contract Workman",IF(AND(MOD(M4,1)&gt;=8/24,MOD(M4,1)&lt;20/24),"Shift S1","Shift S2"),IF(AND(MOD(M4,1)&gt;=7/24,MOD(M4,1)&lt;15/24),"Shift A",IF(AND(MOD(M4,1)&gt;=15/24,MOD(M4,1)&lt;23/24),"Shift B","Shift C"))))</f>
        <v>Shift S2</v>
      </c>
      <c r="O4" s="51" t="str">
        <f>IF(B4="","", IF(IFERROR(ISNUMBER(SEARCH(B4, VLOOKUP(E4, Machine_List!$B:$J, 9, 0))), FALSE()), "✅ Machine OK", "❌ Sug: " &amp; IFERROR(INDEX(Machine_List!$B$4:$B$50, MATCH("*"&amp;B4&amp;"*", Machine_List!$J$4:$J$50, 0)), "Check Limits")))</f>
        <v>✅ Machine OK</v>
      </c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2"/>
      <c r="BK4" s="52"/>
      <c r="BL4" s="52"/>
      <c r="BM4" s="52"/>
      <c r="BW4" s="45" t="s">
        <v>249</v>
      </c>
      <c r="BX4" s="46">
        <v>5184</v>
      </c>
      <c r="BY4" s="46">
        <v>5356.8</v>
      </c>
      <c r="BZ4" s="46">
        <v>5184</v>
      </c>
      <c r="CA4" s="46">
        <v>5356.8</v>
      </c>
      <c r="CB4" s="46">
        <v>5356.8</v>
      </c>
      <c r="CC4" s="46">
        <v>5184</v>
      </c>
      <c r="CD4" s="46">
        <v>5356.8</v>
      </c>
      <c r="CE4" s="46">
        <v>5184</v>
      </c>
      <c r="CF4" s="46">
        <v>5356.8</v>
      </c>
      <c r="CG4" s="46">
        <v>5356.8</v>
      </c>
    </row>
    <row r="5" spans="1:85" ht="28.8" customHeight="1" x14ac:dyDescent="0.3">
      <c r="A5" s="10" t="str">
        <f>IF(Job_Master!A5="","",Job_Master!A5)</f>
        <v>BJ-101</v>
      </c>
      <c r="B5" s="10">
        <f>IF($A5="","",Job_Master!B5)</f>
        <v>42</v>
      </c>
      <c r="C5" s="10" t="str">
        <f>IF($A5="","",Job_Master!C5)</f>
        <v>SOL</v>
      </c>
      <c r="D5" s="10">
        <f>IF($A5="","",Job_Master!D5)</f>
        <v>4</v>
      </c>
      <c r="E5" s="10" t="str">
        <f>IF($A5="","","VENT-MC-04")</f>
        <v>VENT-MC-04</v>
      </c>
      <c r="F5" s="106" t="str">
        <f>IF($E5="","",IFERROR(VLOOKUP($E5,Machine_List!$B:$G,6,0),""))</f>
        <v>Contract Workman</v>
      </c>
      <c r="G5" s="53">
        <f>IF($E5="","",IFERROR(VLOOKUP($E5,Machine_List!$B:$C,2,0),""))</f>
        <v>46255</v>
      </c>
      <c r="H5" s="10">
        <f>IF($E5="","",IFERROR(VLOOKUP($E5,Machine_List!$B:$D,3,0),""))</f>
        <v>6</v>
      </c>
      <c r="I5" s="54"/>
      <c r="J5" s="55">
        <f ca="1">IF($A5="","",IF($I5&lt;&gt;"",$I5,MAX(ENG_Plan!$M5,IFERROR(LOOKUP(2,1/($E$3:INDIRECT("E"&amp;(ROW()-1))=$E5),$M$3:INDIRECT("M"&amp;(ROW()-1))),ENG_Plan!$M5))))</f>
        <v>46150.328703703693</v>
      </c>
      <c r="K5" s="10">
        <f>IF($A5="","",IFERROR(VLOOKUP(B5,CHOOSE(MATCH(C5,Settings!$L$4:$L$10,0),OPR_2P!$A$4:$I$18,SEG_6P!$A$4:$I$18,SOL_4P!$A$4:$I$18,RW_2P!$A$4:$I$18,RW2_4P!$A$4:$I$18,FLAP_4P!$A$4:$I$18,TUBE_4P!$A$4:$I$18),6,0),0))</f>
        <v>37</v>
      </c>
      <c r="L5" s="10">
        <f t="shared" si="0"/>
        <v>148</v>
      </c>
      <c r="M5" s="55">
        <f ca="1">IF($A5="","",IF(AND(ISNUMBER(G5),G5&gt;=J5,G5&lt;=(J5+(L5/(IF(F5="Contract Workman",Settings!$K$5,Settings!$K$4))))),J5+(L5/(IF(F5="Contract Workman",Settings!$K$5,Settings!$K$4)))+(H5/(IF(F5="Contract Workman",Settings!$K$5,Settings!$K$4))),J5+(L5/(IF(F5="Contract Workman",Settings!$K$5,Settings!$K$4)))))</f>
        <v>46156.935846560838</v>
      </c>
      <c r="N5" s="10" t="str">
        <f t="shared" ca="1" si="1"/>
        <v>Shift S2</v>
      </c>
      <c r="O5" s="51" t="str">
        <f>IF(B5="","", IF(IFERROR(ISNUMBER(SEARCH(B5, VLOOKUP(E5, Machine_List!$B:$J, 9, 0))), FALSE()), "✅ Machine OK", "❌ Sug: " &amp; IFERROR(INDEX(Machine_List!$B$4:$B$50, MATCH("*"&amp;B5&amp;"*", Machine_List!$J$4:$J$50, 0)), "Check Limits")))</f>
        <v>✅ Machine OK</v>
      </c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  <c r="BD5" s="52"/>
      <c r="BE5" s="52"/>
      <c r="BF5" s="52"/>
      <c r="BG5" s="52"/>
      <c r="BH5" s="52"/>
      <c r="BI5" s="52"/>
      <c r="BJ5" s="52"/>
      <c r="BK5" s="52"/>
      <c r="BL5" s="52"/>
      <c r="BM5" s="52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</row>
    <row r="6" spans="1:85" ht="28.8" customHeight="1" x14ac:dyDescent="0.3">
      <c r="A6" s="10" t="str">
        <f>IF(Job_Master!A6="","",Job_Master!A6)</f>
        <v>BJ-105</v>
      </c>
      <c r="B6" s="10">
        <f>IF($A6="","",Job_Master!B6)</f>
        <v>28</v>
      </c>
      <c r="C6" s="10" t="str">
        <f>IF($A6="","",Job_Master!C6)</f>
        <v>RW</v>
      </c>
      <c r="D6" s="10">
        <f>IF($A6="","",Job_Master!D6)</f>
        <v>2</v>
      </c>
      <c r="E6" s="10" t="str">
        <f>IF($A6="","","VENT-MC-02")</f>
        <v>VENT-MC-02</v>
      </c>
      <c r="F6" s="106" t="str">
        <f>IF($E6="","",IFERROR(VLOOKUP($E6,Machine_List!$B:$G,6,0),""))</f>
        <v>Contract Workman</v>
      </c>
      <c r="G6" s="53">
        <f>IF($E6="","",IFERROR(VLOOKUP($E6,Machine_List!$B:$C,2,0),""))</f>
        <v>46191</v>
      </c>
      <c r="H6" s="10">
        <f>IF($E6="","",IFERROR(VLOOKUP($E6,Machine_List!$B:$D,3,0),""))</f>
        <v>6</v>
      </c>
      <c r="I6" s="54"/>
      <c r="J6" s="55">
        <f ca="1">IF($A6="","",IF($I6&lt;&gt;"",$I6,MAX(ENG_Plan!$M6,IFERROR(LOOKUP(2,1/($E$3:INDIRECT("E"&amp;(ROW()-1))=$E6),$M$3:INDIRECT("M"&amp;(ROW()-1))),ENG_Plan!$M6))))</f>
        <v>46126.347222222212</v>
      </c>
      <c r="K6" s="10">
        <f>IF($A6="","",IFERROR(VLOOKUP(B6,CHOOSE(MATCH(C6,Settings!$L$4:$L$10,0),OPR_2P!$A$4:$I$18,SEG_6P!$A$4:$I$18,SOL_4P!$A$4:$I$18,RW_2P!$A$4:$I$18,RW2_4P!$A$4:$I$18,FLAP_4P!$A$4:$I$18,TUBE_4P!$A$4:$I$18),6,0),0))</f>
        <v>33</v>
      </c>
      <c r="L6" s="10">
        <f t="shared" si="0"/>
        <v>66</v>
      </c>
      <c r="M6" s="55">
        <f ca="1">IF($A6="","",IF(AND(ISNUMBER(G6),G6&gt;=J6,G6&lt;=(J6+(L6/(IF(F6="Contract Workman",Settings!$K$5,Settings!$K$4))))),J6+(L6/(IF(F6="Contract Workman",Settings!$K$5,Settings!$K$4)))+(H6/(IF(F6="Contract Workman",Settings!$K$5,Settings!$K$4))),J6+(L6/(IF(F6="Contract Workman",Settings!$K$5,Settings!$K$4)))))</f>
        <v>46129.293650793639</v>
      </c>
      <c r="N6" s="10" t="str">
        <f t="shared" ca="1" si="1"/>
        <v>Shift S2</v>
      </c>
      <c r="O6" s="51" t="str">
        <f>IF(B6="","", IF(IFERROR(ISNUMBER(SEARCH(B6, VLOOKUP(E6, Machine_List!$B:$J, 9, 0))), FALSE()), "✅ Machine OK", "❌ Sug: " &amp; IFERROR(INDEX(Machine_List!$B$4:$B$50, MATCH("*"&amp;B6&amp;"*", Machine_List!$J$4:$J$50, 0)), "Check Limits")))</f>
        <v>✅ Machine OK</v>
      </c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52"/>
      <c r="BJ6" s="52"/>
      <c r="BK6" s="52"/>
      <c r="BL6" s="52"/>
      <c r="BM6" s="52"/>
    </row>
    <row r="7" spans="1:85" ht="28.8" customHeight="1" x14ac:dyDescent="0.3">
      <c r="A7" s="10" t="str">
        <f>IF(Job_Master!A7="","",Job_Master!A7)</f>
        <v>BJ-100</v>
      </c>
      <c r="B7" s="10">
        <f>IF($A7="","",Job_Master!B7)</f>
        <v>25</v>
      </c>
      <c r="C7" s="10" t="str">
        <f>IF($A7="","",Job_Master!C7)</f>
        <v>SEG</v>
      </c>
      <c r="D7" s="10">
        <f>IF($A7="","",Job_Master!D7)</f>
        <v>6</v>
      </c>
      <c r="E7" s="10" t="str">
        <f>IF($A7="","","VENT-MC-01")</f>
        <v>VENT-MC-01</v>
      </c>
      <c r="F7" s="106" t="str">
        <f>IF($E7="","",IFERROR(VLOOKUP($E7,Machine_List!$B:$G,6,0),""))</f>
        <v>Contract Workman</v>
      </c>
      <c r="G7" s="53">
        <f>IF($E7="","",IFERROR(VLOOKUP($E7,Machine_List!$B:$C,2,0),""))</f>
        <v>46230</v>
      </c>
      <c r="H7" s="10">
        <f>IF($E7="","",IFERROR(VLOOKUP($E7,Machine_List!$B:$D,3,0),""))</f>
        <v>6</v>
      </c>
      <c r="I7" s="54"/>
      <c r="J7" s="55">
        <f ca="1">IF($A7="","",IF($I7&lt;&gt;"",$I7,MAX(ENG_Plan!$M7,IFERROR(LOOKUP(2,1/($E$3:INDIRECT("E"&amp;(ROW()-1))=$E7),$M$3:INDIRECT("M"&amp;(ROW()-1))),ENG_Plan!$M7))))</f>
        <v>46150.328703703686</v>
      </c>
      <c r="K7" s="10">
        <f>IF($A7="","",IFERROR(VLOOKUP(B7,CHOOSE(MATCH(C7,Settings!$L$4:$L$10,0),OPR_2P!$A$4:$I$18,SEG_6P!$A$4:$I$18,SOL_4P!$A$4:$I$18,RW_2P!$A$4:$I$18,RW2_4P!$A$4:$I$18,FLAP_4P!$A$4:$I$18,TUBE_4P!$A$4:$I$18),6,0),0))</f>
        <v>32</v>
      </c>
      <c r="L7" s="10">
        <f t="shared" si="0"/>
        <v>192</v>
      </c>
      <c r="M7" s="55">
        <f ca="1">IF($A7="","",IF(AND(ISNUMBER(G7),G7&gt;=J7,G7&lt;=(J7+(L7/(IF(F7="Contract Workman",Settings!$K$5,Settings!$K$4))))),J7+(L7/(IF(F7="Contract Workman",Settings!$K$5,Settings!$K$4)))+(H7/(IF(F7="Contract Workman",Settings!$K$5,Settings!$K$4))),J7+(L7/(IF(F7="Contract Workman",Settings!$K$5,Settings!$K$4)))))</f>
        <v>46158.900132275114</v>
      </c>
      <c r="N7" s="10" t="str">
        <f t="shared" ca="1" si="1"/>
        <v>Shift S2</v>
      </c>
      <c r="O7" s="51" t="str">
        <f>IF(B7="","", IF(IFERROR(ISNUMBER(SEARCH(B7, VLOOKUP(E7, Machine_List!$B:$J, 9, 0))), FALSE()), "✅ Machine OK", "❌ Sug: " &amp; IFERROR(INDEX(Machine_List!$B$4:$B$50, MATCH("*"&amp;B7&amp;"*", Machine_List!$J$4:$J$50, 0)), "Check Limits")))</f>
        <v>✅ Machine OK</v>
      </c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52"/>
      <c r="BJ7" s="52"/>
      <c r="BK7" s="52"/>
      <c r="BL7" s="52"/>
      <c r="BM7" s="52"/>
    </row>
    <row r="8" spans="1:85" ht="28.8" customHeight="1" x14ac:dyDescent="0.3">
      <c r="A8" s="10" t="str">
        <f>IF(Job_Master!A8="","",Job_Master!A8)</f>
        <v>BJ-102</v>
      </c>
      <c r="B8" s="10">
        <f>IF($A8="","",Job_Master!B8)</f>
        <v>34</v>
      </c>
      <c r="C8" s="10" t="str">
        <f>IF($A8="","",Job_Master!C8)</f>
        <v>SEG</v>
      </c>
      <c r="D8" s="10">
        <f>IF($A8="","",Job_Master!D8)</f>
        <v>6</v>
      </c>
      <c r="E8" s="10" t="str">
        <f>IF($A8="","","VENT-MC-04")</f>
        <v>VENT-MC-04</v>
      </c>
      <c r="F8" s="106" t="str">
        <f>IF($E8="","",IFERROR(VLOOKUP($E8,Machine_List!$B:$G,6,0),""))</f>
        <v>Contract Workman</v>
      </c>
      <c r="G8" s="53">
        <f>IF($E8="","",IFERROR(VLOOKUP($E8,Machine_List!$B:$C,2,0),""))</f>
        <v>46255</v>
      </c>
      <c r="H8" s="10">
        <f>IF($E8="","",IFERROR(VLOOKUP($E8,Machine_List!$B:$D,3,0),""))</f>
        <v>6</v>
      </c>
      <c r="I8" s="54"/>
      <c r="J8" s="55">
        <f ca="1">IF($A8="","",IF($I8&lt;&gt;"",$I8,MAX(ENG_Plan!$M8,IFERROR(LOOKUP(2,1/($E$3:INDIRECT("E"&amp;(ROW()-1))=$E8),$M$3:INDIRECT("M"&amp;(ROW()-1))),ENG_Plan!$M8))))</f>
        <v>46161.347222222212</v>
      </c>
      <c r="K8" s="10">
        <f>IF($A8="","",IFERROR(VLOOKUP(B8,CHOOSE(MATCH(C8,Settings!$L$4:$L$10,0),OPR_2P!$A$4:$I$18,SEG_6P!$A$4:$I$18,SOL_4P!$A$4:$I$18,RW_2P!$A$4:$I$18,RW2_4P!$A$4:$I$18,FLAP_4P!$A$4:$I$18,TUBE_4P!$A$4:$I$18),6,0),0))</f>
        <v>32</v>
      </c>
      <c r="L8" s="10">
        <f t="shared" si="0"/>
        <v>192</v>
      </c>
      <c r="M8" s="55">
        <f ca="1">IF($A8="","",IF(AND(ISNUMBER(G8),G8&gt;=J8,G8&lt;=(J8+(L8/(IF(F8="Contract Workman",Settings!$K$5,Settings!$K$4))))),J8+(L8/(IF(F8="Contract Workman",Settings!$K$5,Settings!$K$4)))+(H8/(IF(F8="Contract Workman",Settings!$K$5,Settings!$K$4))),J8+(L8/(IF(F8="Contract Workman",Settings!$K$5,Settings!$K$4)))))</f>
        <v>46169.918650793639</v>
      </c>
      <c r="N8" s="10" t="str">
        <f t="shared" ca="1" si="1"/>
        <v>Shift S2</v>
      </c>
      <c r="O8" s="51" t="str">
        <f>IF(B8="","", IF(IFERROR(ISNUMBER(SEARCH(B8, VLOOKUP(E8, Machine_List!$B:$J, 9, 0))), FALSE()), "✅ Machine OK", "❌ Sug: " &amp; IFERROR(INDEX(Machine_List!$B$4:$B$50, MATCH("*"&amp;B8&amp;"*", Machine_List!$J$4:$J$50, 0)), "Check Limits")))</f>
        <v>✅ Machine OK</v>
      </c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52"/>
      <c r="BL8" s="52"/>
      <c r="BM8" s="52"/>
    </row>
    <row r="9" spans="1:85" ht="28.8" customHeight="1" x14ac:dyDescent="0.3">
      <c r="A9" s="10" t="str">
        <f>IF(Job_Master!A9="","",Job_Master!A9)</f>
        <v>BJ-103</v>
      </c>
      <c r="B9" s="10">
        <f>IF($A9="","",Job_Master!B9)</f>
        <v>20</v>
      </c>
      <c r="C9" s="10" t="str">
        <f>IF($A9="","",Job_Master!C9)</f>
        <v>RW</v>
      </c>
      <c r="D9" s="10">
        <f>IF($A9="","",Job_Master!D9)</f>
        <v>2</v>
      </c>
      <c r="E9" s="10" t="str">
        <f>IF($A9="","","VENT-MC-03")</f>
        <v>VENT-MC-03</v>
      </c>
      <c r="F9" s="106" t="str">
        <f>IF($E9="","",IFERROR(VLOOKUP($E9,Machine_List!$B:$G,6,0),""))</f>
        <v>Contract Workman</v>
      </c>
      <c r="G9" s="53">
        <f>IF($E9="","",IFERROR(VLOOKUP($E9,Machine_List!$B:$C,2,0),""))</f>
        <v>46054</v>
      </c>
      <c r="H9" s="10">
        <f>IF($E9="","",IFERROR(VLOOKUP($E9,Machine_List!$B:$D,3,0),""))</f>
        <v>6</v>
      </c>
      <c r="I9" s="54"/>
      <c r="J9" s="55">
        <f ca="1">IF($A9="","",IF($I9&lt;&gt;"",$I9,MAX(ENG_Plan!$M9,IFERROR(LOOKUP(2,1/($E$3:INDIRECT("E"&amp;(ROW()-1))=$E9),$M$3:INDIRECT("M"&amp;(ROW()-1))),ENG_Plan!$M9))))</f>
        <v>46125.328703703693</v>
      </c>
      <c r="K9" s="10">
        <f>IF($A9="","",IFERROR(VLOOKUP(B9,CHOOSE(MATCH(C9,Settings!$L$4:$L$10,0),OPR_2P!$A$4:$I$18,SEG_6P!$A$4:$I$18,SOL_4P!$A$4:$I$18,RW_2P!$A$4:$I$18,RW2_4P!$A$4:$I$18,FLAP_4P!$A$4:$I$18,TUBE_4P!$A$4:$I$18),6,0),0))</f>
        <v>23</v>
      </c>
      <c r="L9" s="10">
        <f t="shared" si="0"/>
        <v>46</v>
      </c>
      <c r="M9" s="55">
        <f ca="1">IF($A9="","",IF(AND(ISNUMBER(G9),G9&gt;=J9,G9&lt;=(J9+(L9/(IF(F9="Contract Workman",Settings!$K$5,Settings!$K$4))))),J9+(L9/(IF(F9="Contract Workman",Settings!$K$5,Settings!$K$4)))+(H9/(IF(F9="Contract Workman",Settings!$K$5,Settings!$K$4))),J9+(L9/(IF(F9="Contract Workman",Settings!$K$5,Settings!$K$4)))))</f>
        <v>46127.382275132266</v>
      </c>
      <c r="N9" s="10" t="str">
        <f t="shared" ca="1" si="1"/>
        <v>Shift S1</v>
      </c>
      <c r="O9" s="51" t="str">
        <f>IF(B9="","", IF(IFERROR(ISNUMBER(SEARCH(B9, VLOOKUP(E9, Machine_List!$B:$J, 9, 0))), FALSE()), "✅ Machine OK", "❌ Sug: " &amp; IFERROR(INDEX(Machine_List!$B$4:$B$50, MATCH("*"&amp;B9&amp;"*", Machine_List!$J$4:$J$50, 0)), "Check Limits")))</f>
        <v>✅ Machine OK</v>
      </c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2"/>
      <c r="AQ9" s="52"/>
      <c r="AR9" s="52"/>
      <c r="AS9" s="52"/>
      <c r="AT9" s="52"/>
      <c r="AU9" s="52"/>
      <c r="AV9" s="52"/>
      <c r="AW9" s="52"/>
      <c r="AX9" s="52"/>
      <c r="AY9" s="52"/>
      <c r="AZ9" s="52"/>
      <c r="BA9" s="52"/>
      <c r="BB9" s="52"/>
      <c r="BC9" s="52"/>
      <c r="BD9" s="52"/>
      <c r="BE9" s="52"/>
      <c r="BF9" s="52"/>
      <c r="BG9" s="52"/>
      <c r="BH9" s="52"/>
      <c r="BI9" s="52"/>
      <c r="BJ9" s="52"/>
      <c r="BK9" s="52"/>
      <c r="BL9" s="52"/>
      <c r="BM9" s="52"/>
    </row>
    <row r="10" spans="1:85" ht="28.8" customHeight="1" x14ac:dyDescent="0.3">
      <c r="A10" s="10" t="str">
        <f>IF(Job_Master!A10="","",Job_Master!A10)</f>
        <v>BJ-108</v>
      </c>
      <c r="B10" s="10">
        <f>IF($A10="","",Job_Master!B10)</f>
        <v>70</v>
      </c>
      <c r="C10" s="10" t="str">
        <f>IF($A10="","",Job_Master!C10)</f>
        <v>RW</v>
      </c>
      <c r="D10" s="10">
        <f>IF($A10="","",Job_Master!D10)</f>
        <v>2</v>
      </c>
      <c r="E10" s="10" t="str">
        <f>IF($A10="","","VENT-MC-05")</f>
        <v>VENT-MC-05</v>
      </c>
      <c r="F10" s="106" t="str">
        <f>IF($E10="","",IFERROR(VLOOKUP($E10,Machine_List!$B:$G,6,0),""))</f>
        <v>Contract Workman</v>
      </c>
      <c r="G10" s="53">
        <f>IF($E10="","",IFERROR(VLOOKUP($E10,Machine_List!$B:$C,2,0),""))</f>
        <v>46394</v>
      </c>
      <c r="H10" s="10">
        <f>IF($E10="","",IFERROR(VLOOKUP($E10,Machine_List!$B:$D,3,0),""))</f>
        <v>6</v>
      </c>
      <c r="I10" s="54"/>
      <c r="J10" s="55">
        <f ca="1">IF($A10="","",IF($I10&lt;&gt;"",$I10,MAX(ENG_Plan!$M10,IFERROR(LOOKUP(2,1/($E$3:INDIRECT("E"&amp;(ROW()-1))=$E10),$M$3:INDIRECT("M"&amp;(ROW()-1))),ENG_Plan!$M10))))</f>
        <v>46160.143518518511</v>
      </c>
      <c r="K10" s="10">
        <f>IF($A10="","",IFERROR(VLOOKUP(B10,CHOOSE(MATCH(C10,Settings!$L$4:$L$10,0),OPR_2P!$A$4:$I$18,SEG_6P!$A$4:$I$18,SOL_4P!$A$4:$I$18,RW_2P!$A$4:$I$18,RW2_4P!$A$4:$I$18,FLAP_4P!$A$4:$I$18,TUBE_4P!$A$4:$I$18),6,0),0))</f>
        <v>77</v>
      </c>
      <c r="L10" s="10">
        <f t="shared" si="0"/>
        <v>154</v>
      </c>
      <c r="M10" s="55">
        <f ca="1">IF($A10="","",IF(AND(ISNUMBER(G10),G10&gt;=J10,G10&lt;=(J10+(L10/(IF(F10="Contract Workman",Settings!$K$5,Settings!$K$4))))),J10+(L10/(IF(F10="Contract Workman",Settings!$K$5,Settings!$K$4)))+(H10/(IF(F10="Contract Workman",Settings!$K$5,Settings!$K$4))),J10+(L10/(IF(F10="Contract Workman",Settings!$K$5,Settings!$K$4)))))</f>
        <v>46167.018518518511</v>
      </c>
      <c r="N10" s="10" t="str">
        <f t="shared" ca="1" si="1"/>
        <v>Shift S2</v>
      </c>
      <c r="O10" s="51" t="str">
        <f>IF(B10="","", IF(IFERROR(ISNUMBER(SEARCH(B10, VLOOKUP(E10, Machine_List!$B:$J, 9, 0))), FALSE()), "✅ Machine OK", "❌ Sug: " &amp; IFERROR(INDEX(Machine_List!$B$4:$B$50, MATCH("*"&amp;B10&amp;"*", Machine_List!$J$4:$J$50, 0)), "Check Limits")))</f>
        <v>✅ Machine OK</v>
      </c>
      <c r="P10" s="56"/>
      <c r="Q10" s="57"/>
      <c r="R10" s="57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2"/>
      <c r="BM10" s="52"/>
    </row>
    <row r="11" spans="1:85" ht="28.8" customHeight="1" x14ac:dyDescent="0.3">
      <c r="A11" s="10" t="str">
        <f>IF(Job_Master!A11="","",Job_Master!A11)</f>
        <v>BJ-106</v>
      </c>
      <c r="B11" s="10">
        <f>IF($A11="","",Job_Master!B11)</f>
        <v>15</v>
      </c>
      <c r="C11" s="10" t="str">
        <f>IF($A11="","",Job_Master!C11)</f>
        <v>RW</v>
      </c>
      <c r="D11" s="10">
        <f>IF($A11="","",Job_Master!D11)</f>
        <v>2</v>
      </c>
      <c r="E11" s="10" t="str">
        <f>IF($A11="","","VENT-MC-06")</f>
        <v>VENT-MC-06</v>
      </c>
      <c r="F11" s="106" t="str">
        <f>IF($E11="","",IFERROR(VLOOKUP($E11,Machine_List!$B:$G,6,0),""))</f>
        <v>Contract Workman</v>
      </c>
      <c r="G11" s="53">
        <f>IF($E11="","",IFERROR(VLOOKUP($E11,Machine_List!$B:$C,2,0),""))</f>
        <v>46347</v>
      </c>
      <c r="H11" s="10">
        <f>IF($E11="","",IFERROR(VLOOKUP($E11,Machine_List!$B:$D,3,0),""))</f>
        <v>6</v>
      </c>
      <c r="I11" s="54"/>
      <c r="J11" s="55">
        <f ca="1">IF($A11="","",IF($I11&lt;&gt;"",$I11,MAX(ENG_Plan!$M11,IFERROR(LOOKUP(2,1/($E$3:INDIRECT("E"&amp;(ROW()-1))=$E11),$M$3:INDIRECT("M"&amp;(ROW()-1))),ENG_Plan!$M11))))</f>
        <v>46122.736111111109</v>
      </c>
      <c r="K11" s="10">
        <f>IF($A11="","",IFERROR(VLOOKUP(B11,CHOOSE(MATCH(C11,Settings!$L$4:$L$10,0),OPR_2P!$A$4:$I$18,SEG_6P!$A$4:$I$18,SOL_4P!$A$4:$I$18,RW_2P!$A$4:$I$18,RW2_4P!$A$4:$I$18,FLAP_4P!$A$4:$I$18,TUBE_4P!$A$4:$I$18),6,0),0))</f>
        <v>7</v>
      </c>
      <c r="L11" s="10">
        <f t="shared" si="0"/>
        <v>14</v>
      </c>
      <c r="M11" s="55">
        <f ca="1">IF($A11="","",IF(AND(ISNUMBER(G11),G11&gt;=J11,G11&lt;=(J11+(L11/(IF(F11="Contract Workman",Settings!$K$5,Settings!$K$4))))),J11+(L11/(IF(F11="Contract Workman",Settings!$K$5,Settings!$K$4)))+(H11/(IF(F11="Contract Workman",Settings!$K$5,Settings!$K$4))),J11+(L11/(IF(F11="Contract Workman",Settings!$K$5,Settings!$K$4)))))</f>
        <v>46123.361111111109</v>
      </c>
      <c r="N11" s="10" t="str">
        <f t="shared" ca="1" si="1"/>
        <v>Shift S1</v>
      </c>
      <c r="O11" s="51" t="str">
        <f>IF(B11="","", IF(IFERROR(ISNUMBER(SEARCH(B11, VLOOKUP(E11, Machine_List!$B:$J, 9, 0))), FALSE()), "✅ Machine OK", "❌ Sug: " &amp; IFERROR(INDEX(Machine_List!$B$4:$B$50, MATCH("*"&amp;B11&amp;"*", Machine_List!$J$4:$J$50, 0)), "Check Limits")))</f>
        <v>✅ Machine OK</v>
      </c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  <c r="BM11" s="52"/>
    </row>
    <row r="12" spans="1:85" ht="28.8" customHeight="1" x14ac:dyDescent="0.3">
      <c r="A12" s="10" t="str">
        <f>IF(Job_Master!A12="","",Job_Master!A12)</f>
        <v>BJ-109</v>
      </c>
      <c r="B12" s="10">
        <f>IF($A12="","",Job_Master!B12)</f>
        <v>30</v>
      </c>
      <c r="C12" s="10" t="str">
        <f>IF($A12="","",Job_Master!C12)</f>
        <v>RW</v>
      </c>
      <c r="D12" s="10">
        <f>IF($A12="","",Job_Master!D12)</f>
        <v>2</v>
      </c>
      <c r="E12" s="10" t="str">
        <f>IF($A12="","","VENT-MC-06")</f>
        <v>VENT-MC-06</v>
      </c>
      <c r="F12" s="106" t="str">
        <f>IF($E12="","",IFERROR(VLOOKUP($E12,Machine_List!$B:$G,6,0),""))</f>
        <v>Contract Workman</v>
      </c>
      <c r="G12" s="53">
        <f>IF($E12="","",IFERROR(VLOOKUP($E12,Machine_List!$B:$C,2,0),""))</f>
        <v>46347</v>
      </c>
      <c r="H12" s="10">
        <f>IF($E12="","",IFERROR(VLOOKUP($E12,Machine_List!$B:$D,3,0),""))</f>
        <v>6</v>
      </c>
      <c r="I12" s="54"/>
      <c r="J12" s="55">
        <f ca="1">IF($A12="","",IF($I12&lt;&gt;"",$I12,MAX(ENG_Plan!$M12,IFERROR(LOOKUP(2,1/($E$3:INDIRECT("E"&amp;(ROW()-1))=$E12),$M$3:INDIRECT("M"&amp;(ROW()-1))),ENG_Plan!$M12))))</f>
        <v>46134.125</v>
      </c>
      <c r="K12" s="10">
        <f>IF($A12="","",IFERROR(VLOOKUP(B12,CHOOSE(MATCH(C12,Settings!$L$4:$L$10,0),OPR_2P!$A$4:$I$18,SEG_6P!$A$4:$I$18,SOL_4P!$A$4:$I$18,RW_2P!$A$4:$I$18,RW2_4P!$A$4:$I$18,FLAP_4P!$A$4:$I$18,TUBE_4P!$A$4:$I$18),6,0),0))</f>
        <v>31</v>
      </c>
      <c r="L12" s="10">
        <f t="shared" si="0"/>
        <v>62</v>
      </c>
      <c r="M12" s="55">
        <f ca="1">IF($A12="","",IF(AND(ISNUMBER(G12),G12&gt;=J12,G12&lt;=(J12+(L12/(IF(F12="Contract Workman",Settings!$K$5,Settings!$K$4))))),J12+(L12/(IF(F12="Contract Workman",Settings!$K$5,Settings!$K$4)))+(H12/(IF(F12="Contract Workman",Settings!$K$5,Settings!$K$4))),J12+(L12/(IF(F12="Contract Workman",Settings!$K$5,Settings!$K$4)))))</f>
        <v>46136.892857142855</v>
      </c>
      <c r="N12" s="10" t="str">
        <f t="shared" ca="1" si="1"/>
        <v>Shift S2</v>
      </c>
      <c r="O12" s="51" t="str">
        <f>IF(B12="","", IF(IFERROR(ISNUMBER(SEARCH(B12, VLOOKUP(E12, Machine_List!$B:$J, 9, 0))), FALSE()), "✅ Machine OK", "❌ Sug: " &amp; IFERROR(INDEX(Machine_List!$B$4:$B$50, MATCH("*"&amp;B12&amp;"*", Machine_List!$J$4:$J$50, 0)), "Check Limits")))</f>
        <v>✅ Machine OK</v>
      </c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2"/>
      <c r="BD12" s="52"/>
      <c r="BE12" s="52"/>
      <c r="BF12" s="52"/>
      <c r="BG12" s="52"/>
      <c r="BH12" s="52"/>
      <c r="BI12" s="52"/>
      <c r="BJ12" s="52"/>
      <c r="BK12" s="52"/>
      <c r="BL12" s="52"/>
      <c r="BM12" s="52"/>
    </row>
    <row r="13" spans="1:85" ht="28.8" customHeight="1" x14ac:dyDescent="0.3">
      <c r="A13" s="10" t="str">
        <f>IF(Job_Master!A13="","",Job_Master!A13)</f>
        <v>BJ-110</v>
      </c>
      <c r="B13" s="10">
        <f>IF($A13="","",Job_Master!B13)</f>
        <v>17</v>
      </c>
      <c r="C13" s="10" t="str">
        <f>IF($A13="","",Job_Master!C13)</f>
        <v>2P</v>
      </c>
      <c r="D13" s="10">
        <f>IF($A13="","",Job_Master!D13)</f>
        <v>2</v>
      </c>
      <c r="E13" s="10" t="str">
        <f>IF($A13="","","VENT-MC-07")</f>
        <v>VENT-MC-07</v>
      </c>
      <c r="F13" s="106" t="str">
        <f>IF($E13="","",IFERROR(VLOOKUP($E13,Machine_List!$B:$G,6,0),""))</f>
        <v>Contract Workman</v>
      </c>
      <c r="G13" s="53">
        <f>IF($E13="","",IFERROR(VLOOKUP($E13,Machine_List!$B:$C,2,0),""))</f>
        <v>46234</v>
      </c>
      <c r="H13" s="10">
        <f>IF($E13="","",IFERROR(VLOOKUP($E13,Machine_List!$B:$D,3,0),""))</f>
        <v>6</v>
      </c>
      <c r="I13" s="54"/>
      <c r="J13" s="55">
        <f ca="1">IF($A13="","",IF($I13&lt;&gt;"",$I13,MAX(ENG_Plan!$M13,IFERROR(LOOKUP(2,1/($E$3:INDIRECT("E"&amp;(ROW()-1))=$E13),$M$3:INDIRECT("M"&amp;(ROW()-1))),ENG_Plan!$M13))))</f>
        <v>46124.773148148139</v>
      </c>
      <c r="K13" s="10">
        <f>IF($A13="","",IFERROR(VLOOKUP(B13,CHOOSE(MATCH(C13,Settings!$L$4:$L$10,0),OPR_2P!$A$4:$I$18,SEG_6P!$A$4:$I$18,SOL_4P!$A$4:$I$18,RW_2P!$A$4:$I$18,RW2_4P!$A$4:$I$18,FLAP_4P!$A$4:$I$18,TUBE_4P!$A$4:$I$18),6,0),0))</f>
        <v>16</v>
      </c>
      <c r="L13" s="10">
        <f t="shared" si="0"/>
        <v>32</v>
      </c>
      <c r="M13" s="55">
        <f ca="1">IF($A13="","",IF(AND(ISNUMBER(G13),G13&gt;=J13,G13&lt;=(J13+(L13/(IF(F13="Contract Workman",Settings!$K$5,Settings!$K$4))))),J13+(L13/(IF(F13="Contract Workman",Settings!$K$5,Settings!$K$4)))+(H13/(IF(F13="Contract Workman",Settings!$K$5,Settings!$K$4))),J13+(L13/(IF(F13="Contract Workman",Settings!$K$5,Settings!$K$4)))))</f>
        <v>46126.201719576711</v>
      </c>
      <c r="N13" s="10" t="str">
        <f t="shared" ca="1" si="1"/>
        <v>Shift S2</v>
      </c>
      <c r="O13" s="51" t="str">
        <f>IF(B13="","", IF(IFERROR(ISNUMBER(SEARCH(B13, VLOOKUP(E13, Machine_List!$B:$J, 9, 0))), FALSE()), "✅ Machine OK", "❌ Sug: " &amp; IFERROR(INDEX(Machine_List!$B$4:$B$50, MATCH("*"&amp;B13&amp;"*", Machine_List!$J$4:$J$50, 0)), "Check Limits")))</f>
        <v>✅ Machine OK</v>
      </c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2"/>
      <c r="BD13" s="52"/>
      <c r="BE13" s="52"/>
      <c r="BF13" s="52"/>
      <c r="BG13" s="52"/>
      <c r="BH13" s="52"/>
      <c r="BI13" s="52"/>
      <c r="BJ13" s="52"/>
      <c r="BK13" s="52"/>
      <c r="BL13" s="52"/>
      <c r="BM13" s="52"/>
    </row>
    <row r="14" spans="1:85" ht="28.8" customHeight="1" x14ac:dyDescent="0.3">
      <c r="A14" s="10" t="str">
        <f>IF(Job_Master!A14="","",Job_Master!A14)</f>
        <v>BJ-111</v>
      </c>
      <c r="B14" s="10">
        <f>IF($A14="","",Job_Master!B14)</f>
        <v>25</v>
      </c>
      <c r="C14" s="10" t="str">
        <f>IF($A14="","",Job_Master!C14)</f>
        <v>RW</v>
      </c>
      <c r="D14" s="10">
        <f>IF($A14="","",Job_Master!D14)</f>
        <v>2</v>
      </c>
      <c r="E14" s="10" t="str">
        <f>IF($A14="","","VENT-MC-02")</f>
        <v>VENT-MC-02</v>
      </c>
      <c r="F14" s="106" t="str">
        <f>IF($E14="","",IFERROR(VLOOKUP($E14,Machine_List!$B:$G,6,0),""))</f>
        <v>Contract Workman</v>
      </c>
      <c r="G14" s="53">
        <f>IF($E14="","",IFERROR(VLOOKUP($E14,Machine_List!$B:$C,2,0),""))</f>
        <v>46191</v>
      </c>
      <c r="H14" s="10">
        <f>IF($E14="","",IFERROR(VLOOKUP($E14,Machine_List!$B:$D,3,0),""))</f>
        <v>6</v>
      </c>
      <c r="I14" s="54"/>
      <c r="J14" s="55">
        <f ca="1">IF($A14="","",IF($I14&lt;&gt;"",$I14,MAX(ENG_Plan!$M14,IFERROR(LOOKUP(2,1/($E$3:INDIRECT("E"&amp;(ROW()-1))=$E14),$M$3:INDIRECT("M"&amp;(ROW()-1))),ENG_Plan!$M14))))</f>
        <v>46132.643518518511</v>
      </c>
      <c r="K14" s="10">
        <f>IF($A14="","",IFERROR(VLOOKUP(B14,CHOOSE(MATCH(C14,Settings!$L$4:$L$10,0),OPR_2P!$A$4:$I$18,SEG_6P!$A$4:$I$18,SOL_4P!$A$4:$I$18,RW_2P!$A$4:$I$18,RW2_4P!$A$4:$I$18,FLAP_4P!$A$4:$I$18,TUBE_4P!$A$4:$I$18),6,0),0))</f>
        <v>23</v>
      </c>
      <c r="L14" s="10">
        <f t="shared" si="0"/>
        <v>46</v>
      </c>
      <c r="M14" s="55">
        <f ca="1">IF($A14="","",IF(AND(ISNUMBER(G14),G14&gt;=J14,G14&lt;=(J14+(L14/(IF(F14="Contract Workman",Settings!$K$5,Settings!$K$4))))),J14+(L14/(IF(F14="Contract Workman",Settings!$K$5,Settings!$K$4)))+(H14/(IF(F14="Contract Workman",Settings!$K$5,Settings!$K$4))),J14+(L14/(IF(F14="Contract Workman",Settings!$K$5,Settings!$K$4)))))</f>
        <v>46134.697089947083</v>
      </c>
      <c r="N14" s="10" t="str">
        <f t="shared" ca="1" si="1"/>
        <v>Shift S1</v>
      </c>
      <c r="O14" s="51" t="str">
        <f>IF(B14="","", IF(IFERROR(ISNUMBER(SEARCH(B14, VLOOKUP(E14, Machine_List!$B:$J, 9, 0))), FALSE()), "✅ Machine OK", "❌ Sug: " &amp; IFERROR(INDEX(Machine_List!$B$4:$B$50, MATCH("*"&amp;B14&amp;"*", Machine_List!$J$4:$J$50, 0)), "Check Limits")))</f>
        <v>✅ Machine OK</v>
      </c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2"/>
      <c r="AQ14" s="52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2"/>
      <c r="BD14" s="52"/>
      <c r="BE14" s="52"/>
      <c r="BF14" s="52"/>
      <c r="BG14" s="52"/>
      <c r="BH14" s="52"/>
      <c r="BI14" s="52"/>
      <c r="BJ14" s="52"/>
      <c r="BK14" s="52"/>
      <c r="BL14" s="52"/>
      <c r="BM14" s="52"/>
    </row>
    <row r="15" spans="1:85" ht="28.8" customHeight="1" x14ac:dyDescent="0.3">
      <c r="A15" s="10" t="str">
        <f>IF(Job_Master!A15="","",Job_Master!A15)</f>
        <v>BJ-107</v>
      </c>
      <c r="B15" s="10">
        <f>IF($A15="","",Job_Master!B15)</f>
        <v>20</v>
      </c>
      <c r="C15" s="10" t="str">
        <f>IF($A15="","",Job_Master!C15)</f>
        <v>SEG</v>
      </c>
      <c r="D15" s="10">
        <f>IF($A15="","",Job_Master!D15)</f>
        <v>6</v>
      </c>
      <c r="E15" s="10" t="str">
        <f>IF($A15="","","VENT-MC-02")</f>
        <v>VENT-MC-02</v>
      </c>
      <c r="F15" s="106" t="str">
        <f>IF($E15="","",IFERROR(VLOOKUP($E15,Machine_List!$B:$G,6,0),""))</f>
        <v>Contract Workman</v>
      </c>
      <c r="G15" s="53">
        <f>IF($E15="","",IFERROR(VLOOKUP($E15,Machine_List!$B:$C,2,0),""))</f>
        <v>46191</v>
      </c>
      <c r="H15" s="10">
        <f>IF($E15="","",IFERROR(VLOOKUP($E15,Machine_List!$B:$D,3,0),""))</f>
        <v>6</v>
      </c>
      <c r="I15" s="54"/>
      <c r="J15" s="55">
        <f ca="1">IF($A15="","",IF($I15&lt;&gt;"",$I15,MAX(ENG_Plan!$M15,IFERROR(LOOKUP(2,1/($E$3:INDIRECT("E"&amp;(ROW()-1))=$E15),$M$3:INDIRECT("M"&amp;(ROW()-1))),ENG_Plan!$M15))))</f>
        <v>46158.106481481474</v>
      </c>
      <c r="K15" s="10">
        <f>IF($A15="","",IFERROR(VLOOKUP(B15,CHOOSE(MATCH(C15,Settings!$L$4:$L$10,0),OPR_2P!$A$4:$I$18,SEG_6P!$A$4:$I$18,SOL_4P!$A$4:$I$18,RW_2P!$A$4:$I$18,RW2_4P!$A$4:$I$18,FLAP_4P!$A$4:$I$18,TUBE_4P!$A$4:$I$18),6,0),0))</f>
        <v>19</v>
      </c>
      <c r="L15" s="10">
        <f t="shared" si="0"/>
        <v>114</v>
      </c>
      <c r="M15" s="55">
        <f ca="1">IF($A15="","",IF(AND(ISNUMBER(G15),G15&gt;=J15,G15&lt;=(J15+(L15/(IF(F15="Contract Workman",Settings!$K$5,Settings!$K$4))))),J15+(L15/(IF(F15="Contract Workman",Settings!$K$5,Settings!$K$4)))+(H15/(IF(F15="Contract Workman",Settings!$K$5,Settings!$K$4))),J15+(L15/(IF(F15="Contract Workman",Settings!$K$5,Settings!$K$4)))))</f>
        <v>46163.195767195757</v>
      </c>
      <c r="N15" s="10" t="str">
        <f t="shared" ca="1" si="1"/>
        <v>Shift S2</v>
      </c>
      <c r="O15" s="51" t="str">
        <f>IF(B15="","", IF(IFERROR(ISNUMBER(SEARCH(B15, VLOOKUP(E15, Machine_List!$B:$J, 9, 0))), FALSE()), "✅ Machine OK", "❌ Sug: " &amp; IFERROR(INDEX(Machine_List!$B$4:$B$50, MATCH("*"&amp;B15&amp;"*", Machine_List!$J$4:$J$50, 0)), "Check Limits")))</f>
        <v>✅ Machine OK</v>
      </c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2"/>
      <c r="BC15" s="52"/>
      <c r="BD15" s="52"/>
      <c r="BE15" s="52"/>
      <c r="BF15" s="52"/>
      <c r="BG15" s="52"/>
      <c r="BH15" s="52"/>
      <c r="BI15" s="52"/>
      <c r="BJ15" s="52"/>
      <c r="BK15" s="52"/>
      <c r="BL15" s="52"/>
      <c r="BM15" s="52"/>
    </row>
    <row r="16" spans="1:85" ht="28.8" customHeight="1" x14ac:dyDescent="0.3">
      <c r="A16" s="10" t="str">
        <f>IF(Job_Master!A16="","",Job_Master!A16)</f>
        <v>BJ-112</v>
      </c>
      <c r="B16" s="10">
        <f>IF($A16="","",Job_Master!B16)</f>
        <v>17</v>
      </c>
      <c r="C16" s="10" t="str">
        <f>IF($A16="","",Job_Master!C16)</f>
        <v>2P</v>
      </c>
      <c r="D16" s="10">
        <f>IF($A16="","",Job_Master!D16)</f>
        <v>2</v>
      </c>
      <c r="E16" s="10" t="str">
        <f>IF($A16="","","VENT-MC-03")</f>
        <v>VENT-MC-03</v>
      </c>
      <c r="F16" s="106" t="str">
        <f>IF($E16="","",IFERROR(VLOOKUP($E16,Machine_List!$B:$G,6,0),""))</f>
        <v>Contract Workman</v>
      </c>
      <c r="G16" s="53">
        <f>IF($E16="","",IFERROR(VLOOKUP($E16,Machine_List!$B:$C,2,0),""))</f>
        <v>46054</v>
      </c>
      <c r="H16" s="10">
        <f>IF($E16="","",IFERROR(VLOOKUP($E16,Machine_List!$B:$D,3,0),""))</f>
        <v>6</v>
      </c>
      <c r="I16" s="54"/>
      <c r="J16" s="55">
        <f ca="1">IF($A16="","",IF($I16&lt;&gt;"",$I16,MAX(ENG_Plan!$M16,IFERROR(LOOKUP(2,1/($E$3:INDIRECT("E"&amp;(ROW()-1))=$E16),$M$3:INDIRECT("M"&amp;(ROW()-1))),ENG_Plan!$M16))))</f>
        <v>46137.458333333321</v>
      </c>
      <c r="K16" s="10">
        <f>IF($A16="","",IFERROR(VLOOKUP(B16,CHOOSE(MATCH(C16,Settings!$L$4:$L$10,0),OPR_2P!$A$4:$I$18,SEG_6P!$A$4:$I$18,SOL_4P!$A$4:$I$18,RW_2P!$A$4:$I$18,RW2_4P!$A$4:$I$18,FLAP_4P!$A$4:$I$18,TUBE_4P!$A$4:$I$18),6,0),0))</f>
        <v>16</v>
      </c>
      <c r="L16" s="10">
        <f t="shared" si="0"/>
        <v>32</v>
      </c>
      <c r="M16" s="55">
        <f ca="1">IF($A16="","",IF(AND(ISNUMBER(G16),G16&gt;=J16,G16&lt;=(J16+(L16/(IF(F16="Contract Workman",Settings!$K$5,Settings!$K$4))))),J16+(L16/(IF(F16="Contract Workman",Settings!$K$5,Settings!$K$4)))+(H16/(IF(F16="Contract Workman",Settings!$K$5,Settings!$K$4))),J16+(L16/(IF(F16="Contract Workman",Settings!$K$5,Settings!$K$4)))))</f>
        <v>46138.886904761894</v>
      </c>
      <c r="N16" s="10" t="str">
        <f t="shared" ca="1" si="1"/>
        <v>Shift S2</v>
      </c>
      <c r="O16" s="51" t="str">
        <f>IF(B16="","", IF(IFERROR(ISNUMBER(SEARCH(B16, VLOOKUP(E16, Machine_List!$B:$J, 9, 0))), FALSE()), "✅ Machine OK", "❌ Sug: " &amp; IFERROR(INDEX(Machine_List!$B$4:$B$50, MATCH("*"&amp;B16&amp;"*", Machine_List!$J$4:$J$50, 0)), "Check Limits")))</f>
        <v>✅ Machine OK</v>
      </c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  <c r="BD16" s="52"/>
      <c r="BE16" s="52"/>
      <c r="BF16" s="52"/>
      <c r="BG16" s="52"/>
      <c r="BH16" s="52"/>
      <c r="BI16" s="52"/>
      <c r="BJ16" s="52"/>
      <c r="BK16" s="52"/>
      <c r="BL16" s="52"/>
      <c r="BM16" s="52"/>
    </row>
    <row r="17" spans="1:65" ht="28.8" customHeight="1" x14ac:dyDescent="0.3">
      <c r="A17" s="10" t="str">
        <f>IF(Job_Master!A17="","",Job_Master!A17)</f>
        <v>BJ-114</v>
      </c>
      <c r="B17" s="10">
        <f>IF($A17="","",Job_Master!B17)</f>
        <v>50</v>
      </c>
      <c r="C17" s="10" t="str">
        <f>IF($A17="","",Job_Master!C17)</f>
        <v>SEG</v>
      </c>
      <c r="D17" s="10">
        <f>IF($A17="","",Job_Master!D17)</f>
        <v>6</v>
      </c>
      <c r="E17" s="10" t="str">
        <f>IF($A17="","","VENT-MC-04")</f>
        <v>VENT-MC-04</v>
      </c>
      <c r="F17" s="106" t="str">
        <f>IF($E17="","",IFERROR(VLOOKUP($E17,Machine_List!$B:$G,6,0),""))</f>
        <v>Contract Workman</v>
      </c>
      <c r="G17" s="53">
        <f>IF($E17="","",IFERROR(VLOOKUP($E17,Machine_List!$B:$C,2,0),""))</f>
        <v>46255</v>
      </c>
      <c r="H17" s="10">
        <f>IF($E17="","",IFERROR(VLOOKUP($E17,Machine_List!$B:$D,3,0),""))</f>
        <v>6</v>
      </c>
      <c r="I17" s="54"/>
      <c r="J17" s="55">
        <f ca="1">IF($A17="","",IF($I17&lt;&gt;"",$I17,MAX(ENG_Plan!$M17,IFERROR(LOOKUP(2,1/($E$3:INDIRECT("E"&amp;(ROW()-1))=$E17),$M$3:INDIRECT("M"&amp;(ROW()-1))),ENG_Plan!$M17))))</f>
        <v>46199.495370370365</v>
      </c>
      <c r="K17" s="10">
        <f>IF($A17="","",IFERROR(VLOOKUP(B17,CHOOSE(MATCH(C17,Settings!$L$4:$L$10,0),OPR_2P!$A$4:$I$18,SEG_6P!$A$4:$I$18,SOL_4P!$A$4:$I$18,RW_2P!$A$4:$I$18,RW2_4P!$A$4:$I$18,FLAP_4P!$A$4:$I$18,TUBE_4P!$A$4:$I$18),6,0),0))</f>
        <v>53</v>
      </c>
      <c r="L17" s="10">
        <f t="shared" si="0"/>
        <v>318</v>
      </c>
      <c r="M17" s="55">
        <f ca="1">IF($A17="","",IF(AND(ISNUMBER(G17),G17&gt;=J17,G17&lt;=(J17+(L17/(IF(F17="Contract Workman",Settings!$K$5,Settings!$K$4))))),J17+(L17/(IF(F17="Contract Workman",Settings!$K$5,Settings!$K$4)))+(H17/(IF(F17="Contract Workman",Settings!$K$5,Settings!$K$4))),J17+(L17/(IF(F17="Contract Workman",Settings!$K$5,Settings!$K$4)))))</f>
        <v>46213.691798941793</v>
      </c>
      <c r="N17" s="10" t="str">
        <f t="shared" ca="1" si="1"/>
        <v>Shift S1</v>
      </c>
      <c r="O17" s="51" t="str">
        <f>IF(B17="","", IF(IFERROR(ISNUMBER(SEARCH(B17, VLOOKUP(E17, Machine_List!$B:$J, 9, 0))), FALSE()), "✅ Machine OK", "❌ Sug: " &amp; IFERROR(INDEX(Machine_List!$B$4:$B$50, MATCH("*"&amp;B17&amp;"*", Machine_List!$J$4:$J$50, 0)), "Check Limits")))</f>
        <v>✅ Machine OK</v>
      </c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2"/>
      <c r="BF17" s="52"/>
      <c r="BG17" s="52"/>
      <c r="BH17" s="52"/>
      <c r="BI17" s="52"/>
      <c r="BJ17" s="52"/>
      <c r="BK17" s="52"/>
      <c r="BL17" s="52"/>
      <c r="BM17" s="52"/>
    </row>
    <row r="18" spans="1:65" ht="28.8" customHeight="1" x14ac:dyDescent="0.3">
      <c r="A18" s="10" t="str">
        <f>IF(Job_Master!A18="","",Job_Master!A18)</f>
        <v>BJ-115</v>
      </c>
      <c r="B18" s="10">
        <f>IF($A18="","",Job_Master!B18)</f>
        <v>46</v>
      </c>
      <c r="C18" s="10" t="str">
        <f>IF($A18="","",Job_Master!C18)</f>
        <v>2P</v>
      </c>
      <c r="D18" s="10">
        <f>IF($A18="","",Job_Master!D18)</f>
        <v>2</v>
      </c>
      <c r="E18" s="10" t="str">
        <f>IF($A18="","","VENT-MC-06")</f>
        <v>VENT-MC-06</v>
      </c>
      <c r="F18" s="106" t="str">
        <f>IF($E18="","",IFERROR(VLOOKUP($E18,Machine_List!$B:$G,6,0),""))</f>
        <v>Contract Workman</v>
      </c>
      <c r="G18" s="53">
        <f>IF($E18="","",IFERROR(VLOOKUP($E18,Machine_List!$B:$C,2,0),""))</f>
        <v>46347</v>
      </c>
      <c r="H18" s="10">
        <f>IF($E18="","",IFERROR(VLOOKUP($E18,Machine_List!$B:$D,3,0),""))</f>
        <v>6</v>
      </c>
      <c r="I18" s="54"/>
      <c r="J18" s="55">
        <f ca="1">IF($A18="","",IF($I18&lt;&gt;"",$I18,MAX(ENG_Plan!$M18,IFERROR(LOOKUP(2,1/($E$3:INDIRECT("E"&amp;(ROW()-1))=$E18),$M$3:INDIRECT("M"&amp;(ROW()-1))),ENG_Plan!$M18))))</f>
        <v>46146.162037037036</v>
      </c>
      <c r="K18" s="10">
        <f>IF($A18="","",IFERROR(VLOOKUP(B18,CHOOSE(MATCH(C18,Settings!$L$4:$L$10,0),OPR_2P!$A$4:$I$18,SEG_6P!$A$4:$I$18,SOL_4P!$A$4:$I$18,RW_2P!$A$4:$I$18,RW2_4P!$A$4:$I$18,FLAP_4P!$A$4:$I$18,TUBE_4P!$A$4:$I$18),6,0),0))</f>
        <v>48</v>
      </c>
      <c r="L18" s="10">
        <f t="shared" si="0"/>
        <v>96</v>
      </c>
      <c r="M18" s="55">
        <f ca="1">IF($A18="","",IF(AND(ISNUMBER(G18),G18&gt;=J18,G18&lt;=(J18+(L18/(IF(F18="Contract Workman",Settings!$K$5,Settings!$K$4))))),J18+(L18/(IF(F18="Contract Workman",Settings!$K$5,Settings!$K$4)))+(H18/(IF(F18="Contract Workman",Settings!$K$5,Settings!$K$4))),J18+(L18/(IF(F18="Contract Workman",Settings!$K$5,Settings!$K$4)))))</f>
        <v>46150.447751322754</v>
      </c>
      <c r="N18" s="10" t="str">
        <f t="shared" ca="1" si="1"/>
        <v>Shift S1</v>
      </c>
      <c r="O18" s="51" t="str">
        <f>IF(B18="","", IF(IFERROR(ISNUMBER(SEARCH(B18, VLOOKUP(E18, Machine_List!$B:$J, 9, 0))), FALSE()), "✅ Machine OK", "❌ Sug: " &amp; IFERROR(INDEX(Machine_List!$B$4:$B$50, MATCH("*"&amp;B18&amp;"*", Machine_List!$J$4:$J$50, 0)), "Check Limits")))</f>
        <v>✅ Machine OK</v>
      </c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52"/>
      <c r="BE18" s="52"/>
      <c r="BF18" s="52"/>
      <c r="BG18" s="52"/>
      <c r="BH18" s="52"/>
      <c r="BI18" s="52"/>
      <c r="BJ18" s="52"/>
      <c r="BK18" s="52"/>
      <c r="BL18" s="52"/>
      <c r="BM18" s="52"/>
    </row>
    <row r="19" spans="1:65" ht="28.8" customHeight="1" x14ac:dyDescent="0.3">
      <c r="A19" s="10" t="str">
        <f>IF(Job_Master!A19="","",Job_Master!A19)</f>
        <v>BJ-116</v>
      </c>
      <c r="B19" s="10">
        <f>IF($A19="","",Job_Master!B19)</f>
        <v>54</v>
      </c>
      <c r="C19" s="10" t="str">
        <f>IF($A19="","",Job_Master!C19)</f>
        <v>2P</v>
      </c>
      <c r="D19" s="10">
        <f>IF($A19="","",Job_Master!D19)</f>
        <v>2</v>
      </c>
      <c r="E19" s="10" t="str">
        <f>IF($A19="","","VENT-MC-06")</f>
        <v>VENT-MC-06</v>
      </c>
      <c r="F19" s="106" t="str">
        <f>IF($E19="","",IFERROR(VLOOKUP($E19,Machine_List!$B:$G,6,0),""))</f>
        <v>Contract Workman</v>
      </c>
      <c r="G19" s="53">
        <f>IF($E19="","",IFERROR(VLOOKUP($E19,Machine_List!$B:$C,2,0),""))</f>
        <v>46347</v>
      </c>
      <c r="H19" s="10">
        <f>IF($E19="","",IFERROR(VLOOKUP($E19,Machine_List!$B:$D,3,0),""))</f>
        <v>6</v>
      </c>
      <c r="I19" s="54"/>
      <c r="J19" s="55">
        <f ca="1">IF($A19="","",IF($I19&lt;&gt;"",$I19,MAX(ENG_Plan!$M19,IFERROR(LOOKUP(2,1/($E$3:INDIRECT("E"&amp;(ROW()-1))=$E19),$M$3:INDIRECT("M"&amp;(ROW()-1))),ENG_Plan!$M19))))</f>
        <v>46159.124999999993</v>
      </c>
      <c r="K19" s="10">
        <f>IF($A19="","",IFERROR(VLOOKUP(B19,CHOOSE(MATCH(C19,Settings!$L$4:$L$10,0),OPR_2P!$A$4:$I$18,SEG_6P!$A$4:$I$18,SOL_4P!$A$4:$I$18,RW_2P!$A$4:$I$18,RW2_4P!$A$4:$I$18,FLAP_4P!$A$4:$I$18,TUBE_4P!$A$4:$I$18),6,0),0))</f>
        <v>57</v>
      </c>
      <c r="L19" s="10">
        <f t="shared" si="0"/>
        <v>114</v>
      </c>
      <c r="M19" s="55">
        <f ca="1">IF($A19="","",IF(AND(ISNUMBER(G19),G19&gt;=J19,G19&lt;=(J19+(L19/(IF(F19="Contract Workman",Settings!$K$5,Settings!$K$4))))),J19+(L19/(IF(F19="Contract Workman",Settings!$K$5,Settings!$K$4)))+(H19/(IF(F19="Contract Workman",Settings!$K$5,Settings!$K$4))),J19+(L19/(IF(F19="Contract Workman",Settings!$K$5,Settings!$K$4)))))</f>
        <v>46164.214285714275</v>
      </c>
      <c r="N19" s="10" t="str">
        <f t="shared" ca="1" si="1"/>
        <v>Shift S2</v>
      </c>
      <c r="O19" s="51" t="str">
        <f>IF(B19="","", IF(IFERROR(ISNUMBER(SEARCH(B19, VLOOKUP(E19, Machine_List!$B:$J, 9, 0))), FALSE()), "✅ Machine OK", "❌ Sug: " &amp; IFERROR(INDEX(Machine_List!$B$4:$B$50, MATCH("*"&amp;B19&amp;"*", Machine_List!$J$4:$J$50, 0)), "Check Limits")))</f>
        <v>✅ Machine OK</v>
      </c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2"/>
      <c r="AQ19" s="52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2"/>
      <c r="BD19" s="52"/>
      <c r="BE19" s="52"/>
      <c r="BF19" s="52"/>
      <c r="BG19" s="52"/>
      <c r="BH19" s="52"/>
      <c r="BI19" s="52"/>
      <c r="BJ19" s="52"/>
      <c r="BK19" s="52"/>
      <c r="BL19" s="52"/>
      <c r="BM19" s="52"/>
    </row>
    <row r="20" spans="1:65" ht="28.8" customHeight="1" x14ac:dyDescent="0.3">
      <c r="A20" s="10" t="str">
        <f>IF(Job_Master!A20="","",Job_Master!A20)</f>
        <v>BJ-118</v>
      </c>
      <c r="B20" s="10">
        <f>IF($A20="","",Job_Master!B20)</f>
        <v>28</v>
      </c>
      <c r="C20" s="10" t="str">
        <f>IF($A20="","",Job_Master!C20)</f>
        <v>SOL</v>
      </c>
      <c r="D20" s="10">
        <f>IF($A20="","",Job_Master!D20)</f>
        <v>4</v>
      </c>
      <c r="E20" s="10" t="str">
        <f>IF($A20="","","VENT-MC-03")</f>
        <v>VENT-MC-03</v>
      </c>
      <c r="F20" s="106" t="str">
        <f>IF($E20="","",IFERROR(VLOOKUP($E20,Machine_List!$B:$G,6,0),""))</f>
        <v>Contract Workman</v>
      </c>
      <c r="G20" s="53">
        <f>IF($E20="","",IFERROR(VLOOKUP($E20,Machine_List!$B:$C,2,0),""))</f>
        <v>46054</v>
      </c>
      <c r="H20" s="10">
        <f>IF($E20="","",IFERROR(VLOOKUP($E20,Machine_List!$B:$D,3,0),""))</f>
        <v>6</v>
      </c>
      <c r="I20" s="54"/>
      <c r="J20" s="55">
        <f ca="1">IF($A20="","",IF($I20&lt;&gt;"",$I20,MAX(ENG_Plan!$M20,IFERROR(LOOKUP(2,1/($E$3:INDIRECT("E"&amp;(ROW()-1))=$E20),$M$3:INDIRECT("M"&amp;(ROW()-1))),ENG_Plan!$M20))))</f>
        <v>46152.458333333321</v>
      </c>
      <c r="K20" s="10">
        <f>IF($A20="","",IFERROR(VLOOKUP(B20,CHOOSE(MATCH(C20,Settings!$L$4:$L$10,0),OPR_2P!$A$4:$I$18,SEG_6P!$A$4:$I$18,SOL_4P!$A$4:$I$18,RW_2P!$A$4:$I$18,RW2_4P!$A$4:$I$18,FLAP_4P!$A$4:$I$18,TUBE_4P!$A$4:$I$18),6,0),0))</f>
        <v>28</v>
      </c>
      <c r="L20" s="10">
        <f t="shared" si="0"/>
        <v>112</v>
      </c>
      <c r="M20" s="55">
        <f ca="1">IF($A20="","",IF(AND(ISNUMBER(G20),G20&gt;=J20,G20&lt;=(J20+(L20/(IF(F20="Contract Workman",Settings!$K$5,Settings!$K$4))))),J20+(L20/(IF(F20="Contract Workman",Settings!$K$5,Settings!$K$4)))+(H20/(IF(F20="Contract Workman",Settings!$K$5,Settings!$K$4))),J20+(L20/(IF(F20="Contract Workman",Settings!$K$5,Settings!$K$4)))))</f>
        <v>46157.458333333321</v>
      </c>
      <c r="N20" s="10" t="str">
        <f t="shared" ca="1" si="1"/>
        <v>Shift S1</v>
      </c>
      <c r="O20" s="51" t="str">
        <f>IF(B20="","", IF(IFERROR(ISNUMBER(SEARCH(B20, VLOOKUP(E20, Machine_List!$B:$J, 9, 0))), FALSE()), "✅ Machine OK", "❌ Sug: " &amp; IFERROR(INDEX(Machine_List!$B$4:$B$50, MATCH("*"&amp;B20&amp;"*", Machine_List!$J$4:$J$50, 0)), "Check Limits")))</f>
        <v>✅ Machine OK</v>
      </c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2"/>
      <c r="AQ20" s="52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2"/>
      <c r="BC20" s="52"/>
      <c r="BD20" s="52"/>
      <c r="BE20" s="52"/>
      <c r="BF20" s="52"/>
      <c r="BG20" s="52"/>
      <c r="BH20" s="52"/>
      <c r="BI20" s="52"/>
      <c r="BJ20" s="52"/>
      <c r="BK20" s="52"/>
      <c r="BL20" s="52"/>
      <c r="BM20" s="52"/>
    </row>
    <row r="21" spans="1:65" ht="28.8" customHeight="1" x14ac:dyDescent="0.3">
      <c r="A21" s="10" t="str">
        <f>IF(Job_Master!A21="","",Job_Master!A21)</f>
        <v>BJ-119</v>
      </c>
      <c r="B21" s="10">
        <f>IF($A21="","",Job_Master!B21)</f>
        <v>63</v>
      </c>
      <c r="C21" s="10" t="str">
        <f>IF($A21="","",Job_Master!C21)</f>
        <v>SOL</v>
      </c>
      <c r="D21" s="10">
        <f>IF($A21="","",Job_Master!D21)</f>
        <v>4</v>
      </c>
      <c r="E21" s="10" t="str">
        <f>IF($A21="","","VENT-MC-04")</f>
        <v>VENT-MC-04</v>
      </c>
      <c r="F21" s="106" t="str">
        <f>IF($E21="","",IFERROR(VLOOKUP($E21,Machine_List!$B:$G,6,0),""))</f>
        <v>Contract Workman</v>
      </c>
      <c r="G21" s="53">
        <f>IF($E21="","",IFERROR(VLOOKUP($E21,Machine_List!$B:$C,2,0),""))</f>
        <v>46255</v>
      </c>
      <c r="H21" s="10">
        <f>IF($E21="","",IFERROR(VLOOKUP($E21,Machine_List!$B:$D,3,0),""))</f>
        <v>6</v>
      </c>
      <c r="I21" s="54"/>
      <c r="J21" s="55">
        <f ca="1">IF($A21="","",IF($I21&lt;&gt;"",$I21,MAX(ENG_Plan!$M21,IFERROR(LOOKUP(2,1/($E$3:INDIRECT("E"&amp;(ROW()-1))=$E21),$M$3:INDIRECT("M"&amp;(ROW()-1))),ENG_Plan!$M21))))</f>
        <v>46221.717592592584</v>
      </c>
      <c r="K21" s="10">
        <f>IF($A21="","",IFERROR(VLOOKUP(B21,CHOOSE(MATCH(C21,Settings!$L$4:$L$10,0),OPR_2P!$A$4:$I$18,SEG_6P!$A$4:$I$18,SOL_4P!$A$4:$I$18,RW_2P!$A$4:$I$18,RW2_4P!$A$4:$I$18,FLAP_4P!$A$4:$I$18,TUBE_4P!$A$4:$I$18),6,0),0))</f>
        <v>75</v>
      </c>
      <c r="L21" s="10">
        <f t="shared" si="0"/>
        <v>300</v>
      </c>
      <c r="M21" s="55">
        <f ca="1">IF($A21="","",IF(AND(ISNUMBER(G21),G21&gt;=J21,G21&lt;=(J21+(L21/(IF(F21="Contract Workman",Settings!$K$5,Settings!$K$4))))),J21+(L21/(IF(F21="Contract Workman",Settings!$K$5,Settings!$K$4)))+(H21/(IF(F21="Contract Workman",Settings!$K$5,Settings!$K$4))),J21+(L21/(IF(F21="Contract Workman",Settings!$K$5,Settings!$K$4)))))</f>
        <v>46235.110449735439</v>
      </c>
      <c r="N21" s="10" t="str">
        <f t="shared" ca="1" si="1"/>
        <v>Shift S2</v>
      </c>
      <c r="O21" s="51" t="str">
        <f>IF(B21="","", IF(IFERROR(ISNUMBER(SEARCH(B21, VLOOKUP(E21, Machine_List!$B:$J, 9, 0))), FALSE()), "✅ Machine OK", "❌ Sug: " &amp; IFERROR(INDEX(Machine_List!$B$4:$B$50, MATCH("*"&amp;B21&amp;"*", Machine_List!$J$4:$J$50, 0)), "Check Limits")))</f>
        <v>✅ Machine OK</v>
      </c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2"/>
      <c r="AQ21" s="52"/>
      <c r="AR21" s="52"/>
      <c r="AS21" s="52"/>
      <c r="AT21" s="52"/>
      <c r="AU21" s="52"/>
      <c r="AV21" s="52"/>
      <c r="AW21" s="52"/>
      <c r="AX21" s="52"/>
      <c r="AY21" s="52"/>
      <c r="AZ21" s="52"/>
      <c r="BA21" s="52"/>
      <c r="BB21" s="52"/>
      <c r="BC21" s="52"/>
      <c r="BD21" s="52"/>
      <c r="BE21" s="52"/>
      <c r="BF21" s="52"/>
      <c r="BG21" s="52"/>
      <c r="BH21" s="52"/>
      <c r="BI21" s="52"/>
      <c r="BJ21" s="52"/>
      <c r="BK21" s="52"/>
      <c r="BL21" s="52"/>
      <c r="BM21" s="52"/>
    </row>
    <row r="22" spans="1:65" ht="28.8" customHeight="1" x14ac:dyDescent="0.3">
      <c r="A22" s="10" t="str">
        <f>IF(Job_Master!A22="","",Job_Master!A22)</f>
        <v>BJ-120</v>
      </c>
      <c r="B22" s="10">
        <f>IF($A22="","",Job_Master!B22)</f>
        <v>46</v>
      </c>
      <c r="C22" s="10" t="str">
        <f>IF($A22="","",Job_Master!C22)</f>
        <v>2P</v>
      </c>
      <c r="D22" s="10">
        <f>IF($A22="","",Job_Master!D22)</f>
        <v>2</v>
      </c>
      <c r="E22" s="10" t="str">
        <f>IF($A22="","","VENT-MC-07")</f>
        <v>VENT-MC-07</v>
      </c>
      <c r="F22" s="106" t="str">
        <f>IF($E22="","",IFERROR(VLOOKUP($E22,Machine_List!$B:$G,6,0),""))</f>
        <v>Contract Workman</v>
      </c>
      <c r="G22" s="53">
        <f>IF($E22="","",IFERROR(VLOOKUP($E22,Machine_List!$B:$C,2,0),""))</f>
        <v>46234</v>
      </c>
      <c r="H22" s="10">
        <f>IF($E22="","",IFERROR(VLOOKUP($E22,Machine_List!$B:$D,3,0),""))</f>
        <v>6</v>
      </c>
      <c r="I22" s="54"/>
      <c r="J22" s="55">
        <f ca="1">IF($A22="","",IF($I22&lt;&gt;"",$I22,MAX(ENG_Plan!$M22,IFERROR(LOOKUP(2,1/($E$3:INDIRECT("E"&amp;(ROW()-1))=$E22),$M$3:INDIRECT("M"&amp;(ROW()-1))),ENG_Plan!$M22))))</f>
        <v>46155.606481481482</v>
      </c>
      <c r="K22" s="10">
        <f>IF($A22="","",IFERROR(VLOOKUP(B22,CHOOSE(MATCH(C22,Settings!$L$4:$L$10,0),OPR_2P!$A$4:$I$18,SEG_6P!$A$4:$I$18,SOL_4P!$A$4:$I$18,RW_2P!$A$4:$I$18,RW2_4P!$A$4:$I$18,FLAP_4P!$A$4:$I$18,TUBE_4P!$A$4:$I$18),6,0),0))</f>
        <v>48</v>
      </c>
      <c r="L22" s="10">
        <f t="shared" si="0"/>
        <v>96</v>
      </c>
      <c r="M22" s="55">
        <f ca="1">IF($A22="","",IF(AND(ISNUMBER(G22),G22&gt;=J22,G22&lt;=(J22+(L22/(IF(F22="Contract Workman",Settings!$K$5,Settings!$K$4))))),J22+(L22/(IF(F22="Contract Workman",Settings!$K$5,Settings!$K$4)))+(H22/(IF(F22="Contract Workman",Settings!$K$5,Settings!$K$4))),J22+(L22/(IF(F22="Contract Workman",Settings!$K$5,Settings!$K$4)))))</f>
        <v>46159.892195767199</v>
      </c>
      <c r="N22" s="10" t="str">
        <f t="shared" ca="1" si="1"/>
        <v>Shift S2</v>
      </c>
      <c r="O22" s="51" t="str">
        <f>IF(B22="","", IF(IFERROR(ISNUMBER(SEARCH(B22, VLOOKUP(E22, Machine_List!$B:$J, 9, 0))), FALSE()), "✅ Machine OK", "❌ Sug: " &amp; IFERROR(INDEX(Machine_List!$B$4:$B$50, MATCH("*"&amp;B22&amp;"*", Machine_List!$J$4:$J$50, 0)), "Check Limits")))</f>
        <v>✅ Machine OK</v>
      </c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2"/>
      <c r="AP22" s="52"/>
      <c r="AQ22" s="52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52"/>
      <c r="BC22" s="52"/>
      <c r="BD22" s="52"/>
      <c r="BE22" s="52"/>
      <c r="BF22" s="52"/>
      <c r="BG22" s="52"/>
      <c r="BH22" s="52"/>
      <c r="BI22" s="52"/>
      <c r="BJ22" s="52"/>
      <c r="BK22" s="52"/>
      <c r="BL22" s="52"/>
      <c r="BM22" s="52"/>
    </row>
    <row r="23" spans="1:65" ht="28.8" customHeight="1" x14ac:dyDescent="0.3">
      <c r="A23" s="10" t="str">
        <f>IF(Job_Master!A23="","",Job_Master!A23)</f>
        <v>BJ-113</v>
      </c>
      <c r="B23" s="10">
        <f>IF($A23="","",Job_Master!B23)</f>
        <v>9</v>
      </c>
      <c r="C23" s="10" t="str">
        <f>IF($A23="","",Job_Master!C23)</f>
        <v>SEG</v>
      </c>
      <c r="D23" s="10">
        <f>IF($A23="","",Job_Master!D23)</f>
        <v>6</v>
      </c>
      <c r="E23" s="10" t="str">
        <f>IF($A23="","","VENT-MC-02")</f>
        <v>VENT-MC-02</v>
      </c>
      <c r="F23" s="106" t="str">
        <f>IF($E23="","",IFERROR(VLOOKUP($E23,Machine_List!$B:$G,6,0),""))</f>
        <v>Contract Workman</v>
      </c>
      <c r="G23" s="53">
        <f>IF($E23="","",IFERROR(VLOOKUP($E23,Machine_List!$B:$C,2,0),""))</f>
        <v>46191</v>
      </c>
      <c r="H23" s="10">
        <f>IF($E23="","",IFERROR(VLOOKUP($E23,Machine_List!$B:$D,3,0),""))</f>
        <v>6</v>
      </c>
      <c r="I23" s="54"/>
      <c r="J23" s="55">
        <f ca="1">IF($A23="","",IF($I23&lt;&gt;"",$I23,MAX(ENG_Plan!$M23,IFERROR(LOOKUP(2,1/($E$3:INDIRECT("E"&amp;(ROW()-1))=$E23),$M$3:INDIRECT("M"&amp;(ROW()-1))),ENG_Plan!$M23))))</f>
        <v>46163.195767195757</v>
      </c>
      <c r="K23" s="10">
        <f>IF($A23="","",IFERROR(VLOOKUP(B23,CHOOSE(MATCH(C23,Settings!$L$4:$L$10,0),OPR_2P!$A$4:$I$18,SEG_6P!$A$4:$I$18,SOL_4P!$A$4:$I$18,RW_2P!$A$4:$I$18,RW2_4P!$A$4:$I$18,FLAP_4P!$A$4:$I$18,TUBE_4P!$A$4:$I$18),6,0),0))</f>
        <v>5</v>
      </c>
      <c r="L23" s="10">
        <f t="shared" si="0"/>
        <v>30</v>
      </c>
      <c r="M23" s="55">
        <f ca="1">IF($A23="","",IF(AND(ISNUMBER(G23),G23&gt;=J23,G23&lt;=(J23+(L23/(IF(F23="Contract Workman",Settings!$K$5,Settings!$K$4))))),J23+(L23/(IF(F23="Contract Workman",Settings!$K$5,Settings!$K$4)))+(H23/(IF(F23="Contract Workman",Settings!$K$5,Settings!$K$4))),J23+(L23/(IF(F23="Contract Workman",Settings!$K$5,Settings!$K$4)))))</f>
        <v>46164.53505291004</v>
      </c>
      <c r="N23" s="10" t="str">
        <f t="shared" ca="1" si="1"/>
        <v>Shift S1</v>
      </c>
      <c r="O23" s="51" t="str">
        <f>IF(B23="","", IF(IFERROR(ISNUMBER(SEARCH(B23, VLOOKUP(E23, Machine_List!$B:$J, 9, 0))), FALSE()), "✅ Machine OK", "❌ Sug: " &amp; IFERROR(INDEX(Machine_List!$B$4:$B$50, MATCH("*"&amp;B23&amp;"*", Machine_List!$J$4:$J$50, 0)), "Check Limits")))</f>
        <v>✅ Machine OK</v>
      </c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2"/>
      <c r="AQ23" s="52"/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 s="52"/>
      <c r="BC23" s="52"/>
      <c r="BD23" s="52"/>
      <c r="BE23" s="52"/>
      <c r="BF23" s="52"/>
      <c r="BG23" s="52"/>
      <c r="BH23" s="52"/>
      <c r="BI23" s="52"/>
      <c r="BJ23" s="52"/>
      <c r="BK23" s="52"/>
      <c r="BL23" s="52"/>
      <c r="BM23" s="52"/>
    </row>
    <row r="24" spans="1:65" ht="28.8" customHeight="1" x14ac:dyDescent="0.3">
      <c r="A24" s="10" t="str">
        <f>IF(Job_Master!A24="","",Job_Master!A24)</f>
        <v>BJ-121</v>
      </c>
      <c r="B24" s="10">
        <f>IF($A24="","",Job_Master!B24)</f>
        <v>57</v>
      </c>
      <c r="C24" s="10" t="str">
        <f>IF($A24="","",Job_Master!C24)</f>
        <v>RW</v>
      </c>
      <c r="D24" s="10">
        <f>IF($A24="","",Job_Master!D24)</f>
        <v>2</v>
      </c>
      <c r="E24" s="10" t="str">
        <f>IF($A24="","","VENT-MC-05")</f>
        <v>VENT-MC-05</v>
      </c>
      <c r="F24" s="106" t="str">
        <f>IF($E24="","",IFERROR(VLOOKUP($E24,Machine_List!$B:$G,6,0),""))</f>
        <v>Contract Workman</v>
      </c>
      <c r="G24" s="53">
        <f>IF($E24="","",IFERROR(VLOOKUP($E24,Machine_List!$B:$C,2,0),""))</f>
        <v>46394</v>
      </c>
      <c r="H24" s="10">
        <f>IF($E24="","",IFERROR(VLOOKUP($E24,Machine_List!$B:$D,3,0),""))</f>
        <v>6</v>
      </c>
      <c r="I24" s="54"/>
      <c r="J24" s="55">
        <f ca="1">IF($A24="","",IF($I24&lt;&gt;"",$I24,MAX(ENG_Plan!$M24,IFERROR(LOOKUP(2,1/($E$3:INDIRECT("E"&amp;(ROW()-1))=$E24),$M$3:INDIRECT("M"&amp;(ROW()-1))),ENG_Plan!$M24))))</f>
        <v>46167.828703703693</v>
      </c>
      <c r="K24" s="10">
        <f>IF($A24="","",IFERROR(VLOOKUP(B24,CHOOSE(MATCH(C24,Settings!$L$4:$L$10,0),OPR_2P!$A$4:$I$18,SEG_6P!$A$4:$I$18,SOL_4P!$A$4:$I$18,RW_2P!$A$4:$I$18,RW2_4P!$A$4:$I$18,FLAP_4P!$A$4:$I$18,TUBE_4P!$A$4:$I$18),6,0),0))</f>
        <v>53</v>
      </c>
      <c r="L24" s="10">
        <f t="shared" si="0"/>
        <v>106</v>
      </c>
      <c r="M24" s="55">
        <f ca="1">IF($A24="","",IF(AND(ISNUMBER(G24),G24&gt;=J24,G24&lt;=(J24+(L24/(IF(F24="Contract Workman",Settings!$K$5,Settings!$K$4))))),J24+(L24/(IF(F24="Contract Workman",Settings!$K$5,Settings!$K$4)))+(H24/(IF(F24="Contract Workman",Settings!$K$5,Settings!$K$4))),J24+(L24/(IF(F24="Contract Workman",Settings!$K$5,Settings!$K$4)))))</f>
        <v>46172.560846560838</v>
      </c>
      <c r="N24" s="10" t="str">
        <f t="shared" ca="1" si="1"/>
        <v>Shift S1</v>
      </c>
      <c r="O24" s="51" t="str">
        <f>IF(B24="","", IF(IFERROR(ISNUMBER(SEARCH(B24, VLOOKUP(E24, Machine_List!$B:$J, 9, 0))), FALSE()), "✅ Machine OK", "❌ Sug: " &amp; IFERROR(INDEX(Machine_List!$B$4:$B$50, MATCH("*"&amp;B24&amp;"*", Machine_List!$J$4:$J$50, 0)), "Check Limits")))</f>
        <v>✅ Machine OK</v>
      </c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2"/>
      <c r="AP24" s="52"/>
      <c r="AQ24" s="52"/>
      <c r="AR24" s="52"/>
      <c r="AS24" s="52"/>
      <c r="AT24" s="52"/>
      <c r="AU24" s="52"/>
      <c r="AV24" s="52"/>
      <c r="AW24" s="52"/>
      <c r="AX24" s="52"/>
      <c r="AY24" s="52"/>
      <c r="AZ24" s="52"/>
      <c r="BA24" s="52"/>
      <c r="BB24" s="52"/>
      <c r="BC24" s="52"/>
      <c r="BD24" s="52"/>
      <c r="BE24" s="52"/>
      <c r="BF24" s="52"/>
      <c r="BG24" s="52"/>
      <c r="BH24" s="52"/>
      <c r="BI24" s="52"/>
      <c r="BJ24" s="52"/>
      <c r="BK24" s="52"/>
      <c r="BL24" s="52"/>
      <c r="BM24" s="52"/>
    </row>
    <row r="25" spans="1:65" ht="28.8" customHeight="1" x14ac:dyDescent="0.3">
      <c r="A25" s="10" t="str">
        <f>IF(Job_Master!A25="","",Job_Master!A25)</f>
        <v>BJ-123</v>
      </c>
      <c r="B25" s="10">
        <f>IF($A25="","",Job_Master!B25)</f>
        <v>46</v>
      </c>
      <c r="C25" s="10" t="str">
        <f>IF($A25="","",Job_Master!C25)</f>
        <v>RW</v>
      </c>
      <c r="D25" s="10">
        <f>IF($A25="","",Job_Master!D25)</f>
        <v>2</v>
      </c>
      <c r="E25" s="10" t="str">
        <f>IF($A25="","","VENT-MC-08")</f>
        <v>VENT-MC-08</v>
      </c>
      <c r="F25" s="106" t="str">
        <f>IF($E25="","",IFERROR(VLOOKUP($E25,Machine_List!$B:$G,6,0),""))</f>
        <v>Contract Workman</v>
      </c>
      <c r="G25" s="53">
        <f>IF($E25="","",IFERROR(VLOOKUP($E25,Machine_List!$B:$C,2,0),""))</f>
        <v>46138</v>
      </c>
      <c r="H25" s="10">
        <f>IF($E25="","",IFERROR(VLOOKUP($E25,Machine_List!$B:$D,3,0),""))</f>
        <v>6</v>
      </c>
      <c r="I25" s="54"/>
      <c r="J25" s="55">
        <f ca="1">IF($A25="","",IF($I25&lt;&gt;"",$I25,MAX(ENG_Plan!$M25,IFERROR(LOOKUP(2,1/($E$3:INDIRECT("E"&amp;(ROW()-1))=$E25),$M$3:INDIRECT("M"&amp;(ROW()-1))),ENG_Plan!$M25))))</f>
        <v>46159.958333333321</v>
      </c>
      <c r="K25" s="10">
        <f>IF($A25="","",IFERROR(VLOOKUP(B25,CHOOSE(MATCH(C25,Settings!$L$4:$L$10,0),OPR_2P!$A$4:$I$18,SEG_6P!$A$4:$I$18,SOL_4P!$A$4:$I$18,RW_2P!$A$4:$I$18,RW2_4P!$A$4:$I$18,FLAP_4P!$A$4:$I$18,TUBE_4P!$A$4:$I$18),6,0),0))</f>
        <v>66</v>
      </c>
      <c r="L25" s="10">
        <f t="shared" si="0"/>
        <v>132</v>
      </c>
      <c r="M25" s="55">
        <f ca="1">IF($A25="","",IF(AND(ISNUMBER(G25),G25&gt;=J25,G25&lt;=(J25+(L25/(IF(F25="Contract Workman",Settings!$K$5,Settings!$K$4))))),J25+(L25/(IF(F25="Contract Workman",Settings!$K$5,Settings!$K$4)))+(H25/(IF(F25="Contract Workman",Settings!$K$5,Settings!$K$4))),J25+(L25/(IF(F25="Contract Workman",Settings!$K$5,Settings!$K$4)))))</f>
        <v>46165.851190476176</v>
      </c>
      <c r="N25" s="10" t="str">
        <f t="shared" ca="1" si="1"/>
        <v>Shift S2</v>
      </c>
      <c r="O25" s="51" t="str">
        <f>IF(B25="","", IF(IFERROR(ISNUMBER(SEARCH(B25, VLOOKUP(E25, Machine_List!$B:$J, 9, 0))), FALSE()), "✅ Machine OK", "❌ Sug: " &amp; IFERROR(INDEX(Machine_List!$B$4:$B$50, MATCH("*"&amp;B25&amp;"*", Machine_List!$J$4:$J$50, 0)), "Check Limits")))</f>
        <v>✅ Machine OK</v>
      </c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52"/>
      <c r="BC25" s="52"/>
      <c r="BD25" s="52"/>
      <c r="BE25" s="52"/>
      <c r="BF25" s="52"/>
      <c r="BG25" s="52"/>
      <c r="BH25" s="52"/>
      <c r="BI25" s="52"/>
      <c r="BJ25" s="52"/>
      <c r="BK25" s="52"/>
      <c r="BL25" s="52"/>
      <c r="BM25" s="52"/>
    </row>
    <row r="26" spans="1:65" ht="28.8" customHeight="1" x14ac:dyDescent="0.3">
      <c r="A26" s="10" t="str">
        <f>IF(Job_Master!A26="","",Job_Master!A26)</f>
        <v>BJ-117</v>
      </c>
      <c r="B26" s="10">
        <f>IF($A26="","",Job_Master!B26)</f>
        <v>15</v>
      </c>
      <c r="C26" s="10" t="str">
        <f>IF($A26="","",Job_Master!C26)</f>
        <v>RW</v>
      </c>
      <c r="D26" s="10">
        <f>IF($A26="","",Job_Master!D26)</f>
        <v>2</v>
      </c>
      <c r="E26" s="10" t="str">
        <f>IF($A26="","","VENT-MC-02")</f>
        <v>VENT-MC-02</v>
      </c>
      <c r="F26" s="106" t="str">
        <f>IF($E26="","",IFERROR(VLOOKUP($E26,Machine_List!$B:$G,6,0),""))</f>
        <v>Contract Workman</v>
      </c>
      <c r="G26" s="53">
        <f>IF($E26="","",IFERROR(VLOOKUP($E26,Machine_List!$B:$C,2,0),""))</f>
        <v>46191</v>
      </c>
      <c r="H26" s="10">
        <f>IF($E26="","",IFERROR(VLOOKUP($E26,Machine_List!$B:$D,3,0),""))</f>
        <v>6</v>
      </c>
      <c r="I26" s="54"/>
      <c r="J26" s="55">
        <f ca="1">IF($A26="","",IF($I26&lt;&gt;"",$I26,MAX(ENG_Plan!$M26,IFERROR(LOOKUP(2,1/($E$3:INDIRECT("E"&amp;(ROW()-1))=$E26),$M$3:INDIRECT("M"&amp;(ROW()-1))),ENG_Plan!$M26))))</f>
        <v>46164.53505291004</v>
      </c>
      <c r="K26" s="10">
        <f>IF($A26="","",IFERROR(VLOOKUP(B26,CHOOSE(MATCH(C26,Settings!$L$4:$L$10,0),OPR_2P!$A$4:$I$18,SEG_6P!$A$4:$I$18,SOL_4P!$A$4:$I$18,RW_2P!$A$4:$I$18,RW2_4P!$A$4:$I$18,FLAP_4P!$A$4:$I$18,TUBE_4P!$A$4:$I$18),6,0),0))</f>
        <v>7</v>
      </c>
      <c r="L26" s="10">
        <f t="shared" si="0"/>
        <v>14</v>
      </c>
      <c r="M26" s="55">
        <f ca="1">IF($A26="","",IF(AND(ISNUMBER(G26),G26&gt;=J26,G26&lt;=(J26+(L26/(IF(F26="Contract Workman",Settings!$K$5,Settings!$K$4))))),J26+(L26/(IF(F26="Contract Workman",Settings!$K$5,Settings!$K$4)))+(H26/(IF(F26="Contract Workman",Settings!$K$5,Settings!$K$4))),J26+(L26/(IF(F26="Contract Workman",Settings!$K$5,Settings!$K$4)))))</f>
        <v>46165.16005291004</v>
      </c>
      <c r="N26" s="10" t="str">
        <f t="shared" ca="1" si="1"/>
        <v>Shift S2</v>
      </c>
      <c r="O26" s="51" t="str">
        <f>IF(B26="","", IF(IFERROR(ISNUMBER(SEARCH(B26, VLOOKUP(E26, Machine_List!$B:$J, 9, 0))), FALSE()), "✅ Machine OK", "❌ Sug: " &amp; IFERROR(INDEX(Machine_List!$B$4:$B$50, MATCH("*"&amp;B26&amp;"*", Machine_List!$J$4:$J$50, 0)), "Check Limits")))</f>
        <v>✅ Machine OK</v>
      </c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2"/>
      <c r="BF26" s="52"/>
      <c r="BG26" s="52"/>
      <c r="BH26" s="52"/>
      <c r="BI26" s="52"/>
      <c r="BJ26" s="52"/>
      <c r="BK26" s="52"/>
      <c r="BL26" s="52"/>
      <c r="BM26" s="52"/>
    </row>
    <row r="27" spans="1:65" ht="28.8" customHeight="1" x14ac:dyDescent="0.3">
      <c r="A27" s="10" t="str">
        <f>IF(Job_Master!A27="","",Job_Master!A27)</f>
        <v>BJ-122</v>
      </c>
      <c r="B27" s="10">
        <f>IF($A27="","",Job_Master!B27)</f>
        <v>54</v>
      </c>
      <c r="C27" s="10" t="str">
        <f>IF($A27="","",Job_Master!C27)</f>
        <v>SOL</v>
      </c>
      <c r="D27" s="10">
        <f>IF($A27="","",Job_Master!D27)</f>
        <v>4</v>
      </c>
      <c r="E27" s="10" t="str">
        <f>IF($A27="","","VENT-MC-05")</f>
        <v>VENT-MC-05</v>
      </c>
      <c r="F27" s="106" t="str">
        <f>IF($E27="","",IFERROR(VLOOKUP($E27,Machine_List!$B:$G,6,0),""))</f>
        <v>Contract Workman</v>
      </c>
      <c r="G27" s="53">
        <f>IF($E27="","",IFERROR(VLOOKUP($E27,Machine_List!$B:$C,2,0),""))</f>
        <v>46394</v>
      </c>
      <c r="H27" s="10">
        <f>IF($E27="","",IFERROR(VLOOKUP($E27,Machine_List!$B:$D,3,0),""))</f>
        <v>6</v>
      </c>
      <c r="I27" s="54"/>
      <c r="J27" s="55">
        <f ca="1">IF($A27="","",IF($I27&lt;&gt;"",$I27,MAX(ENG_Plan!$M27,IFERROR(LOOKUP(2,1/($E$3:INDIRECT("E"&amp;(ROW()-1))=$E27),$M$3:INDIRECT("M"&amp;(ROW()-1))),ENG_Plan!$M27))))</f>
        <v>46214.587962962956</v>
      </c>
      <c r="K27" s="10">
        <f>IF($A27="","",IFERROR(VLOOKUP(B27,CHOOSE(MATCH(C27,Settings!$L$4:$L$10,0),OPR_2P!$A$4:$I$18,SEG_6P!$A$4:$I$18,SOL_4P!$A$4:$I$18,RW_2P!$A$4:$I$18,RW2_4P!$A$4:$I$18,FLAP_4P!$A$4:$I$18,TUBE_4P!$A$4:$I$18),6,0),0))</f>
        <v>54</v>
      </c>
      <c r="L27" s="10">
        <f t="shared" si="0"/>
        <v>216</v>
      </c>
      <c r="M27" s="55">
        <f ca="1">IF($A27="","",IF(AND(ISNUMBER(G27),G27&gt;=J27,G27&lt;=(J27+(L27/(IF(F27="Contract Workman",Settings!$K$5,Settings!$K$4))))),J27+(L27/(IF(F27="Contract Workman",Settings!$K$5,Settings!$K$4)))+(H27/(IF(F27="Contract Workman",Settings!$K$5,Settings!$K$4))),J27+(L27/(IF(F27="Contract Workman",Settings!$K$5,Settings!$K$4)))))</f>
        <v>46224.230820105811</v>
      </c>
      <c r="N27" s="10" t="str">
        <f t="shared" ca="1" si="1"/>
        <v>Shift S2</v>
      </c>
      <c r="O27" s="51" t="str">
        <f>IF(B27="","", IF(IFERROR(ISNUMBER(SEARCH(B27, VLOOKUP(E27, Machine_List!$B:$J, 9, 0))), FALSE()), "✅ Machine OK", "❌ Sug: " &amp; IFERROR(INDEX(Machine_List!$B$4:$B$50, MATCH("*"&amp;B27&amp;"*", Machine_List!$J$4:$J$50, 0)), "Check Limits")))</f>
        <v>✅ Machine OK</v>
      </c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2"/>
      <c r="AQ27" s="52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52"/>
      <c r="BC27" s="52"/>
      <c r="BD27" s="52"/>
      <c r="BE27" s="52"/>
      <c r="BF27" s="52"/>
      <c r="BG27" s="52"/>
      <c r="BH27" s="52"/>
      <c r="BI27" s="52"/>
      <c r="BJ27" s="52"/>
      <c r="BK27" s="52"/>
      <c r="BL27" s="52"/>
      <c r="BM27" s="52"/>
    </row>
    <row r="28" spans="1:65" ht="28.8" customHeight="1" x14ac:dyDescent="0.3">
      <c r="A28" s="10" t="str">
        <f>IF(Job_Master!A28="","",Job_Master!A28)</f>
        <v>BJ-124</v>
      </c>
      <c r="B28" s="10">
        <f>IF($A28="","",Job_Master!B28)</f>
        <v>42</v>
      </c>
      <c r="C28" s="10" t="str">
        <f>IF($A28="","",Job_Master!C28)</f>
        <v>2P</v>
      </c>
      <c r="D28" s="10">
        <f>IF($A28="","",Job_Master!D28)</f>
        <v>2</v>
      </c>
      <c r="E28" s="10" t="str">
        <f>IF($A28="","","VENT-MC-07")</f>
        <v>VENT-MC-07</v>
      </c>
      <c r="F28" s="106" t="str">
        <f>IF($E28="","",IFERROR(VLOOKUP($E28,Machine_List!$B:$G,6,0),""))</f>
        <v>Contract Workman</v>
      </c>
      <c r="G28" s="53">
        <f>IF($E28="","",IFERROR(VLOOKUP($E28,Machine_List!$B:$C,2,0),""))</f>
        <v>46234</v>
      </c>
      <c r="H28" s="10">
        <f>IF($E28="","",IFERROR(VLOOKUP($E28,Machine_List!$B:$D,3,0),""))</f>
        <v>6</v>
      </c>
      <c r="I28" s="54"/>
      <c r="J28" s="55">
        <f ca="1">IF($A28="","",IF($I28&lt;&gt;"",$I28,MAX(ENG_Plan!$M28,IFERROR(LOOKUP(2,1/($E$3:INDIRECT("E"&amp;(ROW()-1))=$E28),$M$3:INDIRECT("M"&amp;(ROW()-1))),ENG_Plan!$M28))))</f>
        <v>46164.032407407401</v>
      </c>
      <c r="K28" s="10">
        <f>IF($A28="","",IFERROR(VLOOKUP(B28,CHOOSE(MATCH(C28,Settings!$L$4:$L$10,0),OPR_2P!$A$4:$I$18,SEG_6P!$A$4:$I$18,SOL_4P!$A$4:$I$18,RW_2P!$A$4:$I$18,RW2_4P!$A$4:$I$18,FLAP_4P!$A$4:$I$18,TUBE_4P!$A$4:$I$18),6,0),0))</f>
        <v>62</v>
      </c>
      <c r="L28" s="10">
        <f t="shared" si="0"/>
        <v>124</v>
      </c>
      <c r="M28" s="55">
        <f ca="1">IF($A28="","",IF(AND(ISNUMBER(G28),G28&gt;=J28,G28&lt;=(J28+(L28/(IF(F28="Contract Workman",Settings!$K$5,Settings!$K$4))))),J28+(L28/(IF(F28="Contract Workman",Settings!$K$5,Settings!$K$4)))+(H28/(IF(F28="Contract Workman",Settings!$K$5,Settings!$K$4))),J28+(L28/(IF(F28="Contract Workman",Settings!$K$5,Settings!$K$4)))))</f>
        <v>46169.568121693119</v>
      </c>
      <c r="N28" s="10" t="str">
        <f t="shared" ca="1" si="1"/>
        <v>Shift S1</v>
      </c>
      <c r="O28" s="51" t="str">
        <f>IF(B28="","", IF(IFERROR(ISNUMBER(SEARCH(B28, VLOOKUP(E28, Machine_List!$B:$J, 9, 0))), FALSE()), "✅ Machine OK", "❌ Sug: " &amp; IFERROR(INDEX(Machine_List!$B$4:$B$50, MATCH("*"&amp;B28&amp;"*", Machine_List!$J$4:$J$50, 0)), "Check Limits")))</f>
        <v>✅ Machine OK</v>
      </c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2"/>
      <c r="AO28" s="52"/>
      <c r="AP28" s="52"/>
      <c r="AQ28" s="52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52"/>
      <c r="BC28" s="52"/>
      <c r="BD28" s="52"/>
      <c r="BE28" s="52"/>
      <c r="BF28" s="52"/>
      <c r="BG28" s="52"/>
      <c r="BH28" s="52"/>
      <c r="BI28" s="52"/>
      <c r="BJ28" s="52"/>
      <c r="BK28" s="52"/>
      <c r="BL28" s="52"/>
      <c r="BM28" s="52"/>
    </row>
    <row r="29" spans="1:65" ht="28.8" customHeight="1" x14ac:dyDescent="0.3">
      <c r="A29" s="10" t="str">
        <f>IF(Job_Master!A29="","",Job_Master!A29)</f>
        <v>BJ-126</v>
      </c>
      <c r="B29" s="10">
        <f>IF($A29="","",Job_Master!B29)</f>
        <v>42</v>
      </c>
      <c r="C29" s="10" t="str">
        <f>IF($A29="","",Job_Master!C29)</f>
        <v>2P</v>
      </c>
      <c r="D29" s="10">
        <f>IF($A29="","",Job_Master!D29)</f>
        <v>2</v>
      </c>
      <c r="E29" s="10" t="str">
        <f>IF($A29="","","VENT-MC-06")</f>
        <v>VENT-MC-06</v>
      </c>
      <c r="F29" s="106" t="str">
        <f>IF($E29="","",IFERROR(VLOOKUP($E29,Machine_List!$B:$G,6,0),""))</f>
        <v>Contract Workman</v>
      </c>
      <c r="G29" s="53">
        <f>IF($E29="","",IFERROR(VLOOKUP($E29,Machine_List!$B:$C,2,0),""))</f>
        <v>46347</v>
      </c>
      <c r="H29" s="10">
        <f>IF($E29="","",IFERROR(VLOOKUP($E29,Machine_List!$B:$D,3,0),""))</f>
        <v>6</v>
      </c>
      <c r="I29" s="54"/>
      <c r="J29" s="55">
        <f ca="1">IF($A29="","",IF($I29&lt;&gt;"",$I29,MAX(ENG_Plan!$M29,IFERROR(LOOKUP(2,1/($E$3:INDIRECT("E"&amp;(ROW()-1))=$E29),$M$3:INDIRECT("M"&amp;(ROW()-1))),ENG_Plan!$M29))))</f>
        <v>46166.995370370358</v>
      </c>
      <c r="K29" s="10">
        <f>IF($A29="","",IFERROR(VLOOKUP(B29,CHOOSE(MATCH(C29,Settings!$L$4:$L$10,0),OPR_2P!$A$4:$I$18,SEG_6P!$A$4:$I$18,SOL_4P!$A$4:$I$18,RW_2P!$A$4:$I$18,RW2_4P!$A$4:$I$18,FLAP_4P!$A$4:$I$18,TUBE_4P!$A$4:$I$18),6,0),0))</f>
        <v>62</v>
      </c>
      <c r="L29" s="10">
        <f t="shared" si="0"/>
        <v>124</v>
      </c>
      <c r="M29" s="55">
        <f ca="1">IF($A29="","",IF(AND(ISNUMBER(G29),G29&gt;=J29,G29&lt;=(J29+(L29/(IF(F29="Contract Workman",Settings!$K$5,Settings!$K$4))))),J29+(L29/(IF(F29="Contract Workman",Settings!$K$5,Settings!$K$4)))+(H29/(IF(F29="Contract Workman",Settings!$K$5,Settings!$K$4))),J29+(L29/(IF(F29="Contract Workman",Settings!$K$5,Settings!$K$4)))))</f>
        <v>46172.531084656075</v>
      </c>
      <c r="N29" s="10" t="str">
        <f t="shared" ca="1" si="1"/>
        <v>Shift S1</v>
      </c>
      <c r="O29" s="51" t="str">
        <f>IF(B29="","", IF(IFERROR(ISNUMBER(SEARCH(B29, VLOOKUP(E29, Machine_List!$B:$J, 9, 0))), FALSE()), "✅ Machine OK", "❌ Sug: " &amp; IFERROR(INDEX(Machine_List!$B$4:$B$50, MATCH("*"&amp;B29&amp;"*", Machine_List!$J$4:$J$50, 0)), "Check Limits")))</f>
        <v>✅ Machine OK</v>
      </c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2"/>
      <c r="AQ29" s="52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52"/>
      <c r="BC29" s="52"/>
      <c r="BD29" s="52"/>
      <c r="BE29" s="52"/>
      <c r="BF29" s="52"/>
      <c r="BG29" s="52"/>
      <c r="BH29" s="52"/>
      <c r="BI29" s="52"/>
      <c r="BJ29" s="52"/>
      <c r="BK29" s="52"/>
      <c r="BL29" s="52"/>
      <c r="BM29" s="52"/>
    </row>
    <row r="30" spans="1:65" ht="28.8" customHeight="1" x14ac:dyDescent="0.3">
      <c r="A30" s="10" t="str">
        <f>IF(Job_Master!A30="","",Job_Master!A30)</f>
        <v>BJ-127</v>
      </c>
      <c r="B30" s="10">
        <f>IF($A30="","",Job_Master!B30)</f>
        <v>15</v>
      </c>
      <c r="C30" s="10" t="str">
        <f>IF($A30="","",Job_Master!C30)</f>
        <v>RW</v>
      </c>
      <c r="D30" s="10">
        <f>IF($A30="","",Job_Master!D30)</f>
        <v>2</v>
      </c>
      <c r="E30" s="10" t="str">
        <f>IF($A30="","","VENT-MC-01")</f>
        <v>VENT-MC-01</v>
      </c>
      <c r="F30" s="106" t="str">
        <f>IF($E30="","",IFERROR(VLOOKUP($E30,Machine_List!$B:$G,6,0),""))</f>
        <v>Contract Workman</v>
      </c>
      <c r="G30" s="53">
        <f>IF($E30="","",IFERROR(VLOOKUP($E30,Machine_List!$B:$C,2,0),""))</f>
        <v>46230</v>
      </c>
      <c r="H30" s="10">
        <f>IF($E30="","",IFERROR(VLOOKUP($E30,Machine_List!$B:$D,3,0),""))</f>
        <v>6</v>
      </c>
      <c r="I30" s="54"/>
      <c r="J30" s="55">
        <f ca="1">IF($A30="","",IF($I30&lt;&gt;"",$I30,MAX(ENG_Plan!$M30,IFERROR(LOOKUP(2,1/($E$3:INDIRECT("E"&amp;(ROW()-1))=$E30),$M$3:INDIRECT("M"&amp;(ROW()-1))),ENG_Plan!$M30))))</f>
        <v>46158.900132275114</v>
      </c>
      <c r="K30" s="10">
        <f>IF($A30="","",IFERROR(VLOOKUP(B30,CHOOSE(MATCH(C30,Settings!$L$4:$L$10,0),OPR_2P!$A$4:$I$18,SEG_6P!$A$4:$I$18,SOL_4P!$A$4:$I$18,RW_2P!$A$4:$I$18,RW2_4P!$A$4:$I$18,FLAP_4P!$A$4:$I$18,TUBE_4P!$A$4:$I$18),6,0),0))</f>
        <v>7</v>
      </c>
      <c r="L30" s="10">
        <f t="shared" si="0"/>
        <v>14</v>
      </c>
      <c r="M30" s="55">
        <f ca="1">IF($A30="","",IF(AND(ISNUMBER(G30),G30&gt;=J30,G30&lt;=(J30+(L30/(IF(F30="Contract Workman",Settings!$K$5,Settings!$K$4))))),J30+(L30/(IF(F30="Contract Workman",Settings!$K$5,Settings!$K$4)))+(H30/(IF(F30="Contract Workman",Settings!$K$5,Settings!$K$4))),J30+(L30/(IF(F30="Contract Workman",Settings!$K$5,Settings!$K$4)))))</f>
        <v>46159.525132275114</v>
      </c>
      <c r="N30" s="10" t="str">
        <f t="shared" ca="1" si="1"/>
        <v>Shift S1</v>
      </c>
      <c r="O30" s="51" t="str">
        <f>IF(B30="","", IF(IFERROR(ISNUMBER(SEARCH(B30, VLOOKUP(E30, Machine_List!$B:$J, 9, 0))), FALSE()), "✅ Machine OK", "❌ Sug: " &amp; IFERROR(INDEX(Machine_List!$B$4:$B$50, MATCH("*"&amp;B30&amp;"*", Machine_List!$J$4:$J$50, 0)), "Check Limits")))</f>
        <v>✅ Machine OK</v>
      </c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P30" s="52"/>
      <c r="AQ30" s="52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52"/>
      <c r="BC30" s="52"/>
      <c r="BD30" s="52"/>
      <c r="BE30" s="52"/>
      <c r="BF30" s="52"/>
      <c r="BG30" s="52"/>
      <c r="BH30" s="52"/>
      <c r="BI30" s="52"/>
      <c r="BJ30" s="52"/>
      <c r="BK30" s="52"/>
      <c r="BL30" s="52"/>
      <c r="BM30" s="52"/>
    </row>
    <row r="31" spans="1:65" ht="28.8" customHeight="1" x14ac:dyDescent="0.3">
      <c r="A31" s="10" t="str">
        <f>IF(Job_Master!A31="","",Job_Master!A31)</f>
        <v>BJ-128</v>
      </c>
      <c r="B31" s="10">
        <f>IF($A31="","",Job_Master!B31)</f>
        <v>46</v>
      </c>
      <c r="C31" s="10" t="str">
        <f>IF($A31="","",Job_Master!C31)</f>
        <v>2P</v>
      </c>
      <c r="D31" s="10">
        <f>IF($A31="","",Job_Master!D31)</f>
        <v>2</v>
      </c>
      <c r="E31" s="10" t="str">
        <f>IF($A31="","","VENT-MC-06")</f>
        <v>VENT-MC-06</v>
      </c>
      <c r="F31" s="106" t="str">
        <f>IF($E31="","",IFERROR(VLOOKUP($E31,Machine_List!$B:$G,6,0),""))</f>
        <v>Contract Workman</v>
      </c>
      <c r="G31" s="53">
        <f>IF($E31="","",IFERROR(VLOOKUP($E31,Machine_List!$B:$C,2,0),""))</f>
        <v>46347</v>
      </c>
      <c r="H31" s="10">
        <f>IF($E31="","",IFERROR(VLOOKUP($E31,Machine_List!$B:$D,3,0),""))</f>
        <v>6</v>
      </c>
      <c r="I31" s="54"/>
      <c r="J31" s="55">
        <f ca="1">IF($A31="","",IF($I31&lt;&gt;"",$I31,MAX(ENG_Plan!$M31,IFERROR(LOOKUP(2,1/($E$3:INDIRECT("E"&amp;(ROW()-1))=$E31),$M$3:INDIRECT("M"&amp;(ROW()-1))),ENG_Plan!$M31))))</f>
        <v>46172.643518518526</v>
      </c>
      <c r="K31" s="10">
        <f>IF($A31="","",IFERROR(VLOOKUP(B31,CHOOSE(MATCH(C31,Settings!$L$4:$L$10,0),OPR_2P!$A$4:$I$18,SEG_6P!$A$4:$I$18,SOL_4P!$A$4:$I$18,RW_2P!$A$4:$I$18,RW2_4P!$A$4:$I$18,FLAP_4P!$A$4:$I$18,TUBE_4P!$A$4:$I$18),6,0),0))</f>
        <v>48</v>
      </c>
      <c r="L31" s="10">
        <f t="shared" si="0"/>
        <v>96</v>
      </c>
      <c r="M31" s="55">
        <f ca="1">IF($A31="","",IF(AND(ISNUMBER(G31),G31&gt;=J31,G31&lt;=(J31+(L31/(IF(F31="Contract Workman",Settings!$K$5,Settings!$K$4))))),J31+(L31/(IF(F31="Contract Workman",Settings!$K$5,Settings!$K$4)))+(H31/(IF(F31="Contract Workman",Settings!$K$5,Settings!$K$4))),J31+(L31/(IF(F31="Contract Workman",Settings!$K$5,Settings!$K$4)))))</f>
        <v>46176.929232804243</v>
      </c>
      <c r="N31" s="10" t="str">
        <f t="shared" ca="1" si="1"/>
        <v>Shift S2</v>
      </c>
      <c r="O31" s="51" t="str">
        <f>IF(B31="","", IF(IFERROR(ISNUMBER(SEARCH(B31, VLOOKUP(E31, Machine_List!$B:$J, 9, 0))), FALSE()), "✅ Machine OK", "❌ Sug: " &amp; IFERROR(INDEX(Machine_List!$B$4:$B$50, MATCH("*"&amp;B31&amp;"*", Machine_List!$J$4:$J$50, 0)), "Check Limits")))</f>
        <v>✅ Machine OK</v>
      </c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2"/>
      <c r="BC31" s="52"/>
      <c r="BD31" s="52"/>
      <c r="BE31" s="52"/>
      <c r="BF31" s="52"/>
      <c r="BG31" s="52"/>
      <c r="BH31" s="52"/>
      <c r="BI31" s="52"/>
      <c r="BJ31" s="52"/>
      <c r="BK31" s="52"/>
      <c r="BL31" s="52"/>
      <c r="BM31" s="52"/>
    </row>
    <row r="32" spans="1:65" ht="28.8" customHeight="1" x14ac:dyDescent="0.3">
      <c r="A32" s="10" t="str">
        <f>IF(Job_Master!A32="","",Job_Master!A32)</f>
        <v>BJ-125</v>
      </c>
      <c r="B32" s="10">
        <f>IF($A32="","",Job_Master!B32)</f>
        <v>25</v>
      </c>
      <c r="C32" s="10" t="str">
        <f>IF($A32="","",Job_Master!C32)</f>
        <v>SEG</v>
      </c>
      <c r="D32" s="10">
        <f>IF($A32="","",Job_Master!D32)</f>
        <v>6</v>
      </c>
      <c r="E32" s="10" t="str">
        <f>IF($A32="","","VENT-MC-01")</f>
        <v>VENT-MC-01</v>
      </c>
      <c r="F32" s="106" t="str">
        <f>IF($E32="","",IFERROR(VLOOKUP($E32,Machine_List!$B:$G,6,0),""))</f>
        <v>Contract Workman</v>
      </c>
      <c r="G32" s="53">
        <f>IF($E32="","",IFERROR(VLOOKUP($E32,Machine_List!$B:$C,2,0),""))</f>
        <v>46230</v>
      </c>
      <c r="H32" s="10">
        <f>IF($E32="","",IFERROR(VLOOKUP($E32,Machine_List!$B:$D,3,0),""))</f>
        <v>6</v>
      </c>
      <c r="I32" s="54"/>
      <c r="J32" s="55">
        <f ca="1">IF($A32="","",IF($I32&lt;&gt;"",$I32,MAX(ENG_Plan!$M32,IFERROR(LOOKUP(2,1/($E$3:INDIRECT("E"&amp;(ROW()-1))=$E32),$M$3:INDIRECT("M"&amp;(ROW()-1))),ENG_Plan!$M32))))</f>
        <v>46170.143518518511</v>
      </c>
      <c r="K32" s="10">
        <f>IF($A32="","",IFERROR(VLOOKUP(B32,CHOOSE(MATCH(C32,Settings!$L$4:$L$10,0),OPR_2P!$A$4:$I$18,SEG_6P!$A$4:$I$18,SOL_4P!$A$4:$I$18,RW_2P!$A$4:$I$18,RW2_4P!$A$4:$I$18,FLAP_4P!$A$4:$I$18,TUBE_4P!$A$4:$I$18),6,0),0))</f>
        <v>32</v>
      </c>
      <c r="L32" s="10">
        <f t="shared" si="0"/>
        <v>192</v>
      </c>
      <c r="M32" s="55">
        <f ca="1">IF($A32="","",IF(AND(ISNUMBER(G32),G32&gt;=J32,G32&lt;=(J32+(L32/(IF(F32="Contract Workman",Settings!$K$5,Settings!$K$4))))),J32+(L32/(IF(F32="Contract Workman",Settings!$K$5,Settings!$K$4)))+(H32/(IF(F32="Contract Workman",Settings!$K$5,Settings!$K$4))),J32+(L32/(IF(F32="Contract Workman",Settings!$K$5,Settings!$K$4)))))</f>
        <v>46178.714947089939</v>
      </c>
      <c r="N32" s="10" t="str">
        <f t="shared" ca="1" si="1"/>
        <v>Shift S1</v>
      </c>
      <c r="O32" s="51" t="str">
        <f>IF(B32="","", IF(IFERROR(ISNUMBER(SEARCH(B32, VLOOKUP(E32, Machine_List!$B:$J, 9, 0))), FALSE()), "✅ Machine OK", "❌ Sug: " &amp; IFERROR(INDEX(Machine_List!$B$4:$B$50, MATCH("*"&amp;B32&amp;"*", Machine_List!$J$4:$J$50, 0)), "Check Limits")))</f>
        <v>✅ Machine OK</v>
      </c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2"/>
      <c r="AO32" s="52"/>
      <c r="AP32" s="52"/>
      <c r="AQ32" s="52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52"/>
      <c r="BC32" s="52"/>
      <c r="BD32" s="52"/>
      <c r="BE32" s="52"/>
      <c r="BF32" s="52"/>
      <c r="BG32" s="52"/>
      <c r="BH32" s="52"/>
      <c r="BI32" s="52"/>
      <c r="BJ32" s="52"/>
      <c r="BK32" s="52"/>
      <c r="BL32" s="52"/>
      <c r="BM32" s="52"/>
    </row>
    <row r="33" spans="1:65" ht="28.8" customHeight="1" x14ac:dyDescent="0.3">
      <c r="A33" s="10" t="str">
        <f>IF(Job_Master!A33="","",Job_Master!A33)</f>
        <v>BJ-129</v>
      </c>
      <c r="B33" s="10">
        <f>IF($A33="","",Job_Master!B33)</f>
        <v>9</v>
      </c>
      <c r="C33" s="10" t="str">
        <f>IF($A33="","",Job_Master!C33)</f>
        <v>RW</v>
      </c>
      <c r="D33" s="10">
        <f>IF($A33="","",Job_Master!D33)</f>
        <v>2</v>
      </c>
      <c r="E33" s="10" t="str">
        <f>IF($A33="","","VENT-MC-03")</f>
        <v>VENT-MC-03</v>
      </c>
      <c r="F33" s="106" t="str">
        <f>IF($E33="","",IFERROR(VLOOKUP($E33,Machine_List!$B:$G,6,0),""))</f>
        <v>Contract Workman</v>
      </c>
      <c r="G33" s="53">
        <f>IF($E33="","",IFERROR(VLOOKUP($E33,Machine_List!$B:$C,2,0),""))</f>
        <v>46054</v>
      </c>
      <c r="H33" s="10">
        <f>IF($E33="","",IFERROR(VLOOKUP($E33,Machine_List!$B:$D,3,0),""))</f>
        <v>6</v>
      </c>
      <c r="I33" s="54"/>
      <c r="J33" s="55">
        <f ca="1">IF($A33="","",IF($I33&lt;&gt;"",$I33,MAX(ENG_Plan!$M33,IFERROR(LOOKUP(2,1/($E$3:INDIRECT("E"&amp;(ROW()-1))=$E33),$M$3:INDIRECT("M"&amp;(ROW()-1))),ENG_Plan!$M33))))</f>
        <v>46157.458333333321</v>
      </c>
      <c r="K33" s="10">
        <f>IF($A33="","",IFERROR(VLOOKUP(B33,CHOOSE(MATCH(C33,Settings!$L$4:$L$10,0),OPR_2P!$A$4:$I$18,SEG_6P!$A$4:$I$18,SOL_4P!$A$4:$I$18,RW_2P!$A$4:$I$18,RW2_4P!$A$4:$I$18,FLAP_4P!$A$4:$I$18,TUBE_4P!$A$4:$I$18),6,0),0))</f>
        <v>2</v>
      </c>
      <c r="L33" s="10">
        <f t="shared" si="0"/>
        <v>4</v>
      </c>
      <c r="M33" s="55">
        <f ca="1">IF($A33="","",IF(AND(ISNUMBER(G33),G33&gt;=J33,G33&lt;=(J33+(L33/(IF(F33="Contract Workman",Settings!$K$5,Settings!$K$4))))),J33+(L33/(IF(F33="Contract Workman",Settings!$K$5,Settings!$K$4)))+(H33/(IF(F33="Contract Workman",Settings!$K$5,Settings!$K$4))),J33+(L33/(IF(F33="Contract Workman",Settings!$K$5,Settings!$K$4)))))</f>
        <v>46157.636904761894</v>
      </c>
      <c r="N33" s="10" t="str">
        <f t="shared" ca="1" si="1"/>
        <v>Shift S1</v>
      </c>
      <c r="O33" s="51" t="str">
        <f>IF(B33="","", IF(IFERROR(ISNUMBER(SEARCH(B33, VLOOKUP(E33, Machine_List!$B:$J, 9, 0))), FALSE()), "✅ Machine OK", "❌ Sug: " &amp; IFERROR(INDEX(Machine_List!$B$4:$B$50, MATCH("*"&amp;B33&amp;"*", Machine_List!$J$4:$J$50, 0)), "Check Limits")))</f>
        <v>✅ Machine OK</v>
      </c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2"/>
      <c r="AQ33" s="52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/>
      <c r="BD33" s="52"/>
      <c r="BE33" s="52"/>
      <c r="BF33" s="52"/>
      <c r="BG33" s="52"/>
      <c r="BH33" s="52"/>
      <c r="BI33" s="52"/>
      <c r="BJ33" s="52"/>
      <c r="BK33" s="52"/>
      <c r="BL33" s="52"/>
      <c r="BM33" s="52"/>
    </row>
    <row r="34" spans="1:65" ht="28.8" customHeight="1" x14ac:dyDescent="0.3">
      <c r="A34" s="10" t="str">
        <f>IF(Job_Master!A34="","",Job_Master!A34)</f>
        <v>BJ-130</v>
      </c>
      <c r="B34" s="10">
        <f>IF($A34="","",Job_Master!B34)</f>
        <v>57</v>
      </c>
      <c r="C34" s="10" t="str">
        <f>IF($A34="","",Job_Master!C34)</f>
        <v>RW</v>
      </c>
      <c r="D34" s="10">
        <f>IF($A34="","",Job_Master!D34)</f>
        <v>2</v>
      </c>
      <c r="E34" s="10" t="str">
        <f>IF($A34="","","VENT-MC-06")</f>
        <v>VENT-MC-06</v>
      </c>
      <c r="F34" s="106" t="str">
        <f>IF($E34="","",IFERROR(VLOOKUP($E34,Machine_List!$B:$G,6,0),""))</f>
        <v>Contract Workman</v>
      </c>
      <c r="G34" s="53">
        <f>IF($E34="","",IFERROR(VLOOKUP($E34,Machine_List!$B:$C,2,0),""))</f>
        <v>46347</v>
      </c>
      <c r="H34" s="10">
        <f>IF($E34="","",IFERROR(VLOOKUP($E34,Machine_List!$B:$D,3,0),""))</f>
        <v>6</v>
      </c>
      <c r="I34" s="54"/>
      <c r="J34" s="55">
        <f ca="1">IF($A34="","",IF($I34&lt;&gt;"",$I34,MAX(ENG_Plan!$M34,IFERROR(LOOKUP(2,1/($E$3:INDIRECT("E"&amp;(ROW()-1))=$E34),$M$3:INDIRECT("M"&amp;(ROW()-1))),ENG_Plan!$M34))))</f>
        <v>46181.347222222226</v>
      </c>
      <c r="K34" s="10">
        <f>IF($A34="","",IFERROR(VLOOKUP(B34,CHOOSE(MATCH(C34,Settings!$L$4:$L$10,0),OPR_2P!$A$4:$I$18,SEG_6P!$A$4:$I$18,SOL_4P!$A$4:$I$18,RW_2P!$A$4:$I$18,RW2_4P!$A$4:$I$18,FLAP_4P!$A$4:$I$18,TUBE_4P!$A$4:$I$18),6,0),0))</f>
        <v>53</v>
      </c>
      <c r="L34" s="10">
        <f t="shared" si="0"/>
        <v>106</v>
      </c>
      <c r="M34" s="55">
        <f ca="1">IF($A34="","",IF(AND(ISNUMBER(G34),G34&gt;=J34,G34&lt;=(J34+(L34/(IF(F34="Contract Workman",Settings!$K$5,Settings!$K$4))))),J34+(L34/(IF(F34="Contract Workman",Settings!$K$5,Settings!$K$4)))+(H34/(IF(F34="Contract Workman",Settings!$K$5,Settings!$K$4))),J34+(L34/(IF(F34="Contract Workman",Settings!$K$5,Settings!$K$4)))))</f>
        <v>46186.079365079371</v>
      </c>
      <c r="N34" s="10" t="str">
        <f t="shared" ca="1" si="1"/>
        <v>Shift S2</v>
      </c>
      <c r="O34" s="51" t="str">
        <f>IF(B34="","", IF(IFERROR(ISNUMBER(SEARCH(B34, VLOOKUP(E34, Machine_List!$B:$J, 9, 0))), FALSE()), "✅ Machine OK", "❌ Sug: " &amp; IFERROR(INDEX(Machine_List!$B$4:$B$50, MATCH("*"&amp;B34&amp;"*", Machine_List!$J$4:$J$50, 0)), "Check Limits")))</f>
        <v>✅ Machine OK</v>
      </c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2"/>
      <c r="AO34" s="52"/>
      <c r="AP34" s="52"/>
      <c r="AQ34" s="52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52"/>
      <c r="BC34" s="52"/>
      <c r="BD34" s="52"/>
      <c r="BE34" s="52"/>
      <c r="BF34" s="52"/>
      <c r="BG34" s="52"/>
      <c r="BH34" s="52"/>
      <c r="BI34" s="52"/>
      <c r="BJ34" s="52"/>
      <c r="BK34" s="52"/>
      <c r="BL34" s="52"/>
      <c r="BM34" s="52"/>
    </row>
    <row r="35" spans="1:65" ht="28.8" customHeight="1" x14ac:dyDescent="0.3">
      <c r="A35" s="10" t="str">
        <f>IF(Job_Master!A35="","",Job_Master!A35)</f>
        <v>BJ-133</v>
      </c>
      <c r="B35" s="10">
        <f>IF($A35="","",Job_Master!B35)</f>
        <v>25</v>
      </c>
      <c r="C35" s="10" t="str">
        <f>IF($A35="","",Job_Master!C35)</f>
        <v>RW</v>
      </c>
      <c r="D35" s="10">
        <f>IF($A35="","",Job_Master!D35)</f>
        <v>2</v>
      </c>
      <c r="E35" s="10" t="str">
        <f>IF($A35="","","VENT-MC-02")</f>
        <v>VENT-MC-02</v>
      </c>
      <c r="F35" s="106" t="str">
        <f>IF($E35="","",IFERROR(VLOOKUP($E35,Machine_List!$B:$G,6,0),""))</f>
        <v>Contract Workman</v>
      </c>
      <c r="G35" s="53">
        <f>IF($E35="","",IFERROR(VLOOKUP($E35,Machine_List!$B:$C,2,0),""))</f>
        <v>46191</v>
      </c>
      <c r="H35" s="10">
        <f>IF($E35="","",IFERROR(VLOOKUP($E35,Machine_List!$B:$D,3,0),""))</f>
        <v>6</v>
      </c>
      <c r="I35" s="54"/>
      <c r="J35" s="55">
        <f ca="1">IF($A35="","",IF($I35&lt;&gt;"",$I35,MAX(ENG_Plan!$M35,IFERROR(LOOKUP(2,1/($E$3:INDIRECT("E"&amp;(ROW()-1))=$E35),$M$3:INDIRECT("M"&amp;(ROW()-1))),ENG_Plan!$M35))))</f>
        <v>46165.16005291004</v>
      </c>
      <c r="K35" s="10">
        <f>IF($A35="","",IFERROR(VLOOKUP(B35,CHOOSE(MATCH(C35,Settings!$L$4:$L$10,0),OPR_2P!$A$4:$I$18,SEG_6P!$A$4:$I$18,SOL_4P!$A$4:$I$18,RW_2P!$A$4:$I$18,RW2_4P!$A$4:$I$18,FLAP_4P!$A$4:$I$18,TUBE_4P!$A$4:$I$18),6,0),0))</f>
        <v>23</v>
      </c>
      <c r="L35" s="10">
        <f t="shared" si="0"/>
        <v>46</v>
      </c>
      <c r="M35" s="55">
        <f ca="1">IF($A35="","",IF(AND(ISNUMBER(G35),G35&gt;=J35,G35&lt;=(J35+(L35/(IF(F35="Contract Workman",Settings!$K$5,Settings!$K$4))))),J35+(L35/(IF(F35="Contract Workman",Settings!$K$5,Settings!$K$4)))+(H35/(IF(F35="Contract Workman",Settings!$K$5,Settings!$K$4))),J35+(L35/(IF(F35="Contract Workman",Settings!$K$5,Settings!$K$4)))))</f>
        <v>46167.213624338612</v>
      </c>
      <c r="N35" s="10" t="str">
        <f t="shared" ca="1" si="1"/>
        <v>Shift S2</v>
      </c>
      <c r="O35" s="51" t="str">
        <f>IF(B35="","", IF(IFERROR(ISNUMBER(SEARCH(B35, VLOOKUP(E35, Machine_List!$B:$J, 9, 0))), FALSE()), "✅ Machine OK", "❌ Sug: " &amp; IFERROR(INDEX(Machine_List!$B$4:$B$50, MATCH("*"&amp;B35&amp;"*", Machine_List!$J$4:$J$50, 0)), "Check Limits")))</f>
        <v>✅ Machine OK</v>
      </c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2"/>
      <c r="BF35" s="52"/>
      <c r="BG35" s="52"/>
      <c r="BH35" s="52"/>
      <c r="BI35" s="52"/>
      <c r="BJ35" s="52"/>
      <c r="BK35" s="52"/>
      <c r="BL35" s="52"/>
      <c r="BM35" s="52"/>
    </row>
    <row r="36" spans="1:65" ht="28.8" customHeight="1" x14ac:dyDescent="0.3">
      <c r="A36" s="10" t="str">
        <f>IF(Job_Master!A36="","",Job_Master!A36)</f>
        <v>BJ-131</v>
      </c>
      <c r="B36" s="10">
        <f>IF($A36="","",Job_Master!B36)</f>
        <v>70</v>
      </c>
      <c r="C36" s="10" t="str">
        <f>IF($A36="","",Job_Master!C36)</f>
        <v>2P</v>
      </c>
      <c r="D36" s="10">
        <f>IF($A36="","",Job_Master!D36)</f>
        <v>2</v>
      </c>
      <c r="E36" s="10" t="str">
        <f>IF($A36="","","VENT-MC-06")</f>
        <v>VENT-MC-06</v>
      </c>
      <c r="F36" s="106" t="str">
        <f>IF($E36="","",IFERROR(VLOOKUP($E36,Machine_List!$B:$G,6,0),""))</f>
        <v>Contract Workman</v>
      </c>
      <c r="G36" s="53">
        <f>IF($E36="","",IFERROR(VLOOKUP($E36,Machine_List!$B:$C,2,0),""))</f>
        <v>46347</v>
      </c>
      <c r="H36" s="10">
        <f>IF($E36="","",IFERROR(VLOOKUP($E36,Machine_List!$B:$D,3,0),""))</f>
        <v>6</v>
      </c>
      <c r="I36" s="54"/>
      <c r="J36" s="55">
        <f ca="1">IF($A36="","",IF($I36&lt;&gt;"",$I36,MAX(ENG_Plan!$M36,IFERROR(LOOKUP(2,1/($E$3:INDIRECT("E"&amp;(ROW()-1))=$E36),$M$3:INDIRECT("M"&amp;(ROW()-1))),ENG_Plan!$M36))))</f>
        <v>46194.680555555547</v>
      </c>
      <c r="K36" s="10">
        <f>IF($A36="","",IFERROR(VLOOKUP(B36,CHOOSE(MATCH(C36,Settings!$L$4:$L$10,0),OPR_2P!$A$4:$I$18,SEG_6P!$A$4:$I$18,SOL_4P!$A$4:$I$18,RW_2P!$A$4:$I$18,RW2_4P!$A$4:$I$18,FLAP_4P!$A$4:$I$18,TUBE_4P!$A$4:$I$18),6,0),0))</f>
        <v>90</v>
      </c>
      <c r="L36" s="10">
        <f t="shared" si="0"/>
        <v>180</v>
      </c>
      <c r="M36" s="55">
        <f ca="1">IF($A36="","",IF(AND(ISNUMBER(G36),G36&gt;=J36,G36&lt;=(J36+(L36/(IF(F36="Contract Workman",Settings!$K$5,Settings!$K$4))))),J36+(L36/(IF(F36="Contract Workman",Settings!$K$5,Settings!$K$4)))+(H36/(IF(F36="Contract Workman",Settings!$K$5,Settings!$K$4))),J36+(L36/(IF(F36="Contract Workman",Settings!$K$5,Settings!$K$4)))))</f>
        <v>46202.716269841265</v>
      </c>
      <c r="N36" s="10" t="str">
        <f t="shared" ref="N36:N67" ca="1" si="2">IF($A36="","",IF(F36="Contract Workman",IF(AND(MOD(M36,1)&gt;=8/24,MOD(M36,1)&lt;20/24),"Shift S1","Shift S2"),IF(AND(MOD(M36,1)&gt;=7/24,MOD(M36,1)&lt;15/24),"Shift A",IF(AND(MOD(M36,1)&gt;=15/24,MOD(M36,1)&lt;23/24),"Shift B","Shift C"))))</f>
        <v>Shift S1</v>
      </c>
      <c r="O36" s="51" t="str">
        <f>IF(B36="","", IF(IFERROR(ISNUMBER(SEARCH(B36, VLOOKUP(E36, Machine_List!$B:$J, 9, 0))), FALSE()), "✅ Machine OK", "❌ Sug: " &amp; IFERROR(INDEX(Machine_List!$B$4:$B$50, MATCH("*"&amp;B36&amp;"*", Machine_List!$J$4:$J$50, 0)), "Check Limits")))</f>
        <v>✅ Machine OK</v>
      </c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2"/>
      <c r="AN36" s="52"/>
      <c r="AO36" s="52"/>
      <c r="AP36" s="52"/>
      <c r="AQ36" s="52"/>
      <c r="AR36" s="52"/>
      <c r="AS36" s="52"/>
      <c r="AT36" s="52"/>
      <c r="AU36" s="52"/>
      <c r="AV36" s="52"/>
      <c r="AW36" s="52"/>
      <c r="AX36" s="52"/>
      <c r="AY36" s="52"/>
      <c r="AZ36" s="52"/>
      <c r="BA36" s="52"/>
      <c r="BB36" s="52"/>
      <c r="BC36" s="52"/>
      <c r="BD36" s="52"/>
      <c r="BE36" s="52"/>
      <c r="BF36" s="52"/>
      <c r="BG36" s="52"/>
      <c r="BH36" s="52"/>
      <c r="BI36" s="52"/>
      <c r="BJ36" s="52"/>
      <c r="BK36" s="52"/>
      <c r="BL36" s="52"/>
      <c r="BM36" s="52"/>
    </row>
    <row r="37" spans="1:65" ht="28.8" customHeight="1" x14ac:dyDescent="0.3">
      <c r="A37" s="10" t="str">
        <f>IF(Job_Master!A37="","",Job_Master!A37)</f>
        <v>BJ-134</v>
      </c>
      <c r="B37" s="10">
        <f>IF($A37="","",Job_Master!B37)</f>
        <v>15</v>
      </c>
      <c r="C37" s="10" t="str">
        <f>IF($A37="","",Job_Master!C37)</f>
        <v>RW</v>
      </c>
      <c r="D37" s="10">
        <f>IF($A37="","",Job_Master!D37)</f>
        <v>2</v>
      </c>
      <c r="E37" s="10" t="str">
        <f>IF($A37="","","VENT-MC-03")</f>
        <v>VENT-MC-03</v>
      </c>
      <c r="F37" s="106" t="str">
        <f>IF($E37="","",IFERROR(VLOOKUP($E37,Machine_List!$B:$G,6,0),""))</f>
        <v>Contract Workman</v>
      </c>
      <c r="G37" s="53">
        <f>IF($E37="","",IFERROR(VLOOKUP($E37,Machine_List!$B:$C,2,0),""))</f>
        <v>46054</v>
      </c>
      <c r="H37" s="10">
        <f>IF($E37="","",IFERROR(VLOOKUP($E37,Machine_List!$B:$D,3,0),""))</f>
        <v>6</v>
      </c>
      <c r="I37" s="54"/>
      <c r="J37" s="55">
        <f ca="1">IF($A37="","",IF($I37&lt;&gt;"",$I37,MAX(ENG_Plan!$M37,IFERROR(LOOKUP(2,1/($E$3:INDIRECT("E"&amp;(ROW()-1))=$E37),$M$3:INDIRECT("M"&amp;(ROW()-1))),ENG_Plan!$M37))))</f>
        <v>46157.636904761894</v>
      </c>
      <c r="K37" s="10">
        <f>IF($A37="","",IFERROR(VLOOKUP(B37,CHOOSE(MATCH(C37,Settings!$L$4:$L$10,0),OPR_2P!$A$4:$I$18,SEG_6P!$A$4:$I$18,SOL_4P!$A$4:$I$18,RW_2P!$A$4:$I$18,RW2_4P!$A$4:$I$18,FLAP_4P!$A$4:$I$18,TUBE_4P!$A$4:$I$18),6,0),0))</f>
        <v>7</v>
      </c>
      <c r="L37" s="10">
        <f t="shared" si="0"/>
        <v>14</v>
      </c>
      <c r="M37" s="55">
        <f ca="1">IF($A37="","",IF(AND(ISNUMBER(G37),G37&gt;=J37,G37&lt;=(J37+(L37/(IF(F37="Contract Workman",Settings!$K$5,Settings!$K$4))))),J37+(L37/(IF(F37="Contract Workman",Settings!$K$5,Settings!$K$4)))+(H37/(IF(F37="Contract Workman",Settings!$K$5,Settings!$K$4))),J37+(L37/(IF(F37="Contract Workman",Settings!$K$5,Settings!$K$4)))))</f>
        <v>46158.261904761894</v>
      </c>
      <c r="N37" s="10" t="str">
        <f t="shared" ca="1" si="2"/>
        <v>Shift S2</v>
      </c>
      <c r="O37" s="51" t="str">
        <f>IF(B37="","", IF(IFERROR(ISNUMBER(SEARCH(B37, VLOOKUP(E37, Machine_List!$B:$J, 9, 0))), FALSE()), "✅ Machine OK", "❌ Sug: " &amp; IFERROR(INDEX(Machine_List!$B$4:$B$50, MATCH("*"&amp;B37&amp;"*", Machine_List!$J$4:$J$50, 0)), "Check Limits")))</f>
        <v>✅ Machine OK</v>
      </c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2"/>
      <c r="AN37" s="52"/>
      <c r="AO37" s="52"/>
      <c r="AP37" s="52"/>
      <c r="AQ37" s="52"/>
      <c r="AR37" s="52"/>
      <c r="AS37" s="52"/>
      <c r="AT37" s="52"/>
      <c r="AU37" s="52"/>
      <c r="AV37" s="52"/>
      <c r="AW37" s="52"/>
      <c r="AX37" s="52"/>
      <c r="AY37" s="52"/>
      <c r="AZ37" s="52"/>
      <c r="BA37" s="52"/>
      <c r="BB37" s="52"/>
      <c r="BC37" s="52"/>
      <c r="BD37" s="52"/>
      <c r="BE37" s="52"/>
      <c r="BF37" s="52"/>
      <c r="BG37" s="52"/>
      <c r="BH37" s="52"/>
      <c r="BI37" s="52"/>
      <c r="BJ37" s="52"/>
      <c r="BK37" s="52"/>
      <c r="BL37" s="52"/>
      <c r="BM37" s="52"/>
    </row>
    <row r="38" spans="1:65" ht="28.8" customHeight="1" x14ac:dyDescent="0.3">
      <c r="A38" s="10" t="str">
        <f>IF(Job_Master!A38="","",Job_Master!A38)</f>
        <v>BJ-135</v>
      </c>
      <c r="B38" s="10">
        <f>IF($A38="","",Job_Master!B38)</f>
        <v>28</v>
      </c>
      <c r="C38" s="10" t="str">
        <f>IF($A38="","",Job_Master!C38)</f>
        <v>2P</v>
      </c>
      <c r="D38" s="10">
        <f>IF($A38="","",Job_Master!D38)</f>
        <v>2</v>
      </c>
      <c r="E38" s="10" t="str">
        <f>IF($A38="","","VENT-MC-02")</f>
        <v>VENT-MC-02</v>
      </c>
      <c r="F38" s="106" t="str">
        <f>IF($E38="","",IFERROR(VLOOKUP($E38,Machine_List!$B:$G,6,0),""))</f>
        <v>Contract Workman</v>
      </c>
      <c r="G38" s="53">
        <f>IF($E38="","",IFERROR(VLOOKUP($E38,Machine_List!$B:$C,2,0),""))</f>
        <v>46191</v>
      </c>
      <c r="H38" s="10">
        <f>IF($E38="","",IFERROR(VLOOKUP($E38,Machine_List!$B:$D,3,0),""))</f>
        <v>6</v>
      </c>
      <c r="I38" s="54"/>
      <c r="J38" s="55">
        <f ca="1">IF($A38="","",IF($I38&lt;&gt;"",$I38,MAX(ENG_Plan!$M38,IFERROR(LOOKUP(2,1/($E$3:INDIRECT("E"&amp;(ROW()-1))=$E38),$M$3:INDIRECT("M"&amp;(ROW()-1))),ENG_Plan!$M38))))</f>
        <v>46167.36574074073</v>
      </c>
      <c r="K38" s="10">
        <f>IF($A38="","",IFERROR(VLOOKUP(B38,CHOOSE(MATCH(C38,Settings!$L$4:$L$10,0),OPR_2P!$A$4:$I$18,SEG_6P!$A$4:$I$18,SOL_4P!$A$4:$I$18,RW_2P!$A$4:$I$18,RW2_4P!$A$4:$I$18,FLAP_4P!$A$4:$I$18,TUBE_4P!$A$4:$I$18),6,0),0))</f>
        <v>32</v>
      </c>
      <c r="L38" s="10">
        <f t="shared" si="0"/>
        <v>64</v>
      </c>
      <c r="M38" s="55">
        <f ca="1">IF($A38="","",IF(AND(ISNUMBER(G38),G38&gt;=J38,G38&lt;=(J38+(L38/(IF(F38="Contract Workman",Settings!$K$5,Settings!$K$4))))),J38+(L38/(IF(F38="Contract Workman",Settings!$K$5,Settings!$K$4)))+(H38/(IF(F38="Contract Workman",Settings!$K$5,Settings!$K$4))),J38+(L38/(IF(F38="Contract Workman",Settings!$K$5,Settings!$K$4)))))</f>
        <v>46170.222883597875</v>
      </c>
      <c r="N38" s="10" t="str">
        <f t="shared" ca="1" si="2"/>
        <v>Shift S2</v>
      </c>
      <c r="O38" s="51" t="str">
        <f>IF(B38="","", IF(IFERROR(ISNUMBER(SEARCH(B38, VLOOKUP(E38, Machine_List!$B:$J, 9, 0))), FALSE()), "✅ Machine OK", "❌ Sug: " &amp; IFERROR(INDEX(Machine_List!$B$4:$B$50, MATCH("*"&amp;B38&amp;"*", Machine_List!$J$4:$J$50, 0)), "Check Limits")))</f>
        <v>✅ Machine OK</v>
      </c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2"/>
      <c r="AN38" s="52"/>
      <c r="AO38" s="52"/>
      <c r="AP38" s="52"/>
      <c r="AQ38" s="52"/>
      <c r="AR38" s="52"/>
      <c r="AS38" s="52"/>
      <c r="AT38" s="52"/>
      <c r="AU38" s="52"/>
      <c r="AV38" s="52"/>
      <c r="AW38" s="52"/>
      <c r="AX38" s="52"/>
      <c r="AY38" s="52"/>
      <c r="AZ38" s="52"/>
      <c r="BA38" s="52"/>
      <c r="BB38" s="52"/>
      <c r="BC38" s="52"/>
      <c r="BD38" s="52"/>
      <c r="BE38" s="52"/>
      <c r="BF38" s="52"/>
      <c r="BG38" s="52"/>
      <c r="BH38" s="52"/>
      <c r="BI38" s="52"/>
      <c r="BJ38" s="52"/>
      <c r="BK38" s="52"/>
      <c r="BL38" s="52"/>
      <c r="BM38" s="52"/>
    </row>
    <row r="39" spans="1:65" ht="28.8" customHeight="1" x14ac:dyDescent="0.3">
      <c r="A39" s="10" t="str">
        <f>IF(Job_Master!A39="","",Job_Master!A39)</f>
        <v>BJ-132</v>
      </c>
      <c r="B39" s="10">
        <f>IF($A39="","",Job_Master!B39)</f>
        <v>57</v>
      </c>
      <c r="C39" s="10" t="str">
        <f>IF($A39="","",Job_Master!C39)</f>
        <v>SOL</v>
      </c>
      <c r="D39" s="10">
        <f>IF($A39="","",Job_Master!D39)</f>
        <v>4</v>
      </c>
      <c r="E39" s="10" t="str">
        <f>IF($A39="","","VENT-MC-04")</f>
        <v>VENT-MC-04</v>
      </c>
      <c r="F39" s="106" t="str">
        <f>IF($E39="","",IFERROR(VLOOKUP($E39,Machine_List!$B:$G,6,0),""))</f>
        <v>Contract Workman</v>
      </c>
      <c r="G39" s="53">
        <f>IF($E39="","",IFERROR(VLOOKUP($E39,Machine_List!$B:$C,2,0),""))</f>
        <v>46255</v>
      </c>
      <c r="H39" s="10">
        <f>IF($E39="","",IFERROR(VLOOKUP($E39,Machine_List!$B:$D,3,0),""))</f>
        <v>6</v>
      </c>
      <c r="I39" s="54"/>
      <c r="J39" s="55">
        <f ca="1">IF($A39="","",IF($I39&lt;&gt;"",$I39,MAX(ENG_Plan!$M39,IFERROR(LOOKUP(2,1/($E$3:INDIRECT("E"&amp;(ROW()-1))=$E39),$M$3:INDIRECT("M"&amp;(ROW()-1))),ENG_Plan!$M39))))</f>
        <v>46238.199074074066</v>
      </c>
      <c r="K39" s="10">
        <f>IF($A39="","",IFERROR(VLOOKUP(B39,CHOOSE(MATCH(C39,Settings!$L$4:$L$10,0),OPR_2P!$A$4:$I$18,SEG_6P!$A$4:$I$18,SOL_4P!$A$4:$I$18,RW_2P!$A$4:$I$18,RW2_4P!$A$4:$I$18,FLAP_4P!$A$4:$I$18,TUBE_4P!$A$4:$I$18),6,0),0))</f>
        <v>74</v>
      </c>
      <c r="L39" s="10">
        <f t="shared" si="0"/>
        <v>296</v>
      </c>
      <c r="M39" s="55">
        <f ca="1">IF($A39="","",IF(AND(ISNUMBER(G39),G39&gt;=J39,G39&lt;=(J39+(L39/(IF(F39="Contract Workman",Settings!$K$5,Settings!$K$4))))),J39+(L39/(IF(F39="Contract Workman",Settings!$K$5,Settings!$K$4)))+(H39/(IF(F39="Contract Workman",Settings!$K$5,Settings!$K$4))),J39+(L39/(IF(F39="Contract Workman",Settings!$K$5,Settings!$K$4)))))</f>
        <v>46251.413359788348</v>
      </c>
      <c r="N39" s="10" t="str">
        <f t="shared" ca="1" si="2"/>
        <v>Shift S1</v>
      </c>
      <c r="O39" s="51" t="str">
        <f>IF(B39="","", IF(IFERROR(ISNUMBER(SEARCH(B39, VLOOKUP(E39, Machine_List!$B:$J, 9, 0))), FALSE()), "✅ Machine OK", "❌ Sug: " &amp; IFERROR(INDEX(Machine_List!$B$4:$B$50, MATCH("*"&amp;B39&amp;"*", Machine_List!$J$4:$J$50, 0)), "Check Limits")))</f>
        <v>✅ Machine OK</v>
      </c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2"/>
      <c r="AN39" s="52"/>
      <c r="AO39" s="52"/>
      <c r="AP39" s="52"/>
      <c r="AQ39" s="52"/>
      <c r="AR39" s="52"/>
      <c r="AS39" s="52"/>
      <c r="AT39" s="52"/>
      <c r="AU39" s="52"/>
      <c r="AV39" s="52"/>
      <c r="AW39" s="52"/>
      <c r="AX39" s="52"/>
      <c r="AY39" s="52"/>
      <c r="AZ39" s="52"/>
      <c r="BA39" s="52"/>
      <c r="BB39" s="52"/>
      <c r="BC39" s="52"/>
      <c r="BD39" s="52"/>
      <c r="BE39" s="52"/>
      <c r="BF39" s="52"/>
      <c r="BG39" s="52"/>
      <c r="BH39" s="52"/>
      <c r="BI39" s="52"/>
      <c r="BJ39" s="52"/>
      <c r="BK39" s="52"/>
      <c r="BL39" s="52"/>
      <c r="BM39" s="52"/>
    </row>
    <row r="40" spans="1:65" ht="28.8" customHeight="1" x14ac:dyDescent="0.3">
      <c r="A40" s="10" t="str">
        <f>IF(Job_Master!A40="","",Job_Master!A40)</f>
        <v>BJ-136</v>
      </c>
      <c r="B40" s="10">
        <f>IF($A40="","",Job_Master!B40)</f>
        <v>20</v>
      </c>
      <c r="C40" s="10" t="str">
        <f>IF($A40="","",Job_Master!C40)</f>
        <v>RW</v>
      </c>
      <c r="D40" s="10">
        <f>IF($A40="","",Job_Master!D40)</f>
        <v>2</v>
      </c>
      <c r="E40" s="10" t="str">
        <f>IF($A40="","","VENT-MC-03")</f>
        <v>VENT-MC-03</v>
      </c>
      <c r="F40" s="106" t="str">
        <f>IF($E40="","",IFERROR(VLOOKUP($E40,Machine_List!$B:$G,6,0),""))</f>
        <v>Contract Workman</v>
      </c>
      <c r="G40" s="53">
        <f>IF($E40="","",IFERROR(VLOOKUP($E40,Machine_List!$B:$C,2,0),""))</f>
        <v>46054</v>
      </c>
      <c r="H40" s="10">
        <f>IF($E40="","",IFERROR(VLOOKUP($E40,Machine_List!$B:$D,3,0),""))</f>
        <v>6</v>
      </c>
      <c r="I40" s="54"/>
      <c r="J40" s="55">
        <f ca="1">IF($A40="","",IF($I40&lt;&gt;"",$I40,MAX(ENG_Plan!$M40,IFERROR(LOOKUP(2,1/($E$3:INDIRECT("E"&amp;(ROW()-1))=$E40),$M$3:INDIRECT("M"&amp;(ROW()-1))),ENG_Plan!$M40))))</f>
        <v>46161.995370370372</v>
      </c>
      <c r="K40" s="10">
        <f>IF($A40="","",IFERROR(VLOOKUP(B40,CHOOSE(MATCH(C40,Settings!$L$4:$L$10,0),OPR_2P!$A$4:$I$18,SEG_6P!$A$4:$I$18,SOL_4P!$A$4:$I$18,RW_2P!$A$4:$I$18,RW2_4P!$A$4:$I$18,FLAP_4P!$A$4:$I$18,TUBE_4P!$A$4:$I$18),6,0),0))</f>
        <v>23</v>
      </c>
      <c r="L40" s="10">
        <f t="shared" si="0"/>
        <v>46</v>
      </c>
      <c r="M40" s="55">
        <f ca="1">IF($A40="","",IF(AND(ISNUMBER(G40),G40&gt;=J40,G40&lt;=(J40+(L40/(IF(F40="Contract Workman",Settings!$K$5,Settings!$K$4))))),J40+(L40/(IF(F40="Contract Workman",Settings!$K$5,Settings!$K$4)))+(H40/(IF(F40="Contract Workman",Settings!$K$5,Settings!$K$4))),J40+(L40/(IF(F40="Contract Workman",Settings!$K$5,Settings!$K$4)))))</f>
        <v>46164.048941798945</v>
      </c>
      <c r="N40" s="10" t="str">
        <f t="shared" ca="1" si="2"/>
        <v>Shift S2</v>
      </c>
      <c r="O40" s="51" t="str">
        <f>IF(B40="","", IF(IFERROR(ISNUMBER(SEARCH(B40, VLOOKUP(E40, Machine_List!$B:$J, 9, 0))), FALSE()), "✅ Machine OK", "❌ Sug: " &amp; IFERROR(INDEX(Machine_List!$B$4:$B$50, MATCH("*"&amp;B40&amp;"*", Machine_List!$J$4:$J$50, 0)), "Check Limits")))</f>
        <v>✅ Machine OK</v>
      </c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2"/>
      <c r="AN40" s="52"/>
      <c r="AO40" s="52"/>
      <c r="AP40" s="52"/>
      <c r="AQ40" s="52"/>
      <c r="AR40" s="52"/>
      <c r="AS40" s="52"/>
      <c r="AT40" s="52"/>
      <c r="AU40" s="52"/>
      <c r="AV40" s="52"/>
      <c r="AW40" s="52"/>
      <c r="AX40" s="52"/>
      <c r="AY40" s="52"/>
      <c r="AZ40" s="52"/>
      <c r="BA40" s="52"/>
      <c r="BB40" s="52"/>
      <c r="BC40" s="52"/>
      <c r="BD40" s="52"/>
      <c r="BE40" s="52"/>
      <c r="BF40" s="52"/>
      <c r="BG40" s="52"/>
      <c r="BH40" s="52"/>
      <c r="BI40" s="52"/>
      <c r="BJ40" s="52"/>
      <c r="BK40" s="52"/>
      <c r="BL40" s="52"/>
      <c r="BM40" s="52"/>
    </row>
    <row r="41" spans="1:65" ht="28.8" customHeight="1" x14ac:dyDescent="0.3">
      <c r="A41" s="10" t="str">
        <f>IF(Job_Master!A41="","",Job_Master!A41)</f>
        <v>BJ-137</v>
      </c>
      <c r="B41" s="10">
        <f>IF($A41="","",Job_Master!B41)</f>
        <v>34</v>
      </c>
      <c r="C41" s="10" t="str">
        <f>IF($A41="","",Job_Master!C41)</f>
        <v>RW</v>
      </c>
      <c r="D41" s="10">
        <f>IF($A41="","",Job_Master!D41)</f>
        <v>2</v>
      </c>
      <c r="E41" s="10" t="str">
        <f>IF($A41="","","VENT-MC-07")</f>
        <v>VENT-MC-07</v>
      </c>
      <c r="F41" s="106" t="str">
        <f>IF($E41="","",IFERROR(VLOOKUP($E41,Machine_List!$B:$G,6,0),""))</f>
        <v>Contract Workman</v>
      </c>
      <c r="G41" s="53">
        <f>IF($E41="","",IFERROR(VLOOKUP($E41,Machine_List!$B:$C,2,0),""))</f>
        <v>46234</v>
      </c>
      <c r="H41" s="10">
        <f>IF($E41="","",IFERROR(VLOOKUP($E41,Machine_List!$B:$D,3,0),""))</f>
        <v>6</v>
      </c>
      <c r="I41" s="54"/>
      <c r="J41" s="55">
        <f ca="1">IF($A41="","",IF($I41&lt;&gt;"",$I41,MAX(ENG_Plan!$M41,IFERROR(LOOKUP(2,1/($E$3:INDIRECT("E"&amp;(ROW()-1))=$E41),$M$3:INDIRECT("M"&amp;(ROW()-1))),ENG_Plan!$M41))))</f>
        <v>46174.958333333328</v>
      </c>
      <c r="K41" s="10">
        <f>IF($A41="","",IFERROR(VLOOKUP(B41,CHOOSE(MATCH(C41,Settings!$L$4:$L$10,0),OPR_2P!$A$4:$I$18,SEG_6P!$A$4:$I$18,SOL_4P!$A$4:$I$18,RW_2P!$A$4:$I$18,RW2_4P!$A$4:$I$18,FLAP_4P!$A$4:$I$18,TUBE_4P!$A$4:$I$18),6,0),0))</f>
        <v>32</v>
      </c>
      <c r="L41" s="10">
        <f t="shared" si="0"/>
        <v>64</v>
      </c>
      <c r="M41" s="55">
        <f ca="1">IF($A41="","",IF(AND(ISNUMBER(G41),G41&gt;=J41,G41&lt;=(J41+(L41/(IF(F41="Contract Workman",Settings!$K$5,Settings!$K$4))))),J41+(L41/(IF(F41="Contract Workman",Settings!$K$5,Settings!$K$4)))+(H41/(IF(F41="Contract Workman",Settings!$K$5,Settings!$K$4))),J41+(L41/(IF(F41="Contract Workman",Settings!$K$5,Settings!$K$4)))))</f>
        <v>46177.815476190473</v>
      </c>
      <c r="N41" s="10" t="str">
        <f t="shared" ca="1" si="2"/>
        <v>Shift S1</v>
      </c>
      <c r="O41" s="51" t="str">
        <f>IF(B41="","", IF(IFERROR(ISNUMBER(SEARCH(B41, VLOOKUP(E41, Machine_List!$B:$J, 9, 0))), FALSE()), "✅ Machine OK", "❌ Sug: " &amp; IFERROR(INDEX(Machine_List!$B$4:$B$50, MATCH("*"&amp;B41&amp;"*", Machine_List!$J$4:$J$50, 0)), "Check Limits")))</f>
        <v>✅ Machine OK</v>
      </c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2"/>
      <c r="AN41" s="52"/>
      <c r="AO41" s="52"/>
      <c r="AP41" s="52"/>
      <c r="AQ41" s="52"/>
      <c r="AR41" s="52"/>
      <c r="AS41" s="52"/>
      <c r="AT41" s="52"/>
      <c r="AU41" s="52"/>
      <c r="AV41" s="52"/>
      <c r="AW41" s="52"/>
      <c r="AX41" s="52"/>
      <c r="AY41" s="52"/>
      <c r="AZ41" s="52"/>
      <c r="BA41" s="52"/>
      <c r="BB41" s="52"/>
      <c r="BC41" s="52"/>
      <c r="BD41" s="52"/>
      <c r="BE41" s="52"/>
      <c r="BF41" s="52"/>
      <c r="BG41" s="52"/>
      <c r="BH41" s="52"/>
      <c r="BI41" s="52"/>
      <c r="BJ41" s="52"/>
      <c r="BK41" s="52"/>
      <c r="BL41" s="52"/>
      <c r="BM41" s="52"/>
    </row>
    <row r="42" spans="1:65" ht="28.8" customHeight="1" x14ac:dyDescent="0.3">
      <c r="A42" s="10" t="str">
        <f>IF(Job_Master!A42="","",Job_Master!A42)</f>
        <v>BJ-140</v>
      </c>
      <c r="B42" s="10">
        <f>IF($A42="","",Job_Master!B42)</f>
        <v>54</v>
      </c>
      <c r="C42" s="10" t="str">
        <f>IF($A42="","",Job_Master!C42)</f>
        <v>RW</v>
      </c>
      <c r="D42" s="10">
        <f>IF($A42="","",Job_Master!D42)</f>
        <v>2</v>
      </c>
      <c r="E42" s="10" t="str">
        <f>IF($A42="","","VENT-MC-07")</f>
        <v>VENT-MC-07</v>
      </c>
      <c r="F42" s="106" t="str">
        <f>IF($E42="","",IFERROR(VLOOKUP($E42,Machine_List!$B:$G,6,0),""))</f>
        <v>Contract Workman</v>
      </c>
      <c r="G42" s="53">
        <f>IF($E42="","",IFERROR(VLOOKUP($E42,Machine_List!$B:$C,2,0),""))</f>
        <v>46234</v>
      </c>
      <c r="H42" s="10">
        <f>IF($E42="","",IFERROR(VLOOKUP($E42,Machine_List!$B:$D,3,0),""))</f>
        <v>6</v>
      </c>
      <c r="I42" s="54"/>
      <c r="J42" s="55">
        <f ca="1">IF($A42="","",IF($I42&lt;&gt;"",$I42,MAX(ENG_Plan!$M42,IFERROR(LOOKUP(2,1/($E$3:INDIRECT("E"&amp;(ROW()-1))=$E42),$M$3:INDIRECT("M"&amp;(ROW()-1))),ENG_Plan!$M42))))</f>
        <v>46188.106481481489</v>
      </c>
      <c r="K42" s="10">
        <f>IF($A42="","",IFERROR(VLOOKUP(B42,CHOOSE(MATCH(C42,Settings!$L$4:$L$10,0),OPR_2P!$A$4:$I$18,SEG_6P!$A$4:$I$18,SOL_4P!$A$4:$I$18,RW_2P!$A$4:$I$18,RW2_4P!$A$4:$I$18,FLAP_4P!$A$4:$I$18,TUBE_4P!$A$4:$I$18),6,0),0))</f>
        <v>86</v>
      </c>
      <c r="L42" s="10">
        <f t="shared" si="0"/>
        <v>172</v>
      </c>
      <c r="M42" s="55">
        <f ca="1">IF($A42="","",IF(AND(ISNUMBER(G42),G42&gt;=J42,G42&lt;=(J42+(L42/(IF(F42="Contract Workman",Settings!$K$5,Settings!$K$4))))),J42+(L42/(IF(F42="Contract Workman",Settings!$K$5,Settings!$K$4)))+(H42/(IF(F42="Contract Workman",Settings!$K$5,Settings!$K$4))),J42+(L42/(IF(F42="Contract Workman",Settings!$K$5,Settings!$K$4)))))</f>
        <v>46195.785052910061</v>
      </c>
      <c r="N42" s="10" t="str">
        <f t="shared" ca="1" si="2"/>
        <v>Shift S1</v>
      </c>
      <c r="O42" s="51" t="str">
        <f>IF(B42="","", IF(IFERROR(ISNUMBER(SEARCH(B42, VLOOKUP(E42, Machine_List!$B:$J, 9, 0))), FALSE()), "✅ Machine OK", "❌ Sug: " &amp; IFERROR(INDEX(Machine_List!$B$4:$B$50, MATCH("*"&amp;B42&amp;"*", Machine_List!$J$4:$J$50, 0)), "Check Limits")))</f>
        <v>✅ Machine OK</v>
      </c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2"/>
      <c r="AN42" s="52"/>
      <c r="AO42" s="52"/>
      <c r="AP42" s="52"/>
      <c r="AQ42" s="52"/>
      <c r="AR42" s="52"/>
      <c r="AS42" s="52"/>
      <c r="AT42" s="52"/>
      <c r="AU42" s="52"/>
      <c r="AV42" s="52"/>
      <c r="AW42" s="52"/>
      <c r="AX42" s="52"/>
      <c r="AY42" s="52"/>
      <c r="AZ42" s="52"/>
      <c r="BA42" s="52"/>
      <c r="BB42" s="52"/>
      <c r="BC42" s="52"/>
      <c r="BD42" s="52"/>
      <c r="BE42" s="52"/>
      <c r="BF42" s="52"/>
      <c r="BG42" s="52"/>
      <c r="BH42" s="52"/>
      <c r="BI42" s="52"/>
      <c r="BJ42" s="52"/>
      <c r="BK42" s="52"/>
      <c r="BL42" s="52"/>
      <c r="BM42" s="52"/>
    </row>
    <row r="43" spans="1:65" ht="28.8" customHeight="1" x14ac:dyDescent="0.3">
      <c r="A43" s="10" t="str">
        <f>IF(Job_Master!A43="","",Job_Master!A43)</f>
        <v>BJ-138</v>
      </c>
      <c r="B43" s="10">
        <f>IF($A43="","",Job_Master!B43)</f>
        <v>9</v>
      </c>
      <c r="C43" s="10" t="str">
        <f>IF($A43="","",Job_Master!C43)</f>
        <v>RW</v>
      </c>
      <c r="D43" s="10">
        <f>IF($A43="","",Job_Master!D43)</f>
        <v>2</v>
      </c>
      <c r="E43" s="10" t="str">
        <f>IF($A43="","","VENT-MC-03")</f>
        <v>VENT-MC-03</v>
      </c>
      <c r="F43" s="106" t="str">
        <f>IF($E43="","",IFERROR(VLOOKUP($E43,Machine_List!$B:$G,6,0),""))</f>
        <v>Contract Workman</v>
      </c>
      <c r="G43" s="53">
        <f>IF($E43="","",IFERROR(VLOOKUP($E43,Machine_List!$B:$C,2,0),""))</f>
        <v>46054</v>
      </c>
      <c r="H43" s="10">
        <f>IF($E43="","",IFERROR(VLOOKUP($E43,Machine_List!$B:$D,3,0),""))</f>
        <v>6</v>
      </c>
      <c r="I43" s="54"/>
      <c r="J43" s="55">
        <f ca="1">IF($A43="","",IF($I43&lt;&gt;"",$I43,MAX(ENG_Plan!$M43,IFERROR(LOOKUP(2,1/($E$3:INDIRECT("E"&amp;(ROW()-1))=$E43),$M$3:INDIRECT("M"&amp;(ROW()-1))),ENG_Plan!$M43))))</f>
        <v>46167.921296296285</v>
      </c>
      <c r="K43" s="10">
        <f>IF($A43="","",IFERROR(VLOOKUP(B43,CHOOSE(MATCH(C43,Settings!$L$4:$L$10,0),OPR_2P!$A$4:$I$18,SEG_6P!$A$4:$I$18,SOL_4P!$A$4:$I$18,RW_2P!$A$4:$I$18,RW2_4P!$A$4:$I$18,FLAP_4P!$A$4:$I$18,TUBE_4P!$A$4:$I$18),6,0),0))</f>
        <v>2</v>
      </c>
      <c r="L43" s="10">
        <f t="shared" si="0"/>
        <v>4</v>
      </c>
      <c r="M43" s="55">
        <f ca="1">IF($A43="","",IF(AND(ISNUMBER(G43),G43&gt;=J43,G43&lt;=(J43+(L43/(IF(F43="Contract Workman",Settings!$K$5,Settings!$K$4))))),J43+(L43/(IF(F43="Contract Workman",Settings!$K$5,Settings!$K$4)))+(H43/(IF(F43="Contract Workman",Settings!$K$5,Settings!$K$4))),J43+(L43/(IF(F43="Contract Workman",Settings!$K$5,Settings!$K$4)))))</f>
        <v>46168.099867724857</v>
      </c>
      <c r="N43" s="10" t="str">
        <f t="shared" ca="1" si="2"/>
        <v>Shift S2</v>
      </c>
      <c r="O43" s="51" t="str">
        <f>IF(B43="","", IF(IFERROR(ISNUMBER(SEARCH(B43, VLOOKUP(E43, Machine_List!$B:$J, 9, 0))), FALSE()), "✅ Machine OK", "❌ Sug: " &amp; IFERROR(INDEX(Machine_List!$B$4:$B$50, MATCH("*"&amp;B43&amp;"*", Machine_List!$J$4:$J$50, 0)), "Check Limits")))</f>
        <v>✅ Machine OK</v>
      </c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52"/>
      <c r="AN43" s="52"/>
      <c r="AO43" s="52"/>
      <c r="AP43" s="52"/>
      <c r="AQ43" s="52"/>
      <c r="AR43" s="52"/>
      <c r="AS43" s="52"/>
      <c r="AT43" s="52"/>
      <c r="AU43" s="52"/>
      <c r="AV43" s="52"/>
      <c r="AW43" s="52"/>
      <c r="AX43" s="52"/>
      <c r="AY43" s="52"/>
      <c r="AZ43" s="52"/>
      <c r="BA43" s="52"/>
      <c r="BB43" s="52"/>
      <c r="BC43" s="52"/>
      <c r="BD43" s="52"/>
      <c r="BE43" s="52"/>
      <c r="BF43" s="52"/>
      <c r="BG43" s="52"/>
      <c r="BH43" s="52"/>
      <c r="BI43" s="52"/>
      <c r="BJ43" s="52"/>
      <c r="BK43" s="52"/>
      <c r="BL43" s="52"/>
      <c r="BM43" s="52"/>
    </row>
    <row r="44" spans="1:65" ht="28.8" customHeight="1" x14ac:dyDescent="0.3">
      <c r="A44" s="10" t="str">
        <f>IF(Job_Master!A44="","",Job_Master!A44)</f>
        <v>BJ-144</v>
      </c>
      <c r="B44" s="10">
        <f>IF($A44="","",Job_Master!B44)</f>
        <v>63</v>
      </c>
      <c r="C44" s="10" t="str">
        <f>IF($A44="","",Job_Master!C44)</f>
        <v>RW</v>
      </c>
      <c r="D44" s="10">
        <f>IF($A44="","",Job_Master!D44)</f>
        <v>2</v>
      </c>
      <c r="E44" s="10" t="str">
        <f>IF($A44="","","VENT-MC-06")</f>
        <v>VENT-MC-06</v>
      </c>
      <c r="F44" s="106" t="str">
        <f>IF($E44="","",IFERROR(VLOOKUP($E44,Machine_List!$B:$G,6,0),""))</f>
        <v>Contract Workman</v>
      </c>
      <c r="G44" s="53">
        <f>IF($E44="","",IFERROR(VLOOKUP($E44,Machine_List!$B:$C,2,0),""))</f>
        <v>46347</v>
      </c>
      <c r="H44" s="10">
        <f>IF($E44="","",IFERROR(VLOOKUP($E44,Machine_List!$B:$D,3,0),""))</f>
        <v>6</v>
      </c>
      <c r="I44" s="54"/>
      <c r="J44" s="55">
        <f ca="1">IF($A44="","",IF($I44&lt;&gt;"",$I44,MAX(ENG_Plan!$M44,IFERROR(LOOKUP(2,1/($E$3:INDIRECT("E"&amp;(ROW()-1))=$E44),$M$3:INDIRECT("M"&amp;(ROW()-1))),ENG_Plan!$M44))))</f>
        <v>46222.087962962956</v>
      </c>
      <c r="K44" s="10">
        <f>IF($A44="","",IFERROR(VLOOKUP(B44,CHOOSE(MATCH(C44,Settings!$L$4:$L$10,0),OPR_2P!$A$4:$I$18,SEG_6P!$A$4:$I$18,SOL_4P!$A$4:$I$18,RW_2P!$A$4:$I$18,RW2_4P!$A$4:$I$18,FLAP_4P!$A$4:$I$18,TUBE_4P!$A$4:$I$18),6,0),0))</f>
        <v>61</v>
      </c>
      <c r="L44" s="10">
        <f t="shared" si="0"/>
        <v>122</v>
      </c>
      <c r="M44" s="55">
        <f ca="1">IF($A44="","",IF(AND(ISNUMBER(G44),G44&gt;=J44,G44&lt;=(J44+(L44/(IF(F44="Contract Workman",Settings!$K$5,Settings!$K$4))))),J44+(L44/(IF(F44="Contract Workman",Settings!$K$5,Settings!$K$4)))+(H44/(IF(F44="Contract Workman",Settings!$K$5,Settings!$K$4))),J44+(L44/(IF(F44="Contract Workman",Settings!$K$5,Settings!$K$4)))))</f>
        <v>46227.534391534384</v>
      </c>
      <c r="N44" s="10" t="str">
        <f t="shared" ca="1" si="2"/>
        <v>Shift S1</v>
      </c>
      <c r="O44" s="51" t="str">
        <f>IF(B44="","", IF(IFERROR(ISNUMBER(SEARCH(B44, VLOOKUP(E44, Machine_List!$B:$J, 9, 0))), FALSE()), "✅ Machine OK", "❌ Sug: " &amp; IFERROR(INDEX(Machine_List!$B$4:$B$50, MATCH("*"&amp;B44&amp;"*", Machine_List!$J$4:$J$50, 0)), "Check Limits")))</f>
        <v>✅ Machine OK</v>
      </c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2"/>
      <c r="AN44" s="52"/>
      <c r="AO44" s="52"/>
      <c r="AP44" s="52"/>
      <c r="AQ44" s="52"/>
      <c r="AR44" s="52"/>
      <c r="AS44" s="52"/>
      <c r="AT44" s="52"/>
      <c r="AU44" s="52"/>
      <c r="AV44" s="52"/>
      <c r="AW44" s="52"/>
      <c r="AX44" s="52"/>
      <c r="AY44" s="52"/>
      <c r="AZ44" s="52"/>
      <c r="BA44" s="52"/>
      <c r="BB44" s="52"/>
      <c r="BC44" s="52"/>
      <c r="BD44" s="52"/>
      <c r="BE44" s="52"/>
      <c r="BF44" s="52"/>
      <c r="BG44" s="52"/>
      <c r="BH44" s="52"/>
      <c r="BI44" s="52"/>
      <c r="BJ44" s="52"/>
      <c r="BK44" s="52"/>
      <c r="BL44" s="52"/>
      <c r="BM44" s="52"/>
    </row>
    <row r="45" spans="1:65" ht="28.8" customHeight="1" x14ac:dyDescent="0.3">
      <c r="A45" s="10" t="str">
        <f>IF(Job_Master!A45="","",Job_Master!A45)</f>
        <v>BJ-146</v>
      </c>
      <c r="B45" s="10">
        <f>IF($A45="","",Job_Master!B45)</f>
        <v>20</v>
      </c>
      <c r="C45" s="10" t="str">
        <f>IF($A45="","",Job_Master!C45)</f>
        <v>RW</v>
      </c>
      <c r="D45" s="10">
        <f>IF($A45="","",Job_Master!D45)</f>
        <v>2</v>
      </c>
      <c r="E45" s="10" t="str">
        <f>IF($A45="","","VENT-MC-02")</f>
        <v>VENT-MC-02</v>
      </c>
      <c r="F45" s="106" t="str">
        <f>IF($E45="","",IFERROR(VLOOKUP($E45,Machine_List!$B:$G,6,0),""))</f>
        <v>Contract Workman</v>
      </c>
      <c r="G45" s="53">
        <f>IF($E45="","",IFERROR(VLOOKUP($E45,Machine_List!$B:$C,2,0),""))</f>
        <v>46191</v>
      </c>
      <c r="H45" s="10">
        <f>IF($E45="","",IFERROR(VLOOKUP($E45,Machine_List!$B:$D,3,0),""))</f>
        <v>6</v>
      </c>
      <c r="I45" s="54"/>
      <c r="J45" s="55">
        <f ca="1">IF($A45="","",IF($I45&lt;&gt;"",$I45,MAX(ENG_Plan!$M45,IFERROR(LOOKUP(2,1/($E$3:INDIRECT("E"&amp;(ROW()-1))=$E45),$M$3:INDIRECT("M"&amp;(ROW()-1))),ENG_Plan!$M45))))</f>
        <v>46170.513888888876</v>
      </c>
      <c r="K45" s="10">
        <f>IF($A45="","",IFERROR(VLOOKUP(B45,CHOOSE(MATCH(C45,Settings!$L$4:$L$10,0),OPR_2P!$A$4:$I$18,SEG_6P!$A$4:$I$18,SOL_4P!$A$4:$I$18,RW_2P!$A$4:$I$18,RW2_4P!$A$4:$I$18,FLAP_4P!$A$4:$I$18,TUBE_4P!$A$4:$I$18),6,0),0))</f>
        <v>23</v>
      </c>
      <c r="L45" s="10">
        <f t="shared" si="0"/>
        <v>46</v>
      </c>
      <c r="M45" s="55">
        <f ca="1">IF($A45="","",IF(AND(ISNUMBER(G45),G45&gt;=J45,G45&lt;=(J45+(L45/(IF(F45="Contract Workman",Settings!$K$5,Settings!$K$4))))),J45+(L45/(IF(F45="Contract Workman",Settings!$K$5,Settings!$K$4)))+(H45/(IF(F45="Contract Workman",Settings!$K$5,Settings!$K$4))),J45+(L45/(IF(F45="Contract Workman",Settings!$K$5,Settings!$K$4)))))</f>
        <v>46172.567460317448</v>
      </c>
      <c r="N45" s="10" t="str">
        <f t="shared" ca="1" si="2"/>
        <v>Shift S1</v>
      </c>
      <c r="O45" s="51" t="str">
        <f>IF(B45="","", IF(IFERROR(ISNUMBER(SEARCH(B45, VLOOKUP(E45, Machine_List!$B:$J, 9, 0))), FALSE()), "✅ Machine OK", "❌ Sug: " &amp; IFERROR(INDEX(Machine_List!$B$4:$B$50, MATCH("*"&amp;B45&amp;"*", Machine_List!$J$4:$J$50, 0)), "Check Limits")))</f>
        <v>✅ Machine OK</v>
      </c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2"/>
      <c r="AN45" s="52"/>
      <c r="AO45" s="52"/>
      <c r="AP45" s="52"/>
      <c r="AQ45" s="52"/>
      <c r="AR45" s="52"/>
      <c r="AS45" s="52"/>
      <c r="AT45" s="52"/>
      <c r="AU45" s="52"/>
      <c r="AV45" s="52"/>
      <c r="AW45" s="52"/>
      <c r="AX45" s="52"/>
      <c r="AY45" s="52"/>
      <c r="AZ45" s="52"/>
      <c r="BA45" s="52"/>
      <c r="BB45" s="52"/>
      <c r="BC45" s="52"/>
      <c r="BD45" s="52"/>
      <c r="BE45" s="52"/>
      <c r="BF45" s="52"/>
      <c r="BG45" s="52"/>
      <c r="BH45" s="52"/>
      <c r="BI45" s="52"/>
      <c r="BJ45" s="52"/>
      <c r="BK45" s="52"/>
      <c r="BL45" s="52"/>
      <c r="BM45" s="52"/>
    </row>
    <row r="46" spans="1:65" ht="28.8" customHeight="1" x14ac:dyDescent="0.3">
      <c r="A46" s="10" t="str">
        <f>IF(Job_Master!A46="","",Job_Master!A46)</f>
        <v>BJ-139</v>
      </c>
      <c r="B46" s="10">
        <f>IF($A46="","",Job_Master!B46)</f>
        <v>15</v>
      </c>
      <c r="C46" s="10" t="str">
        <f>IF($A46="","",Job_Master!C46)</f>
        <v>RW</v>
      </c>
      <c r="D46" s="10">
        <f>IF($A46="","",Job_Master!D46)</f>
        <v>2</v>
      </c>
      <c r="E46" s="10" t="str">
        <f>IF($A46="","","VENT-MC-03")</f>
        <v>VENT-MC-03</v>
      </c>
      <c r="F46" s="106" t="str">
        <f>IF($E46="","",IFERROR(VLOOKUP($E46,Machine_List!$B:$G,6,0),""))</f>
        <v>Contract Workman</v>
      </c>
      <c r="G46" s="53">
        <f>IF($E46="","",IFERROR(VLOOKUP($E46,Machine_List!$B:$C,2,0),""))</f>
        <v>46054</v>
      </c>
      <c r="H46" s="10">
        <f>IF($E46="","",IFERROR(VLOOKUP($E46,Machine_List!$B:$D,3,0),""))</f>
        <v>6</v>
      </c>
      <c r="I46" s="54"/>
      <c r="J46" s="55">
        <f ca="1">IF($A46="","",IF($I46&lt;&gt;"",$I46,MAX(ENG_Plan!$M46,IFERROR(LOOKUP(2,1/($E$3:INDIRECT("E"&amp;(ROW()-1))=$E46),$M$3:INDIRECT("M"&amp;(ROW()-1))),ENG_Plan!$M46))))</f>
        <v>46168.099867724857</v>
      </c>
      <c r="K46" s="10">
        <f>IF($A46="","",IFERROR(VLOOKUP(B46,CHOOSE(MATCH(C46,Settings!$L$4:$L$10,0),OPR_2P!$A$4:$I$18,SEG_6P!$A$4:$I$18,SOL_4P!$A$4:$I$18,RW_2P!$A$4:$I$18,RW2_4P!$A$4:$I$18,FLAP_4P!$A$4:$I$18,TUBE_4P!$A$4:$I$18),6,0),0))</f>
        <v>7</v>
      </c>
      <c r="L46" s="10">
        <f t="shared" si="0"/>
        <v>14</v>
      </c>
      <c r="M46" s="55">
        <f ca="1">IF($A46="","",IF(AND(ISNUMBER(G46),G46&gt;=J46,G46&lt;=(J46+(L46/(IF(F46="Contract Workman",Settings!$K$5,Settings!$K$4))))),J46+(L46/(IF(F46="Contract Workman",Settings!$K$5,Settings!$K$4)))+(H46/(IF(F46="Contract Workman",Settings!$K$5,Settings!$K$4))),J46+(L46/(IF(F46="Contract Workman",Settings!$K$5,Settings!$K$4)))))</f>
        <v>46168.724867724857</v>
      </c>
      <c r="N46" s="10" t="str">
        <f t="shared" ca="1" si="2"/>
        <v>Shift S1</v>
      </c>
      <c r="O46" s="51" t="str">
        <f>IF(B46="","", IF(IFERROR(ISNUMBER(SEARCH(B46, VLOOKUP(E46, Machine_List!$B:$J, 9, 0))), FALSE()), "✅ Machine OK", "❌ Sug: " &amp; IFERROR(INDEX(Machine_List!$B$4:$B$50, MATCH("*"&amp;B46&amp;"*", Machine_List!$J$4:$J$50, 0)), "Check Limits")))</f>
        <v>✅ Machine OK</v>
      </c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2"/>
      <c r="AN46" s="52"/>
      <c r="AO46" s="52"/>
      <c r="AP46" s="52"/>
      <c r="AQ46" s="52"/>
      <c r="AR46" s="52"/>
      <c r="AS46" s="52"/>
      <c r="AT46" s="52"/>
      <c r="AU46" s="52"/>
      <c r="AV46" s="52"/>
      <c r="AW46" s="52"/>
      <c r="AX46" s="52"/>
      <c r="AY46" s="52"/>
      <c r="AZ46" s="52"/>
      <c r="BA46" s="52"/>
      <c r="BB46" s="52"/>
      <c r="BC46" s="52"/>
      <c r="BD46" s="52"/>
      <c r="BE46" s="52"/>
      <c r="BF46" s="52"/>
      <c r="BG46" s="52"/>
      <c r="BH46" s="52"/>
      <c r="BI46" s="52"/>
      <c r="BJ46" s="52"/>
      <c r="BK46" s="52"/>
      <c r="BL46" s="52"/>
      <c r="BM46" s="52"/>
    </row>
    <row r="47" spans="1:65" ht="28.8" customHeight="1" x14ac:dyDescent="0.3">
      <c r="A47" s="10" t="str">
        <f>IF(Job_Master!A47="","",Job_Master!A47)</f>
        <v>BJ-141</v>
      </c>
      <c r="B47" s="10">
        <f>IF($A47="","",Job_Master!B47)</f>
        <v>50</v>
      </c>
      <c r="C47" s="10" t="str">
        <f>IF($A47="","",Job_Master!C47)</f>
        <v>SOL</v>
      </c>
      <c r="D47" s="10">
        <f>IF($A47="","",Job_Master!D47)</f>
        <v>4</v>
      </c>
      <c r="E47" s="10" t="str">
        <f>IF($A47="","","VENT-MC-05")</f>
        <v>VENT-MC-05</v>
      </c>
      <c r="F47" s="106" t="str">
        <f>IF($E47="","",IFERROR(VLOOKUP($E47,Machine_List!$B:$G,6,0),""))</f>
        <v>Contract Workman</v>
      </c>
      <c r="G47" s="53">
        <f>IF($E47="","",IFERROR(VLOOKUP($E47,Machine_List!$B:$C,2,0),""))</f>
        <v>46394</v>
      </c>
      <c r="H47" s="10">
        <f>IF($E47="","",IFERROR(VLOOKUP($E47,Machine_List!$B:$D,3,0),""))</f>
        <v>6</v>
      </c>
      <c r="I47" s="54"/>
      <c r="J47" s="55">
        <f ca="1">IF($A47="","",IF($I47&lt;&gt;"",$I47,MAX(ENG_Plan!$M47,IFERROR(LOOKUP(2,1/($E$3:INDIRECT("E"&amp;(ROW()-1))=$E47),$M$3:INDIRECT("M"&amp;(ROW()-1))),ENG_Plan!$M47))))</f>
        <v>46238.569444444438</v>
      </c>
      <c r="K47" s="10">
        <f>IF($A47="","",IFERROR(VLOOKUP(B47,CHOOSE(MATCH(C47,Settings!$L$4:$L$10,0),OPR_2P!$A$4:$I$18,SEG_6P!$A$4:$I$18,SOL_4P!$A$4:$I$18,RW_2P!$A$4:$I$18,RW2_4P!$A$4:$I$18,FLAP_4P!$A$4:$I$18,TUBE_4P!$A$4:$I$18),6,0),0))</f>
        <v>53</v>
      </c>
      <c r="L47" s="10">
        <f t="shared" si="0"/>
        <v>212</v>
      </c>
      <c r="M47" s="55">
        <f ca="1">IF($A47="","",IF(AND(ISNUMBER(G47),G47&gt;=J47,G47&lt;=(J47+(L47/(IF(F47="Contract Workman",Settings!$K$5,Settings!$K$4))))),J47+(L47/(IF(F47="Contract Workman",Settings!$K$5,Settings!$K$4)))+(H47/(IF(F47="Contract Workman",Settings!$K$5,Settings!$K$4))),J47+(L47/(IF(F47="Contract Workman",Settings!$K$5,Settings!$K$4)))))</f>
        <v>46248.033730158721</v>
      </c>
      <c r="N47" s="10" t="str">
        <f t="shared" ca="1" si="2"/>
        <v>Shift S2</v>
      </c>
      <c r="O47" s="51" t="str">
        <f>IF(B47="","", IF(IFERROR(ISNUMBER(SEARCH(B47, VLOOKUP(E47, Machine_List!$B:$J, 9, 0))), FALSE()), "✅ Machine OK", "❌ Sug: " &amp; IFERROR(INDEX(Machine_List!$B$4:$B$50, MATCH("*"&amp;B47&amp;"*", Machine_List!$J$4:$J$50, 0)), "Check Limits")))</f>
        <v>✅ Machine OK</v>
      </c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2"/>
      <c r="AN47" s="52"/>
      <c r="AO47" s="52"/>
      <c r="AP47" s="52"/>
      <c r="AQ47" s="52"/>
      <c r="AR47" s="52"/>
      <c r="AS47" s="52"/>
      <c r="AT47" s="52"/>
      <c r="AU47" s="52"/>
      <c r="AV47" s="52"/>
      <c r="AW47" s="52"/>
      <c r="AX47" s="52"/>
      <c r="AY47" s="52"/>
      <c r="AZ47" s="52"/>
      <c r="BA47" s="52"/>
      <c r="BB47" s="52"/>
      <c r="BC47" s="52"/>
      <c r="BD47" s="52"/>
      <c r="BE47" s="52"/>
      <c r="BF47" s="52"/>
      <c r="BG47" s="52"/>
      <c r="BH47" s="52"/>
      <c r="BI47" s="52"/>
      <c r="BJ47" s="52"/>
      <c r="BK47" s="52"/>
      <c r="BL47" s="52"/>
      <c r="BM47" s="52"/>
    </row>
    <row r="48" spans="1:65" ht="28.8" customHeight="1" x14ac:dyDescent="0.3">
      <c r="A48" s="10" t="str">
        <f>IF(Job_Master!A48="","",Job_Master!A48)</f>
        <v>BJ-142</v>
      </c>
      <c r="B48" s="10">
        <f>IF($A48="","",Job_Master!B48)</f>
        <v>9</v>
      </c>
      <c r="C48" s="10" t="str">
        <f>IF($A48="","",Job_Master!C48)</f>
        <v>RW</v>
      </c>
      <c r="D48" s="10">
        <f>IF($A48="","",Job_Master!D48)</f>
        <v>2</v>
      </c>
      <c r="E48" s="10" t="str">
        <f>IF($A48="","","VENT-MC-03")</f>
        <v>VENT-MC-03</v>
      </c>
      <c r="F48" s="106" t="str">
        <f>IF($E48="","",IFERROR(VLOOKUP($E48,Machine_List!$B:$G,6,0),""))</f>
        <v>Contract Workman</v>
      </c>
      <c r="G48" s="53">
        <f>IF($E48="","",IFERROR(VLOOKUP($E48,Machine_List!$B:$C,2,0),""))</f>
        <v>46054</v>
      </c>
      <c r="H48" s="10">
        <f>IF($E48="","",IFERROR(VLOOKUP($E48,Machine_List!$B:$D,3,0),""))</f>
        <v>6</v>
      </c>
      <c r="I48" s="54"/>
      <c r="J48" s="55">
        <f ca="1">IF($A48="","",IF($I48&lt;&gt;"",$I48,MAX(ENG_Plan!$M48,IFERROR(LOOKUP(2,1/($E$3:INDIRECT("E"&amp;(ROW()-1))=$E48),$M$3:INDIRECT("M"&amp;(ROW()-1))),ENG_Plan!$M48))))</f>
        <v>46168.724867724857</v>
      </c>
      <c r="K48" s="10">
        <f>IF($A48="","",IFERROR(VLOOKUP(B48,CHOOSE(MATCH(C48,Settings!$L$4:$L$10,0),OPR_2P!$A$4:$I$18,SEG_6P!$A$4:$I$18,SOL_4P!$A$4:$I$18,RW_2P!$A$4:$I$18,RW2_4P!$A$4:$I$18,FLAP_4P!$A$4:$I$18,TUBE_4P!$A$4:$I$18),6,0),0))</f>
        <v>2</v>
      </c>
      <c r="L48" s="10">
        <f t="shared" si="0"/>
        <v>4</v>
      </c>
      <c r="M48" s="55">
        <f ca="1">IF($A48="","",IF(AND(ISNUMBER(G48),G48&gt;=J48,G48&lt;=(J48+(L48/(IF(F48="Contract Workman",Settings!$K$5,Settings!$K$4))))),J48+(L48/(IF(F48="Contract Workman",Settings!$K$5,Settings!$K$4)))+(H48/(IF(F48="Contract Workman",Settings!$K$5,Settings!$K$4))),J48+(L48/(IF(F48="Contract Workman",Settings!$K$5,Settings!$K$4)))))</f>
        <v>46168.90343915343</v>
      </c>
      <c r="N48" s="10" t="str">
        <f t="shared" ca="1" si="2"/>
        <v>Shift S2</v>
      </c>
      <c r="O48" s="51" t="str">
        <f>IF(B48="","", IF(IFERROR(ISNUMBER(SEARCH(B48, VLOOKUP(E48, Machine_List!$B:$J, 9, 0))), FALSE()), "✅ Machine OK", "❌ Sug: " &amp; IFERROR(INDEX(Machine_List!$B$4:$B$50, MATCH("*"&amp;B48&amp;"*", Machine_List!$J$4:$J$50, 0)), "Check Limits")))</f>
        <v>✅ Machine OK</v>
      </c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2"/>
      <c r="AN48" s="52"/>
      <c r="AO48" s="52"/>
      <c r="AP48" s="52"/>
      <c r="AQ48" s="52"/>
      <c r="AR48" s="52"/>
      <c r="AS48" s="52"/>
      <c r="AT48" s="52"/>
      <c r="AU48" s="52"/>
      <c r="AV48" s="52"/>
      <c r="AW48" s="52"/>
      <c r="AX48" s="52"/>
      <c r="AY48" s="52"/>
      <c r="AZ48" s="52"/>
      <c r="BA48" s="52"/>
      <c r="BB48" s="52"/>
      <c r="BC48" s="52"/>
      <c r="BD48" s="52"/>
      <c r="BE48" s="52"/>
      <c r="BF48" s="52"/>
      <c r="BG48" s="52"/>
      <c r="BH48" s="52"/>
      <c r="BI48" s="52"/>
      <c r="BJ48" s="52"/>
      <c r="BK48" s="52"/>
      <c r="BL48" s="52"/>
      <c r="BM48" s="52"/>
    </row>
    <row r="49" spans="1:65" ht="28.8" customHeight="1" x14ac:dyDescent="0.3">
      <c r="A49" s="10" t="str">
        <f>IF(Job_Master!A49="","",Job_Master!A49)</f>
        <v>BJ-147</v>
      </c>
      <c r="B49" s="10">
        <f>IF($A49="","",Job_Master!B49)</f>
        <v>34</v>
      </c>
      <c r="C49" s="10" t="str">
        <f>IF($A49="","",Job_Master!C49)</f>
        <v>SOL</v>
      </c>
      <c r="D49" s="10">
        <f>IF($A49="","",Job_Master!D49)</f>
        <v>4</v>
      </c>
      <c r="E49" s="10" t="str">
        <f>IF($A49="","","VENT-MC-08")</f>
        <v>VENT-MC-08</v>
      </c>
      <c r="F49" s="106" t="str">
        <f>IF($E49="","",IFERROR(VLOOKUP($E49,Machine_List!$B:$G,6,0),""))</f>
        <v>Contract Workman</v>
      </c>
      <c r="G49" s="53">
        <f>IF($E49="","",IFERROR(VLOOKUP($E49,Machine_List!$B:$C,2,0),""))</f>
        <v>46138</v>
      </c>
      <c r="H49" s="10">
        <f>IF($E49="","",IFERROR(VLOOKUP($E49,Machine_List!$B:$D,3,0),""))</f>
        <v>6</v>
      </c>
      <c r="I49" s="54"/>
      <c r="J49" s="55">
        <f ca="1">IF($A49="","",IF($I49&lt;&gt;"",$I49,MAX(ENG_Plan!$M49,IFERROR(LOOKUP(2,1/($E$3:INDIRECT("E"&amp;(ROW()-1))=$E49),$M$3:INDIRECT("M"&amp;(ROW()-1))),ENG_Plan!$M49))))</f>
        <v>46192.736111111124</v>
      </c>
      <c r="K49" s="10">
        <f>IF($A49="","",IFERROR(VLOOKUP(B49,CHOOSE(MATCH(C49,Settings!$L$4:$L$10,0),OPR_2P!$A$4:$I$18,SEG_6P!$A$4:$I$18,SOL_4P!$A$4:$I$18,RW_2P!$A$4:$I$18,RW2_4P!$A$4:$I$18,FLAP_4P!$A$4:$I$18,TUBE_4P!$A$4:$I$18),6,0),0))</f>
        <v>38</v>
      </c>
      <c r="L49" s="10">
        <f t="shared" si="0"/>
        <v>152</v>
      </c>
      <c r="M49" s="55">
        <f ca="1">IF($A49="","",IF(AND(ISNUMBER(G49),G49&gt;=J49,G49&lt;=(J49+(L49/(IF(F49="Contract Workman",Settings!$K$5,Settings!$K$4))))),J49+(L49/(IF(F49="Contract Workman",Settings!$K$5,Settings!$K$4)))+(H49/(IF(F49="Contract Workman",Settings!$K$5,Settings!$K$4))),J49+(L49/(IF(F49="Contract Workman",Settings!$K$5,Settings!$K$4)))))</f>
        <v>46199.521825396841</v>
      </c>
      <c r="N49" s="10" t="str">
        <f t="shared" ca="1" si="2"/>
        <v>Shift S1</v>
      </c>
      <c r="O49" s="51" t="str">
        <f>IF(B49="","", IF(IFERROR(ISNUMBER(SEARCH(B49, VLOOKUP(E49, Machine_List!$B:$J, 9, 0))), FALSE()), "✅ Machine OK", "❌ Sug: " &amp; IFERROR(INDEX(Machine_List!$B$4:$B$50, MATCH("*"&amp;B49&amp;"*", Machine_List!$J$4:$J$50, 0)), "Check Limits")))</f>
        <v>✅ Machine OK</v>
      </c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O49" s="52"/>
      <c r="AP49" s="52"/>
      <c r="AQ49" s="52"/>
      <c r="AR49" s="52"/>
      <c r="AS49" s="52"/>
      <c r="AT49" s="52"/>
      <c r="AU49" s="52"/>
      <c r="AV49" s="52"/>
      <c r="AW49" s="52"/>
      <c r="AX49" s="52"/>
      <c r="AY49" s="52"/>
      <c r="AZ49" s="52"/>
      <c r="BA49" s="52"/>
      <c r="BB49" s="52"/>
      <c r="BC49" s="52"/>
      <c r="BD49" s="52"/>
      <c r="BE49" s="52"/>
      <c r="BF49" s="52"/>
      <c r="BG49" s="52"/>
      <c r="BH49" s="52"/>
      <c r="BI49" s="52"/>
      <c r="BJ49" s="52"/>
      <c r="BK49" s="52"/>
      <c r="BL49" s="52"/>
      <c r="BM49" s="52"/>
    </row>
    <row r="50" spans="1:65" ht="28.8" customHeight="1" x14ac:dyDescent="0.3">
      <c r="A50" s="10" t="str">
        <f>IF(Job_Master!A50="","",Job_Master!A50)</f>
        <v>BJ-150</v>
      </c>
      <c r="B50" s="10">
        <f>IF($A50="","",Job_Master!B50)</f>
        <v>34</v>
      </c>
      <c r="C50" s="10" t="str">
        <f>IF($A50="","",Job_Master!C50)</f>
        <v>SOL</v>
      </c>
      <c r="D50" s="10">
        <f>IF($A50="","",Job_Master!D50)</f>
        <v>4</v>
      </c>
      <c r="E50" s="10" t="str">
        <f>IF($A50="","","VENT-MC-08")</f>
        <v>VENT-MC-08</v>
      </c>
      <c r="F50" s="106" t="str">
        <f>IF($E50="","",IFERROR(VLOOKUP($E50,Machine_List!$B:$G,6,0),""))</f>
        <v>Contract Workman</v>
      </c>
      <c r="G50" s="53">
        <f>IF($E50="","",IFERROR(VLOOKUP($E50,Machine_List!$B:$C,2,0),""))</f>
        <v>46138</v>
      </c>
      <c r="H50" s="10">
        <f>IF($E50="","",IFERROR(VLOOKUP($E50,Machine_List!$B:$D,3,0),""))</f>
        <v>6</v>
      </c>
      <c r="I50" s="54"/>
      <c r="J50" s="55">
        <f ca="1">IF($A50="","",IF($I50&lt;&gt;"",$I50,MAX(ENG_Plan!$M50,IFERROR(LOOKUP(2,1/($E$3:INDIRECT("E"&amp;(ROW()-1))=$E50),$M$3:INDIRECT("M"&amp;(ROW()-1))),ENG_Plan!$M50))))</f>
        <v>46204.773148148161</v>
      </c>
      <c r="K50" s="10">
        <f>IF($A50="","",IFERROR(VLOOKUP(B50,CHOOSE(MATCH(C50,Settings!$L$4:$L$10,0),OPR_2P!$A$4:$I$18,SEG_6P!$A$4:$I$18,SOL_4P!$A$4:$I$18,RW_2P!$A$4:$I$18,RW2_4P!$A$4:$I$18,FLAP_4P!$A$4:$I$18,TUBE_4P!$A$4:$I$18),6,0),0))</f>
        <v>38</v>
      </c>
      <c r="L50" s="10">
        <f t="shared" si="0"/>
        <v>152</v>
      </c>
      <c r="M50" s="55">
        <f ca="1">IF($A50="","",IF(AND(ISNUMBER(G50),G50&gt;=J50,G50&lt;=(J50+(L50/(IF(F50="Contract Workman",Settings!$K$5,Settings!$K$4))))),J50+(L50/(IF(F50="Contract Workman",Settings!$K$5,Settings!$K$4)))+(H50/(IF(F50="Contract Workman",Settings!$K$5,Settings!$K$4))),J50+(L50/(IF(F50="Contract Workman",Settings!$K$5,Settings!$K$4)))))</f>
        <v>46211.558862433878</v>
      </c>
      <c r="N50" s="10" t="str">
        <f t="shared" ca="1" si="2"/>
        <v>Shift S1</v>
      </c>
      <c r="O50" s="51" t="str">
        <f>IF(B50="","", IF(IFERROR(ISNUMBER(SEARCH(B50, VLOOKUP(E50, Machine_List!$B:$J, 9, 0))), FALSE()), "✅ Machine OK", "❌ Sug: " &amp; IFERROR(INDEX(Machine_List!$B$4:$B$50, MATCH("*"&amp;B50&amp;"*", Machine_List!$J$4:$J$50, 0)), "Check Limits")))</f>
        <v>✅ Machine OK</v>
      </c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  <c r="AK50" s="52"/>
      <c r="AL50" s="52"/>
      <c r="AM50" s="52"/>
      <c r="AN50" s="52"/>
      <c r="AO50" s="52"/>
      <c r="AP50" s="52"/>
      <c r="AQ50" s="52"/>
      <c r="AR50" s="52"/>
      <c r="AS50" s="52"/>
      <c r="AT50" s="52"/>
      <c r="AU50" s="52"/>
      <c r="AV50" s="52"/>
      <c r="AW50" s="52"/>
      <c r="AX50" s="52"/>
      <c r="AY50" s="52"/>
      <c r="AZ50" s="52"/>
      <c r="BA50" s="52"/>
      <c r="BB50" s="52"/>
      <c r="BC50" s="52"/>
      <c r="BD50" s="52"/>
      <c r="BE50" s="52"/>
      <c r="BF50" s="52"/>
      <c r="BG50" s="52"/>
      <c r="BH50" s="52"/>
      <c r="BI50" s="52"/>
      <c r="BJ50" s="52"/>
      <c r="BK50" s="52"/>
      <c r="BL50" s="52"/>
      <c r="BM50" s="52"/>
    </row>
    <row r="51" spans="1:65" ht="28.8" customHeight="1" x14ac:dyDescent="0.3">
      <c r="A51" s="10" t="str">
        <f>IF(Job_Master!A51="","",Job_Master!A51)</f>
        <v>BJ-151</v>
      </c>
      <c r="B51" s="10">
        <f>IF($A51="","",Job_Master!B51)</f>
        <v>25</v>
      </c>
      <c r="C51" s="10" t="str">
        <f>IF($A51="","",Job_Master!C51)</f>
        <v>SOL</v>
      </c>
      <c r="D51" s="10">
        <f>IF($A51="","",Job_Master!D51)</f>
        <v>4</v>
      </c>
      <c r="E51" s="10" t="str">
        <f>IF($A51="","","VENT-MC-01")</f>
        <v>VENT-MC-01</v>
      </c>
      <c r="F51" s="106" t="str">
        <f>IF($E51="","",IFERROR(VLOOKUP($E51,Machine_List!$B:$G,6,0),""))</f>
        <v>Contract Workman</v>
      </c>
      <c r="G51" s="53">
        <f>IF($E51="","",IFERROR(VLOOKUP($E51,Machine_List!$B:$C,2,0),""))</f>
        <v>46230</v>
      </c>
      <c r="H51" s="10">
        <f>IF($E51="","",IFERROR(VLOOKUP($E51,Machine_List!$B:$D,3,0),""))</f>
        <v>6</v>
      </c>
      <c r="I51" s="54"/>
      <c r="J51" s="55">
        <f ca="1">IF($A51="","",IF($I51&lt;&gt;"",$I51,MAX(ENG_Plan!$M51,IFERROR(LOOKUP(2,1/($E$3:INDIRECT("E"&amp;(ROW()-1))=$E51),$M$3:INDIRECT("M"&amp;(ROW()-1))),ENG_Plan!$M51))))</f>
        <v>46178.714947089939</v>
      </c>
      <c r="K51" s="10">
        <f>IF($A51="","",IFERROR(VLOOKUP(B51,CHOOSE(MATCH(C51,Settings!$L$4:$L$10,0),OPR_2P!$A$4:$I$18,SEG_6P!$A$4:$I$18,SOL_4P!$A$4:$I$18,RW_2P!$A$4:$I$18,RW2_4P!$A$4:$I$18,FLAP_4P!$A$4:$I$18,TUBE_4P!$A$4:$I$18),6,0),0))</f>
        <v>20</v>
      </c>
      <c r="L51" s="10">
        <f t="shared" si="0"/>
        <v>80</v>
      </c>
      <c r="M51" s="55">
        <f ca="1">IF($A51="","",IF(AND(ISNUMBER(G51),G51&gt;=J51,G51&lt;=(J51+(L51/(IF(F51="Contract Workman",Settings!$K$5,Settings!$K$4))))),J51+(L51/(IF(F51="Contract Workman",Settings!$K$5,Settings!$K$4)))+(H51/(IF(F51="Contract Workman",Settings!$K$5,Settings!$K$4))),J51+(L51/(IF(F51="Contract Workman",Settings!$K$5,Settings!$K$4)))))</f>
        <v>46182.286375661366</v>
      </c>
      <c r="N51" s="10" t="str">
        <f t="shared" ca="1" si="2"/>
        <v>Shift S2</v>
      </c>
      <c r="O51" s="51" t="str">
        <f>IF(B51="","", IF(IFERROR(ISNUMBER(SEARCH(B51, VLOOKUP(E51, Machine_List!$B:$J, 9, 0))), FALSE()), "✅ Machine OK", "❌ Sug: " &amp; IFERROR(INDEX(Machine_List!$B$4:$B$50, MATCH("*"&amp;B51&amp;"*", Machine_List!$J$4:$J$50, 0)), "Check Limits")))</f>
        <v>✅ Machine OK</v>
      </c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L51" s="52"/>
      <c r="AM51" s="52"/>
      <c r="AN51" s="52"/>
      <c r="AO51" s="52"/>
      <c r="AP51" s="52"/>
      <c r="AQ51" s="52"/>
      <c r="AR51" s="52"/>
      <c r="AS51" s="52"/>
      <c r="AT51" s="52"/>
      <c r="AU51" s="52"/>
      <c r="AV51" s="52"/>
      <c r="AW51" s="52"/>
      <c r="AX51" s="52"/>
      <c r="AY51" s="52"/>
      <c r="AZ51" s="52"/>
      <c r="BA51" s="52"/>
      <c r="BB51" s="52"/>
      <c r="BC51" s="52"/>
      <c r="BD51" s="52"/>
      <c r="BE51" s="52"/>
      <c r="BF51" s="52"/>
      <c r="BG51" s="52"/>
      <c r="BH51" s="52"/>
      <c r="BI51" s="52"/>
      <c r="BJ51" s="52"/>
      <c r="BK51" s="52"/>
      <c r="BL51" s="52"/>
      <c r="BM51" s="52"/>
    </row>
    <row r="52" spans="1:65" ht="28.8" customHeight="1" x14ac:dyDescent="0.3">
      <c r="A52" s="10" t="str">
        <f>IF(Job_Master!A52="","",Job_Master!A52)</f>
        <v>BJ-152</v>
      </c>
      <c r="B52" s="10">
        <f>IF($A52="","",Job_Master!B52)</f>
        <v>34</v>
      </c>
      <c r="C52" s="10" t="str">
        <f>IF($A52="","",Job_Master!C52)</f>
        <v>2P</v>
      </c>
      <c r="D52" s="10">
        <f>IF($A52="","",Job_Master!D52)</f>
        <v>2</v>
      </c>
      <c r="E52" s="10" t="str">
        <f>IF($A52="","","VENT-MC-08")</f>
        <v>VENT-MC-08</v>
      </c>
      <c r="F52" s="106" t="str">
        <f>IF($E52="","",IFERROR(VLOOKUP($E52,Machine_List!$B:$G,6,0),""))</f>
        <v>Contract Workman</v>
      </c>
      <c r="G52" s="53">
        <f>IF($E52="","",IFERROR(VLOOKUP($E52,Machine_List!$B:$C,2,0),""))</f>
        <v>46138</v>
      </c>
      <c r="H52" s="10">
        <f>IF($E52="","",IFERROR(VLOOKUP($E52,Machine_List!$B:$D,3,0),""))</f>
        <v>6</v>
      </c>
      <c r="I52" s="54"/>
      <c r="J52" s="55">
        <f ca="1">IF($A52="","",IF($I52&lt;&gt;"",$I52,MAX(ENG_Plan!$M52,IFERROR(LOOKUP(2,1/($E$3:INDIRECT("E"&amp;(ROW()-1))=$E52),$M$3:INDIRECT("M"&amp;(ROW()-1))),ENG_Plan!$M52))))</f>
        <v>46211.558862433878</v>
      </c>
      <c r="K52" s="10">
        <f>IF($A52="","",IFERROR(VLOOKUP(B52,CHOOSE(MATCH(C52,Settings!$L$4:$L$10,0),OPR_2P!$A$4:$I$18,SEG_6P!$A$4:$I$18,SOL_4P!$A$4:$I$18,RW_2P!$A$4:$I$18,RW2_4P!$A$4:$I$18,FLAP_4P!$A$4:$I$18,TUBE_4P!$A$4:$I$18),6,0),0))</f>
        <v>27</v>
      </c>
      <c r="L52" s="10">
        <f t="shared" si="0"/>
        <v>54</v>
      </c>
      <c r="M52" s="55">
        <f ca="1">IF($A52="","",IF(AND(ISNUMBER(G52),G52&gt;=J52,G52&lt;=(J52+(L52/(IF(F52="Contract Workman",Settings!$K$5,Settings!$K$4))))),J52+(L52/(IF(F52="Contract Workman",Settings!$K$5,Settings!$K$4)))+(H52/(IF(F52="Contract Workman",Settings!$K$5,Settings!$K$4))),J52+(L52/(IF(F52="Contract Workman",Settings!$K$5,Settings!$K$4)))))</f>
        <v>46213.969576719595</v>
      </c>
      <c r="N52" s="10" t="str">
        <f t="shared" ca="1" si="2"/>
        <v>Shift S2</v>
      </c>
      <c r="O52" s="51" t="str">
        <f>IF(B52="","", IF(IFERROR(ISNUMBER(SEARCH(B52, VLOOKUP(E52, Machine_List!$B:$J, 9, 0))), FALSE()), "✅ Machine OK", "❌ Sug: " &amp; IFERROR(INDEX(Machine_List!$B$4:$B$50, MATCH("*"&amp;B52&amp;"*", Machine_List!$J$4:$J$50, 0)), "Check Limits")))</f>
        <v>✅ Machine OK</v>
      </c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  <c r="AK52" s="52"/>
      <c r="AL52" s="52"/>
      <c r="AM52" s="52"/>
      <c r="AN52" s="52"/>
      <c r="AO52" s="52"/>
      <c r="AP52" s="52"/>
      <c r="AQ52" s="52"/>
      <c r="AR52" s="52"/>
      <c r="AS52" s="52"/>
      <c r="AT52" s="52"/>
      <c r="AU52" s="52"/>
      <c r="AV52" s="52"/>
      <c r="AW52" s="52"/>
      <c r="AX52" s="52"/>
      <c r="AY52" s="52"/>
      <c r="AZ52" s="52"/>
      <c r="BA52" s="52"/>
      <c r="BB52" s="52"/>
      <c r="BC52" s="52"/>
      <c r="BD52" s="52"/>
      <c r="BE52" s="52"/>
      <c r="BF52" s="52"/>
      <c r="BG52" s="52"/>
      <c r="BH52" s="52"/>
      <c r="BI52" s="52"/>
      <c r="BJ52" s="52"/>
      <c r="BK52" s="52"/>
      <c r="BL52" s="52"/>
      <c r="BM52" s="52"/>
    </row>
    <row r="53" spans="1:65" ht="28.8" customHeight="1" x14ac:dyDescent="0.3">
      <c r="A53" s="10" t="str">
        <f>IF(Job_Master!A53="","",Job_Master!A53)</f>
        <v>BJ-143</v>
      </c>
      <c r="B53" s="10">
        <f>IF($A53="","",Job_Master!B53)</f>
        <v>17</v>
      </c>
      <c r="C53" s="10" t="str">
        <f>IF($A53="","",Job_Master!C53)</f>
        <v>SOL</v>
      </c>
      <c r="D53" s="10">
        <f>IF($A53="","",Job_Master!D53)</f>
        <v>4</v>
      </c>
      <c r="E53" s="10" t="str">
        <f>IF($A53="","","VENT-MC-02")</f>
        <v>VENT-MC-02</v>
      </c>
      <c r="F53" s="106" t="str">
        <f>IF($E53="","",IFERROR(VLOOKUP($E53,Machine_List!$B:$G,6,0),""))</f>
        <v>Contract Workman</v>
      </c>
      <c r="G53" s="53">
        <f>IF($E53="","",IFERROR(VLOOKUP($E53,Machine_List!$B:$C,2,0),""))</f>
        <v>46191</v>
      </c>
      <c r="H53" s="10">
        <f>IF($E53="","",IFERROR(VLOOKUP($E53,Machine_List!$B:$D,3,0),""))</f>
        <v>6</v>
      </c>
      <c r="I53" s="54"/>
      <c r="J53" s="55">
        <f ca="1">IF($A53="","",IF($I53&lt;&gt;"",$I53,MAX(ENG_Plan!$M53,IFERROR(LOOKUP(2,1/($E$3:INDIRECT("E"&amp;(ROW()-1))=$E53),$M$3:INDIRECT("M"&amp;(ROW()-1))),ENG_Plan!$M53))))</f>
        <v>46174.680555555569</v>
      </c>
      <c r="K53" s="10">
        <f>IF($A53="","",IFERROR(VLOOKUP(B53,CHOOSE(MATCH(C53,Settings!$L$4:$L$10,0),OPR_2P!$A$4:$I$18,SEG_6P!$A$4:$I$18,SOL_4P!$A$4:$I$18,RW_2P!$A$4:$I$18,RW2_4P!$A$4:$I$18,FLAP_4P!$A$4:$I$18,TUBE_4P!$A$4:$I$18),6,0),0))</f>
        <v>15</v>
      </c>
      <c r="L53" s="10">
        <f t="shared" si="0"/>
        <v>60</v>
      </c>
      <c r="M53" s="55">
        <f ca="1">IF($A53="","",IF(AND(ISNUMBER(G53),G53&gt;=J53,G53&lt;=(J53+(L53/(IF(F53="Contract Workman",Settings!$K$5,Settings!$K$4))))),J53+(L53/(IF(F53="Contract Workman",Settings!$K$5,Settings!$K$4)))+(H53/(IF(F53="Contract Workman",Settings!$K$5,Settings!$K$4))),J53+(L53/(IF(F53="Contract Workman",Settings!$K$5,Settings!$K$4)))))</f>
        <v>46177.359126984142</v>
      </c>
      <c r="N53" s="10" t="str">
        <f t="shared" ca="1" si="2"/>
        <v>Shift S1</v>
      </c>
      <c r="O53" s="51" t="str">
        <f>IF(B53="","", IF(IFERROR(ISNUMBER(SEARCH(B53, VLOOKUP(E53, Machine_List!$B:$J, 9, 0))), FALSE()), "✅ Machine OK", "❌ Sug: " &amp; IFERROR(INDEX(Machine_List!$B$4:$B$50, MATCH("*"&amp;B53&amp;"*", Machine_List!$J$4:$J$50, 0)), "Check Limits")))</f>
        <v>✅ Machine OK</v>
      </c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52"/>
      <c r="AN53" s="52"/>
      <c r="AO53" s="52"/>
      <c r="AP53" s="52"/>
      <c r="AQ53" s="52"/>
      <c r="AR53" s="52"/>
      <c r="AS53" s="52"/>
      <c r="AT53" s="52"/>
      <c r="AU53" s="52"/>
      <c r="AV53" s="52"/>
      <c r="AW53" s="52"/>
      <c r="AX53" s="52"/>
      <c r="AY53" s="52"/>
      <c r="AZ53" s="52"/>
      <c r="BA53" s="52"/>
      <c r="BB53" s="52"/>
      <c r="BC53" s="52"/>
      <c r="BD53" s="52"/>
      <c r="BE53" s="52"/>
      <c r="BF53" s="52"/>
      <c r="BG53" s="52"/>
      <c r="BH53" s="52"/>
      <c r="BI53" s="52"/>
      <c r="BJ53" s="52"/>
      <c r="BK53" s="52"/>
      <c r="BL53" s="52"/>
      <c r="BM53" s="52"/>
    </row>
    <row r="54" spans="1:65" ht="28.8" customHeight="1" x14ac:dyDescent="0.3">
      <c r="A54" s="10" t="str">
        <f>IF(Job_Master!A54="","",Job_Master!A54)</f>
        <v>BJ-154</v>
      </c>
      <c r="B54" s="10">
        <f>IF($A54="","",Job_Master!B54)</f>
        <v>25</v>
      </c>
      <c r="C54" s="10" t="str">
        <f>IF($A54="","",Job_Master!C54)</f>
        <v>RW</v>
      </c>
      <c r="D54" s="10">
        <f>IF($A54="","",Job_Master!D54)</f>
        <v>2</v>
      </c>
      <c r="E54" s="10" t="str">
        <f>IF($A54="","","VENT-MC-03")</f>
        <v>VENT-MC-03</v>
      </c>
      <c r="F54" s="106" t="str">
        <f>IF($E54="","",IFERROR(VLOOKUP($E54,Machine_List!$B:$G,6,0),""))</f>
        <v>Contract Workman</v>
      </c>
      <c r="G54" s="53">
        <f>IF($E54="","",IFERROR(VLOOKUP($E54,Machine_List!$B:$C,2,0),""))</f>
        <v>46054</v>
      </c>
      <c r="H54" s="10">
        <f>IF($E54="","",IFERROR(VLOOKUP($E54,Machine_List!$B:$D,3,0),""))</f>
        <v>6</v>
      </c>
      <c r="I54" s="54"/>
      <c r="J54" s="55">
        <f ca="1">IF($A54="","",IF($I54&lt;&gt;"",$I54,MAX(ENG_Plan!$M54,IFERROR(LOOKUP(2,1/($E$3:INDIRECT("E"&amp;(ROW()-1))=$E54),$M$3:INDIRECT("M"&amp;(ROW()-1))),ENG_Plan!$M54))))</f>
        <v>46179.680555555562</v>
      </c>
      <c r="K54" s="10">
        <f>IF($A54="","",IFERROR(VLOOKUP(B54,CHOOSE(MATCH(C54,Settings!$L$4:$L$10,0),OPR_2P!$A$4:$I$18,SEG_6P!$A$4:$I$18,SOL_4P!$A$4:$I$18,RW_2P!$A$4:$I$18,RW2_4P!$A$4:$I$18,FLAP_4P!$A$4:$I$18,TUBE_4P!$A$4:$I$18),6,0),0))</f>
        <v>23</v>
      </c>
      <c r="L54" s="10">
        <f t="shared" si="0"/>
        <v>46</v>
      </c>
      <c r="M54" s="55">
        <f ca="1">IF($A54="","",IF(AND(ISNUMBER(G54),G54&gt;=J54,G54&lt;=(J54+(L54/(IF(F54="Contract Workman",Settings!$K$5,Settings!$K$4))))),J54+(L54/(IF(F54="Contract Workman",Settings!$K$5,Settings!$K$4)))+(H54/(IF(F54="Contract Workman",Settings!$K$5,Settings!$K$4))),J54+(L54/(IF(F54="Contract Workman",Settings!$K$5,Settings!$K$4)))))</f>
        <v>46181.734126984134</v>
      </c>
      <c r="N54" s="10" t="str">
        <f t="shared" ca="1" si="2"/>
        <v>Shift S1</v>
      </c>
      <c r="O54" s="51" t="str">
        <f>IF(B54="","", IF(IFERROR(ISNUMBER(SEARCH(B54, VLOOKUP(E54, Machine_List!$B:$J, 9, 0))), FALSE()), "✅ Machine OK", "❌ Sug: " &amp; IFERROR(INDEX(Machine_List!$B$4:$B$50, MATCH("*"&amp;B54&amp;"*", Machine_List!$J$4:$J$50, 0)), "Check Limits")))</f>
        <v>✅ Machine OK</v>
      </c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  <c r="AK54" s="52"/>
      <c r="AL54" s="52"/>
      <c r="AM54" s="52"/>
      <c r="AN54" s="52"/>
      <c r="AO54" s="52"/>
      <c r="AP54" s="52"/>
      <c r="AQ54" s="52"/>
      <c r="AR54" s="52"/>
      <c r="AS54" s="52"/>
      <c r="AT54" s="52"/>
      <c r="AU54" s="52"/>
      <c r="AV54" s="52"/>
      <c r="AW54" s="52"/>
      <c r="AX54" s="52"/>
      <c r="AY54" s="52"/>
      <c r="AZ54" s="52"/>
      <c r="BA54" s="52"/>
      <c r="BB54" s="52"/>
      <c r="BC54" s="52"/>
      <c r="BD54" s="52"/>
      <c r="BE54" s="52"/>
      <c r="BF54" s="52"/>
      <c r="BG54" s="52"/>
      <c r="BH54" s="52"/>
      <c r="BI54" s="52"/>
      <c r="BJ54" s="52"/>
      <c r="BK54" s="52"/>
      <c r="BL54" s="52"/>
      <c r="BM54" s="52"/>
    </row>
    <row r="55" spans="1:65" ht="28.8" customHeight="1" x14ac:dyDescent="0.3">
      <c r="A55" s="10" t="str">
        <f>IF(Job_Master!A55="","",Job_Master!A55)</f>
        <v>BJ-156</v>
      </c>
      <c r="B55" s="10">
        <f>IF($A55="","",Job_Master!B55)</f>
        <v>25</v>
      </c>
      <c r="C55" s="10" t="str">
        <f>IF($A55="","",Job_Master!C55)</f>
        <v>2P</v>
      </c>
      <c r="D55" s="10">
        <f>IF($A55="","",Job_Master!D55)</f>
        <v>2</v>
      </c>
      <c r="E55" s="10" t="str">
        <f>IF($A55="","","VENT-MC-01")</f>
        <v>VENT-MC-01</v>
      </c>
      <c r="F55" s="106" t="str">
        <f>IF($E55="","",IFERROR(VLOOKUP($E55,Machine_List!$B:$G,6,0),""))</f>
        <v>Contract Workman</v>
      </c>
      <c r="G55" s="53">
        <f>IF($E55="","",IFERROR(VLOOKUP($E55,Machine_List!$B:$C,2,0),""))</f>
        <v>46230</v>
      </c>
      <c r="H55" s="10">
        <f>IF($E55="","",IFERROR(VLOOKUP($E55,Machine_List!$B:$D,3,0),""))</f>
        <v>6</v>
      </c>
      <c r="I55" s="54"/>
      <c r="J55" s="55">
        <f ca="1">IF($A55="","",IF($I55&lt;&gt;"",$I55,MAX(ENG_Plan!$M55,IFERROR(LOOKUP(2,1/($E$3:INDIRECT("E"&amp;(ROW()-1))=$E55),$M$3:INDIRECT("M"&amp;(ROW()-1))),ENG_Plan!$M55))))</f>
        <v>46182.286375661366</v>
      </c>
      <c r="K55" s="10">
        <f>IF($A55="","",IFERROR(VLOOKUP(B55,CHOOSE(MATCH(C55,Settings!$L$4:$L$10,0),OPR_2P!$A$4:$I$18,SEG_6P!$A$4:$I$18,SOL_4P!$A$4:$I$18,RW_2P!$A$4:$I$18,RW2_4P!$A$4:$I$18,FLAP_4P!$A$4:$I$18,TUBE_4P!$A$4:$I$18),6,0),0))</f>
        <v>27</v>
      </c>
      <c r="L55" s="10">
        <f t="shared" si="0"/>
        <v>54</v>
      </c>
      <c r="M55" s="55">
        <f ca="1">IF($A55="","",IF(AND(ISNUMBER(G55),G55&gt;=J55,G55&lt;=(J55+(L55/(IF(F55="Contract Workman",Settings!$K$5,Settings!$K$4))))),J55+(L55/(IF(F55="Contract Workman",Settings!$K$5,Settings!$K$4)))+(H55/(IF(F55="Contract Workman",Settings!$K$5,Settings!$K$4))),J55+(L55/(IF(F55="Contract Workman",Settings!$K$5,Settings!$K$4)))))</f>
        <v>46184.697089947083</v>
      </c>
      <c r="N55" s="10" t="str">
        <f t="shared" ca="1" si="2"/>
        <v>Shift S1</v>
      </c>
      <c r="O55" s="51" t="str">
        <f>IF(B55="","", IF(IFERROR(ISNUMBER(SEARCH(B55, VLOOKUP(E55, Machine_List!$B:$J, 9, 0))), FALSE()), "✅ Machine OK", "❌ Sug: " &amp; IFERROR(INDEX(Machine_List!$B$4:$B$50, MATCH("*"&amp;B55&amp;"*", Machine_List!$J$4:$J$50, 0)), "Check Limits")))</f>
        <v>✅ Machine OK</v>
      </c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  <c r="AK55" s="52"/>
      <c r="AL55" s="52"/>
      <c r="AM55" s="52"/>
      <c r="AN55" s="52"/>
      <c r="AO55" s="52"/>
      <c r="AP55" s="52"/>
      <c r="AQ55" s="52"/>
      <c r="AR55" s="52"/>
      <c r="AS55" s="52"/>
      <c r="AT55" s="52"/>
      <c r="AU55" s="52"/>
      <c r="AV55" s="52"/>
      <c r="AW55" s="52"/>
      <c r="AX55" s="52"/>
      <c r="AY55" s="52"/>
      <c r="AZ55" s="52"/>
      <c r="BA55" s="52"/>
      <c r="BB55" s="52"/>
      <c r="BC55" s="52"/>
      <c r="BD55" s="52"/>
      <c r="BE55" s="52"/>
      <c r="BF55" s="52"/>
      <c r="BG55" s="52"/>
      <c r="BH55" s="52"/>
      <c r="BI55" s="52"/>
      <c r="BJ55" s="52"/>
      <c r="BK55" s="52"/>
      <c r="BL55" s="52"/>
      <c r="BM55" s="52"/>
    </row>
    <row r="56" spans="1:65" ht="28.8" customHeight="1" x14ac:dyDescent="0.3">
      <c r="A56" s="10" t="str">
        <f>IF(Job_Master!A56="","",Job_Master!A56)</f>
        <v>BJ-145</v>
      </c>
      <c r="B56" s="10">
        <f>IF($A56="","",Job_Master!B56)</f>
        <v>15</v>
      </c>
      <c r="C56" s="10" t="str">
        <f>IF($A56="","",Job_Master!C56)</f>
        <v>2P</v>
      </c>
      <c r="D56" s="10">
        <f>IF($A56="","",Job_Master!D56)</f>
        <v>2</v>
      </c>
      <c r="E56" s="10" t="str">
        <f>IF($A56="","","VENT-MC-02")</f>
        <v>VENT-MC-02</v>
      </c>
      <c r="F56" s="106" t="str">
        <f>IF($E56="","",IFERROR(VLOOKUP($E56,Machine_List!$B:$G,6,0),""))</f>
        <v>Contract Workman</v>
      </c>
      <c r="G56" s="53">
        <f>IF($E56="","",IFERROR(VLOOKUP($E56,Machine_List!$B:$C,2,0),""))</f>
        <v>46191</v>
      </c>
      <c r="H56" s="10">
        <f>IF($E56="","",IFERROR(VLOOKUP($E56,Machine_List!$B:$D,3,0),""))</f>
        <v>6</v>
      </c>
      <c r="I56" s="54"/>
      <c r="J56" s="55">
        <f ca="1">IF($A56="","",IF($I56&lt;&gt;"",$I56,MAX(ENG_Plan!$M56,IFERROR(LOOKUP(2,1/($E$3:INDIRECT("E"&amp;(ROW()-1))=$E56),$M$3:INDIRECT("M"&amp;(ROW()-1))),ENG_Plan!$M56))))</f>
        <v>46179.310185185212</v>
      </c>
      <c r="K56" s="10">
        <f>IF($A56="","",IFERROR(VLOOKUP(B56,CHOOSE(MATCH(C56,Settings!$L$4:$L$10,0),OPR_2P!$A$4:$I$18,SEG_6P!$A$4:$I$18,SOL_4P!$A$4:$I$18,RW_2P!$A$4:$I$18,RW2_4P!$A$4:$I$18,FLAP_4P!$A$4:$I$18,TUBE_4P!$A$4:$I$18),6,0),0))</f>
        <v>10</v>
      </c>
      <c r="L56" s="10">
        <f t="shared" si="0"/>
        <v>20</v>
      </c>
      <c r="M56" s="55">
        <f ca="1">IF($A56="","",IF(AND(ISNUMBER(G56),G56&gt;=J56,G56&lt;=(J56+(L56/(IF(F56="Contract Workman",Settings!$K$5,Settings!$K$4))))),J56+(L56/(IF(F56="Contract Workman",Settings!$K$5,Settings!$K$4)))+(H56/(IF(F56="Contract Workman",Settings!$K$5,Settings!$K$4))),J56+(L56/(IF(F56="Contract Workman",Settings!$K$5,Settings!$K$4)))))</f>
        <v>46180.203042328067</v>
      </c>
      <c r="N56" s="10" t="str">
        <f t="shared" ca="1" si="2"/>
        <v>Shift S2</v>
      </c>
      <c r="O56" s="51" t="str">
        <f>IF(B56="","", IF(IFERROR(ISNUMBER(SEARCH(B56, VLOOKUP(E56, Machine_List!$B:$J, 9, 0))), FALSE()), "✅ Machine OK", "❌ Sug: " &amp; IFERROR(INDEX(Machine_List!$B$4:$B$50, MATCH("*"&amp;B56&amp;"*", Machine_List!$J$4:$J$50, 0)), "Check Limits")))</f>
        <v>✅ Machine OK</v>
      </c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  <c r="AK56" s="52"/>
      <c r="AL56" s="52"/>
      <c r="AM56" s="52"/>
      <c r="AN56" s="52"/>
      <c r="AO56" s="52"/>
      <c r="AP56" s="52"/>
      <c r="AQ56" s="52"/>
      <c r="AR56" s="52"/>
      <c r="AS56" s="52"/>
      <c r="AT56" s="52"/>
      <c r="AU56" s="52"/>
      <c r="AV56" s="52"/>
      <c r="AW56" s="52"/>
      <c r="AX56" s="52"/>
      <c r="AY56" s="52"/>
      <c r="AZ56" s="52"/>
      <c r="BA56" s="52"/>
      <c r="BB56" s="52"/>
      <c r="BC56" s="52"/>
      <c r="BD56" s="52"/>
      <c r="BE56" s="52"/>
      <c r="BF56" s="52"/>
      <c r="BG56" s="52"/>
      <c r="BH56" s="52"/>
      <c r="BI56" s="52"/>
      <c r="BJ56" s="52"/>
      <c r="BK56" s="52"/>
      <c r="BL56" s="52"/>
      <c r="BM56" s="52"/>
    </row>
    <row r="57" spans="1:65" ht="28.8" customHeight="1" x14ac:dyDescent="0.3">
      <c r="A57" s="10" t="str">
        <f>IF(Job_Master!A57="","",Job_Master!A57)</f>
        <v>BJ-153</v>
      </c>
      <c r="B57" s="10">
        <f>IF($A57="","",Job_Master!B57)</f>
        <v>34</v>
      </c>
      <c r="C57" s="10" t="str">
        <f>IF($A57="","",Job_Master!C57)</f>
        <v>SEG</v>
      </c>
      <c r="D57" s="10">
        <f>IF($A57="","",Job_Master!D57)</f>
        <v>6</v>
      </c>
      <c r="E57" s="10" t="str">
        <f>IF($A57="","","VENT-MC-06")</f>
        <v>VENT-MC-06</v>
      </c>
      <c r="F57" s="106" t="str">
        <f>IF($E57="","",IFERROR(VLOOKUP($E57,Machine_List!$B:$G,6,0),""))</f>
        <v>Contract Workman</v>
      </c>
      <c r="G57" s="53">
        <f>IF($E57="","",IFERROR(VLOOKUP($E57,Machine_List!$B:$C,2,0),""))</f>
        <v>46347</v>
      </c>
      <c r="H57" s="10">
        <f>IF($E57="","",IFERROR(VLOOKUP($E57,Machine_List!$B:$D,3,0),""))</f>
        <v>6</v>
      </c>
      <c r="I57" s="54"/>
      <c r="J57" s="55">
        <f ca="1">IF($A57="","",IF($I57&lt;&gt;"",$I57,MAX(ENG_Plan!$M57,IFERROR(LOOKUP(2,1/($E$3:INDIRECT("E"&amp;(ROW()-1))=$E57),$M$3:INDIRECT("M"&amp;(ROW()-1))),ENG_Plan!$M57))))</f>
        <v>46227.534391534384</v>
      </c>
      <c r="K57" s="10">
        <f>IF($A57="","",IFERROR(VLOOKUP(B57,CHOOSE(MATCH(C57,Settings!$L$4:$L$10,0),OPR_2P!$A$4:$I$18,SEG_6P!$A$4:$I$18,SOL_4P!$A$4:$I$18,RW_2P!$A$4:$I$18,RW2_4P!$A$4:$I$18,FLAP_4P!$A$4:$I$18,TUBE_4P!$A$4:$I$18),6,0),0))</f>
        <v>32</v>
      </c>
      <c r="L57" s="10">
        <f t="shared" si="0"/>
        <v>192</v>
      </c>
      <c r="M57" s="55">
        <f ca="1">IF($A57="","",IF(AND(ISNUMBER(G57),G57&gt;=J57,G57&lt;=(J57+(L57/(IF(F57="Contract Workman",Settings!$K$5,Settings!$K$4))))),J57+(L57/(IF(F57="Contract Workman",Settings!$K$5,Settings!$K$4)))+(H57/(IF(F57="Contract Workman",Settings!$K$5,Settings!$K$4))),J57+(L57/(IF(F57="Contract Workman",Settings!$K$5,Settings!$K$4)))))</f>
        <v>46236.105820105811</v>
      </c>
      <c r="N57" s="10" t="str">
        <f t="shared" ca="1" si="2"/>
        <v>Shift S2</v>
      </c>
      <c r="O57" s="51" t="str">
        <f>IF(B57="","", IF(IFERROR(ISNUMBER(SEARCH(B57, VLOOKUP(E57, Machine_List!$B:$J, 9, 0))), FALSE()), "✅ Machine OK", "❌ Sug: " &amp; IFERROR(INDEX(Machine_List!$B$4:$B$50, MATCH("*"&amp;B57&amp;"*", Machine_List!$J$4:$J$50, 0)), "Check Limits")))</f>
        <v>✅ Machine OK</v>
      </c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  <c r="AK57" s="52"/>
      <c r="AL57" s="52"/>
      <c r="AM57" s="52"/>
      <c r="AN57" s="52"/>
      <c r="AO57" s="52"/>
      <c r="AP57" s="52"/>
      <c r="AQ57" s="52"/>
      <c r="AR57" s="52"/>
      <c r="AS57" s="52"/>
      <c r="AT57" s="52"/>
      <c r="AU57" s="52"/>
      <c r="AV57" s="52"/>
      <c r="AW57" s="52"/>
      <c r="AX57" s="52"/>
      <c r="AY57" s="52"/>
      <c r="AZ57" s="52"/>
      <c r="BA57" s="52"/>
      <c r="BB57" s="52"/>
      <c r="BC57" s="52"/>
      <c r="BD57" s="52"/>
      <c r="BE57" s="52"/>
      <c r="BF57" s="52"/>
      <c r="BG57" s="52"/>
      <c r="BH57" s="52"/>
      <c r="BI57" s="52"/>
      <c r="BJ57" s="52"/>
      <c r="BK57" s="52"/>
      <c r="BL57" s="52"/>
      <c r="BM57" s="52"/>
    </row>
    <row r="58" spans="1:65" ht="28.8" customHeight="1" x14ac:dyDescent="0.3">
      <c r="A58" s="10" t="str">
        <f>IF(Job_Master!A58="","",Job_Master!A58)</f>
        <v>BJ-160</v>
      </c>
      <c r="B58" s="10">
        <f>IF($A58="","",Job_Master!B58)</f>
        <v>34</v>
      </c>
      <c r="C58" s="10" t="str">
        <f>IF($A58="","",Job_Master!C58)</f>
        <v>2P</v>
      </c>
      <c r="D58" s="10">
        <f>IF($A58="","",Job_Master!D58)</f>
        <v>2</v>
      </c>
      <c r="E58" s="10" t="str">
        <f>IF($A58="","","VENT-MC-07")</f>
        <v>VENT-MC-07</v>
      </c>
      <c r="F58" s="106" t="str">
        <f>IF($E58="","",IFERROR(VLOOKUP($E58,Machine_List!$B:$G,6,0),""))</f>
        <v>Contract Workman</v>
      </c>
      <c r="G58" s="53">
        <f>IF($E58="","",IFERROR(VLOOKUP($E58,Machine_List!$B:$C,2,0),""))</f>
        <v>46234</v>
      </c>
      <c r="H58" s="10">
        <f>IF($E58="","",IFERROR(VLOOKUP($E58,Machine_List!$B:$D,3,0),""))</f>
        <v>6</v>
      </c>
      <c r="I58" s="54"/>
      <c r="J58" s="55">
        <f ca="1">IF($A58="","",IF($I58&lt;&gt;"",$I58,MAX(ENG_Plan!$M58,IFERROR(LOOKUP(2,1/($E$3:INDIRECT("E"&amp;(ROW()-1))=$E58),$M$3:INDIRECT("M"&amp;(ROW()-1))),ENG_Plan!$M58))))</f>
        <v>46200.236111111117</v>
      </c>
      <c r="K58" s="10">
        <f>IF($A58="","",IFERROR(VLOOKUP(B58,CHOOSE(MATCH(C58,Settings!$L$4:$L$10,0),OPR_2P!$A$4:$I$18,SEG_6P!$A$4:$I$18,SOL_4P!$A$4:$I$18,RW_2P!$A$4:$I$18,RW2_4P!$A$4:$I$18,FLAP_4P!$A$4:$I$18,TUBE_4P!$A$4:$I$18),6,0),0))</f>
        <v>27</v>
      </c>
      <c r="L58" s="10">
        <f t="shared" si="0"/>
        <v>54</v>
      </c>
      <c r="M58" s="55">
        <f ca="1">IF($A58="","",IF(AND(ISNUMBER(G58),G58&gt;=J58,G58&lt;=(J58+(L58/(IF(F58="Contract Workman",Settings!$K$5,Settings!$K$4))))),J58+(L58/(IF(F58="Contract Workman",Settings!$K$5,Settings!$K$4)))+(H58/(IF(F58="Contract Workman",Settings!$K$5,Settings!$K$4))),J58+(L58/(IF(F58="Contract Workman",Settings!$K$5,Settings!$K$4)))))</f>
        <v>46202.646825396834</v>
      </c>
      <c r="N58" s="10" t="str">
        <f t="shared" ca="1" si="2"/>
        <v>Shift S1</v>
      </c>
      <c r="O58" s="51" t="str">
        <f>IF(B58="","", IF(IFERROR(ISNUMBER(SEARCH(B58, VLOOKUP(E58, Machine_List!$B:$J, 9, 0))), FALSE()), "✅ Machine OK", "❌ Sug: " &amp; IFERROR(INDEX(Machine_List!$B$4:$B$50, MATCH("*"&amp;B58&amp;"*", Machine_List!$J$4:$J$50, 0)), "Check Limits")))</f>
        <v>✅ Machine OK</v>
      </c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52"/>
      <c r="AK58" s="52"/>
      <c r="AL58" s="52"/>
      <c r="AM58" s="52"/>
      <c r="AN58" s="52"/>
      <c r="AO58" s="52"/>
      <c r="AP58" s="52"/>
      <c r="AQ58" s="52"/>
      <c r="AR58" s="52"/>
      <c r="AS58" s="52"/>
      <c r="AT58" s="52"/>
      <c r="AU58" s="52"/>
      <c r="AV58" s="52"/>
      <c r="AW58" s="52"/>
      <c r="AX58" s="52"/>
      <c r="AY58" s="52"/>
      <c r="AZ58" s="52"/>
      <c r="BA58" s="52"/>
      <c r="BB58" s="52"/>
      <c r="BC58" s="52"/>
      <c r="BD58" s="52"/>
      <c r="BE58" s="52"/>
      <c r="BF58" s="52"/>
      <c r="BG58" s="52"/>
      <c r="BH58" s="52"/>
      <c r="BI58" s="52"/>
      <c r="BJ58" s="52"/>
      <c r="BK58" s="52"/>
      <c r="BL58" s="52"/>
      <c r="BM58" s="52"/>
    </row>
    <row r="59" spans="1:65" ht="28.8" customHeight="1" x14ac:dyDescent="0.3">
      <c r="A59" s="10" t="str">
        <f>IF(Job_Master!A59="","",Job_Master!A59)</f>
        <v>BJ-158</v>
      </c>
      <c r="B59" s="10">
        <f>IF($A59="","",Job_Master!B59)</f>
        <v>54</v>
      </c>
      <c r="C59" s="10" t="str">
        <f>IF($A59="","",Job_Master!C59)</f>
        <v>2P</v>
      </c>
      <c r="D59" s="10">
        <f>IF($A59="","",Job_Master!D59)</f>
        <v>2</v>
      </c>
      <c r="E59" s="10" t="str">
        <f>IF($A59="","","VENT-MC-07")</f>
        <v>VENT-MC-07</v>
      </c>
      <c r="F59" s="106" t="str">
        <f>IF($E59="","",IFERROR(VLOOKUP($E59,Machine_List!$B:$G,6,0),""))</f>
        <v>Contract Workman</v>
      </c>
      <c r="G59" s="53">
        <f>IF($E59="","",IFERROR(VLOOKUP($E59,Machine_List!$B:$C,2,0),""))</f>
        <v>46234</v>
      </c>
      <c r="H59" s="10">
        <f>IF($E59="","",IFERROR(VLOOKUP($E59,Machine_List!$B:$D,3,0),""))</f>
        <v>6</v>
      </c>
      <c r="I59" s="54"/>
      <c r="J59" s="55">
        <f ca="1">IF($A59="","",IF($I59&lt;&gt;"",$I59,MAX(ENG_Plan!$M59,IFERROR(LOOKUP(2,1/($E$3:INDIRECT("E"&amp;(ROW()-1))=$E59),$M$3:INDIRECT("M"&amp;(ROW()-1))),ENG_Plan!$M59))))</f>
        <v>46223.93981481481</v>
      </c>
      <c r="K59" s="10">
        <f>IF($A59="","",IFERROR(VLOOKUP(B59,CHOOSE(MATCH(C59,Settings!$L$4:$L$10,0),OPR_2P!$A$4:$I$18,SEG_6P!$A$4:$I$18,SOL_4P!$A$4:$I$18,RW_2P!$A$4:$I$18,RW2_4P!$A$4:$I$18,FLAP_4P!$A$4:$I$18,TUBE_4P!$A$4:$I$18),6,0),0))</f>
        <v>57</v>
      </c>
      <c r="L59" s="10">
        <f t="shared" si="0"/>
        <v>114</v>
      </c>
      <c r="M59" s="55">
        <f ca="1">IF($A59="","",IF(AND(ISNUMBER(G59),G59&gt;=J59,G59&lt;=(J59+(L59/(IF(F59="Contract Workman",Settings!$K$5,Settings!$K$4))))),J59+(L59/(IF(F59="Contract Workman",Settings!$K$5,Settings!$K$4)))+(H59/(IF(F59="Contract Workman",Settings!$K$5,Settings!$K$4))),J59+(L59/(IF(F59="Contract Workman",Settings!$K$5,Settings!$K$4)))))</f>
        <v>46229.029100529093</v>
      </c>
      <c r="N59" s="10" t="str">
        <f t="shared" ca="1" si="2"/>
        <v>Shift S2</v>
      </c>
      <c r="O59" s="51" t="str">
        <f>IF(B59="","", IF(IFERROR(ISNUMBER(SEARCH(B59, VLOOKUP(E59, Machine_List!$B:$J, 9, 0))), FALSE()), "✅ Machine OK", "❌ Sug: " &amp; IFERROR(INDEX(Machine_List!$B$4:$B$50, MATCH("*"&amp;B59&amp;"*", Machine_List!$J$4:$J$50, 0)), "Check Limits")))</f>
        <v>✅ Machine OK</v>
      </c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  <c r="AK59" s="52"/>
      <c r="AL59" s="52"/>
      <c r="AM59" s="52"/>
      <c r="AN59" s="52"/>
      <c r="AO59" s="52"/>
      <c r="AP59" s="52"/>
      <c r="AQ59" s="52"/>
      <c r="AR59" s="52"/>
      <c r="AS59" s="52"/>
      <c r="AT59" s="52"/>
      <c r="AU59" s="52"/>
      <c r="AV59" s="52"/>
      <c r="AW59" s="52"/>
      <c r="AX59" s="52"/>
      <c r="AY59" s="52"/>
      <c r="AZ59" s="52"/>
      <c r="BA59" s="52"/>
      <c r="BB59" s="52"/>
      <c r="BC59" s="52"/>
      <c r="BD59" s="52"/>
      <c r="BE59" s="52"/>
      <c r="BF59" s="52"/>
      <c r="BG59" s="52"/>
      <c r="BH59" s="52"/>
      <c r="BI59" s="52"/>
      <c r="BJ59" s="52"/>
      <c r="BK59" s="52"/>
      <c r="BL59" s="52"/>
      <c r="BM59" s="52"/>
    </row>
    <row r="60" spans="1:65" ht="28.8" customHeight="1" x14ac:dyDescent="0.3">
      <c r="A60" s="10" t="str">
        <f>IF(Job_Master!A60="","",Job_Master!A60)</f>
        <v>BJ-157</v>
      </c>
      <c r="B60" s="10">
        <f>IF($A60="","",Job_Master!B60)</f>
        <v>50</v>
      </c>
      <c r="C60" s="10" t="str">
        <f>IF($A60="","",Job_Master!C60)</f>
        <v>SEG</v>
      </c>
      <c r="D60" s="10">
        <f>IF($A60="","",Job_Master!D60)</f>
        <v>6</v>
      </c>
      <c r="E60" s="10" t="str">
        <f>IF($A60="","","VENT-MC-04")</f>
        <v>VENT-MC-04</v>
      </c>
      <c r="F60" s="106" t="str">
        <f>IF($E60="","",IFERROR(VLOOKUP($E60,Machine_List!$B:$G,6,0),""))</f>
        <v>Contract Workman</v>
      </c>
      <c r="G60" s="53">
        <f>IF($E60="","",IFERROR(VLOOKUP($E60,Machine_List!$B:$C,2,0),""))</f>
        <v>46255</v>
      </c>
      <c r="H60" s="10">
        <f>IF($E60="","",IFERROR(VLOOKUP($E60,Machine_List!$B:$D,3,0),""))</f>
        <v>6</v>
      </c>
      <c r="I60" s="54"/>
      <c r="J60" s="55">
        <f ca="1">IF($A60="","",IF($I60&lt;&gt;"",$I60,MAX(ENG_Plan!$M60,IFERROR(LOOKUP(2,1/($E$3:INDIRECT("E"&amp;(ROW()-1))=$E60),$M$3:INDIRECT("M"&amp;(ROW()-1))),ENG_Plan!$M60))))</f>
        <v>46276.43981481481</v>
      </c>
      <c r="K60" s="10">
        <f>IF($A60="","",IFERROR(VLOOKUP(B60,CHOOSE(MATCH(C60,Settings!$L$4:$L$10,0),OPR_2P!$A$4:$I$18,SEG_6P!$A$4:$I$18,SOL_4P!$A$4:$I$18,RW_2P!$A$4:$I$18,RW2_4P!$A$4:$I$18,FLAP_4P!$A$4:$I$18,TUBE_4P!$A$4:$I$18),6,0),0))</f>
        <v>53</v>
      </c>
      <c r="L60" s="10">
        <f t="shared" si="0"/>
        <v>318</v>
      </c>
      <c r="M60" s="55">
        <f ca="1">IF($A60="","",IF(AND(ISNUMBER(G60),G60&gt;=J60,G60&lt;=(J60+(L60/(IF(F60="Contract Workman",Settings!$K$5,Settings!$K$4))))),J60+(L60/(IF(F60="Contract Workman",Settings!$K$5,Settings!$K$4)))+(H60/(IF(F60="Contract Workman",Settings!$K$5,Settings!$K$4))),J60+(L60/(IF(F60="Contract Workman",Settings!$K$5,Settings!$K$4)))))</f>
        <v>46290.636243386238</v>
      </c>
      <c r="N60" s="10" t="str">
        <f t="shared" ca="1" si="2"/>
        <v>Shift S1</v>
      </c>
      <c r="O60" s="51" t="str">
        <f>IF(B60="","", IF(IFERROR(ISNUMBER(SEARCH(B60, VLOOKUP(E60, Machine_List!$B:$J, 9, 0))), FALSE()), "✅ Machine OK", "❌ Sug: " &amp; IFERROR(INDEX(Machine_List!$B$4:$B$50, MATCH("*"&amp;B60&amp;"*", Machine_List!$J$4:$J$50, 0)), "Check Limits")))</f>
        <v>✅ Machine OK</v>
      </c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52"/>
      <c r="AN60" s="52"/>
      <c r="AO60" s="52"/>
      <c r="AP60" s="52"/>
      <c r="AQ60" s="52"/>
      <c r="AR60" s="52"/>
      <c r="AS60" s="52"/>
      <c r="AT60" s="52"/>
      <c r="AU60" s="52"/>
      <c r="AV60" s="52"/>
      <c r="AW60" s="52"/>
      <c r="AX60" s="52"/>
      <c r="AY60" s="52"/>
      <c r="AZ60" s="52"/>
      <c r="BA60" s="52"/>
      <c r="BB60" s="52"/>
      <c r="BC60" s="52"/>
      <c r="BD60" s="52"/>
      <c r="BE60" s="52"/>
      <c r="BF60" s="52"/>
      <c r="BG60" s="52"/>
      <c r="BH60" s="52"/>
      <c r="BI60" s="52"/>
      <c r="BJ60" s="52"/>
      <c r="BK60" s="52"/>
      <c r="BL60" s="52"/>
      <c r="BM60" s="52"/>
    </row>
    <row r="61" spans="1:65" ht="28.8" customHeight="1" x14ac:dyDescent="0.3">
      <c r="A61" s="10" t="str">
        <f>IF(Job_Master!A61="","",Job_Master!A61)</f>
        <v>BJ-159</v>
      </c>
      <c r="B61" s="10">
        <f>IF($A61="","",Job_Master!B61)</f>
        <v>54</v>
      </c>
      <c r="C61" s="10" t="str">
        <f>IF($A61="","",Job_Master!C61)</f>
        <v>RW</v>
      </c>
      <c r="D61" s="10">
        <f>IF($A61="","",Job_Master!D61)</f>
        <v>2</v>
      </c>
      <c r="E61" s="10" t="str">
        <f>IF($A61="","","VENT-MC-07")</f>
        <v>VENT-MC-07</v>
      </c>
      <c r="F61" s="106" t="str">
        <f>IF($E61="","",IFERROR(VLOOKUP($E61,Machine_List!$B:$G,6,0),""))</f>
        <v>Contract Workman</v>
      </c>
      <c r="G61" s="53">
        <f>IF($E61="","",IFERROR(VLOOKUP($E61,Machine_List!$B:$C,2,0),""))</f>
        <v>46234</v>
      </c>
      <c r="H61" s="10">
        <f>IF($E61="","",IFERROR(VLOOKUP($E61,Machine_List!$B:$D,3,0),""))</f>
        <v>6</v>
      </c>
      <c r="I61" s="54"/>
      <c r="J61" s="55">
        <f ca="1">IF($A61="","",IF($I61&lt;&gt;"",$I61,MAX(ENG_Plan!$M61,IFERROR(LOOKUP(2,1/($E$3:INDIRECT("E"&amp;(ROW()-1))=$E61),$M$3:INDIRECT("M"&amp;(ROW()-1))),ENG_Plan!$M61))))</f>
        <v>46230.699074074073</v>
      </c>
      <c r="K61" s="10">
        <f>IF($A61="","",IFERROR(VLOOKUP(B61,CHOOSE(MATCH(C61,Settings!$L$4:$L$10,0),OPR_2P!$A$4:$I$18,SEG_6P!$A$4:$I$18,SOL_4P!$A$4:$I$18,RW_2P!$A$4:$I$18,RW2_4P!$A$4:$I$18,FLAP_4P!$A$4:$I$18,TUBE_4P!$A$4:$I$18),6,0),0))</f>
        <v>86</v>
      </c>
      <c r="L61" s="10">
        <f t="shared" si="0"/>
        <v>172</v>
      </c>
      <c r="M61" s="55">
        <f ca="1">IF($A61="","",IF(AND(ISNUMBER(G61),G61&gt;=J61,G61&lt;=(J61+(L61/(IF(F61="Contract Workman",Settings!$K$5,Settings!$K$4))))),J61+(L61/(IF(F61="Contract Workman",Settings!$K$5,Settings!$K$4)))+(H61/(IF(F61="Contract Workman",Settings!$K$5,Settings!$K$4))),J61+(L61/(IF(F61="Contract Workman",Settings!$K$5,Settings!$K$4)))))</f>
        <v>46238.645502645501</v>
      </c>
      <c r="N61" s="10" t="str">
        <f t="shared" ca="1" si="2"/>
        <v>Shift S1</v>
      </c>
      <c r="O61" s="51" t="str">
        <f>IF(B61="","", IF(IFERROR(ISNUMBER(SEARCH(B61, VLOOKUP(E61, Machine_List!$B:$J, 9, 0))), FALSE()), "✅ Machine OK", "❌ Sug: " &amp; IFERROR(INDEX(Machine_List!$B$4:$B$50, MATCH("*"&amp;B61&amp;"*", Machine_List!$J$4:$J$50, 0)), "Check Limits")))</f>
        <v>✅ Machine OK</v>
      </c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52"/>
      <c r="AG61" s="52"/>
      <c r="AH61" s="52"/>
      <c r="AI61" s="52"/>
      <c r="AJ61" s="52"/>
      <c r="AK61" s="52"/>
      <c r="AL61" s="52"/>
      <c r="AM61" s="52"/>
      <c r="AN61" s="52"/>
      <c r="AO61" s="52"/>
      <c r="AP61" s="52"/>
      <c r="AQ61" s="52"/>
      <c r="AR61" s="52"/>
      <c r="AS61" s="52"/>
      <c r="AT61" s="52"/>
      <c r="AU61" s="52"/>
      <c r="AV61" s="52"/>
      <c r="AW61" s="52"/>
      <c r="AX61" s="52"/>
      <c r="AY61" s="52"/>
      <c r="AZ61" s="52"/>
      <c r="BA61" s="52"/>
      <c r="BB61" s="52"/>
      <c r="BC61" s="52"/>
      <c r="BD61" s="52"/>
      <c r="BE61" s="52"/>
      <c r="BF61" s="52"/>
      <c r="BG61" s="52"/>
      <c r="BH61" s="52"/>
      <c r="BI61" s="52"/>
      <c r="BJ61" s="52"/>
      <c r="BK61" s="52"/>
      <c r="BL61" s="52"/>
      <c r="BM61" s="52"/>
    </row>
    <row r="62" spans="1:65" ht="28.8" customHeight="1" x14ac:dyDescent="0.3">
      <c r="A62" s="10" t="str">
        <f>IF(Job_Master!A62="","",Job_Master!A62)</f>
        <v>BJ-148</v>
      </c>
      <c r="B62" s="10">
        <f>IF($A62="","",Job_Master!B62)</f>
        <v>9</v>
      </c>
      <c r="C62" s="10" t="str">
        <f>IF($A62="","",Job_Master!C62)</f>
        <v>SEG</v>
      </c>
      <c r="D62" s="10">
        <f>IF($A62="","",Job_Master!D62)</f>
        <v>6</v>
      </c>
      <c r="E62" s="10" t="str">
        <f>IF($A62="","","VENT-MC-02")</f>
        <v>VENT-MC-02</v>
      </c>
      <c r="F62" s="106" t="str">
        <f>IF($E62="","",IFERROR(VLOOKUP($E62,Machine_List!$B:$G,6,0),""))</f>
        <v>Contract Workman</v>
      </c>
      <c r="G62" s="53">
        <f>IF($E62="","",IFERROR(VLOOKUP($E62,Machine_List!$B:$C,2,0),""))</f>
        <v>46191</v>
      </c>
      <c r="H62" s="10">
        <f>IF($E62="","",IFERROR(VLOOKUP($E62,Machine_List!$B:$D,3,0),""))</f>
        <v>6</v>
      </c>
      <c r="I62" s="54"/>
      <c r="J62" s="55">
        <f ca="1">IF($A62="","",IF($I62&lt;&gt;"",$I62,MAX(ENG_Plan!$M62,IFERROR(LOOKUP(2,1/($E$3:INDIRECT("E"&amp;(ROW()-1))=$E62),$M$3:INDIRECT("M"&amp;(ROW()-1))),ENG_Plan!$M62))))</f>
        <v>46182.273148148175</v>
      </c>
      <c r="K62" s="10">
        <f>IF($A62="","",IFERROR(VLOOKUP(B62,CHOOSE(MATCH(C62,Settings!$L$4:$L$10,0),OPR_2P!$A$4:$I$18,SEG_6P!$A$4:$I$18,SOL_4P!$A$4:$I$18,RW_2P!$A$4:$I$18,RW2_4P!$A$4:$I$18,FLAP_4P!$A$4:$I$18,TUBE_4P!$A$4:$I$18),6,0),0))</f>
        <v>5</v>
      </c>
      <c r="L62" s="10">
        <f t="shared" si="0"/>
        <v>30</v>
      </c>
      <c r="M62" s="55">
        <f ca="1">IF($A62="","",IF(AND(ISNUMBER(G62),G62&gt;=J62,G62&lt;=(J62+(L62/(IF(F62="Contract Workman",Settings!$K$5,Settings!$K$4))))),J62+(L62/(IF(F62="Contract Workman",Settings!$K$5,Settings!$K$4)))+(H62/(IF(F62="Contract Workman",Settings!$K$5,Settings!$K$4))),J62+(L62/(IF(F62="Contract Workman",Settings!$K$5,Settings!$K$4)))))</f>
        <v>46183.612433862458</v>
      </c>
      <c r="N62" s="10" t="str">
        <f t="shared" ca="1" si="2"/>
        <v>Shift S1</v>
      </c>
      <c r="O62" s="51" t="str">
        <f>IF(B62="","", IF(IFERROR(ISNUMBER(SEARCH(B62, VLOOKUP(E62, Machine_List!$B:$J, 9, 0))), FALSE()), "✅ Machine OK", "❌ Sug: " &amp; IFERROR(INDEX(Machine_List!$B$4:$B$50, MATCH("*"&amp;B62&amp;"*", Machine_List!$J$4:$J$50, 0)), "Check Limits")))</f>
        <v>✅ Machine OK</v>
      </c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52"/>
      <c r="AK62" s="52"/>
      <c r="AL62" s="52"/>
      <c r="AM62" s="52"/>
      <c r="AN62" s="52"/>
      <c r="AO62" s="52"/>
      <c r="AP62" s="52"/>
      <c r="AQ62" s="52"/>
      <c r="AR62" s="52"/>
      <c r="AS62" s="52"/>
      <c r="AT62" s="52"/>
      <c r="AU62" s="52"/>
      <c r="AV62" s="52"/>
      <c r="AW62" s="52"/>
      <c r="AX62" s="52"/>
      <c r="AY62" s="52"/>
      <c r="AZ62" s="52"/>
      <c r="BA62" s="52"/>
      <c r="BB62" s="52"/>
      <c r="BC62" s="52"/>
      <c r="BD62" s="52"/>
      <c r="BE62" s="52"/>
      <c r="BF62" s="52"/>
      <c r="BG62" s="52"/>
      <c r="BH62" s="52"/>
      <c r="BI62" s="52"/>
      <c r="BJ62" s="52"/>
      <c r="BK62" s="52"/>
      <c r="BL62" s="52"/>
      <c r="BM62" s="52"/>
    </row>
    <row r="63" spans="1:65" ht="28.8" customHeight="1" x14ac:dyDescent="0.3">
      <c r="A63" s="10" t="str">
        <f>IF(Job_Master!A63="","",Job_Master!A63)</f>
        <v>BJ-161</v>
      </c>
      <c r="B63" s="10">
        <f>IF($A63="","",Job_Master!B63)</f>
        <v>30</v>
      </c>
      <c r="C63" s="10" t="str">
        <f>IF($A63="","",Job_Master!C63)</f>
        <v>SEG</v>
      </c>
      <c r="D63" s="10">
        <f>IF($A63="","",Job_Master!D63)</f>
        <v>6</v>
      </c>
      <c r="E63" s="10" t="str">
        <f>IF($A63="","","VENT-MC-08")</f>
        <v>VENT-MC-08</v>
      </c>
      <c r="F63" s="106" t="str">
        <f>IF($E63="","",IFERROR(VLOOKUP($E63,Machine_List!$B:$G,6,0),""))</f>
        <v>Contract Workman</v>
      </c>
      <c r="G63" s="53">
        <f>IF($E63="","",IFERROR(VLOOKUP($E63,Machine_List!$B:$C,2,0),""))</f>
        <v>46138</v>
      </c>
      <c r="H63" s="10">
        <f>IF($E63="","",IFERROR(VLOOKUP($E63,Machine_List!$B:$D,3,0),""))</f>
        <v>6</v>
      </c>
      <c r="I63" s="54"/>
      <c r="J63" s="55">
        <f ca="1">IF($A63="","",IF($I63&lt;&gt;"",$I63,MAX(ENG_Plan!$M63,IFERROR(LOOKUP(2,1/($E$3:INDIRECT("E"&amp;(ROW()-1))=$E63),$M$3:INDIRECT("M"&amp;(ROW()-1))),ENG_Plan!$M63))))</f>
        <v>46220.050925925934</v>
      </c>
      <c r="K63" s="10">
        <f>IF($A63="","",IFERROR(VLOOKUP(B63,CHOOSE(MATCH(C63,Settings!$L$4:$L$10,0),OPR_2P!$A$4:$I$18,SEG_6P!$A$4:$I$18,SOL_4P!$A$4:$I$18,RW_2P!$A$4:$I$18,RW2_4P!$A$4:$I$18,FLAP_4P!$A$4:$I$18,TUBE_4P!$A$4:$I$18),6,0),0))</f>
        <v>26</v>
      </c>
      <c r="L63" s="10">
        <f t="shared" si="0"/>
        <v>156</v>
      </c>
      <c r="M63" s="55">
        <f ca="1">IF($A63="","",IF(AND(ISNUMBER(G63),G63&gt;=J63,G63&lt;=(J63+(L63/(IF(F63="Contract Workman",Settings!$K$5,Settings!$K$4))))),J63+(L63/(IF(F63="Contract Workman",Settings!$K$5,Settings!$K$4)))+(H63/(IF(F63="Contract Workman",Settings!$K$5,Settings!$K$4))),J63+(L63/(IF(F63="Contract Workman",Settings!$K$5,Settings!$K$4)))))</f>
        <v>46227.015211640217</v>
      </c>
      <c r="N63" s="10" t="str">
        <f t="shared" ca="1" si="2"/>
        <v>Shift S2</v>
      </c>
      <c r="O63" s="51" t="str">
        <f>IF(B63="","", IF(IFERROR(ISNUMBER(SEARCH(B63, VLOOKUP(E63, Machine_List!$B:$J, 9, 0))), FALSE()), "✅ Machine OK", "❌ Sug: " &amp; IFERROR(INDEX(Machine_List!$B$4:$B$50, MATCH("*"&amp;B63&amp;"*", Machine_List!$J$4:$J$50, 0)), "Check Limits")))</f>
        <v>✅ Machine OK</v>
      </c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52"/>
      <c r="AK63" s="52"/>
      <c r="AL63" s="52"/>
      <c r="AM63" s="52"/>
      <c r="AN63" s="52"/>
      <c r="AO63" s="52"/>
      <c r="AP63" s="52"/>
      <c r="AQ63" s="52"/>
      <c r="AR63" s="52"/>
      <c r="AS63" s="52"/>
      <c r="AT63" s="52"/>
      <c r="AU63" s="52"/>
      <c r="AV63" s="52"/>
      <c r="AW63" s="52"/>
      <c r="AX63" s="52"/>
      <c r="AY63" s="52"/>
      <c r="AZ63" s="52"/>
      <c r="BA63" s="52"/>
      <c r="BB63" s="52"/>
      <c r="BC63" s="52"/>
      <c r="BD63" s="52"/>
      <c r="BE63" s="52"/>
      <c r="BF63" s="52"/>
      <c r="BG63" s="52"/>
      <c r="BH63" s="52"/>
      <c r="BI63" s="52"/>
      <c r="BJ63" s="52"/>
      <c r="BK63" s="52"/>
      <c r="BL63" s="52"/>
      <c r="BM63" s="52"/>
    </row>
    <row r="64" spans="1:65" ht="28.8" customHeight="1" x14ac:dyDescent="0.3">
      <c r="A64" s="10" t="str">
        <f>IF(Job_Master!A64="","",Job_Master!A64)</f>
        <v>BJ-149</v>
      </c>
      <c r="B64" s="10">
        <f>IF($A64="","",Job_Master!B64)</f>
        <v>9</v>
      </c>
      <c r="C64" s="10" t="str">
        <f>IF($A64="","",Job_Master!C64)</f>
        <v>2P</v>
      </c>
      <c r="D64" s="10">
        <f>IF($A64="","",Job_Master!D64)</f>
        <v>2</v>
      </c>
      <c r="E64" s="10" t="str">
        <f>IF($A64="","","VENT-MC-03")</f>
        <v>VENT-MC-03</v>
      </c>
      <c r="F64" s="106" t="str">
        <f>IF($E64="","",IFERROR(VLOOKUP($E64,Machine_List!$B:$G,6,0),""))</f>
        <v>Contract Workman</v>
      </c>
      <c r="G64" s="53">
        <f>IF($E64="","",IFERROR(VLOOKUP($E64,Machine_List!$B:$C,2,0),""))</f>
        <v>46054</v>
      </c>
      <c r="H64" s="10">
        <f>IF($E64="","",IFERROR(VLOOKUP($E64,Machine_List!$B:$D,3,0),""))</f>
        <v>6</v>
      </c>
      <c r="I64" s="54"/>
      <c r="J64" s="55">
        <f ca="1">IF($A64="","",IF($I64&lt;&gt;"",$I64,MAX(ENG_Plan!$M64,IFERROR(LOOKUP(2,1/($E$3:INDIRECT("E"&amp;(ROW()-1))=$E64),$M$3:INDIRECT("M"&amp;(ROW()-1))),ENG_Plan!$M64))))</f>
        <v>46181.734126984134</v>
      </c>
      <c r="K64" s="10">
        <f>IF($A64="","",IFERROR(VLOOKUP(B64,CHOOSE(MATCH(C64,Settings!$L$4:$L$10,0),OPR_2P!$A$4:$I$18,SEG_6P!$A$4:$I$18,SOL_4P!$A$4:$I$18,RW_2P!$A$4:$I$18,RW2_4P!$A$4:$I$18,FLAP_4P!$A$4:$I$18,TUBE_4P!$A$4:$I$18),6,0),0))</f>
        <v>5</v>
      </c>
      <c r="L64" s="10">
        <f t="shared" si="0"/>
        <v>10</v>
      </c>
      <c r="M64" s="55">
        <f ca="1">IF($A64="","",IF(AND(ISNUMBER(G64),G64&gt;=J64,G64&lt;=(J64+(L64/(IF(F64="Contract Workman",Settings!$K$5,Settings!$K$4))))),J64+(L64/(IF(F64="Contract Workman",Settings!$K$5,Settings!$K$4)))+(H64/(IF(F64="Contract Workman",Settings!$K$5,Settings!$K$4))),J64+(L64/(IF(F64="Contract Workman",Settings!$K$5,Settings!$K$4)))))</f>
        <v>46182.180555555562</v>
      </c>
      <c r="N64" s="10" t="str">
        <f t="shared" ca="1" si="2"/>
        <v>Shift S2</v>
      </c>
      <c r="O64" s="51" t="str">
        <f>IF(B64="","", IF(IFERROR(ISNUMBER(SEARCH(B64, VLOOKUP(E64, Machine_List!$B:$J, 9, 0))), FALSE()), "✅ Machine OK", "❌ Sug: " &amp; IFERROR(INDEX(Machine_List!$B$4:$B$50, MATCH("*"&amp;B64&amp;"*", Machine_List!$J$4:$J$50, 0)), "Check Limits")))</f>
        <v>✅ Machine OK</v>
      </c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2"/>
      <c r="AJ64" s="52"/>
      <c r="AK64" s="52"/>
      <c r="AL64" s="52"/>
      <c r="AM64" s="52"/>
      <c r="AN64" s="52"/>
      <c r="AO64" s="52"/>
      <c r="AP64" s="52"/>
      <c r="AQ64" s="52"/>
      <c r="AR64" s="52"/>
      <c r="AS64" s="52"/>
      <c r="AT64" s="52"/>
      <c r="AU64" s="52"/>
      <c r="AV64" s="52"/>
      <c r="AW64" s="52"/>
      <c r="AX64" s="52"/>
      <c r="AY64" s="52"/>
      <c r="AZ64" s="52"/>
      <c r="BA64" s="52"/>
      <c r="BB64" s="52"/>
      <c r="BC64" s="52"/>
      <c r="BD64" s="52"/>
      <c r="BE64" s="52"/>
      <c r="BF64" s="52"/>
      <c r="BG64" s="52"/>
      <c r="BH64" s="52"/>
      <c r="BI64" s="52"/>
      <c r="BJ64" s="52"/>
      <c r="BK64" s="52"/>
      <c r="BL64" s="52"/>
      <c r="BM64" s="52"/>
    </row>
    <row r="65" spans="1:65" ht="28.8" customHeight="1" x14ac:dyDescent="0.3">
      <c r="A65" s="10" t="str">
        <f>IF(Job_Master!A65="","",Job_Master!A65)</f>
        <v>BJ-163</v>
      </c>
      <c r="B65" s="10">
        <f>IF($A65="","",Job_Master!B65)</f>
        <v>70</v>
      </c>
      <c r="C65" s="10" t="str">
        <f>IF($A65="","",Job_Master!C65)</f>
        <v>SOL</v>
      </c>
      <c r="D65" s="10">
        <f>IF($A65="","",Job_Master!D65)</f>
        <v>4</v>
      </c>
      <c r="E65" s="10" t="str">
        <f>IF($A65="","","VENT-MC-05")</f>
        <v>VENT-MC-05</v>
      </c>
      <c r="F65" s="106" t="str">
        <f>IF($E65="","",IFERROR(VLOOKUP($E65,Machine_List!$B:$G,6,0),""))</f>
        <v>Contract Workman</v>
      </c>
      <c r="G65" s="53">
        <f>IF($E65="","",IFERROR(VLOOKUP($E65,Machine_List!$B:$C,2,0),""))</f>
        <v>46394</v>
      </c>
      <c r="H65" s="10">
        <f>IF($E65="","",IFERROR(VLOOKUP($E65,Machine_List!$B:$D,3,0),""))</f>
        <v>6</v>
      </c>
      <c r="I65" s="54"/>
      <c r="J65" s="55">
        <f ca="1">IF($A65="","",IF($I65&lt;&gt;"",$I65,MAX(ENG_Plan!$M65,IFERROR(LOOKUP(2,1/($E$3:INDIRECT("E"&amp;(ROW()-1))=$E65),$M$3:INDIRECT("M"&amp;(ROW()-1))),ENG_Plan!$M65))))</f>
        <v>46267.550925925912</v>
      </c>
      <c r="K65" s="10">
        <f>IF($A65="","",IFERROR(VLOOKUP(B65,CHOOSE(MATCH(C65,Settings!$L$4:$L$10,0),OPR_2P!$A$4:$I$18,SEG_6P!$A$4:$I$18,SOL_4P!$A$4:$I$18,RW_2P!$A$4:$I$18,RW2_4P!$A$4:$I$18,FLAP_4P!$A$4:$I$18,TUBE_4P!$A$4:$I$18),6,0),0))</f>
        <v>86</v>
      </c>
      <c r="L65" s="10">
        <f t="shared" si="0"/>
        <v>344</v>
      </c>
      <c r="M65" s="55">
        <f ca="1">IF($A65="","",IF(AND(ISNUMBER(G65),G65&gt;=J65,G65&lt;=(J65+(L65/(IF(F65="Contract Workman",Settings!$K$5,Settings!$K$4))))),J65+(L65/(IF(F65="Contract Workman",Settings!$K$5,Settings!$K$4)))+(H65/(IF(F65="Contract Workman",Settings!$K$5,Settings!$K$4))),J65+(L65/(IF(F65="Contract Workman",Settings!$K$5,Settings!$K$4)))))</f>
        <v>46282.908068783057</v>
      </c>
      <c r="N65" s="10" t="str">
        <f t="shared" ca="1" si="2"/>
        <v>Shift S2</v>
      </c>
      <c r="O65" s="51" t="str">
        <f>IF(B65="","", IF(IFERROR(ISNUMBER(SEARCH(B65, VLOOKUP(E65, Machine_List!$B:$J, 9, 0))), FALSE()), "✅ Machine OK", "❌ Sug: " &amp; IFERROR(INDEX(Machine_List!$B$4:$B$50, MATCH("*"&amp;B65&amp;"*", Machine_List!$J$4:$J$50, 0)), "Check Limits")))</f>
        <v>✅ Machine OK</v>
      </c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52"/>
      <c r="AG65" s="52"/>
      <c r="AH65" s="52"/>
      <c r="AI65" s="52"/>
      <c r="AJ65" s="52"/>
      <c r="AK65" s="52"/>
      <c r="AL65" s="52"/>
      <c r="AM65" s="52"/>
      <c r="AN65" s="52"/>
      <c r="AO65" s="52"/>
      <c r="AP65" s="52"/>
      <c r="AQ65" s="52"/>
      <c r="AR65" s="52"/>
      <c r="AS65" s="52"/>
      <c r="AT65" s="52"/>
      <c r="AU65" s="52"/>
      <c r="AV65" s="52"/>
      <c r="AW65" s="52"/>
      <c r="AX65" s="52"/>
      <c r="AY65" s="52"/>
      <c r="AZ65" s="52"/>
      <c r="BA65" s="52"/>
      <c r="BB65" s="52"/>
      <c r="BC65" s="52"/>
      <c r="BD65" s="52"/>
      <c r="BE65" s="52"/>
      <c r="BF65" s="52"/>
      <c r="BG65" s="52"/>
      <c r="BH65" s="52"/>
      <c r="BI65" s="52"/>
      <c r="BJ65" s="52"/>
      <c r="BK65" s="52"/>
      <c r="BL65" s="52"/>
      <c r="BM65" s="52"/>
    </row>
    <row r="66" spans="1:65" ht="28.8" customHeight="1" x14ac:dyDescent="0.3">
      <c r="A66" s="10" t="str">
        <f>IF(Job_Master!A66="","",Job_Master!A66)</f>
        <v>BJ-164</v>
      </c>
      <c r="B66" s="10">
        <f>IF($A66="","",Job_Master!B66)</f>
        <v>42</v>
      </c>
      <c r="C66" s="10" t="str">
        <f>IF($A66="","",Job_Master!C66)</f>
        <v>SOL</v>
      </c>
      <c r="D66" s="10">
        <f>IF($A66="","",Job_Master!D66)</f>
        <v>4</v>
      </c>
      <c r="E66" s="10" t="str">
        <f>IF($A66="","","VENT-MC-06")</f>
        <v>VENT-MC-06</v>
      </c>
      <c r="F66" s="106" t="str">
        <f>IF($E66="","",IFERROR(VLOOKUP($E66,Machine_List!$B:$G,6,0),""))</f>
        <v>Contract Workman</v>
      </c>
      <c r="G66" s="53">
        <f>IF($E66="","",IFERROR(VLOOKUP($E66,Machine_List!$B:$C,2,0),""))</f>
        <v>46347</v>
      </c>
      <c r="H66" s="10">
        <f>IF($E66="","",IFERROR(VLOOKUP($E66,Machine_List!$B:$D,3,0),""))</f>
        <v>6</v>
      </c>
      <c r="I66" s="54"/>
      <c r="J66" s="55">
        <f ca="1">IF($A66="","",IF($I66&lt;&gt;"",$I66,MAX(ENG_Plan!$M66,IFERROR(LOOKUP(2,1/($E$3:INDIRECT("E"&amp;(ROW()-1))=$E66),$M$3:INDIRECT("M"&amp;(ROW()-1))),ENG_Plan!$M66))))</f>
        <v>46236.105820105811</v>
      </c>
      <c r="K66" s="10">
        <f>IF($A66="","",IFERROR(VLOOKUP(B66,CHOOSE(MATCH(C66,Settings!$L$4:$L$10,0),OPR_2P!$A$4:$I$18,SEG_6P!$A$4:$I$18,SOL_4P!$A$4:$I$18,RW_2P!$A$4:$I$18,RW2_4P!$A$4:$I$18,FLAP_4P!$A$4:$I$18,TUBE_4P!$A$4:$I$18),6,0),0))</f>
        <v>37</v>
      </c>
      <c r="L66" s="10">
        <f t="shared" si="0"/>
        <v>148</v>
      </c>
      <c r="M66" s="55">
        <f ca="1">IF($A66="","",IF(AND(ISNUMBER(G66),G66&gt;=J66,G66&lt;=(J66+(L66/(IF(F66="Contract Workman",Settings!$K$5,Settings!$K$4))))),J66+(L66/(IF(F66="Contract Workman",Settings!$K$5,Settings!$K$4)))+(H66/(IF(F66="Contract Workman",Settings!$K$5,Settings!$K$4))),J66+(L66/(IF(F66="Contract Workman",Settings!$K$5,Settings!$K$4)))))</f>
        <v>46242.712962962956</v>
      </c>
      <c r="N66" s="10" t="str">
        <f t="shared" ca="1" si="2"/>
        <v>Shift S1</v>
      </c>
      <c r="O66" s="51" t="str">
        <f>IF(B66="","", IF(IFERROR(ISNUMBER(SEARCH(B66, VLOOKUP(E66, Machine_List!$B:$J, 9, 0))), FALSE()), "✅ Machine OK", "❌ Sug: " &amp; IFERROR(INDEX(Machine_List!$B$4:$B$50, MATCH("*"&amp;B66&amp;"*", Machine_List!$J$4:$J$50, 0)), "Check Limits")))</f>
        <v>✅ Machine OK</v>
      </c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2"/>
      <c r="AJ66" s="52"/>
      <c r="AK66" s="52"/>
      <c r="AL66" s="52"/>
      <c r="AM66" s="52"/>
      <c r="AN66" s="52"/>
      <c r="AO66" s="52"/>
      <c r="AP66" s="52"/>
      <c r="AQ66" s="52"/>
      <c r="AR66" s="52"/>
      <c r="AS66" s="52"/>
      <c r="AT66" s="52"/>
      <c r="AU66" s="52"/>
      <c r="AV66" s="52"/>
      <c r="AW66" s="52"/>
      <c r="AX66" s="52"/>
      <c r="AY66" s="52"/>
      <c r="AZ66" s="52"/>
      <c r="BA66" s="52"/>
      <c r="BB66" s="52"/>
      <c r="BC66" s="52"/>
      <c r="BD66" s="52"/>
      <c r="BE66" s="52"/>
      <c r="BF66" s="52"/>
      <c r="BG66" s="52"/>
      <c r="BH66" s="52"/>
      <c r="BI66" s="52"/>
      <c r="BJ66" s="52"/>
      <c r="BK66" s="52"/>
      <c r="BL66" s="52"/>
      <c r="BM66" s="52"/>
    </row>
    <row r="67" spans="1:65" ht="28.8" customHeight="1" x14ac:dyDescent="0.3">
      <c r="A67" s="10" t="str">
        <f>IF(Job_Master!A67="","",Job_Master!A67)</f>
        <v>BJ-168</v>
      </c>
      <c r="B67" s="10">
        <f>IF($A67="","",Job_Master!B67)</f>
        <v>20</v>
      </c>
      <c r="C67" s="10" t="str">
        <f>IF($A67="","",Job_Master!C67)</f>
        <v>2P</v>
      </c>
      <c r="D67" s="10">
        <f>IF($A67="","",Job_Master!D67)</f>
        <v>2</v>
      </c>
      <c r="E67" s="10" t="str">
        <f>IF($A67="","","VENT-MC-01")</f>
        <v>VENT-MC-01</v>
      </c>
      <c r="F67" s="106" t="str">
        <f>IF($E67="","",IFERROR(VLOOKUP($E67,Machine_List!$B:$G,6,0),""))</f>
        <v>Contract Workman</v>
      </c>
      <c r="G67" s="53">
        <f>IF($E67="","",IFERROR(VLOOKUP($E67,Machine_List!$B:$C,2,0),""))</f>
        <v>46230</v>
      </c>
      <c r="H67" s="10">
        <f>IF($E67="","",IFERROR(VLOOKUP($E67,Machine_List!$B:$D,3,0),""))</f>
        <v>6</v>
      </c>
      <c r="I67" s="54"/>
      <c r="J67" s="55">
        <f ca="1">IF($A67="","",IF($I67&lt;&gt;"",$I67,MAX(ENG_Plan!$M67,IFERROR(LOOKUP(2,1/($E$3:INDIRECT("E"&amp;(ROW()-1))=$E67),$M$3:INDIRECT("M"&amp;(ROW()-1))),ENG_Plan!$M67))))</f>
        <v>46186.71759259262</v>
      </c>
      <c r="K67" s="10">
        <f>IF($A67="","",IFERROR(VLOOKUP(B67,CHOOSE(MATCH(C67,Settings!$L$4:$L$10,0),OPR_2P!$A$4:$I$18,SEG_6P!$A$4:$I$18,SOL_4P!$A$4:$I$18,RW_2P!$A$4:$I$18,RW2_4P!$A$4:$I$18,FLAP_4P!$A$4:$I$18,TUBE_4P!$A$4:$I$18),6,0),0))</f>
        <v>18</v>
      </c>
      <c r="L67" s="10">
        <f t="shared" si="0"/>
        <v>36</v>
      </c>
      <c r="M67" s="55">
        <f ca="1">IF($A67="","",IF(AND(ISNUMBER(G67),G67&gt;=J67,G67&lt;=(J67+(L67/(IF(F67="Contract Workman",Settings!$K$5,Settings!$K$4))))),J67+(L67/(IF(F67="Contract Workman",Settings!$K$5,Settings!$K$4)))+(H67/(IF(F67="Contract Workman",Settings!$K$5,Settings!$K$4))),J67+(L67/(IF(F67="Contract Workman",Settings!$K$5,Settings!$K$4)))))</f>
        <v>46188.324735449765</v>
      </c>
      <c r="N67" s="10" t="str">
        <f t="shared" ca="1" si="2"/>
        <v>Shift S2</v>
      </c>
      <c r="O67" s="51" t="str">
        <f>IF(B67="","", IF(IFERROR(ISNUMBER(SEARCH(B67, VLOOKUP(E67, Machine_List!$B:$J, 9, 0))), FALSE()), "✅ Machine OK", "❌ Sug: " &amp; IFERROR(INDEX(Machine_List!$B$4:$B$50, MATCH("*"&amp;B67&amp;"*", Machine_List!$J$4:$J$50, 0)), "Check Limits")))</f>
        <v>✅ Machine OK</v>
      </c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52"/>
      <c r="AG67" s="52"/>
      <c r="AH67" s="52"/>
      <c r="AI67" s="52"/>
      <c r="AJ67" s="52"/>
      <c r="AK67" s="52"/>
      <c r="AL67" s="52"/>
      <c r="AM67" s="52"/>
      <c r="AN67" s="52"/>
      <c r="AO67" s="52"/>
      <c r="AP67" s="52"/>
      <c r="AQ67" s="52"/>
      <c r="AR67" s="52"/>
      <c r="AS67" s="52"/>
      <c r="AT67" s="52"/>
      <c r="AU67" s="52"/>
      <c r="AV67" s="52"/>
      <c r="AW67" s="52"/>
      <c r="AX67" s="52"/>
      <c r="AY67" s="52"/>
      <c r="AZ67" s="52"/>
      <c r="BA67" s="52"/>
      <c r="BB67" s="52"/>
      <c r="BC67" s="52"/>
      <c r="BD67" s="52"/>
      <c r="BE67" s="52"/>
      <c r="BF67" s="52"/>
      <c r="BG67" s="52"/>
      <c r="BH67" s="52"/>
      <c r="BI67" s="52"/>
      <c r="BJ67" s="52"/>
      <c r="BK67" s="52"/>
      <c r="BL67" s="52"/>
      <c r="BM67" s="52"/>
    </row>
    <row r="68" spans="1:65" ht="28.8" customHeight="1" x14ac:dyDescent="0.3">
      <c r="A68" s="10" t="str">
        <f>IF(Job_Master!A68="","",Job_Master!A68)</f>
        <v>BJ-155</v>
      </c>
      <c r="B68" s="10">
        <f>IF($A68="","",Job_Master!B68)</f>
        <v>17</v>
      </c>
      <c r="C68" s="10" t="str">
        <f>IF($A68="","",Job_Master!C68)</f>
        <v>RW</v>
      </c>
      <c r="D68" s="10">
        <f>IF($A68="","",Job_Master!D68)</f>
        <v>2</v>
      </c>
      <c r="E68" s="10" t="str">
        <f>IF($A68="","","VENT-MC-01")</f>
        <v>VENT-MC-01</v>
      </c>
      <c r="F68" s="106" t="str">
        <f>IF($E68="","",IFERROR(VLOOKUP($E68,Machine_List!$B:$G,6,0),""))</f>
        <v>Contract Workman</v>
      </c>
      <c r="G68" s="53">
        <f>IF($E68="","",IFERROR(VLOOKUP($E68,Machine_List!$B:$C,2,0),""))</f>
        <v>46230</v>
      </c>
      <c r="H68" s="10">
        <f>IF($E68="","",IFERROR(VLOOKUP($E68,Machine_List!$B:$D,3,0),""))</f>
        <v>6</v>
      </c>
      <c r="I68" s="54"/>
      <c r="J68" s="55">
        <f ca="1">IF($A68="","",IF($I68&lt;&gt;"",$I68,MAX(ENG_Plan!$M68,IFERROR(LOOKUP(2,1/($E$3:INDIRECT("E"&amp;(ROW()-1))=$E68),$M$3:INDIRECT("M"&amp;(ROW()-1))),ENG_Plan!$M68))))</f>
        <v>46188.324735449765</v>
      </c>
      <c r="K68" s="10">
        <f>IF($A68="","",IFERROR(VLOOKUP(B68,CHOOSE(MATCH(C68,Settings!$L$4:$L$10,0),OPR_2P!$A$4:$I$18,SEG_6P!$A$4:$I$18,SOL_4P!$A$4:$I$18,RW_2P!$A$4:$I$18,RW2_4P!$A$4:$I$18,FLAP_4P!$A$4:$I$18,TUBE_4P!$A$4:$I$18),6,0),0))</f>
        <v>19</v>
      </c>
      <c r="L68" s="10">
        <f t="shared" ref="L68:L131" si="3">IF($A68="","",K68*D68)</f>
        <v>38</v>
      </c>
      <c r="M68" s="55">
        <f ca="1">IF($A68="","",IF(AND(ISNUMBER(G68),G68&gt;=J68,G68&lt;=(J68+(L68/(IF(F68="Contract Workman",Settings!$K$5,Settings!$K$4))))),J68+(L68/(IF(F68="Contract Workman",Settings!$K$5,Settings!$K$4)))+(H68/(IF(F68="Contract Workman",Settings!$K$5,Settings!$K$4))),J68+(L68/(IF(F68="Contract Workman",Settings!$K$5,Settings!$K$4)))))</f>
        <v>46190.021164021193</v>
      </c>
      <c r="N68" s="10" t="str">
        <f t="shared" ref="N68:N99" ca="1" si="4">IF($A68="","",IF(F68="Contract Workman",IF(AND(MOD(M68,1)&gt;=8/24,MOD(M68,1)&lt;20/24),"Shift S1","Shift S2"),IF(AND(MOD(M68,1)&gt;=7/24,MOD(M68,1)&lt;15/24),"Shift A",IF(AND(MOD(M68,1)&gt;=15/24,MOD(M68,1)&lt;23/24),"Shift B","Shift C"))))</f>
        <v>Shift S2</v>
      </c>
      <c r="O68" s="51" t="str">
        <f>IF(B68="","", IF(IFERROR(ISNUMBER(SEARCH(B68, VLOOKUP(E68, Machine_List!$B:$J, 9, 0))), FALSE()), "✅ Machine OK", "❌ Sug: " &amp; IFERROR(INDEX(Machine_List!$B$4:$B$50, MATCH("*"&amp;B68&amp;"*", Machine_List!$J$4:$J$50, 0)), "Check Limits")))</f>
        <v>✅ Machine OK</v>
      </c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2"/>
      <c r="AJ68" s="52"/>
      <c r="AK68" s="52"/>
      <c r="AL68" s="52"/>
      <c r="AM68" s="52"/>
      <c r="AN68" s="52"/>
      <c r="AO68" s="52"/>
      <c r="AP68" s="52"/>
      <c r="AQ68" s="52"/>
      <c r="AR68" s="52"/>
      <c r="AS68" s="52"/>
      <c r="AT68" s="52"/>
      <c r="AU68" s="52"/>
      <c r="AV68" s="52"/>
      <c r="AW68" s="52"/>
      <c r="AX68" s="52"/>
      <c r="AY68" s="52"/>
      <c r="AZ68" s="52"/>
      <c r="BA68" s="52"/>
      <c r="BB68" s="52"/>
      <c r="BC68" s="52"/>
      <c r="BD68" s="52"/>
      <c r="BE68" s="52"/>
      <c r="BF68" s="52"/>
      <c r="BG68" s="52"/>
      <c r="BH68" s="52"/>
      <c r="BI68" s="52"/>
      <c r="BJ68" s="52"/>
      <c r="BK68" s="52"/>
      <c r="BL68" s="52"/>
      <c r="BM68" s="52"/>
    </row>
    <row r="69" spans="1:65" ht="28.8" customHeight="1" x14ac:dyDescent="0.3">
      <c r="A69" s="10" t="str">
        <f>IF(Job_Master!A69="","",Job_Master!A69)</f>
        <v>BJ-167</v>
      </c>
      <c r="B69" s="10">
        <f>IF($A69="","",Job_Master!B69)</f>
        <v>54</v>
      </c>
      <c r="C69" s="10" t="str">
        <f>IF($A69="","",Job_Master!C69)</f>
        <v>2P</v>
      </c>
      <c r="D69" s="10">
        <f>IF($A69="","",Job_Master!D69)</f>
        <v>2</v>
      </c>
      <c r="E69" s="10" t="str">
        <f>IF($A69="","","VENT-MC-06")</f>
        <v>VENT-MC-06</v>
      </c>
      <c r="F69" s="106" t="str">
        <f>IF($E69="","",IFERROR(VLOOKUP($E69,Machine_List!$B:$G,6,0),""))</f>
        <v>Contract Workman</v>
      </c>
      <c r="G69" s="53">
        <f>IF($E69="","",IFERROR(VLOOKUP($E69,Machine_List!$B:$C,2,0),""))</f>
        <v>46347</v>
      </c>
      <c r="H69" s="10">
        <f>IF($E69="","",IFERROR(VLOOKUP($E69,Machine_List!$B:$D,3,0),""))</f>
        <v>6</v>
      </c>
      <c r="I69" s="54"/>
      <c r="J69" s="55">
        <f ca="1">IF($A69="","",IF($I69&lt;&gt;"",$I69,MAX(ENG_Plan!$M69,IFERROR(LOOKUP(2,1/($E$3:INDIRECT("E"&amp;(ROW()-1))=$E69),$M$3:INDIRECT("M"&amp;(ROW()-1))),ENG_Plan!$M69))))</f>
        <v>46244.680555555547</v>
      </c>
      <c r="K69" s="10">
        <f>IF($A69="","",IFERROR(VLOOKUP(B69,CHOOSE(MATCH(C69,Settings!$L$4:$L$10,0),OPR_2P!$A$4:$I$18,SEG_6P!$A$4:$I$18,SOL_4P!$A$4:$I$18,RW_2P!$A$4:$I$18,RW2_4P!$A$4:$I$18,FLAP_4P!$A$4:$I$18,TUBE_4P!$A$4:$I$18),6,0),0))</f>
        <v>57</v>
      </c>
      <c r="L69" s="10">
        <f t="shared" si="3"/>
        <v>114</v>
      </c>
      <c r="M69" s="55">
        <f ca="1">IF($A69="","",IF(AND(ISNUMBER(G69),G69&gt;=J69,G69&lt;=(J69+(L69/(IF(F69="Contract Workman",Settings!$K$5,Settings!$K$4))))),J69+(L69/(IF(F69="Contract Workman",Settings!$K$5,Settings!$K$4)))+(H69/(IF(F69="Contract Workman",Settings!$K$5,Settings!$K$4))),J69+(L69/(IF(F69="Contract Workman",Settings!$K$5,Settings!$K$4)))))</f>
        <v>46249.76984126983</v>
      </c>
      <c r="N69" s="10" t="str">
        <f t="shared" ca="1" si="4"/>
        <v>Shift S1</v>
      </c>
      <c r="O69" s="51" t="str">
        <f>IF(B69="","", IF(IFERROR(ISNUMBER(SEARCH(B69, VLOOKUP(E69, Machine_List!$B:$J, 9, 0))), FALSE()), "✅ Machine OK", "❌ Sug: " &amp; IFERROR(INDEX(Machine_List!$B$4:$B$50, MATCH("*"&amp;B69&amp;"*", Machine_List!$J$4:$J$50, 0)), "Check Limits")))</f>
        <v>✅ Machine OK</v>
      </c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  <c r="AK69" s="52"/>
      <c r="AL69" s="52"/>
      <c r="AM69" s="52"/>
      <c r="AN69" s="52"/>
      <c r="AO69" s="52"/>
      <c r="AP69" s="52"/>
      <c r="AQ69" s="52"/>
      <c r="AR69" s="52"/>
      <c r="AS69" s="52"/>
      <c r="AT69" s="52"/>
      <c r="AU69" s="52"/>
      <c r="AV69" s="52"/>
      <c r="AW69" s="52"/>
      <c r="AX69" s="52"/>
      <c r="AY69" s="52"/>
      <c r="AZ69" s="52"/>
      <c r="BA69" s="52"/>
      <c r="BB69" s="52"/>
      <c r="BC69" s="52"/>
      <c r="BD69" s="52"/>
      <c r="BE69" s="52"/>
      <c r="BF69" s="52"/>
      <c r="BG69" s="52"/>
      <c r="BH69" s="52"/>
      <c r="BI69" s="52"/>
      <c r="BJ69" s="52"/>
      <c r="BK69" s="52"/>
      <c r="BL69" s="52"/>
      <c r="BM69" s="52"/>
    </row>
    <row r="70" spans="1:65" ht="28.8" customHeight="1" x14ac:dyDescent="0.3">
      <c r="A70" s="10" t="str">
        <f>IF(Job_Master!A70="","",Job_Master!A70)</f>
        <v>BJ-166</v>
      </c>
      <c r="B70" s="10">
        <f>IF($A70="","",Job_Master!B70)</f>
        <v>50</v>
      </c>
      <c r="C70" s="10" t="str">
        <f>IF($A70="","",Job_Master!C70)</f>
        <v>SOL</v>
      </c>
      <c r="D70" s="10">
        <f>IF($A70="","",Job_Master!D70)</f>
        <v>4</v>
      </c>
      <c r="E70" s="10" t="str">
        <f>IF($A70="","","VENT-MC-06")</f>
        <v>VENT-MC-06</v>
      </c>
      <c r="F70" s="106" t="str">
        <f>IF($E70="","",IFERROR(VLOOKUP($E70,Machine_List!$B:$G,6,0),""))</f>
        <v>Contract Workman</v>
      </c>
      <c r="G70" s="53">
        <f>IF($E70="","",IFERROR(VLOOKUP($E70,Machine_List!$B:$C,2,0),""))</f>
        <v>46347</v>
      </c>
      <c r="H70" s="10">
        <f>IF($E70="","",IFERROR(VLOOKUP($E70,Machine_List!$B:$D,3,0),""))</f>
        <v>6</v>
      </c>
      <c r="I70" s="54"/>
      <c r="J70" s="55">
        <f ca="1">IF($A70="","",IF($I70&lt;&gt;"",$I70,MAX(ENG_Plan!$M70,IFERROR(LOOKUP(2,1/($E$3:INDIRECT("E"&amp;(ROW()-1))=$E70),$M$3:INDIRECT("M"&amp;(ROW()-1))),ENG_Plan!$M70))))</f>
        <v>46282.180555555547</v>
      </c>
      <c r="K70" s="10">
        <f>IF($A70="","",IFERROR(VLOOKUP(B70,CHOOSE(MATCH(C70,Settings!$L$4:$L$10,0),OPR_2P!$A$4:$I$18,SEG_6P!$A$4:$I$18,SOL_4P!$A$4:$I$18,RW_2P!$A$4:$I$18,RW2_4P!$A$4:$I$18,FLAP_4P!$A$4:$I$18,TUBE_4P!$A$4:$I$18),6,0),0))</f>
        <v>53</v>
      </c>
      <c r="L70" s="10">
        <f t="shared" si="3"/>
        <v>212</v>
      </c>
      <c r="M70" s="55">
        <f ca="1">IF($A70="","",IF(AND(ISNUMBER(G70),G70&gt;=J70,G70&lt;=(J70+(L70/(IF(F70="Contract Workman",Settings!$K$5,Settings!$K$4))))),J70+(L70/(IF(F70="Contract Workman",Settings!$K$5,Settings!$K$4)))+(H70/(IF(F70="Contract Workman",Settings!$K$5,Settings!$K$4))),J70+(L70/(IF(F70="Contract Workman",Settings!$K$5,Settings!$K$4)))))</f>
        <v>46291.64484126983</v>
      </c>
      <c r="N70" s="10" t="str">
        <f t="shared" ca="1" si="4"/>
        <v>Shift S1</v>
      </c>
      <c r="O70" s="51" t="str">
        <f>IF(B70="","", IF(IFERROR(ISNUMBER(SEARCH(B70, VLOOKUP(E70, Machine_List!$B:$J, 9, 0))), FALSE()), "✅ Machine OK", "❌ Sug: " &amp; IFERROR(INDEX(Machine_List!$B$4:$B$50, MATCH("*"&amp;B70&amp;"*", Machine_List!$J$4:$J$50, 0)), "Check Limits")))</f>
        <v>✅ Machine OK</v>
      </c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52"/>
      <c r="AJ70" s="52"/>
      <c r="AK70" s="52"/>
      <c r="AL70" s="52"/>
      <c r="AM70" s="52"/>
      <c r="AN70" s="52"/>
      <c r="AO70" s="52"/>
      <c r="AP70" s="52"/>
      <c r="AQ70" s="52"/>
      <c r="AR70" s="52"/>
      <c r="AS70" s="52"/>
      <c r="AT70" s="52"/>
      <c r="AU70" s="52"/>
      <c r="AV70" s="52"/>
      <c r="AW70" s="52"/>
      <c r="AX70" s="52"/>
      <c r="AY70" s="52"/>
      <c r="AZ70" s="52"/>
      <c r="BA70" s="52"/>
      <c r="BB70" s="52"/>
      <c r="BC70" s="52"/>
      <c r="BD70" s="52"/>
      <c r="BE70" s="52"/>
      <c r="BF70" s="52"/>
      <c r="BG70" s="52"/>
      <c r="BH70" s="52"/>
      <c r="BI70" s="52"/>
      <c r="BJ70" s="52"/>
      <c r="BK70" s="52"/>
      <c r="BL70" s="52"/>
      <c r="BM70" s="52"/>
    </row>
    <row r="71" spans="1:65" ht="28.8" customHeight="1" x14ac:dyDescent="0.3">
      <c r="A71" s="10" t="str">
        <f>IF(Job_Master!A71="","",Job_Master!A71)</f>
        <v>BJ-162</v>
      </c>
      <c r="B71" s="10">
        <f>IF($A71="","",Job_Master!B71)</f>
        <v>17</v>
      </c>
      <c r="C71" s="10" t="str">
        <f>IF($A71="","",Job_Master!C71)</f>
        <v>SOL</v>
      </c>
      <c r="D71" s="10">
        <f>IF($A71="","",Job_Master!D71)</f>
        <v>4</v>
      </c>
      <c r="E71" s="10" t="str">
        <f>IF($A71="","","VENT-MC-01")</f>
        <v>VENT-MC-01</v>
      </c>
      <c r="F71" s="106" t="str">
        <f>IF($E71="","",IFERROR(VLOOKUP($E71,Machine_List!$B:$G,6,0),""))</f>
        <v>Contract Workman</v>
      </c>
      <c r="G71" s="53">
        <f>IF($E71="","",IFERROR(VLOOKUP($E71,Machine_List!$B:$C,2,0),""))</f>
        <v>46230</v>
      </c>
      <c r="H71" s="10">
        <f>IF($E71="","",IFERROR(VLOOKUP($E71,Machine_List!$B:$D,3,0),""))</f>
        <v>6</v>
      </c>
      <c r="I71" s="54"/>
      <c r="J71" s="55">
        <f ca="1">IF($A71="","",IF($I71&lt;&gt;"",$I71,MAX(ENG_Plan!$M71,IFERROR(LOOKUP(2,1/($E$3:INDIRECT("E"&amp;(ROW()-1))=$E71),$M$3:INDIRECT("M"&amp;(ROW()-1))),ENG_Plan!$M71))))</f>
        <v>46192.458333333358</v>
      </c>
      <c r="K71" s="10">
        <f>IF($A71="","",IFERROR(VLOOKUP(B71,CHOOSE(MATCH(C71,Settings!$L$4:$L$10,0),OPR_2P!$A$4:$I$18,SEG_6P!$A$4:$I$18,SOL_4P!$A$4:$I$18,RW_2P!$A$4:$I$18,RW2_4P!$A$4:$I$18,FLAP_4P!$A$4:$I$18,TUBE_4P!$A$4:$I$18),6,0),0))</f>
        <v>15</v>
      </c>
      <c r="L71" s="10">
        <f t="shared" si="3"/>
        <v>60</v>
      </c>
      <c r="M71" s="55">
        <f ca="1">IF($A71="","",IF(AND(ISNUMBER(G71),G71&gt;=J71,G71&lt;=(J71+(L71/(IF(F71="Contract Workman",Settings!$K$5,Settings!$K$4))))),J71+(L71/(IF(F71="Contract Workman",Settings!$K$5,Settings!$K$4)))+(H71/(IF(F71="Contract Workman",Settings!$K$5,Settings!$K$4))),J71+(L71/(IF(F71="Contract Workman",Settings!$K$5,Settings!$K$4)))))</f>
        <v>46195.13690476193</v>
      </c>
      <c r="N71" s="10" t="str">
        <f t="shared" ca="1" si="4"/>
        <v>Shift S2</v>
      </c>
      <c r="O71" s="51" t="str">
        <f>IF(B71="","", IF(IFERROR(ISNUMBER(SEARCH(B71, VLOOKUP(E71, Machine_List!$B:$J, 9, 0))), FALSE()), "✅ Machine OK", "❌ Sug: " &amp; IFERROR(INDEX(Machine_List!$B$4:$B$50, MATCH("*"&amp;B71&amp;"*", Machine_List!$J$4:$J$50, 0)), "Check Limits")))</f>
        <v>✅ Machine OK</v>
      </c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  <c r="AH71" s="52"/>
      <c r="AI71" s="52"/>
      <c r="AJ71" s="52"/>
      <c r="AK71" s="52"/>
      <c r="AL71" s="52"/>
      <c r="AM71" s="52"/>
      <c r="AN71" s="52"/>
      <c r="AO71" s="52"/>
      <c r="AP71" s="52"/>
      <c r="AQ71" s="52"/>
      <c r="AR71" s="52"/>
      <c r="AS71" s="52"/>
      <c r="AT71" s="52"/>
      <c r="AU71" s="52"/>
      <c r="AV71" s="52"/>
      <c r="AW71" s="52"/>
      <c r="AX71" s="52"/>
      <c r="AY71" s="52"/>
      <c r="AZ71" s="52"/>
      <c r="BA71" s="52"/>
      <c r="BB71" s="52"/>
      <c r="BC71" s="52"/>
      <c r="BD71" s="52"/>
      <c r="BE71" s="52"/>
      <c r="BF71" s="52"/>
      <c r="BG71" s="52"/>
      <c r="BH71" s="52"/>
      <c r="BI71" s="52"/>
      <c r="BJ71" s="52"/>
      <c r="BK71" s="52"/>
      <c r="BL71" s="52"/>
      <c r="BM71" s="52"/>
    </row>
    <row r="72" spans="1:65" ht="28.8" customHeight="1" x14ac:dyDescent="0.3">
      <c r="A72" s="10" t="str">
        <f>IF(Job_Master!A72="","",Job_Master!A72)</f>
        <v>BJ-165</v>
      </c>
      <c r="B72" s="10">
        <f>IF($A72="","",Job_Master!B72)</f>
        <v>17</v>
      </c>
      <c r="C72" s="10" t="str">
        <f>IF($A72="","",Job_Master!C72)</f>
        <v>2P</v>
      </c>
      <c r="D72" s="10">
        <f>IF($A72="","",Job_Master!D72)</f>
        <v>2</v>
      </c>
      <c r="E72" s="10" t="str">
        <f>IF($A72="","","VENT-MC-02")</f>
        <v>VENT-MC-02</v>
      </c>
      <c r="F72" s="106" t="str">
        <f>IF($E72="","",IFERROR(VLOOKUP($E72,Machine_List!$B:$G,6,0),""))</f>
        <v>Contract Workman</v>
      </c>
      <c r="G72" s="53">
        <f>IF($E72="","",IFERROR(VLOOKUP($E72,Machine_List!$B:$C,2,0),""))</f>
        <v>46191</v>
      </c>
      <c r="H72" s="10">
        <f>IF($E72="","",IFERROR(VLOOKUP($E72,Machine_List!$B:$D,3,0),""))</f>
        <v>6</v>
      </c>
      <c r="I72" s="54"/>
      <c r="J72" s="55">
        <f ca="1">IF($A72="","",IF($I72&lt;&gt;"",$I72,MAX(ENG_Plan!$M72,IFERROR(LOOKUP(2,1/($E$3:INDIRECT("E"&amp;(ROW()-1))=$E72),$M$3:INDIRECT("M"&amp;(ROW()-1))),ENG_Plan!$M72))))</f>
        <v>46190.421296296321</v>
      </c>
      <c r="K72" s="10">
        <f>IF($A72="","",IFERROR(VLOOKUP(B72,CHOOSE(MATCH(C72,Settings!$L$4:$L$10,0),OPR_2P!$A$4:$I$18,SEG_6P!$A$4:$I$18,SOL_4P!$A$4:$I$18,RW_2P!$A$4:$I$18,RW2_4P!$A$4:$I$18,FLAP_4P!$A$4:$I$18,TUBE_4P!$A$4:$I$18),6,0),0))</f>
        <v>16</v>
      </c>
      <c r="L72" s="10">
        <f t="shared" si="3"/>
        <v>32</v>
      </c>
      <c r="M72" s="55">
        <f ca="1">IF($A72="","",IF(AND(ISNUMBER(G72),G72&gt;=J72,G72&lt;=(J72+(L72/(IF(F72="Contract Workman",Settings!$K$5,Settings!$K$4))))),J72+(L72/(IF(F72="Contract Workman",Settings!$K$5,Settings!$K$4)))+(H72/(IF(F72="Contract Workman",Settings!$K$5,Settings!$K$4))),J72+(L72/(IF(F72="Contract Workman",Settings!$K$5,Settings!$K$4)))))</f>
        <v>46192.117724867749</v>
      </c>
      <c r="N72" s="10" t="str">
        <f t="shared" ca="1" si="4"/>
        <v>Shift S2</v>
      </c>
      <c r="O72" s="51" t="str">
        <f>IF(B72="","", IF(IFERROR(ISNUMBER(SEARCH(B72, VLOOKUP(E72, Machine_List!$B:$J, 9, 0))), FALSE()), "✅ Machine OK", "❌ Sug: " &amp; IFERROR(INDEX(Machine_List!$B$4:$B$50, MATCH("*"&amp;B72&amp;"*", Machine_List!$J$4:$J$50, 0)), "Check Limits")))</f>
        <v>✅ Machine OK</v>
      </c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2"/>
      <c r="AJ72" s="52"/>
      <c r="AK72" s="52"/>
      <c r="AL72" s="52"/>
      <c r="AM72" s="52"/>
      <c r="AN72" s="52"/>
      <c r="AO72" s="52"/>
      <c r="AP72" s="52"/>
      <c r="AQ72" s="52"/>
      <c r="AR72" s="52"/>
      <c r="AS72" s="52"/>
      <c r="AT72" s="52"/>
      <c r="AU72" s="52"/>
      <c r="AV72" s="52"/>
      <c r="AW72" s="52"/>
      <c r="AX72" s="52"/>
      <c r="AY72" s="52"/>
      <c r="AZ72" s="52"/>
      <c r="BA72" s="52"/>
      <c r="BB72" s="52"/>
      <c r="BC72" s="52"/>
      <c r="BD72" s="52"/>
      <c r="BE72" s="52"/>
      <c r="BF72" s="52"/>
      <c r="BG72" s="52"/>
      <c r="BH72" s="52"/>
      <c r="BI72" s="52"/>
      <c r="BJ72" s="52"/>
      <c r="BK72" s="52"/>
      <c r="BL72" s="52"/>
      <c r="BM72" s="52"/>
    </row>
    <row r="73" spans="1:65" ht="28.8" customHeight="1" x14ac:dyDescent="0.3">
      <c r="A73" s="10" t="str">
        <f>IF(Job_Master!A73="","",Job_Master!A73)</f>
        <v>BJ-169</v>
      </c>
      <c r="B73" s="10">
        <f>IF($A73="","",Job_Master!B73)</f>
        <v>17</v>
      </c>
      <c r="C73" s="10" t="str">
        <f>IF($A73="","",Job_Master!C73)</f>
        <v>SEG</v>
      </c>
      <c r="D73" s="10">
        <f>IF($A73="","",Job_Master!D73)</f>
        <v>6</v>
      </c>
      <c r="E73" s="10" t="str">
        <f>IF($A73="","","VENT-MC-01")</f>
        <v>VENT-MC-01</v>
      </c>
      <c r="F73" s="106" t="str">
        <f>IF($E73="","",IFERROR(VLOOKUP($E73,Machine_List!$B:$G,6,0),""))</f>
        <v>Contract Workman</v>
      </c>
      <c r="G73" s="53">
        <f>IF($E73="","",IFERROR(VLOOKUP($E73,Machine_List!$B:$C,2,0),""))</f>
        <v>46230</v>
      </c>
      <c r="H73" s="10">
        <f>IF($E73="","",IFERROR(VLOOKUP($E73,Machine_List!$B:$D,3,0),""))</f>
        <v>6</v>
      </c>
      <c r="I73" s="54"/>
      <c r="J73" s="55">
        <f ca="1">IF($A73="","",IF($I73&lt;&gt;"",$I73,MAX(ENG_Plan!$M73,IFERROR(LOOKUP(2,1/($E$3:INDIRECT("E"&amp;(ROW()-1))=$E73),$M$3:INDIRECT("M"&amp;(ROW()-1))),ENG_Plan!$M73))))</f>
        <v>46204.587962962993</v>
      </c>
      <c r="K73" s="10">
        <f>IF($A73="","",IFERROR(VLOOKUP(B73,CHOOSE(MATCH(C73,Settings!$L$4:$L$10,0),OPR_2P!$A$4:$I$18,SEG_6P!$A$4:$I$18,SOL_4P!$A$4:$I$18,RW_2P!$A$4:$I$18,RW2_4P!$A$4:$I$18,FLAP_4P!$A$4:$I$18,TUBE_4P!$A$4:$I$18),6,0),0))</f>
        <v>19</v>
      </c>
      <c r="L73" s="10">
        <f t="shared" si="3"/>
        <v>114</v>
      </c>
      <c r="M73" s="55">
        <f ca="1">IF($A73="","",IF(AND(ISNUMBER(G73),G73&gt;=J73,G73&lt;=(J73+(L73/(IF(F73="Contract Workman",Settings!$K$5,Settings!$K$4))))),J73+(L73/(IF(F73="Contract Workman",Settings!$K$5,Settings!$K$4)))+(H73/(IF(F73="Contract Workman",Settings!$K$5,Settings!$K$4))),J73+(L73/(IF(F73="Contract Workman",Settings!$K$5,Settings!$K$4)))))</f>
        <v>46209.677248677275</v>
      </c>
      <c r="N73" s="10" t="str">
        <f t="shared" ca="1" si="4"/>
        <v>Shift S1</v>
      </c>
      <c r="O73" s="51" t="str">
        <f>IF(B73="","", IF(IFERROR(ISNUMBER(SEARCH(B73, VLOOKUP(E73, Machine_List!$B:$J, 9, 0))), FALSE()), "✅ Machine OK", "❌ Sug: " &amp; IFERROR(INDEX(Machine_List!$B$4:$B$50, MATCH("*"&amp;B73&amp;"*", Machine_List!$J$4:$J$50, 0)), "Check Limits")))</f>
        <v>✅ Machine OK</v>
      </c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  <c r="AE73" s="52"/>
      <c r="AF73" s="52"/>
      <c r="AG73" s="52"/>
      <c r="AH73" s="52"/>
      <c r="AI73" s="52"/>
      <c r="AJ73" s="52"/>
      <c r="AK73" s="52"/>
      <c r="AL73" s="52"/>
      <c r="AM73" s="52"/>
      <c r="AN73" s="52"/>
      <c r="AO73" s="52"/>
      <c r="AP73" s="52"/>
      <c r="AQ73" s="52"/>
      <c r="AR73" s="52"/>
      <c r="AS73" s="52"/>
      <c r="AT73" s="52"/>
      <c r="AU73" s="52"/>
      <c r="AV73" s="52"/>
      <c r="AW73" s="52"/>
      <c r="AX73" s="52"/>
      <c r="AY73" s="52"/>
      <c r="AZ73" s="52"/>
      <c r="BA73" s="52"/>
      <c r="BB73" s="52"/>
      <c r="BC73" s="52"/>
      <c r="BD73" s="52"/>
      <c r="BE73" s="52"/>
      <c r="BF73" s="52"/>
      <c r="BG73" s="52"/>
      <c r="BH73" s="52"/>
      <c r="BI73" s="52"/>
      <c r="BJ73" s="52"/>
      <c r="BK73" s="52"/>
      <c r="BL73" s="52"/>
      <c r="BM73" s="52"/>
    </row>
    <row r="74" spans="1:65" x14ac:dyDescent="0.3">
      <c r="A74" s="10" t="str">
        <f>IF(Job_Master!A74="","",Job_Master!A74)</f>
        <v>BJ-170</v>
      </c>
      <c r="B74" s="10">
        <f>IF($A74="","",Job_Master!B74)</f>
        <v>20</v>
      </c>
      <c r="C74" s="10" t="str">
        <f>IF($A74="","",Job_Master!C74)</f>
        <v>SOL</v>
      </c>
      <c r="D74" s="10">
        <f>IF($A74="","",Job_Master!D74)</f>
        <v>4</v>
      </c>
      <c r="E74" s="10" t="str">
        <f>IF($A74="","",IFERROR(INDEX(Machine_List!$B$64:$B$71,MATCH("*"&amp;$B74&amp;"*",Machine_List!$J$64:$J$71,0)),"NO COMPATIBLE MACHINE"))</f>
        <v>VENT-MC-01</v>
      </c>
      <c r="F74" s="106" t="str">
        <f>IF($E74="","",IFERROR(VLOOKUP($E74,Machine_List!$B:$G,6,0),""))</f>
        <v>Contract Workman</v>
      </c>
      <c r="G74" s="53">
        <f>IF($E74="","",IFERROR(VLOOKUP($E74,Machine_List!$B:$C,2,0),""))</f>
        <v>46230</v>
      </c>
      <c r="H74" s="10">
        <f>IF($E74="","",IFERROR(VLOOKUP($E74,Machine_List!$B:$D,3,0),""))</f>
        <v>6</v>
      </c>
      <c r="I74" s="54"/>
      <c r="J74" s="55">
        <f ca="1">IF($A74="","",IF($I74&lt;&gt;"",$I74,MAX(ENG_Plan!$M74,IFERROR(LOOKUP(2,1/($E$3:INDIRECT("E"&amp;(ROW()-1))=$E74),$M$3:INDIRECT("M"&amp;(ROW()-1))),ENG_Plan!$M74))))</f>
        <v>46270.143518518518</v>
      </c>
      <c r="K74" s="10">
        <f>IF($A74="","",IFERROR(VLOOKUP(B74,CHOOSE(MATCH(C74,Settings!$L$4:$L$10,0),OPR_2P!$A$4:$I$18,SEG_6P!$A$4:$I$18,SOL_4P!$A$4:$I$18,RW_2P!$A$4:$I$18,RW2_4P!$A$4:$I$18,FLAP_4P!$A$4:$I$18,TUBE_4P!$A$4:$I$18),6,0),0))</f>
        <v>15</v>
      </c>
      <c r="L74" s="10">
        <f t="shared" si="3"/>
        <v>60</v>
      </c>
      <c r="M74" s="55">
        <f ca="1">IF($A74="","",IF(AND(ISNUMBER(G74),G74&gt;=J74,G74&lt;=(J74+(L74/(IF(F74="Contract Workman",Settings!$K$5,Settings!$K$4))))),J74+(L74/(IF(F74="Contract Workman",Settings!$K$5,Settings!$K$4)))+(H74/(IF(F74="Contract Workman",Settings!$K$5,Settings!$K$4))),J74+(L74/(IF(F74="Contract Workman",Settings!$K$5,Settings!$K$4)))))</f>
        <v>46272.822089947091</v>
      </c>
      <c r="N74" s="10" t="str">
        <f t="shared" ca="1" si="4"/>
        <v>Shift S1</v>
      </c>
      <c r="O74" s="51" t="str">
        <f>IF(B74="","", IF(IFERROR(ISNUMBER(SEARCH(B74, VLOOKUP(E74, Machine_List!$B:$J, 9, 0))), FALSE()), "✅ Machine OK", "❌ Sug: " &amp; IFERROR(INDEX(Machine_List!$B$4:$B$50, MATCH("*"&amp;B74&amp;"*", Machine_List!$J$4:$J$50, 0)), "Check Limits")))</f>
        <v>✅ Machine OK</v>
      </c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2"/>
      <c r="AF74" s="52"/>
      <c r="AG74" s="52"/>
      <c r="AH74" s="52"/>
      <c r="AI74" s="52"/>
      <c r="AJ74" s="52"/>
      <c r="AK74" s="52"/>
      <c r="AL74" s="52"/>
      <c r="AM74" s="52"/>
      <c r="AN74" s="52"/>
      <c r="AO74" s="52"/>
      <c r="AP74" s="52"/>
      <c r="AQ74" s="52"/>
      <c r="AR74" s="52"/>
      <c r="AS74" s="52"/>
      <c r="AT74" s="52"/>
      <c r="AU74" s="52"/>
      <c r="AV74" s="52"/>
      <c r="AW74" s="52"/>
      <c r="AX74" s="52"/>
      <c r="AY74" s="52"/>
      <c r="AZ74" s="52"/>
      <c r="BA74" s="52"/>
      <c r="BB74" s="52"/>
      <c r="BC74" s="52"/>
      <c r="BD74" s="52"/>
      <c r="BE74" s="52"/>
      <c r="BF74" s="52"/>
      <c r="BG74" s="52"/>
      <c r="BH74" s="52"/>
      <c r="BI74" s="52"/>
      <c r="BJ74" s="52"/>
      <c r="BK74" s="52"/>
      <c r="BL74" s="52"/>
      <c r="BM74" s="52"/>
    </row>
    <row r="75" spans="1:65" x14ac:dyDescent="0.3">
      <c r="A75" s="10" t="str">
        <f>IF(Job_Master!A75="","",Job_Master!A75)</f>
        <v/>
      </c>
      <c r="B75" s="10" t="str">
        <f>IF($A75="","",Job_Master!B75)</f>
        <v/>
      </c>
      <c r="C75" s="10" t="str">
        <f>IF($A75="","",Job_Master!C75)</f>
        <v/>
      </c>
      <c r="D75" s="10" t="str">
        <f>IF($A75="","",Job_Master!D75)</f>
        <v/>
      </c>
      <c r="E75" s="10" t="str">
        <f>IF($A75="","",IFERROR(INDEX(Machine_List!$B$64:$B$71,MATCH("*"&amp;$B75&amp;"*",Machine_List!$J$64:$J$71,0)),"NO COMPATIBLE MACHINE"))</f>
        <v/>
      </c>
      <c r="F75" s="106" t="str">
        <f>IF($E75="","",IFERROR(VLOOKUP($E75,Machine_List!$B:$G,6,0),""))</f>
        <v/>
      </c>
      <c r="G75" s="53" t="str">
        <f>IF($E75="","",IFERROR(VLOOKUP($E75,Machine_List!$B:$C,2,0),""))</f>
        <v/>
      </c>
      <c r="H75" s="10" t="str">
        <f>IF($E75="","",IFERROR(VLOOKUP($E75,Machine_List!$B:$D,3,0),""))</f>
        <v/>
      </c>
      <c r="I75" s="54"/>
      <c r="J75" s="55" t="str">
        <f ca="1">IF($A75="","",IF($I75&lt;&gt;"",$I75,MAX(ENG_Plan!$M75,IFERROR(LOOKUP(2,1/($E$3:INDIRECT("E"&amp;(ROW()-1))=$E75),$M$3:INDIRECT("M"&amp;(ROW()-1))),ENG_Plan!$M75))))</f>
        <v/>
      </c>
      <c r="K75" s="10" t="str">
        <f>IF($A75="","",IFERROR(VLOOKUP(B75,CHOOSE(MATCH(C75,Settings!$L$4:$L$10,0),OPR_2P!$A$4:$I$18,SEG_6P!$A$4:$I$18,SOL_4P!$A$4:$I$18,RW_2P!$A$4:$I$18,RW2_4P!$A$4:$I$18,FLAP_4P!$A$4:$I$18,TUBE_4P!$A$4:$I$18),6,0),0))</f>
        <v/>
      </c>
      <c r="L75" s="10" t="str">
        <f t="shared" si="3"/>
        <v/>
      </c>
      <c r="M75" s="55" t="str">
        <f>IF($A75="","",IF(AND(ISNUMBER(G75),G75&gt;=J75,G75&lt;=(J75+(L75/(IF(F75="Contract Workman",Settings!$K$5,Settings!$K$4))))),J75+(L75/(IF(F75="Contract Workman",Settings!$K$5,Settings!$K$4)))+(H75/(IF(F75="Contract Workman",Settings!$K$5,Settings!$K$4))),J75+(L75/(IF(F75="Contract Workman",Settings!$K$5,Settings!$K$4)))))</f>
        <v/>
      </c>
      <c r="N75" s="10" t="str">
        <f t="shared" si="4"/>
        <v/>
      </c>
      <c r="O75" s="51" t="str">
        <f>IF(B75="","", IF(IFERROR(ISNUMBER(SEARCH(B75, VLOOKUP(E75, Machine_List!$B:$J, 9, 0))), FALSE()), "✅ Machine OK", "❌ Sug: " &amp; IFERROR(INDEX(Machine_List!$B$4:$B$50, MATCH("*"&amp;B75&amp;"*", Machine_List!$J$4:$J$50, 0)), "Check Limits")))</f>
        <v/>
      </c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52"/>
      <c r="AJ75" s="52"/>
      <c r="AK75" s="52"/>
      <c r="AL75" s="52"/>
      <c r="AM75" s="52"/>
      <c r="AN75" s="52"/>
      <c r="AO75" s="52"/>
      <c r="AP75" s="52"/>
      <c r="AQ75" s="52"/>
      <c r="AR75" s="52"/>
      <c r="AS75" s="52"/>
      <c r="AT75" s="52"/>
      <c r="AU75" s="52"/>
      <c r="AV75" s="52"/>
      <c r="AW75" s="52"/>
      <c r="AX75" s="52"/>
      <c r="AY75" s="52"/>
      <c r="AZ75" s="52"/>
      <c r="BA75" s="52"/>
      <c r="BB75" s="52"/>
      <c r="BC75" s="52"/>
      <c r="BD75" s="52"/>
      <c r="BE75" s="52"/>
      <c r="BF75" s="52"/>
      <c r="BG75" s="52"/>
      <c r="BH75" s="52"/>
      <c r="BI75" s="52"/>
      <c r="BJ75" s="52"/>
      <c r="BK75" s="52"/>
      <c r="BL75" s="52"/>
      <c r="BM75" s="52"/>
    </row>
    <row r="76" spans="1:65" x14ac:dyDescent="0.3">
      <c r="A76" s="10" t="str">
        <f>IF(Job_Master!A76="","",Job_Master!A76)</f>
        <v/>
      </c>
      <c r="B76" s="10" t="str">
        <f>IF($A76="","",Job_Master!B76)</f>
        <v/>
      </c>
      <c r="C76" s="10" t="str">
        <f>IF($A76="","",Job_Master!C76)</f>
        <v/>
      </c>
      <c r="D76" s="10" t="str">
        <f>IF($A76="","",Job_Master!D76)</f>
        <v/>
      </c>
      <c r="E76" s="10" t="str">
        <f>IF($A76="","",IFERROR(INDEX(Machine_List!$B$64:$B$71,MATCH("*"&amp;$B76&amp;"*",Machine_List!$J$64:$J$71,0)),"NO COMPATIBLE MACHINE"))</f>
        <v/>
      </c>
      <c r="F76" s="106" t="str">
        <f>IF($E76="","",IFERROR(VLOOKUP($E76,Machine_List!$B:$G,6,0),""))</f>
        <v/>
      </c>
      <c r="G76" s="53" t="str">
        <f>IF($E76="","",IFERROR(VLOOKUP($E76,Machine_List!$B:$C,2,0),""))</f>
        <v/>
      </c>
      <c r="H76" s="10" t="str">
        <f>IF($E76="","",IFERROR(VLOOKUP($E76,Machine_List!$B:$D,3,0),""))</f>
        <v/>
      </c>
      <c r="I76" s="54"/>
      <c r="J76" s="55" t="str">
        <f ca="1">IF($A76="","",IF($I76&lt;&gt;"",$I76,MAX(ENG_Plan!$M76,IFERROR(LOOKUP(2,1/($E$3:INDIRECT("E"&amp;(ROW()-1))=$E76),$M$3:INDIRECT("M"&amp;(ROW()-1))),ENG_Plan!$M76))))</f>
        <v/>
      </c>
      <c r="K76" s="10" t="str">
        <f>IF($A76="","",IFERROR(VLOOKUP(B76,CHOOSE(MATCH(C76,Settings!$L$4:$L$10,0),OPR_2P!$A$4:$I$18,SEG_6P!$A$4:$I$18,SOL_4P!$A$4:$I$18,RW_2P!$A$4:$I$18,RW2_4P!$A$4:$I$18,FLAP_4P!$A$4:$I$18,TUBE_4P!$A$4:$I$18),6,0),0))</f>
        <v/>
      </c>
      <c r="L76" s="10" t="str">
        <f t="shared" si="3"/>
        <v/>
      </c>
      <c r="M76" s="55" t="str">
        <f>IF($A76="","",IF(AND(ISNUMBER(G76),G76&gt;=J76,G76&lt;=(J76+(L76/(IF(F76="Contract Workman",Settings!$K$5,Settings!$K$4))))),J76+(L76/(IF(F76="Contract Workman",Settings!$K$5,Settings!$K$4)))+(H76/(IF(F76="Contract Workman",Settings!$K$5,Settings!$K$4))),J76+(L76/(IF(F76="Contract Workman",Settings!$K$5,Settings!$K$4)))))</f>
        <v/>
      </c>
      <c r="N76" s="10" t="str">
        <f t="shared" si="4"/>
        <v/>
      </c>
      <c r="O76" s="51" t="str">
        <f>IF(B76="","", IF(IFERROR(ISNUMBER(SEARCH(B76, VLOOKUP(E76, Machine_List!$B:$J, 9, 0))), FALSE()), "✅ Machine OK", "❌ Sug: " &amp; IFERROR(INDEX(Machine_List!$B$4:$B$50, MATCH("*"&amp;B76&amp;"*", Machine_List!$J$4:$J$50, 0)), "Check Limits")))</f>
        <v/>
      </c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52"/>
      <c r="AK76" s="52"/>
      <c r="AL76" s="52"/>
      <c r="AM76" s="52"/>
      <c r="AN76" s="52"/>
      <c r="AO76" s="52"/>
      <c r="AP76" s="52"/>
      <c r="AQ76" s="52"/>
      <c r="AR76" s="52"/>
      <c r="AS76" s="52"/>
      <c r="AT76" s="52"/>
      <c r="AU76" s="52"/>
      <c r="AV76" s="52"/>
      <c r="AW76" s="52"/>
      <c r="AX76" s="52"/>
      <c r="AY76" s="52"/>
      <c r="AZ76" s="52"/>
      <c r="BA76" s="52"/>
      <c r="BB76" s="52"/>
      <c r="BC76" s="52"/>
      <c r="BD76" s="52"/>
      <c r="BE76" s="52"/>
      <c r="BF76" s="52"/>
      <c r="BG76" s="52"/>
      <c r="BH76" s="52"/>
      <c r="BI76" s="52"/>
      <c r="BJ76" s="52"/>
      <c r="BK76" s="52"/>
      <c r="BL76" s="52"/>
      <c r="BM76" s="52"/>
    </row>
    <row r="77" spans="1:65" x14ac:dyDescent="0.3">
      <c r="A77" s="10" t="str">
        <f>IF(Job_Master!A77="","",Job_Master!A77)</f>
        <v/>
      </c>
      <c r="B77" s="10" t="str">
        <f>IF($A77="","",Job_Master!B77)</f>
        <v/>
      </c>
      <c r="C77" s="10" t="str">
        <f>IF($A77="","",Job_Master!C77)</f>
        <v/>
      </c>
      <c r="D77" s="10" t="str">
        <f>IF($A77="","",Job_Master!D77)</f>
        <v/>
      </c>
      <c r="E77" s="10" t="str">
        <f>IF($A77="","",IFERROR(INDEX(Machine_List!$B$64:$B$71,MATCH("*"&amp;$B77&amp;"*",Machine_List!$J$64:$J$71,0)),"NO COMPATIBLE MACHINE"))</f>
        <v/>
      </c>
      <c r="F77" s="106" t="str">
        <f>IF($E77="","",IFERROR(VLOOKUP($E77,Machine_List!$B:$G,6,0),""))</f>
        <v/>
      </c>
      <c r="G77" s="53" t="str">
        <f>IF($E77="","",IFERROR(VLOOKUP($E77,Machine_List!$B:$C,2,0),""))</f>
        <v/>
      </c>
      <c r="H77" s="10" t="str">
        <f>IF($E77="","",IFERROR(VLOOKUP($E77,Machine_List!$B:$D,3,0),""))</f>
        <v/>
      </c>
      <c r="I77" s="54"/>
      <c r="J77" s="55" t="str">
        <f ca="1">IF($A77="","",IF($I77&lt;&gt;"",$I77,MAX(ENG_Plan!$M77,IFERROR(LOOKUP(2,1/($E$3:INDIRECT("E"&amp;(ROW()-1))=$E77),$M$3:INDIRECT("M"&amp;(ROW()-1))),ENG_Plan!$M77))))</f>
        <v/>
      </c>
      <c r="K77" s="10" t="str">
        <f>IF($A77="","",IFERROR(VLOOKUP(B77,CHOOSE(MATCH(C77,Settings!$L$4:$L$10,0),OPR_2P!$A$4:$I$18,SEG_6P!$A$4:$I$18,SOL_4P!$A$4:$I$18,RW_2P!$A$4:$I$18,RW2_4P!$A$4:$I$18,FLAP_4P!$A$4:$I$18,TUBE_4P!$A$4:$I$18),6,0),0))</f>
        <v/>
      </c>
      <c r="L77" s="10" t="str">
        <f t="shared" si="3"/>
        <v/>
      </c>
      <c r="M77" s="55" t="str">
        <f>IF($A77="","",IF(AND(ISNUMBER(G77),G77&gt;=J77,G77&lt;=(J77+(L77/(IF(F77="Contract Workman",Settings!$K$5,Settings!$K$4))))),J77+(L77/(IF(F77="Contract Workman",Settings!$K$5,Settings!$K$4)))+(H77/(IF(F77="Contract Workman",Settings!$K$5,Settings!$K$4))),J77+(L77/(IF(F77="Contract Workman",Settings!$K$5,Settings!$K$4)))))</f>
        <v/>
      </c>
      <c r="N77" s="10" t="str">
        <f t="shared" si="4"/>
        <v/>
      </c>
      <c r="O77" s="51" t="str">
        <f>IF(B77="","", IF(IFERROR(ISNUMBER(SEARCH(B77, VLOOKUP(E77, Machine_List!$B:$J, 9, 0))), FALSE()), "✅ Machine OK", "❌ Sug: " &amp; IFERROR(INDEX(Machine_List!$B$4:$B$50, MATCH("*"&amp;B77&amp;"*", Machine_List!$J$4:$J$50, 0)), "Check Limits")))</f>
        <v/>
      </c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  <c r="AE77" s="52"/>
      <c r="AF77" s="52"/>
      <c r="AG77" s="52"/>
      <c r="AH77" s="52"/>
      <c r="AI77" s="52"/>
      <c r="AJ77" s="52"/>
      <c r="AK77" s="52"/>
      <c r="AL77" s="52"/>
      <c r="AM77" s="52"/>
      <c r="AN77" s="52"/>
      <c r="AO77" s="52"/>
      <c r="AP77" s="52"/>
      <c r="AQ77" s="52"/>
      <c r="AR77" s="52"/>
      <c r="AS77" s="52"/>
      <c r="AT77" s="52"/>
      <c r="AU77" s="52"/>
      <c r="AV77" s="52"/>
      <c r="AW77" s="52"/>
      <c r="AX77" s="52"/>
      <c r="AY77" s="52"/>
      <c r="AZ77" s="52"/>
      <c r="BA77" s="52"/>
      <c r="BB77" s="52"/>
      <c r="BC77" s="52"/>
      <c r="BD77" s="52"/>
      <c r="BE77" s="52"/>
      <c r="BF77" s="52"/>
      <c r="BG77" s="52"/>
      <c r="BH77" s="52"/>
      <c r="BI77" s="52"/>
      <c r="BJ77" s="52"/>
      <c r="BK77" s="52"/>
      <c r="BL77" s="52"/>
      <c r="BM77" s="52"/>
    </row>
    <row r="78" spans="1:65" x14ac:dyDescent="0.3">
      <c r="A78" s="10" t="str">
        <f>IF(Job_Master!A78="","",Job_Master!A78)</f>
        <v/>
      </c>
      <c r="B78" s="10" t="str">
        <f>IF($A78="","",Job_Master!B78)</f>
        <v/>
      </c>
      <c r="C78" s="10" t="str">
        <f>IF($A78="","",Job_Master!C78)</f>
        <v/>
      </c>
      <c r="D78" s="10" t="str">
        <f>IF($A78="","",Job_Master!D78)</f>
        <v/>
      </c>
      <c r="E78" s="10" t="str">
        <f>IF($A78="","",IFERROR(INDEX(Machine_List!$B$64:$B$71,MATCH("*"&amp;$B78&amp;"*",Machine_List!$J$64:$J$71,0)),"NO COMPATIBLE MACHINE"))</f>
        <v/>
      </c>
      <c r="F78" s="106" t="str">
        <f>IF($E78="","",IFERROR(VLOOKUP($E78,Machine_List!$B:$G,6,0),""))</f>
        <v/>
      </c>
      <c r="G78" s="53" t="str">
        <f>IF($E78="","",IFERROR(VLOOKUP($E78,Machine_List!$B:$C,2,0),""))</f>
        <v/>
      </c>
      <c r="H78" s="10" t="str">
        <f>IF($E78="","",IFERROR(VLOOKUP($E78,Machine_List!$B:$D,3,0),""))</f>
        <v/>
      </c>
      <c r="I78" s="54"/>
      <c r="J78" s="55" t="str">
        <f ca="1">IF($A78="","",IF($I78&lt;&gt;"",$I78,MAX(ENG_Plan!$M78,IFERROR(LOOKUP(2,1/($E$3:INDIRECT("E"&amp;(ROW()-1))=$E78),$M$3:INDIRECT("M"&amp;(ROW()-1))),ENG_Plan!$M78))))</f>
        <v/>
      </c>
      <c r="K78" s="10" t="str">
        <f>IF($A78="","",IFERROR(VLOOKUP(B78,CHOOSE(MATCH(C78,Settings!$L$4:$L$10,0),OPR_2P!$A$4:$I$18,SEG_6P!$A$4:$I$18,SOL_4P!$A$4:$I$18,RW_2P!$A$4:$I$18,RW2_4P!$A$4:$I$18,FLAP_4P!$A$4:$I$18,TUBE_4P!$A$4:$I$18),6,0),0))</f>
        <v/>
      </c>
      <c r="L78" s="10" t="str">
        <f t="shared" si="3"/>
        <v/>
      </c>
      <c r="M78" s="55" t="str">
        <f>IF($A78="","",IF(AND(ISNUMBER(G78),G78&gt;=J78,G78&lt;=(J78+(L78/(IF(F78="Contract Workman",Settings!$K$5,Settings!$K$4))))),J78+(L78/(IF(F78="Contract Workman",Settings!$K$5,Settings!$K$4)))+(H78/(IF(F78="Contract Workman",Settings!$K$5,Settings!$K$4))),J78+(L78/(IF(F78="Contract Workman",Settings!$K$5,Settings!$K$4)))))</f>
        <v/>
      </c>
      <c r="N78" s="10" t="str">
        <f t="shared" si="4"/>
        <v/>
      </c>
      <c r="O78" s="51" t="str">
        <f>IF(B78="","", IF(IFERROR(ISNUMBER(SEARCH(B78, VLOOKUP(E78, Machine_List!$B:$J, 9, 0))), FALSE()), "✅ Machine OK", "❌ Sug: " &amp; IFERROR(INDEX(Machine_List!$B$4:$B$50, MATCH("*"&amp;B78&amp;"*", Machine_List!$J$4:$J$50, 0)), "Check Limits")))</f>
        <v/>
      </c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52"/>
      <c r="AG78" s="52"/>
      <c r="AH78" s="52"/>
      <c r="AI78" s="52"/>
      <c r="AJ78" s="52"/>
      <c r="AK78" s="52"/>
      <c r="AL78" s="52"/>
      <c r="AM78" s="52"/>
      <c r="AN78" s="52"/>
      <c r="AO78" s="52"/>
      <c r="AP78" s="52"/>
      <c r="AQ78" s="52"/>
      <c r="AR78" s="52"/>
      <c r="AS78" s="52"/>
      <c r="AT78" s="52"/>
      <c r="AU78" s="52"/>
      <c r="AV78" s="52"/>
      <c r="AW78" s="52"/>
      <c r="AX78" s="52"/>
      <c r="AY78" s="52"/>
      <c r="AZ78" s="52"/>
      <c r="BA78" s="52"/>
      <c r="BB78" s="52"/>
      <c r="BC78" s="52"/>
      <c r="BD78" s="52"/>
      <c r="BE78" s="52"/>
      <c r="BF78" s="52"/>
      <c r="BG78" s="52"/>
      <c r="BH78" s="52"/>
      <c r="BI78" s="52"/>
      <c r="BJ78" s="52"/>
      <c r="BK78" s="52"/>
      <c r="BL78" s="52"/>
      <c r="BM78" s="52"/>
    </row>
    <row r="79" spans="1:65" x14ac:dyDescent="0.3">
      <c r="A79" s="10" t="str">
        <f>IF(Job_Master!A79="","",Job_Master!A79)</f>
        <v/>
      </c>
      <c r="B79" s="10" t="str">
        <f>IF($A79="","",Job_Master!B79)</f>
        <v/>
      </c>
      <c r="C79" s="10" t="str">
        <f>IF($A79="","",Job_Master!C79)</f>
        <v/>
      </c>
      <c r="D79" s="10" t="str">
        <f>IF($A79="","",Job_Master!D79)</f>
        <v/>
      </c>
      <c r="E79" s="10" t="str">
        <f>IF($A79="","",IFERROR(INDEX(Machine_List!$B$64:$B$71,MATCH("*"&amp;$B79&amp;"*",Machine_List!$J$64:$J$71,0)),"NO COMPATIBLE MACHINE"))</f>
        <v/>
      </c>
      <c r="F79" s="106" t="str">
        <f>IF($E79="","",IFERROR(VLOOKUP($E79,Machine_List!$B:$G,6,0),""))</f>
        <v/>
      </c>
      <c r="G79" s="53" t="str">
        <f>IF($E79="","",IFERROR(VLOOKUP($E79,Machine_List!$B:$C,2,0),""))</f>
        <v/>
      </c>
      <c r="H79" s="10" t="str">
        <f>IF($E79="","",IFERROR(VLOOKUP($E79,Machine_List!$B:$D,3,0),""))</f>
        <v/>
      </c>
      <c r="I79" s="54"/>
      <c r="J79" s="55" t="str">
        <f ca="1">IF($A79="","",IF($I79&lt;&gt;"",$I79,MAX(ENG_Plan!$M79,IFERROR(LOOKUP(2,1/($E$3:INDIRECT("E"&amp;(ROW()-1))=$E79),$M$3:INDIRECT("M"&amp;(ROW()-1))),ENG_Plan!$M79))))</f>
        <v/>
      </c>
      <c r="K79" s="10" t="str">
        <f>IF($A79="","",IFERROR(VLOOKUP(B79,CHOOSE(MATCH(C79,Settings!$L$4:$L$10,0),OPR_2P!$A$4:$I$18,SEG_6P!$A$4:$I$18,SOL_4P!$A$4:$I$18,RW_2P!$A$4:$I$18,RW2_4P!$A$4:$I$18,FLAP_4P!$A$4:$I$18,TUBE_4P!$A$4:$I$18),6,0),0))</f>
        <v/>
      </c>
      <c r="L79" s="10" t="str">
        <f t="shared" si="3"/>
        <v/>
      </c>
      <c r="M79" s="55" t="str">
        <f>IF($A79="","",IF(AND(ISNUMBER(G79),G79&gt;=J79,G79&lt;=(J79+(L79/(IF(F79="Contract Workman",Settings!$K$5,Settings!$K$4))))),J79+(L79/(IF(F79="Contract Workman",Settings!$K$5,Settings!$K$4)))+(H79/(IF(F79="Contract Workman",Settings!$K$5,Settings!$K$4))),J79+(L79/(IF(F79="Contract Workman",Settings!$K$5,Settings!$K$4)))))</f>
        <v/>
      </c>
      <c r="N79" s="10" t="str">
        <f t="shared" si="4"/>
        <v/>
      </c>
      <c r="O79" s="51" t="str">
        <f>IF(B79="","", IF(IFERROR(ISNUMBER(SEARCH(B79, VLOOKUP(E79, Machine_List!$B:$J, 9, 0))), FALSE()), "✅ Machine OK", "❌ Sug: " &amp; IFERROR(INDEX(Machine_List!$B$4:$B$50, MATCH("*"&amp;B79&amp;"*", Machine_List!$J$4:$J$50, 0)), "Check Limits")))</f>
        <v/>
      </c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  <c r="AF79" s="52"/>
      <c r="AG79" s="52"/>
      <c r="AH79" s="52"/>
      <c r="AI79" s="52"/>
      <c r="AJ79" s="52"/>
      <c r="AK79" s="52"/>
      <c r="AL79" s="52"/>
      <c r="AM79" s="52"/>
      <c r="AN79" s="52"/>
      <c r="AO79" s="52"/>
      <c r="AP79" s="52"/>
      <c r="AQ79" s="52"/>
      <c r="AR79" s="52"/>
      <c r="AS79" s="52"/>
      <c r="AT79" s="52"/>
      <c r="AU79" s="52"/>
      <c r="AV79" s="52"/>
      <c r="AW79" s="52"/>
      <c r="AX79" s="52"/>
      <c r="AY79" s="52"/>
      <c r="AZ79" s="52"/>
      <c r="BA79" s="52"/>
      <c r="BB79" s="52"/>
      <c r="BC79" s="52"/>
      <c r="BD79" s="52"/>
      <c r="BE79" s="52"/>
      <c r="BF79" s="52"/>
      <c r="BG79" s="52"/>
      <c r="BH79" s="52"/>
      <c r="BI79" s="52"/>
      <c r="BJ79" s="52"/>
      <c r="BK79" s="52"/>
      <c r="BL79" s="52"/>
      <c r="BM79" s="52"/>
    </row>
    <row r="80" spans="1:65" x14ac:dyDescent="0.3">
      <c r="A80" s="10" t="str">
        <f>IF(Job_Master!A80="","",Job_Master!A80)</f>
        <v/>
      </c>
      <c r="B80" s="10" t="str">
        <f>IF($A80="","",Job_Master!B80)</f>
        <v/>
      </c>
      <c r="C80" s="10" t="str">
        <f>IF($A80="","",Job_Master!C80)</f>
        <v/>
      </c>
      <c r="D80" s="10" t="str">
        <f>IF($A80="","",Job_Master!D80)</f>
        <v/>
      </c>
      <c r="E80" s="10" t="str">
        <f>IF($A80="","",IFERROR(INDEX(Machine_List!$B$64:$B$71,MATCH("*"&amp;$B80&amp;"*",Machine_List!$J$64:$J$71,0)),"NO COMPATIBLE MACHINE"))</f>
        <v/>
      </c>
      <c r="F80" s="106" t="str">
        <f>IF($E80="","",IFERROR(VLOOKUP($E80,Machine_List!$B:$G,6,0),""))</f>
        <v/>
      </c>
      <c r="G80" s="53" t="str">
        <f>IF($E80="","",IFERROR(VLOOKUP($E80,Machine_List!$B:$C,2,0),""))</f>
        <v/>
      </c>
      <c r="H80" s="10" t="str">
        <f>IF($E80="","",IFERROR(VLOOKUP($E80,Machine_List!$B:$D,3,0),""))</f>
        <v/>
      </c>
      <c r="I80" s="54"/>
      <c r="J80" s="55" t="str">
        <f ca="1">IF($A80="","",IF($I80&lt;&gt;"",$I80,MAX(ENG_Plan!$M80,IFERROR(LOOKUP(2,1/($E$3:INDIRECT("E"&amp;(ROW()-1))=$E80),$M$3:INDIRECT("M"&amp;(ROW()-1))),ENG_Plan!$M80))))</f>
        <v/>
      </c>
      <c r="K80" s="10" t="str">
        <f>IF($A80="","",IFERROR(VLOOKUP(B80,CHOOSE(MATCH(C80,Settings!$L$4:$L$10,0),OPR_2P!$A$4:$I$18,SEG_6P!$A$4:$I$18,SOL_4P!$A$4:$I$18,RW_2P!$A$4:$I$18,RW2_4P!$A$4:$I$18,FLAP_4P!$A$4:$I$18,TUBE_4P!$A$4:$I$18),6,0),0))</f>
        <v/>
      </c>
      <c r="L80" s="10" t="str">
        <f t="shared" si="3"/>
        <v/>
      </c>
      <c r="M80" s="55" t="str">
        <f>IF($A80="","",IF(AND(ISNUMBER(G80),G80&gt;=J80,G80&lt;=(J80+(L80/(IF(F80="Contract Workman",Settings!$K$5,Settings!$K$4))))),J80+(L80/(IF(F80="Contract Workman",Settings!$K$5,Settings!$K$4)))+(H80/(IF(F80="Contract Workman",Settings!$K$5,Settings!$K$4))),J80+(L80/(IF(F80="Contract Workman",Settings!$K$5,Settings!$K$4)))))</f>
        <v/>
      </c>
      <c r="N80" s="10" t="str">
        <f t="shared" si="4"/>
        <v/>
      </c>
      <c r="O80" s="51" t="str">
        <f>IF(B80="","", IF(IFERROR(ISNUMBER(SEARCH(B80, VLOOKUP(E80, Machine_List!$B:$J, 9, 0))), FALSE()), "✅ Machine OK", "❌ Sug: " &amp; IFERROR(INDEX(Machine_List!$B$4:$B$50, MATCH("*"&amp;B80&amp;"*", Machine_List!$J$4:$J$50, 0)), "Check Limits")))</f>
        <v/>
      </c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  <c r="AE80" s="52"/>
      <c r="AF80" s="52"/>
      <c r="AG80" s="52"/>
      <c r="AH80" s="52"/>
      <c r="AI80" s="52"/>
      <c r="AJ80" s="52"/>
      <c r="AK80" s="52"/>
      <c r="AL80" s="52"/>
      <c r="AM80" s="52"/>
      <c r="AN80" s="52"/>
      <c r="AO80" s="52"/>
      <c r="AP80" s="52"/>
      <c r="AQ80" s="52"/>
      <c r="AR80" s="52"/>
      <c r="AS80" s="52"/>
      <c r="AT80" s="52"/>
      <c r="AU80" s="52"/>
      <c r="AV80" s="52"/>
      <c r="AW80" s="52"/>
      <c r="AX80" s="52"/>
      <c r="AY80" s="52"/>
      <c r="AZ80" s="52"/>
      <c r="BA80" s="52"/>
      <c r="BB80" s="52"/>
      <c r="BC80" s="52"/>
      <c r="BD80" s="52"/>
      <c r="BE80" s="52"/>
      <c r="BF80" s="52"/>
      <c r="BG80" s="52"/>
      <c r="BH80" s="52"/>
      <c r="BI80" s="52"/>
      <c r="BJ80" s="52"/>
      <c r="BK80" s="52"/>
      <c r="BL80" s="52"/>
      <c r="BM80" s="52"/>
    </row>
    <row r="81" spans="1:65" ht="15" customHeight="1" x14ac:dyDescent="0.3">
      <c r="A81" s="10" t="str">
        <f>IF(Job_Master!A81="","",Job_Master!A81)</f>
        <v/>
      </c>
      <c r="B81" s="10" t="str">
        <f>IF($A81="","",Job_Master!B81)</f>
        <v/>
      </c>
      <c r="C81" s="10" t="str">
        <f>IF($A81="","",Job_Master!C81)</f>
        <v/>
      </c>
      <c r="D81" s="10" t="str">
        <f>IF($A81="","",Job_Master!D81)</f>
        <v/>
      </c>
      <c r="E81" s="10" t="str">
        <f>IF($A81="","",IFERROR(INDEX(Machine_List!$B$64:$B$71,MATCH("*"&amp;$B81&amp;"*",Machine_List!$J$64:$J$71,0)),"NO COMPATIBLE MACHINE"))</f>
        <v/>
      </c>
      <c r="F81" s="106" t="str">
        <f>IF($E81="","",IFERROR(VLOOKUP($E81,Machine_List!$B:$G,6,0),""))</f>
        <v/>
      </c>
      <c r="G81" s="53" t="str">
        <f>IF($E81="","",IFERROR(VLOOKUP($E81,Machine_List!$B:$C,2,0),""))</f>
        <v/>
      </c>
      <c r="H81" s="10" t="str">
        <f>IF($E81="","",IFERROR(VLOOKUP($E81,Machine_List!$B:$D,3,0),""))</f>
        <v/>
      </c>
      <c r="I81" s="54"/>
      <c r="J81" s="55" t="str">
        <f ca="1">IF($A81="","",IF($I81&lt;&gt;"",$I81,MAX(ENG_Plan!$M81,IFERROR(LOOKUP(2,1/($E$3:INDIRECT("E"&amp;(ROW()-1))=$E81),$M$3:INDIRECT("M"&amp;(ROW()-1))),ENG_Plan!$M81))))</f>
        <v/>
      </c>
      <c r="K81" s="10" t="str">
        <f>IF($A81="","",IFERROR(VLOOKUP(B81,CHOOSE(MATCH(C81,Settings!$L$4:$L$10,0),OPR_2P!$A$4:$I$18,SEG_6P!$A$4:$I$18,SOL_4P!$A$4:$I$18,RW_2P!$A$4:$I$18,RW2_4P!$A$4:$I$18,FLAP_4P!$A$4:$I$18,TUBE_4P!$A$4:$I$18),6,0),0))</f>
        <v/>
      </c>
      <c r="L81" s="10" t="str">
        <f t="shared" si="3"/>
        <v/>
      </c>
      <c r="M81" s="55" t="str">
        <f>IF($A81="","",IF(AND(ISNUMBER(G81),G81&gt;=J81,G81&lt;=(J81+(L81/(IF(F81="Contract Workman",Settings!$K$5,Settings!$K$4))))),J81+(L81/(IF(F81="Contract Workman",Settings!$K$5,Settings!$K$4)))+(H81/(IF(F81="Contract Workman",Settings!$K$5,Settings!$K$4))),J81+(L81/(IF(F81="Contract Workman",Settings!$K$5,Settings!$K$4)))))</f>
        <v/>
      </c>
      <c r="N81" s="10" t="str">
        <f t="shared" si="4"/>
        <v/>
      </c>
      <c r="O81" s="51" t="str">
        <f>IF(B81="","", IF(IFERROR(ISNUMBER(SEARCH(B81, VLOOKUP(E81, Machine_List!$B:$J, 9, 0))), FALSE()), "✅ Machine OK", "❌ Sug: " &amp; IFERROR(INDEX(Machine_List!$B$4:$B$50, MATCH("*"&amp;B81&amp;"*", Machine_List!$J$4:$J$50, 0)), "Check Limits")))</f>
        <v/>
      </c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  <c r="AE81" s="52"/>
      <c r="AF81" s="52"/>
      <c r="AG81" s="52"/>
      <c r="AH81" s="52"/>
      <c r="AI81" s="52"/>
      <c r="AJ81" s="52"/>
      <c r="AK81" s="52"/>
      <c r="AL81" s="52"/>
      <c r="AM81" s="52"/>
      <c r="AN81" s="52"/>
      <c r="AO81" s="52"/>
      <c r="AP81" s="52"/>
      <c r="AQ81" s="52"/>
      <c r="AR81" s="52"/>
      <c r="AS81" s="52"/>
      <c r="AT81" s="52"/>
      <c r="AU81" s="52"/>
      <c r="AV81" s="52"/>
      <c r="AW81" s="52"/>
      <c r="AX81" s="52"/>
      <c r="AY81" s="52"/>
      <c r="AZ81" s="52"/>
      <c r="BA81" s="52"/>
      <c r="BB81" s="52"/>
      <c r="BC81" s="52"/>
      <c r="BD81" s="52"/>
      <c r="BE81" s="52"/>
      <c r="BF81" s="52"/>
      <c r="BG81" s="52"/>
      <c r="BH81" s="52"/>
      <c r="BI81" s="52"/>
      <c r="BJ81" s="52"/>
      <c r="BK81" s="52"/>
      <c r="BL81" s="52"/>
      <c r="BM81" s="52"/>
    </row>
    <row r="82" spans="1:65" ht="15" customHeight="1" x14ac:dyDescent="0.3">
      <c r="A82" s="10" t="str">
        <f>IF(Job_Master!A82="","",Job_Master!A82)</f>
        <v/>
      </c>
      <c r="B82" s="10" t="str">
        <f>IF($A82="","",Job_Master!B82)</f>
        <v/>
      </c>
      <c r="C82" s="10" t="str">
        <f>IF($A82="","",Job_Master!C82)</f>
        <v/>
      </c>
      <c r="D82" s="10" t="str">
        <f>IF($A82="","",Job_Master!D82)</f>
        <v/>
      </c>
      <c r="E82" s="10" t="str">
        <f>IF($A82="","",IFERROR(INDEX(Machine_List!$B$64:$B$71,MATCH("*"&amp;$B82&amp;"*",Machine_List!$J$64:$J$71,0)),"NO COMPATIBLE MACHINE"))</f>
        <v/>
      </c>
      <c r="F82" s="106" t="str">
        <f>IF($E82="","",IFERROR(VLOOKUP($E82,Machine_List!$B:$G,6,0),""))</f>
        <v/>
      </c>
      <c r="G82" s="53" t="str">
        <f>IF($E82="","",IFERROR(VLOOKUP($E82,Machine_List!$B:$C,2,0),""))</f>
        <v/>
      </c>
      <c r="H82" s="10" t="str">
        <f>IF($E82="","",IFERROR(VLOOKUP($E82,Machine_List!$B:$D,3,0),""))</f>
        <v/>
      </c>
      <c r="I82" s="54"/>
      <c r="J82" s="55" t="str">
        <f ca="1">IF($A82="","",IF($I82&lt;&gt;"",$I82,MAX(ENG_Plan!$M82,IFERROR(LOOKUP(2,1/($E$3:INDIRECT("E"&amp;(ROW()-1))=$E82),$M$3:INDIRECT("M"&amp;(ROW()-1))),ENG_Plan!$M82))))</f>
        <v/>
      </c>
      <c r="K82" s="10" t="str">
        <f>IF($A82="","",IFERROR(VLOOKUP(B82,CHOOSE(MATCH(C82,Settings!$L$4:$L$10,0),OPR_2P!$A$4:$I$18,SEG_6P!$A$4:$I$18,SOL_4P!$A$4:$I$18,RW_2P!$A$4:$I$18,RW2_4P!$A$4:$I$18,FLAP_4P!$A$4:$I$18,TUBE_4P!$A$4:$I$18),6,0),0))</f>
        <v/>
      </c>
      <c r="L82" s="10" t="str">
        <f t="shared" si="3"/>
        <v/>
      </c>
      <c r="M82" s="55" t="str">
        <f>IF($A82="","",IF(AND(ISNUMBER(G82),G82&gt;=J82,G82&lt;=(J82+(L82/(IF(F82="Contract Workman",Settings!$K$5,Settings!$K$4))))),J82+(L82/(IF(F82="Contract Workman",Settings!$K$5,Settings!$K$4)))+(H82/(IF(F82="Contract Workman",Settings!$K$5,Settings!$K$4))),J82+(L82/(IF(F82="Contract Workman",Settings!$K$5,Settings!$K$4)))))</f>
        <v/>
      </c>
      <c r="N82" s="10" t="str">
        <f t="shared" si="4"/>
        <v/>
      </c>
      <c r="O82" s="51" t="str">
        <f>IF(B82="","", IF(IFERROR(ISNUMBER(SEARCH(B82, VLOOKUP(E82, Machine_List!$B:$J, 9, 0))), FALSE()), "✅ Machine OK", "❌ Sug: " &amp; IFERROR(INDEX(Machine_List!$B$4:$B$50, MATCH("*"&amp;B82&amp;"*", Machine_List!$J$4:$J$50, 0)), "Check Limits")))</f>
        <v/>
      </c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  <c r="AE82" s="52"/>
      <c r="AF82" s="52"/>
      <c r="AG82" s="52"/>
      <c r="AH82" s="52"/>
      <c r="AI82" s="52"/>
      <c r="AJ82" s="52"/>
      <c r="AK82" s="52"/>
      <c r="AL82" s="52"/>
      <c r="AM82" s="52"/>
      <c r="AN82" s="52"/>
      <c r="AO82" s="52"/>
      <c r="AP82" s="52"/>
      <c r="AQ82" s="52"/>
      <c r="AR82" s="52"/>
      <c r="AS82" s="52"/>
      <c r="AT82" s="52"/>
      <c r="AU82" s="52"/>
      <c r="AV82" s="52"/>
      <c r="AW82" s="52"/>
      <c r="AX82" s="52"/>
      <c r="AY82" s="52"/>
      <c r="AZ82" s="52"/>
      <c r="BA82" s="52"/>
      <c r="BB82" s="52"/>
      <c r="BC82" s="52"/>
      <c r="BD82" s="52"/>
      <c r="BE82" s="52"/>
      <c r="BF82" s="52"/>
      <c r="BG82" s="52"/>
      <c r="BH82" s="52"/>
      <c r="BI82" s="52"/>
      <c r="BJ82" s="52"/>
      <c r="BK82" s="52"/>
      <c r="BL82" s="52"/>
      <c r="BM82" s="52"/>
    </row>
    <row r="83" spans="1:65" ht="15" customHeight="1" x14ac:dyDescent="0.3">
      <c r="A83" s="10" t="str">
        <f>IF(Job_Master!A83="","",Job_Master!A83)</f>
        <v/>
      </c>
      <c r="B83" s="10" t="str">
        <f>IF($A83="","",Job_Master!B83)</f>
        <v/>
      </c>
      <c r="C83" s="10" t="str">
        <f>IF($A83="","",Job_Master!C83)</f>
        <v/>
      </c>
      <c r="D83" s="10" t="str">
        <f>IF($A83="","",Job_Master!D83)</f>
        <v/>
      </c>
      <c r="E83" s="10" t="str">
        <f>IF($A83="","",IFERROR(INDEX(Machine_List!$B$64:$B$71,MATCH("*"&amp;$B83&amp;"*",Machine_List!$J$64:$J$71,0)),"NO COMPATIBLE MACHINE"))</f>
        <v/>
      </c>
      <c r="F83" s="106" t="str">
        <f>IF($E83="","",IFERROR(VLOOKUP($E83,Machine_List!$B:$G,6,0),""))</f>
        <v/>
      </c>
      <c r="G83" s="53" t="str">
        <f>IF($E83="","",IFERROR(VLOOKUP($E83,Machine_List!$B:$C,2,0),""))</f>
        <v/>
      </c>
      <c r="H83" s="10" t="str">
        <f>IF($E83="","",IFERROR(VLOOKUP($E83,Machine_List!$B:$D,3,0),""))</f>
        <v/>
      </c>
      <c r="I83" s="54"/>
      <c r="J83" s="55" t="str">
        <f ca="1">IF($A83="","",IF($I83&lt;&gt;"",$I83,MAX(ENG_Plan!$M83,IFERROR(LOOKUP(2,1/($E$3:INDIRECT("E"&amp;(ROW()-1))=$E83),$M$3:INDIRECT("M"&amp;(ROW()-1))),ENG_Plan!$M83))))</f>
        <v/>
      </c>
      <c r="K83" s="10" t="str">
        <f>IF($A83="","",IFERROR(VLOOKUP(B83,CHOOSE(MATCH(C83,Settings!$L$4:$L$10,0),OPR_2P!$A$4:$I$18,SEG_6P!$A$4:$I$18,SOL_4P!$A$4:$I$18,RW_2P!$A$4:$I$18,RW2_4P!$A$4:$I$18,FLAP_4P!$A$4:$I$18,TUBE_4P!$A$4:$I$18),6,0),0))</f>
        <v/>
      </c>
      <c r="L83" s="10" t="str">
        <f t="shared" si="3"/>
        <v/>
      </c>
      <c r="M83" s="55" t="str">
        <f>IF($A83="","",IF(AND(ISNUMBER(G83),G83&gt;=J83,G83&lt;=(J83+(L83/(IF(F83="Contract Workman",Settings!$K$5,Settings!$K$4))))),J83+(L83/(IF(F83="Contract Workman",Settings!$K$5,Settings!$K$4)))+(H83/(IF(F83="Contract Workman",Settings!$K$5,Settings!$K$4))),J83+(L83/(IF(F83="Contract Workman",Settings!$K$5,Settings!$K$4)))))</f>
        <v/>
      </c>
      <c r="N83" s="10" t="str">
        <f t="shared" si="4"/>
        <v/>
      </c>
      <c r="O83" s="51" t="str">
        <f>IF(B83="","", IF(IFERROR(ISNUMBER(SEARCH(B83, VLOOKUP(E83, Machine_List!$B:$J, 9, 0))), FALSE()), "✅ Machine OK", "❌ Sug: " &amp; IFERROR(INDEX(Machine_List!$B$4:$B$50, MATCH("*"&amp;B83&amp;"*", Machine_List!$J$4:$J$50, 0)), "Check Limits")))</f>
        <v/>
      </c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2"/>
      <c r="AE83" s="52"/>
      <c r="AF83" s="52"/>
      <c r="AG83" s="52"/>
      <c r="AH83" s="52"/>
      <c r="AI83" s="52"/>
      <c r="AJ83" s="52"/>
      <c r="AK83" s="52"/>
      <c r="AL83" s="52"/>
      <c r="AM83" s="52"/>
      <c r="AN83" s="52"/>
      <c r="AO83" s="52"/>
      <c r="AP83" s="52"/>
      <c r="AQ83" s="52"/>
      <c r="AR83" s="52"/>
      <c r="AS83" s="52"/>
      <c r="AT83" s="52"/>
      <c r="AU83" s="52"/>
      <c r="AV83" s="52"/>
      <c r="AW83" s="52"/>
      <c r="AX83" s="52"/>
      <c r="AY83" s="52"/>
      <c r="AZ83" s="52"/>
      <c r="BA83" s="52"/>
      <c r="BB83" s="52"/>
      <c r="BC83" s="52"/>
      <c r="BD83" s="52"/>
      <c r="BE83" s="52"/>
      <c r="BF83" s="52"/>
      <c r="BG83" s="52"/>
      <c r="BH83" s="52"/>
      <c r="BI83" s="52"/>
      <c r="BJ83" s="52"/>
      <c r="BK83" s="52"/>
      <c r="BL83" s="52"/>
      <c r="BM83" s="52"/>
    </row>
    <row r="84" spans="1:65" ht="15" customHeight="1" x14ac:dyDescent="0.3">
      <c r="A84" s="10" t="str">
        <f>IF(Job_Master!A84="","",Job_Master!A84)</f>
        <v/>
      </c>
      <c r="B84" s="10" t="str">
        <f>IF($A84="","",Job_Master!B84)</f>
        <v/>
      </c>
      <c r="C84" s="10" t="str">
        <f>IF($A84="","",Job_Master!C84)</f>
        <v/>
      </c>
      <c r="D84" s="10" t="str">
        <f>IF($A84="","",Job_Master!D84)</f>
        <v/>
      </c>
      <c r="E84" s="10" t="str">
        <f>IF($A84="","",IFERROR(INDEX(Machine_List!$B$64:$B$71,MATCH("*"&amp;$B84&amp;"*",Machine_List!$J$64:$J$71,0)),"NO COMPATIBLE MACHINE"))</f>
        <v/>
      </c>
      <c r="F84" s="106" t="str">
        <f>IF($E84="","",IFERROR(VLOOKUP($E84,Machine_List!$B:$G,6,0),""))</f>
        <v/>
      </c>
      <c r="G84" s="53" t="str">
        <f>IF($E84="","",IFERROR(VLOOKUP($E84,Machine_List!$B:$C,2,0),""))</f>
        <v/>
      </c>
      <c r="H84" s="10" t="str">
        <f>IF($E84="","",IFERROR(VLOOKUP($E84,Machine_List!$B:$D,3,0),""))</f>
        <v/>
      </c>
      <c r="I84" s="54"/>
      <c r="J84" s="55" t="str">
        <f ca="1">IF($A84="","",IF($I84&lt;&gt;"",$I84,MAX(ENG_Plan!$M84,IFERROR(LOOKUP(2,1/($E$3:INDIRECT("E"&amp;(ROW()-1))=$E84),$M$3:INDIRECT("M"&amp;(ROW()-1))),ENG_Plan!$M84))))</f>
        <v/>
      </c>
      <c r="K84" s="10" t="str">
        <f>IF($A84="","",IFERROR(VLOOKUP(B84,CHOOSE(MATCH(C84,Settings!$L$4:$L$10,0),OPR_2P!$A$4:$I$18,SEG_6P!$A$4:$I$18,SOL_4P!$A$4:$I$18,RW_2P!$A$4:$I$18,RW2_4P!$A$4:$I$18,FLAP_4P!$A$4:$I$18,TUBE_4P!$A$4:$I$18),6,0),0))</f>
        <v/>
      </c>
      <c r="L84" s="10" t="str">
        <f t="shared" si="3"/>
        <v/>
      </c>
      <c r="M84" s="55" t="str">
        <f>IF($A84="","",IF(AND(ISNUMBER(G84),G84&gt;=J84,G84&lt;=(J84+(L84/(IF(F84="Contract Workman",Settings!$K$5,Settings!$K$4))))),J84+(L84/(IF(F84="Contract Workman",Settings!$K$5,Settings!$K$4)))+(H84/(IF(F84="Contract Workman",Settings!$K$5,Settings!$K$4))),J84+(L84/(IF(F84="Contract Workman",Settings!$K$5,Settings!$K$4)))))</f>
        <v/>
      </c>
      <c r="N84" s="10" t="str">
        <f t="shared" si="4"/>
        <v/>
      </c>
      <c r="O84" s="51" t="str">
        <f>IF(B84="","", IF(IFERROR(ISNUMBER(SEARCH(B84, VLOOKUP(E84, Machine_List!$B:$J, 9, 0))), FALSE()), "✅ Machine OK", "❌ Sug: " &amp; IFERROR(INDEX(Machine_List!$B$4:$B$50, MATCH("*"&amp;B84&amp;"*", Machine_List!$J$4:$J$50, 0)), "Check Limits")))</f>
        <v/>
      </c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52"/>
      <c r="AJ84" s="52"/>
      <c r="AK84" s="52"/>
      <c r="AL84" s="52"/>
      <c r="AM84" s="52"/>
      <c r="AN84" s="52"/>
      <c r="AO84" s="52"/>
      <c r="AP84" s="52"/>
      <c r="AQ84" s="52"/>
      <c r="AR84" s="52"/>
      <c r="AS84" s="52"/>
      <c r="AT84" s="52"/>
      <c r="AU84" s="52"/>
      <c r="AV84" s="52"/>
      <c r="AW84" s="52"/>
      <c r="AX84" s="52"/>
      <c r="AY84" s="52"/>
      <c r="AZ84" s="52"/>
      <c r="BA84" s="52"/>
      <c r="BB84" s="52"/>
      <c r="BC84" s="52"/>
      <c r="BD84" s="52"/>
      <c r="BE84" s="52"/>
      <c r="BF84" s="52"/>
      <c r="BG84" s="52"/>
      <c r="BH84" s="52"/>
      <c r="BI84" s="52"/>
      <c r="BJ84" s="52"/>
      <c r="BK84" s="52"/>
      <c r="BL84" s="52"/>
      <c r="BM84" s="52"/>
    </row>
    <row r="85" spans="1:65" ht="15" customHeight="1" x14ac:dyDescent="0.3">
      <c r="A85" s="10" t="str">
        <f>IF(Job_Master!A85="","",Job_Master!A85)</f>
        <v/>
      </c>
      <c r="B85" s="10" t="str">
        <f>IF($A85="","",Job_Master!B85)</f>
        <v/>
      </c>
      <c r="C85" s="10" t="str">
        <f>IF($A85="","",Job_Master!C85)</f>
        <v/>
      </c>
      <c r="D85" s="10" t="str">
        <f>IF($A85="","",Job_Master!D85)</f>
        <v/>
      </c>
      <c r="E85" s="10" t="str">
        <f>IF($A85="","",IFERROR(INDEX(Machine_List!$B$64:$B$71,MATCH("*"&amp;$B85&amp;"*",Machine_List!$J$64:$J$71,0)),"NO COMPATIBLE MACHINE"))</f>
        <v/>
      </c>
      <c r="F85" s="106" t="str">
        <f>IF($E85="","",IFERROR(VLOOKUP($E85,Machine_List!$B:$G,6,0),""))</f>
        <v/>
      </c>
      <c r="G85" s="53" t="str">
        <f>IF($E85="","",IFERROR(VLOOKUP($E85,Machine_List!$B:$C,2,0),""))</f>
        <v/>
      </c>
      <c r="H85" s="10" t="str">
        <f>IF($E85="","",IFERROR(VLOOKUP($E85,Machine_List!$B:$D,3,0),""))</f>
        <v/>
      </c>
      <c r="I85" s="54"/>
      <c r="J85" s="55" t="str">
        <f ca="1">IF($A85="","",IF($I85&lt;&gt;"",$I85,MAX(ENG_Plan!$M85,IFERROR(LOOKUP(2,1/($E$3:INDIRECT("E"&amp;(ROW()-1))=$E85),$M$3:INDIRECT("M"&amp;(ROW()-1))),ENG_Plan!$M85))))</f>
        <v/>
      </c>
      <c r="K85" s="10" t="str">
        <f>IF($A85="","",IFERROR(VLOOKUP(B85,CHOOSE(MATCH(C85,Settings!$L$4:$L$10,0),OPR_2P!$A$4:$I$18,SEG_6P!$A$4:$I$18,SOL_4P!$A$4:$I$18,RW_2P!$A$4:$I$18,RW2_4P!$A$4:$I$18,FLAP_4P!$A$4:$I$18,TUBE_4P!$A$4:$I$18),6,0),0))</f>
        <v/>
      </c>
      <c r="L85" s="10" t="str">
        <f t="shared" si="3"/>
        <v/>
      </c>
      <c r="M85" s="55" t="str">
        <f>IF($A85="","",IF(AND(ISNUMBER(G85),G85&gt;=J85,G85&lt;=(J85+(L85/(IF(F85="Contract Workman",Settings!$K$5,Settings!$K$4))))),J85+(L85/(IF(F85="Contract Workman",Settings!$K$5,Settings!$K$4)))+(H85/(IF(F85="Contract Workman",Settings!$K$5,Settings!$K$4))),J85+(L85/(IF(F85="Contract Workman",Settings!$K$5,Settings!$K$4)))))</f>
        <v/>
      </c>
      <c r="N85" s="10" t="str">
        <f t="shared" si="4"/>
        <v/>
      </c>
      <c r="O85" s="51" t="str">
        <f>IF(B85="","", IF(IFERROR(ISNUMBER(SEARCH(B85, VLOOKUP(E85, Machine_List!$B:$J, 9, 0))), FALSE()), "✅ Machine OK", "❌ Sug: " &amp; IFERROR(INDEX(Machine_List!$B$4:$B$50, MATCH("*"&amp;B85&amp;"*", Machine_List!$J$4:$J$50, 0)), "Check Limits")))</f>
        <v/>
      </c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52"/>
      <c r="AG85" s="52"/>
      <c r="AH85" s="52"/>
      <c r="AI85" s="52"/>
      <c r="AJ85" s="52"/>
      <c r="AK85" s="52"/>
      <c r="AL85" s="52"/>
      <c r="AM85" s="52"/>
      <c r="AN85" s="52"/>
      <c r="AO85" s="52"/>
      <c r="AP85" s="52"/>
      <c r="AQ85" s="52"/>
      <c r="AR85" s="52"/>
      <c r="AS85" s="52"/>
      <c r="AT85" s="52"/>
      <c r="AU85" s="52"/>
      <c r="AV85" s="52"/>
      <c r="AW85" s="52"/>
      <c r="AX85" s="52"/>
      <c r="AY85" s="52"/>
      <c r="AZ85" s="52"/>
      <c r="BA85" s="52"/>
      <c r="BB85" s="52"/>
      <c r="BC85" s="52"/>
      <c r="BD85" s="52"/>
      <c r="BE85" s="52"/>
      <c r="BF85" s="52"/>
      <c r="BG85" s="52"/>
      <c r="BH85" s="52"/>
      <c r="BI85" s="52"/>
      <c r="BJ85" s="52"/>
      <c r="BK85" s="52"/>
      <c r="BL85" s="52"/>
      <c r="BM85" s="52"/>
    </row>
    <row r="86" spans="1:65" ht="15" customHeight="1" x14ac:dyDescent="0.3">
      <c r="A86" s="10" t="str">
        <f>IF(Job_Master!A86="","",Job_Master!A86)</f>
        <v/>
      </c>
      <c r="B86" s="10" t="str">
        <f>IF($A86="","",Job_Master!B86)</f>
        <v/>
      </c>
      <c r="C86" s="10" t="str">
        <f>IF($A86="","",Job_Master!C86)</f>
        <v/>
      </c>
      <c r="D86" s="10" t="str">
        <f>IF($A86="","",Job_Master!D86)</f>
        <v/>
      </c>
      <c r="E86" s="10" t="str">
        <f>IF($A86="","",IFERROR(INDEX(Machine_List!$B$64:$B$71,MATCH("*"&amp;$B86&amp;"*",Machine_List!$J$64:$J$71,0)),"NO COMPATIBLE MACHINE"))</f>
        <v/>
      </c>
      <c r="F86" s="106" t="str">
        <f>IF($E86="","",IFERROR(VLOOKUP($E86,Machine_List!$B:$G,6,0),""))</f>
        <v/>
      </c>
      <c r="G86" s="53" t="str">
        <f>IF($E86="","",IFERROR(VLOOKUP($E86,Machine_List!$B:$C,2,0),""))</f>
        <v/>
      </c>
      <c r="H86" s="10" t="str">
        <f>IF($E86="","",IFERROR(VLOOKUP($E86,Machine_List!$B:$D,3,0),""))</f>
        <v/>
      </c>
      <c r="I86" s="54"/>
      <c r="J86" s="55" t="str">
        <f ca="1">IF($A86="","",IF($I86&lt;&gt;"",$I86,MAX(ENG_Plan!$M86,IFERROR(LOOKUP(2,1/($E$3:INDIRECT("E"&amp;(ROW()-1))=$E86),$M$3:INDIRECT("M"&amp;(ROW()-1))),ENG_Plan!$M86))))</f>
        <v/>
      </c>
      <c r="K86" s="10" t="str">
        <f>IF($A86="","",IFERROR(VLOOKUP(B86,CHOOSE(MATCH(C86,Settings!$L$4:$L$10,0),OPR_2P!$A$4:$I$18,SEG_6P!$A$4:$I$18,SOL_4P!$A$4:$I$18,RW_2P!$A$4:$I$18,RW2_4P!$A$4:$I$18,FLAP_4P!$A$4:$I$18,TUBE_4P!$A$4:$I$18),6,0),0))</f>
        <v/>
      </c>
      <c r="L86" s="10" t="str">
        <f t="shared" si="3"/>
        <v/>
      </c>
      <c r="M86" s="55" t="str">
        <f>IF($A86="","",IF(AND(ISNUMBER(G86),G86&gt;=J86,G86&lt;=(J86+(L86/(IF(F86="Contract Workman",Settings!$K$5,Settings!$K$4))))),J86+(L86/(IF(F86="Contract Workman",Settings!$K$5,Settings!$K$4)))+(H86/(IF(F86="Contract Workman",Settings!$K$5,Settings!$K$4))),J86+(L86/(IF(F86="Contract Workman",Settings!$K$5,Settings!$K$4)))))</f>
        <v/>
      </c>
      <c r="N86" s="10" t="str">
        <f t="shared" si="4"/>
        <v/>
      </c>
      <c r="O86" s="51" t="str">
        <f>IF(B86="","", IF(IFERROR(ISNUMBER(SEARCH(B86, VLOOKUP(E86, Machine_List!$B:$J, 9, 0))), FALSE()), "✅ Machine OK", "❌ Sug: " &amp; IFERROR(INDEX(Machine_List!$B$4:$B$50, MATCH("*"&amp;B86&amp;"*", Machine_List!$J$4:$J$50, 0)), "Check Limits")))</f>
        <v/>
      </c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2"/>
      <c r="AD86" s="52"/>
      <c r="AE86" s="52"/>
      <c r="AF86" s="52"/>
      <c r="AG86" s="52"/>
      <c r="AH86" s="52"/>
      <c r="AI86" s="52"/>
      <c r="AJ86" s="52"/>
      <c r="AK86" s="52"/>
      <c r="AL86" s="52"/>
      <c r="AM86" s="52"/>
      <c r="AN86" s="52"/>
      <c r="AO86" s="52"/>
      <c r="AP86" s="52"/>
      <c r="AQ86" s="52"/>
      <c r="AR86" s="52"/>
      <c r="AS86" s="52"/>
      <c r="AT86" s="52"/>
      <c r="AU86" s="52"/>
      <c r="AV86" s="52"/>
      <c r="AW86" s="52"/>
      <c r="AX86" s="52"/>
      <c r="AY86" s="52"/>
      <c r="AZ86" s="52"/>
      <c r="BA86" s="52"/>
      <c r="BB86" s="52"/>
      <c r="BC86" s="52"/>
      <c r="BD86" s="52"/>
      <c r="BE86" s="52"/>
      <c r="BF86" s="52"/>
      <c r="BG86" s="52"/>
      <c r="BH86" s="52"/>
      <c r="BI86" s="52"/>
      <c r="BJ86" s="52"/>
      <c r="BK86" s="52"/>
      <c r="BL86" s="52"/>
      <c r="BM86" s="52"/>
    </row>
    <row r="87" spans="1:65" ht="15" customHeight="1" x14ac:dyDescent="0.3">
      <c r="A87" s="10" t="str">
        <f>IF(Job_Master!A87="","",Job_Master!A87)</f>
        <v/>
      </c>
      <c r="B87" s="10" t="str">
        <f>IF($A87="","",Job_Master!B87)</f>
        <v/>
      </c>
      <c r="C87" s="10" t="str">
        <f>IF($A87="","",Job_Master!C87)</f>
        <v/>
      </c>
      <c r="D87" s="10" t="str">
        <f>IF($A87="","",Job_Master!D87)</f>
        <v/>
      </c>
      <c r="E87" s="10" t="str">
        <f>IF($A87="","",IFERROR(INDEX(Machine_List!$B$64:$B$71,MATCH("*"&amp;$B87&amp;"*",Machine_List!$J$64:$J$71,0)),"NO COMPATIBLE MACHINE"))</f>
        <v/>
      </c>
      <c r="F87" s="106" t="str">
        <f>IF($E87="","",IFERROR(VLOOKUP($E87,Machine_List!$B:$G,6,0),""))</f>
        <v/>
      </c>
      <c r="G87" s="53" t="str">
        <f>IF($E87="","",IFERROR(VLOOKUP($E87,Machine_List!$B:$C,2,0),""))</f>
        <v/>
      </c>
      <c r="H87" s="10" t="str">
        <f>IF($E87="","",IFERROR(VLOOKUP($E87,Machine_List!$B:$D,3,0),""))</f>
        <v/>
      </c>
      <c r="I87" s="54"/>
      <c r="J87" s="55" t="str">
        <f ca="1">IF($A87="","",IF($I87&lt;&gt;"",$I87,MAX(ENG_Plan!$M87,IFERROR(LOOKUP(2,1/($E$3:INDIRECT("E"&amp;(ROW()-1))=$E87),$M$3:INDIRECT("M"&amp;(ROW()-1))),ENG_Plan!$M87))))</f>
        <v/>
      </c>
      <c r="K87" s="10" t="str">
        <f>IF($A87="","",IFERROR(VLOOKUP(B87,CHOOSE(MATCH(C87,Settings!$L$4:$L$10,0),OPR_2P!$A$4:$I$18,SEG_6P!$A$4:$I$18,SOL_4P!$A$4:$I$18,RW_2P!$A$4:$I$18,RW2_4P!$A$4:$I$18,FLAP_4P!$A$4:$I$18,TUBE_4P!$A$4:$I$18),6,0),0))</f>
        <v/>
      </c>
      <c r="L87" s="10" t="str">
        <f t="shared" si="3"/>
        <v/>
      </c>
      <c r="M87" s="55" t="str">
        <f>IF($A87="","",IF(AND(ISNUMBER(G87),G87&gt;=J87,G87&lt;=(J87+(L87/(IF(F87="Contract Workman",Settings!$K$5,Settings!$K$4))))),J87+(L87/(IF(F87="Contract Workman",Settings!$K$5,Settings!$K$4)))+(H87/(IF(F87="Contract Workman",Settings!$K$5,Settings!$K$4))),J87+(L87/(IF(F87="Contract Workman",Settings!$K$5,Settings!$K$4)))))</f>
        <v/>
      </c>
      <c r="N87" s="10" t="str">
        <f t="shared" si="4"/>
        <v/>
      </c>
      <c r="O87" s="51" t="str">
        <f>IF(B87="","", IF(IFERROR(ISNUMBER(SEARCH(B87, VLOOKUP(E87, Machine_List!$B:$J, 9, 0))), FALSE()), "✅ Machine OK", "❌ Sug: " &amp; IFERROR(INDEX(Machine_List!$B$4:$B$50, MATCH("*"&amp;B87&amp;"*", Machine_List!$J$4:$J$50, 0)), "Check Limits")))</f>
        <v/>
      </c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  <c r="AE87" s="52"/>
      <c r="AF87" s="52"/>
      <c r="AG87" s="52"/>
      <c r="AH87" s="52"/>
      <c r="AI87" s="52"/>
      <c r="AJ87" s="52"/>
      <c r="AK87" s="52"/>
      <c r="AL87" s="52"/>
      <c r="AM87" s="52"/>
      <c r="AN87" s="52"/>
      <c r="AO87" s="52"/>
      <c r="AP87" s="52"/>
      <c r="AQ87" s="52"/>
      <c r="AR87" s="52"/>
      <c r="AS87" s="52"/>
      <c r="AT87" s="52"/>
      <c r="AU87" s="52"/>
      <c r="AV87" s="52"/>
      <c r="AW87" s="52"/>
      <c r="AX87" s="52"/>
      <c r="AY87" s="52"/>
      <c r="AZ87" s="52"/>
      <c r="BA87" s="52"/>
      <c r="BB87" s="52"/>
      <c r="BC87" s="52"/>
      <c r="BD87" s="52"/>
      <c r="BE87" s="52"/>
      <c r="BF87" s="52"/>
      <c r="BG87" s="52"/>
      <c r="BH87" s="52"/>
      <c r="BI87" s="52"/>
      <c r="BJ87" s="52"/>
      <c r="BK87" s="52"/>
      <c r="BL87" s="52"/>
      <c r="BM87" s="52"/>
    </row>
    <row r="88" spans="1:65" ht="15" customHeight="1" x14ac:dyDescent="0.3">
      <c r="A88" s="10" t="str">
        <f>IF(Job_Master!A88="","",Job_Master!A88)</f>
        <v/>
      </c>
      <c r="B88" s="10" t="str">
        <f>IF($A88="","",Job_Master!B88)</f>
        <v/>
      </c>
      <c r="C88" s="10" t="str">
        <f>IF($A88="","",Job_Master!C88)</f>
        <v/>
      </c>
      <c r="D88" s="10" t="str">
        <f>IF($A88="","",Job_Master!D88)</f>
        <v/>
      </c>
      <c r="E88" s="10" t="str">
        <f>IF($A88="","",IFERROR(INDEX(Machine_List!$B$64:$B$71,MATCH("*"&amp;$B88&amp;"*",Machine_List!$J$64:$J$71,0)),"NO COMPATIBLE MACHINE"))</f>
        <v/>
      </c>
      <c r="F88" s="106" t="str">
        <f>IF($E88="","",IFERROR(VLOOKUP($E88,Machine_List!$B:$G,6,0),""))</f>
        <v/>
      </c>
      <c r="G88" s="53" t="str">
        <f>IF($E88="","",IFERROR(VLOOKUP($E88,Machine_List!$B:$C,2,0),""))</f>
        <v/>
      </c>
      <c r="H88" s="10" t="str">
        <f>IF($E88="","",IFERROR(VLOOKUP($E88,Machine_List!$B:$D,3,0),""))</f>
        <v/>
      </c>
      <c r="I88" s="54"/>
      <c r="J88" s="55" t="str">
        <f ca="1">IF($A88="","",IF($I88&lt;&gt;"",$I88,MAX(ENG_Plan!$M88,IFERROR(LOOKUP(2,1/($E$3:INDIRECT("E"&amp;(ROW()-1))=$E88),$M$3:INDIRECT("M"&amp;(ROW()-1))),ENG_Plan!$M88))))</f>
        <v/>
      </c>
      <c r="K88" s="10" t="str">
        <f>IF($A88="","",IFERROR(VLOOKUP(B88,CHOOSE(MATCH(C88,Settings!$L$4:$L$10,0),OPR_2P!$A$4:$I$18,SEG_6P!$A$4:$I$18,SOL_4P!$A$4:$I$18,RW_2P!$A$4:$I$18,RW2_4P!$A$4:$I$18,FLAP_4P!$A$4:$I$18,TUBE_4P!$A$4:$I$18),6,0),0))</f>
        <v/>
      </c>
      <c r="L88" s="10" t="str">
        <f t="shared" si="3"/>
        <v/>
      </c>
      <c r="M88" s="55" t="str">
        <f>IF($A88="","",IF(AND(ISNUMBER(G88),G88&gt;=J88,G88&lt;=(J88+(L88/(IF(F88="Contract Workman",Settings!$K$5,Settings!$K$4))))),J88+(L88/(IF(F88="Contract Workman",Settings!$K$5,Settings!$K$4)))+(H88/(IF(F88="Contract Workman",Settings!$K$5,Settings!$K$4))),J88+(L88/(IF(F88="Contract Workman",Settings!$K$5,Settings!$K$4)))))</f>
        <v/>
      </c>
      <c r="N88" s="10" t="str">
        <f t="shared" si="4"/>
        <v/>
      </c>
      <c r="O88" s="51" t="str">
        <f>IF(B88="","", IF(IFERROR(ISNUMBER(SEARCH(B88, VLOOKUP(E88, Machine_List!$B:$J, 9, 0))), FALSE()), "✅ Machine OK", "❌ Sug: " &amp; IFERROR(INDEX(Machine_List!$B$4:$B$50, MATCH("*"&amp;B88&amp;"*", Machine_List!$J$4:$J$50, 0)), "Check Limits")))</f>
        <v/>
      </c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2"/>
      <c r="AD88" s="52"/>
      <c r="AE88" s="52"/>
      <c r="AF88" s="52"/>
      <c r="AG88" s="52"/>
      <c r="AH88" s="52"/>
      <c r="AI88" s="52"/>
      <c r="AJ88" s="52"/>
      <c r="AK88" s="52"/>
      <c r="AL88" s="52"/>
      <c r="AM88" s="52"/>
      <c r="AN88" s="52"/>
      <c r="AO88" s="52"/>
      <c r="AP88" s="52"/>
      <c r="AQ88" s="52"/>
      <c r="AR88" s="52"/>
      <c r="AS88" s="52"/>
      <c r="AT88" s="52"/>
      <c r="AU88" s="52"/>
      <c r="AV88" s="52"/>
      <c r="AW88" s="52"/>
      <c r="AX88" s="52"/>
      <c r="AY88" s="52"/>
      <c r="AZ88" s="52"/>
      <c r="BA88" s="52"/>
      <c r="BB88" s="52"/>
      <c r="BC88" s="52"/>
      <c r="BD88" s="52"/>
      <c r="BE88" s="52"/>
      <c r="BF88" s="52"/>
      <c r="BG88" s="52"/>
      <c r="BH88" s="52"/>
      <c r="BI88" s="52"/>
      <c r="BJ88" s="52"/>
      <c r="BK88" s="52"/>
      <c r="BL88" s="52"/>
      <c r="BM88" s="52"/>
    </row>
    <row r="89" spans="1:65" ht="15" customHeight="1" x14ac:dyDescent="0.3">
      <c r="A89" s="10" t="str">
        <f>IF(Job_Master!A89="","",Job_Master!A89)</f>
        <v/>
      </c>
      <c r="B89" s="10" t="str">
        <f>IF($A89="","",Job_Master!B89)</f>
        <v/>
      </c>
      <c r="C89" s="10" t="str">
        <f>IF($A89="","",Job_Master!C89)</f>
        <v/>
      </c>
      <c r="D89" s="10" t="str">
        <f>IF($A89="","",Job_Master!D89)</f>
        <v/>
      </c>
      <c r="E89" s="10" t="str">
        <f>IF($A89="","",IFERROR(INDEX(Machine_List!$B$64:$B$71,MATCH("*"&amp;$B89&amp;"*",Machine_List!$J$64:$J$71,0)),"NO COMPATIBLE MACHINE"))</f>
        <v/>
      </c>
      <c r="F89" s="106" t="str">
        <f>IF($E89="","",IFERROR(VLOOKUP($E89,Machine_List!$B:$G,6,0),""))</f>
        <v/>
      </c>
      <c r="G89" s="53" t="str">
        <f>IF($E89="","",IFERROR(VLOOKUP($E89,Machine_List!$B:$C,2,0),""))</f>
        <v/>
      </c>
      <c r="H89" s="10" t="str">
        <f>IF($E89="","",IFERROR(VLOOKUP($E89,Machine_List!$B:$D,3,0),""))</f>
        <v/>
      </c>
      <c r="I89" s="54"/>
      <c r="J89" s="55" t="str">
        <f ca="1">IF($A89="","",IF($I89&lt;&gt;"",$I89,MAX(ENG_Plan!$M89,IFERROR(LOOKUP(2,1/($E$3:INDIRECT("E"&amp;(ROW()-1))=$E89),$M$3:INDIRECT("M"&amp;(ROW()-1))),ENG_Plan!$M89))))</f>
        <v/>
      </c>
      <c r="K89" s="10" t="str">
        <f>IF($A89="","",IFERROR(VLOOKUP(B89,CHOOSE(MATCH(C89,Settings!$L$4:$L$10,0),OPR_2P!$A$4:$I$18,SEG_6P!$A$4:$I$18,SOL_4P!$A$4:$I$18,RW_2P!$A$4:$I$18,RW2_4P!$A$4:$I$18,FLAP_4P!$A$4:$I$18,TUBE_4P!$A$4:$I$18),6,0),0))</f>
        <v/>
      </c>
      <c r="L89" s="10" t="str">
        <f t="shared" si="3"/>
        <v/>
      </c>
      <c r="M89" s="55" t="str">
        <f>IF($A89="","",IF(AND(ISNUMBER(G89),G89&gt;=J89,G89&lt;=(J89+(L89/(IF(F89="Contract Workman",Settings!$K$5,Settings!$K$4))))),J89+(L89/(IF(F89="Contract Workman",Settings!$K$5,Settings!$K$4)))+(H89/(IF(F89="Contract Workman",Settings!$K$5,Settings!$K$4))),J89+(L89/(IF(F89="Contract Workman",Settings!$K$5,Settings!$K$4)))))</f>
        <v/>
      </c>
      <c r="N89" s="10" t="str">
        <f t="shared" si="4"/>
        <v/>
      </c>
      <c r="O89" s="51" t="str">
        <f>IF(B89="","", IF(IFERROR(ISNUMBER(SEARCH(B89, VLOOKUP(E89, Machine_List!$B:$J, 9, 0))), FALSE()), "✅ Machine OK", "❌ Sug: " &amp; IFERROR(INDEX(Machine_List!$B$4:$B$50, MATCH("*"&amp;B89&amp;"*", Machine_List!$J$4:$J$50, 0)), "Check Limits")))</f>
        <v/>
      </c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  <c r="AE89" s="52"/>
      <c r="AF89" s="52"/>
      <c r="AG89" s="52"/>
      <c r="AH89" s="52"/>
      <c r="AI89" s="52"/>
      <c r="AJ89" s="52"/>
      <c r="AK89" s="52"/>
      <c r="AL89" s="52"/>
      <c r="AM89" s="52"/>
      <c r="AN89" s="52"/>
      <c r="AO89" s="52"/>
      <c r="AP89" s="52"/>
      <c r="AQ89" s="52"/>
      <c r="AR89" s="52"/>
      <c r="AS89" s="52"/>
      <c r="AT89" s="52"/>
      <c r="AU89" s="52"/>
      <c r="AV89" s="52"/>
      <c r="AW89" s="52"/>
      <c r="AX89" s="52"/>
      <c r="AY89" s="52"/>
      <c r="AZ89" s="52"/>
      <c r="BA89" s="52"/>
      <c r="BB89" s="52"/>
      <c r="BC89" s="52"/>
      <c r="BD89" s="52"/>
      <c r="BE89" s="52"/>
      <c r="BF89" s="52"/>
      <c r="BG89" s="52"/>
      <c r="BH89" s="52"/>
      <c r="BI89" s="52"/>
      <c r="BJ89" s="52"/>
      <c r="BK89" s="52"/>
      <c r="BL89" s="52"/>
      <c r="BM89" s="52"/>
    </row>
    <row r="90" spans="1:65" ht="15" customHeight="1" x14ac:dyDescent="0.3">
      <c r="A90" s="10" t="str">
        <f>IF(Job_Master!A90="","",Job_Master!A90)</f>
        <v/>
      </c>
      <c r="B90" s="10" t="str">
        <f>IF($A90="","",Job_Master!B90)</f>
        <v/>
      </c>
      <c r="C90" s="10" t="str">
        <f>IF($A90="","",Job_Master!C90)</f>
        <v/>
      </c>
      <c r="D90" s="10" t="str">
        <f>IF($A90="","",Job_Master!D90)</f>
        <v/>
      </c>
      <c r="E90" s="10" t="str">
        <f>IF($A90="","",IFERROR(INDEX(Machine_List!$B$64:$B$71,MATCH("*"&amp;$B90&amp;"*",Machine_List!$J$64:$J$71,0)),"NO COMPATIBLE MACHINE"))</f>
        <v/>
      </c>
      <c r="F90" s="106" t="str">
        <f>IF($E90="","",IFERROR(VLOOKUP($E90,Machine_List!$B:$G,6,0),""))</f>
        <v/>
      </c>
      <c r="G90" s="53" t="str">
        <f>IF($E90="","",IFERROR(VLOOKUP($E90,Machine_List!$B:$C,2,0),""))</f>
        <v/>
      </c>
      <c r="H90" s="10" t="str">
        <f>IF($E90="","",IFERROR(VLOOKUP($E90,Machine_List!$B:$D,3,0),""))</f>
        <v/>
      </c>
      <c r="I90" s="54"/>
      <c r="J90" s="55" t="str">
        <f ca="1">IF($A90="","",IF($I90&lt;&gt;"",$I90,MAX(ENG_Plan!$M90,IFERROR(LOOKUP(2,1/($E$3:INDIRECT("E"&amp;(ROW()-1))=$E90),$M$3:INDIRECT("M"&amp;(ROW()-1))),ENG_Plan!$M90))))</f>
        <v/>
      </c>
      <c r="K90" s="10" t="str">
        <f>IF($A90="","",IFERROR(VLOOKUP(B90,CHOOSE(MATCH(C90,Settings!$L$4:$L$10,0),OPR_2P!$A$4:$I$18,SEG_6P!$A$4:$I$18,SOL_4P!$A$4:$I$18,RW_2P!$A$4:$I$18,RW2_4P!$A$4:$I$18,FLAP_4P!$A$4:$I$18,TUBE_4P!$A$4:$I$18),6,0),0))</f>
        <v/>
      </c>
      <c r="L90" s="10" t="str">
        <f t="shared" si="3"/>
        <v/>
      </c>
      <c r="M90" s="55" t="str">
        <f>IF($A90="","",IF(AND(ISNUMBER(G90),G90&gt;=J90,G90&lt;=(J90+(L90/(IF(F90="Contract Workman",Settings!$K$5,Settings!$K$4))))),J90+(L90/(IF(F90="Contract Workman",Settings!$K$5,Settings!$K$4)))+(H90/(IF(F90="Contract Workman",Settings!$K$5,Settings!$K$4))),J90+(L90/(IF(F90="Contract Workman",Settings!$K$5,Settings!$K$4)))))</f>
        <v/>
      </c>
      <c r="N90" s="10" t="str">
        <f t="shared" si="4"/>
        <v/>
      </c>
      <c r="O90" s="51" t="str">
        <f>IF(B90="","", IF(IFERROR(ISNUMBER(SEARCH(B90, VLOOKUP(E90, Machine_List!$B:$J, 9, 0))), FALSE()), "✅ Machine OK", "❌ Sug: " &amp; IFERROR(INDEX(Machine_List!$B$4:$B$50, MATCH("*"&amp;B90&amp;"*", Machine_List!$J$4:$J$50, 0)), "Check Limits")))</f>
        <v/>
      </c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  <c r="AE90" s="52"/>
      <c r="AF90" s="52"/>
      <c r="AG90" s="52"/>
      <c r="AH90" s="52"/>
      <c r="AI90" s="52"/>
      <c r="AJ90" s="52"/>
      <c r="AK90" s="52"/>
      <c r="AL90" s="52"/>
      <c r="AM90" s="52"/>
      <c r="AN90" s="52"/>
      <c r="AO90" s="52"/>
      <c r="AP90" s="52"/>
      <c r="AQ90" s="52"/>
      <c r="AR90" s="52"/>
      <c r="AS90" s="52"/>
      <c r="AT90" s="52"/>
      <c r="AU90" s="52"/>
      <c r="AV90" s="52"/>
      <c r="AW90" s="52"/>
      <c r="AX90" s="52"/>
      <c r="AY90" s="52"/>
      <c r="AZ90" s="52"/>
      <c r="BA90" s="52"/>
      <c r="BB90" s="52"/>
      <c r="BC90" s="52"/>
      <c r="BD90" s="52"/>
      <c r="BE90" s="52"/>
      <c r="BF90" s="52"/>
      <c r="BG90" s="52"/>
      <c r="BH90" s="52"/>
      <c r="BI90" s="52"/>
      <c r="BJ90" s="52"/>
      <c r="BK90" s="52"/>
      <c r="BL90" s="52"/>
      <c r="BM90" s="52"/>
    </row>
    <row r="91" spans="1:65" ht="15" customHeight="1" x14ac:dyDescent="0.3">
      <c r="A91" s="10" t="str">
        <f>IF(Job_Master!A91="","",Job_Master!A91)</f>
        <v/>
      </c>
      <c r="B91" s="10" t="str">
        <f>IF($A91="","",Job_Master!B91)</f>
        <v/>
      </c>
      <c r="C91" s="10" t="str">
        <f>IF($A91="","",Job_Master!C91)</f>
        <v/>
      </c>
      <c r="D91" s="10" t="str">
        <f>IF($A91="","",Job_Master!D91)</f>
        <v/>
      </c>
      <c r="E91" s="10" t="str">
        <f>IF($A91="","",IFERROR(INDEX(Machine_List!$B$64:$B$71,MATCH("*"&amp;$B91&amp;"*",Machine_List!$J$64:$J$71,0)),"NO COMPATIBLE MACHINE"))</f>
        <v/>
      </c>
      <c r="F91" s="106" t="str">
        <f>IF($E91="","",IFERROR(VLOOKUP($E91,Machine_List!$B:$G,6,0),""))</f>
        <v/>
      </c>
      <c r="G91" s="53" t="str">
        <f>IF($E91="","",IFERROR(VLOOKUP($E91,Machine_List!$B:$C,2,0),""))</f>
        <v/>
      </c>
      <c r="H91" s="10" t="str">
        <f>IF($E91="","",IFERROR(VLOOKUP($E91,Machine_List!$B:$D,3,0),""))</f>
        <v/>
      </c>
      <c r="I91" s="54"/>
      <c r="J91" s="55" t="str">
        <f ca="1">IF($A91="","",IF($I91&lt;&gt;"",$I91,MAX(ENG_Plan!$M91,IFERROR(LOOKUP(2,1/($E$3:INDIRECT("E"&amp;(ROW()-1))=$E91),$M$3:INDIRECT("M"&amp;(ROW()-1))),ENG_Plan!$M91))))</f>
        <v/>
      </c>
      <c r="K91" s="10" t="str">
        <f>IF($A91="","",IFERROR(VLOOKUP(B91,CHOOSE(MATCH(C91,Settings!$L$4:$L$10,0),OPR_2P!$A$4:$I$18,SEG_6P!$A$4:$I$18,SOL_4P!$A$4:$I$18,RW_2P!$A$4:$I$18,RW2_4P!$A$4:$I$18,FLAP_4P!$A$4:$I$18,TUBE_4P!$A$4:$I$18),6,0),0))</f>
        <v/>
      </c>
      <c r="L91" s="10" t="str">
        <f t="shared" si="3"/>
        <v/>
      </c>
      <c r="M91" s="55" t="str">
        <f>IF($A91="","",IF(AND(ISNUMBER(G91),G91&gt;=J91,G91&lt;=(J91+(L91/(IF(F91="Contract Workman",Settings!$K$5,Settings!$K$4))))),J91+(L91/(IF(F91="Contract Workman",Settings!$K$5,Settings!$K$4)))+(H91/(IF(F91="Contract Workman",Settings!$K$5,Settings!$K$4))),J91+(L91/(IF(F91="Contract Workman",Settings!$K$5,Settings!$K$4)))))</f>
        <v/>
      </c>
      <c r="N91" s="10" t="str">
        <f t="shared" si="4"/>
        <v/>
      </c>
      <c r="O91" s="51" t="str">
        <f>IF(B91="","", IF(IFERROR(ISNUMBER(SEARCH(B91, VLOOKUP(E91, Machine_List!$B:$J, 9, 0))), FALSE()), "✅ Machine OK", "❌ Sug: " &amp; IFERROR(INDEX(Machine_List!$B$4:$B$50, MATCH("*"&amp;B91&amp;"*", Machine_List!$J$4:$J$50, 0)), "Check Limits")))</f>
        <v/>
      </c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  <c r="AX91" s="52"/>
      <c r="AY91" s="52"/>
      <c r="AZ91" s="52"/>
      <c r="BA91" s="52"/>
      <c r="BB91" s="52"/>
      <c r="BC91" s="52"/>
      <c r="BD91" s="52"/>
      <c r="BE91" s="52"/>
      <c r="BF91" s="52"/>
      <c r="BG91" s="52"/>
      <c r="BH91" s="52"/>
      <c r="BI91" s="52"/>
      <c r="BJ91" s="52"/>
      <c r="BK91" s="52"/>
      <c r="BL91" s="52"/>
      <c r="BM91" s="52"/>
    </row>
    <row r="92" spans="1:65" ht="15" customHeight="1" x14ac:dyDescent="0.3">
      <c r="A92" s="10" t="str">
        <f>IF(Job_Master!A92="","",Job_Master!A92)</f>
        <v/>
      </c>
      <c r="B92" s="10" t="str">
        <f>IF($A92="","",Job_Master!B92)</f>
        <v/>
      </c>
      <c r="C92" s="10" t="str">
        <f>IF($A92="","",Job_Master!C92)</f>
        <v/>
      </c>
      <c r="D92" s="10" t="str">
        <f>IF($A92="","",Job_Master!D92)</f>
        <v/>
      </c>
      <c r="E92" s="10" t="str">
        <f>IF($A92="","",IFERROR(INDEX(Machine_List!$B$64:$B$71,MATCH("*"&amp;$B92&amp;"*",Machine_List!$J$64:$J$71,0)),"NO COMPATIBLE MACHINE"))</f>
        <v/>
      </c>
      <c r="F92" s="106" t="str">
        <f>IF($E92="","",IFERROR(VLOOKUP($E92,Machine_List!$B:$G,6,0),""))</f>
        <v/>
      </c>
      <c r="G92" s="53" t="str">
        <f>IF($E92="","",IFERROR(VLOOKUP($E92,Machine_List!$B:$C,2,0),""))</f>
        <v/>
      </c>
      <c r="H92" s="10" t="str">
        <f>IF($E92="","",IFERROR(VLOOKUP($E92,Machine_List!$B:$D,3,0),""))</f>
        <v/>
      </c>
      <c r="I92" s="54"/>
      <c r="J92" s="55" t="str">
        <f ca="1">IF($A92="","",IF($I92&lt;&gt;"",$I92,MAX(ENG_Plan!$M92,IFERROR(LOOKUP(2,1/($E$3:INDIRECT("E"&amp;(ROW()-1))=$E92),$M$3:INDIRECT("M"&amp;(ROW()-1))),ENG_Plan!$M92))))</f>
        <v/>
      </c>
      <c r="K92" s="10" t="str">
        <f>IF($A92="","",IFERROR(VLOOKUP(B92,CHOOSE(MATCH(C92,Settings!$L$4:$L$10,0),OPR_2P!$A$4:$I$18,SEG_6P!$A$4:$I$18,SOL_4P!$A$4:$I$18,RW_2P!$A$4:$I$18,RW2_4P!$A$4:$I$18,FLAP_4P!$A$4:$I$18,TUBE_4P!$A$4:$I$18),6,0),0))</f>
        <v/>
      </c>
      <c r="L92" s="10" t="str">
        <f t="shared" si="3"/>
        <v/>
      </c>
      <c r="M92" s="55" t="str">
        <f>IF($A92="","",IF(AND(ISNUMBER(G92),G92&gt;=J92,G92&lt;=(J92+(L92/(IF(F92="Contract Workman",Settings!$K$5,Settings!$K$4))))),J92+(L92/(IF(F92="Contract Workman",Settings!$K$5,Settings!$K$4)))+(H92/(IF(F92="Contract Workman",Settings!$K$5,Settings!$K$4))),J92+(L92/(IF(F92="Contract Workman",Settings!$K$5,Settings!$K$4)))))</f>
        <v/>
      </c>
      <c r="N92" s="10" t="str">
        <f t="shared" si="4"/>
        <v/>
      </c>
      <c r="O92" s="51" t="str">
        <f>IF(B92="","", IF(IFERROR(ISNUMBER(SEARCH(B92, VLOOKUP(E92, Machine_List!$B:$J, 9, 0))), FALSE()), "✅ Machine OK", "❌ Sug: " &amp; IFERROR(INDEX(Machine_List!$B$4:$B$50, MATCH("*"&amp;B92&amp;"*", Machine_List!$J$4:$J$50, 0)), "Check Limits")))</f>
        <v/>
      </c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  <c r="AX92" s="52"/>
      <c r="AY92" s="52"/>
      <c r="AZ92" s="52"/>
      <c r="BA92" s="52"/>
      <c r="BB92" s="52"/>
      <c r="BC92" s="52"/>
      <c r="BD92" s="52"/>
      <c r="BE92" s="52"/>
      <c r="BF92" s="52"/>
      <c r="BG92" s="52"/>
      <c r="BH92" s="52"/>
      <c r="BI92" s="52"/>
      <c r="BJ92" s="52"/>
      <c r="BK92" s="52"/>
      <c r="BL92" s="52"/>
      <c r="BM92" s="52"/>
    </row>
    <row r="93" spans="1:65" ht="15" customHeight="1" x14ac:dyDescent="0.3">
      <c r="A93" s="10" t="str">
        <f>IF(Job_Master!A93="","",Job_Master!A93)</f>
        <v/>
      </c>
      <c r="B93" s="10" t="str">
        <f>IF($A93="","",Job_Master!B93)</f>
        <v/>
      </c>
      <c r="C93" s="10" t="str">
        <f>IF($A93="","",Job_Master!C93)</f>
        <v/>
      </c>
      <c r="D93" s="10" t="str">
        <f>IF($A93="","",Job_Master!D93)</f>
        <v/>
      </c>
      <c r="E93" s="10" t="str">
        <f>IF($A93="","",IFERROR(INDEX(Machine_List!$B$64:$B$71,MATCH("*"&amp;$B93&amp;"*",Machine_List!$J$64:$J$71,0)),"NO COMPATIBLE MACHINE"))</f>
        <v/>
      </c>
      <c r="F93" s="106" t="str">
        <f>IF($E93="","",IFERROR(VLOOKUP($E93,Machine_List!$B:$G,6,0),""))</f>
        <v/>
      </c>
      <c r="G93" s="53" t="str">
        <f>IF($E93="","",IFERROR(VLOOKUP($E93,Machine_List!$B:$C,2,0),""))</f>
        <v/>
      </c>
      <c r="H93" s="10" t="str">
        <f>IF($E93="","",IFERROR(VLOOKUP($E93,Machine_List!$B:$D,3,0),""))</f>
        <v/>
      </c>
      <c r="I93" s="54"/>
      <c r="J93" s="55" t="str">
        <f ca="1">IF($A93="","",IF($I93&lt;&gt;"",$I93,MAX(ENG_Plan!$M93,IFERROR(LOOKUP(2,1/($E$3:INDIRECT("E"&amp;(ROW()-1))=$E93),$M$3:INDIRECT("M"&amp;(ROW()-1))),ENG_Plan!$M93))))</f>
        <v/>
      </c>
      <c r="K93" s="10" t="str">
        <f>IF($A93="","",IFERROR(VLOOKUP(B93,CHOOSE(MATCH(C93,Settings!$L$4:$L$10,0),OPR_2P!$A$4:$I$18,SEG_6P!$A$4:$I$18,SOL_4P!$A$4:$I$18,RW_2P!$A$4:$I$18,RW2_4P!$A$4:$I$18,FLAP_4P!$A$4:$I$18,TUBE_4P!$A$4:$I$18),6,0),0))</f>
        <v/>
      </c>
      <c r="L93" s="10" t="str">
        <f t="shared" si="3"/>
        <v/>
      </c>
      <c r="M93" s="55" t="str">
        <f>IF($A93="","",IF(AND(ISNUMBER(G93),G93&gt;=J93,G93&lt;=(J93+(L93/(IF(F93="Contract Workman",Settings!$K$5,Settings!$K$4))))),J93+(L93/(IF(F93="Contract Workman",Settings!$K$5,Settings!$K$4)))+(H93/(IF(F93="Contract Workman",Settings!$K$5,Settings!$K$4))),J93+(L93/(IF(F93="Contract Workman",Settings!$K$5,Settings!$K$4)))))</f>
        <v/>
      </c>
      <c r="N93" s="10" t="str">
        <f t="shared" si="4"/>
        <v/>
      </c>
      <c r="O93" s="51" t="str">
        <f>IF(B93="","", IF(IFERROR(ISNUMBER(SEARCH(B93, VLOOKUP(E93, Machine_List!$B:$J, 9, 0))), FALSE()), "✅ Machine OK", "❌ Sug: " &amp; IFERROR(INDEX(Machine_List!$B$4:$B$50, MATCH("*"&amp;B93&amp;"*", Machine_List!$J$4:$J$50, 0)), "Check Limits")))</f>
        <v/>
      </c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  <c r="AC93" s="52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  <c r="AX93" s="52"/>
      <c r="AY93" s="52"/>
      <c r="AZ93" s="52"/>
      <c r="BA93" s="52"/>
      <c r="BB93" s="52"/>
      <c r="BC93" s="52"/>
      <c r="BD93" s="52"/>
      <c r="BE93" s="52"/>
      <c r="BF93" s="52"/>
      <c r="BG93" s="52"/>
      <c r="BH93" s="52"/>
      <c r="BI93" s="52"/>
      <c r="BJ93" s="52"/>
      <c r="BK93" s="52"/>
      <c r="BL93" s="52"/>
      <c r="BM93" s="52"/>
    </row>
    <row r="94" spans="1:65" ht="15" customHeight="1" x14ac:dyDescent="0.3">
      <c r="A94" s="10" t="str">
        <f>IF(Job_Master!A94="","",Job_Master!A94)</f>
        <v/>
      </c>
      <c r="B94" s="10" t="str">
        <f>IF($A94="","",Job_Master!B94)</f>
        <v/>
      </c>
      <c r="C94" s="10" t="str">
        <f>IF($A94="","",Job_Master!C94)</f>
        <v/>
      </c>
      <c r="D94" s="10" t="str">
        <f>IF($A94="","",Job_Master!D94)</f>
        <v/>
      </c>
      <c r="E94" s="10" t="str">
        <f>IF($A94="","",IFERROR(INDEX(Machine_List!$B$64:$B$71,MATCH("*"&amp;$B94&amp;"*",Machine_List!$J$64:$J$71,0)),"NO COMPATIBLE MACHINE"))</f>
        <v/>
      </c>
      <c r="F94" s="106" t="str">
        <f>IF($E94="","",IFERROR(VLOOKUP($E94,Machine_List!$B:$G,6,0),""))</f>
        <v/>
      </c>
      <c r="G94" s="53" t="str">
        <f>IF($E94="","",IFERROR(VLOOKUP($E94,Machine_List!$B:$C,2,0),""))</f>
        <v/>
      </c>
      <c r="H94" s="10" t="str">
        <f>IF($E94="","",IFERROR(VLOOKUP($E94,Machine_List!$B:$D,3,0),""))</f>
        <v/>
      </c>
      <c r="I94" s="54"/>
      <c r="J94" s="55" t="str">
        <f ca="1">IF($A94="","",IF($I94&lt;&gt;"",$I94,MAX(ENG_Plan!$M94,IFERROR(LOOKUP(2,1/($E$3:INDIRECT("E"&amp;(ROW()-1))=$E94),$M$3:INDIRECT("M"&amp;(ROW()-1))),ENG_Plan!$M94))))</f>
        <v/>
      </c>
      <c r="K94" s="10" t="str">
        <f>IF($A94="","",IFERROR(VLOOKUP(B94,CHOOSE(MATCH(C94,Settings!$L$4:$L$10,0),OPR_2P!$A$4:$I$18,SEG_6P!$A$4:$I$18,SOL_4P!$A$4:$I$18,RW_2P!$A$4:$I$18,RW2_4P!$A$4:$I$18,FLAP_4P!$A$4:$I$18,TUBE_4P!$A$4:$I$18),6,0),0))</f>
        <v/>
      </c>
      <c r="L94" s="10" t="str">
        <f t="shared" si="3"/>
        <v/>
      </c>
      <c r="M94" s="55" t="str">
        <f>IF($A94="","",IF(AND(ISNUMBER(G94),G94&gt;=J94,G94&lt;=(J94+(L94/(IF(F94="Contract Workman",Settings!$K$5,Settings!$K$4))))),J94+(L94/(IF(F94="Contract Workman",Settings!$K$5,Settings!$K$4)))+(H94/(IF(F94="Contract Workman",Settings!$K$5,Settings!$K$4))),J94+(L94/(IF(F94="Contract Workman",Settings!$K$5,Settings!$K$4)))))</f>
        <v/>
      </c>
      <c r="N94" s="10" t="str">
        <f t="shared" si="4"/>
        <v/>
      </c>
      <c r="O94" s="51" t="str">
        <f>IF(B94="","", IF(IFERROR(ISNUMBER(SEARCH(B94, VLOOKUP(E94, Machine_List!$B:$J, 9, 0))), FALSE()), "✅ Machine OK", "❌ Sug: " &amp; IFERROR(INDEX(Machine_List!$B$4:$B$50, MATCH("*"&amp;B94&amp;"*", Machine_List!$J$4:$J$50, 0)), "Check Limits")))</f>
        <v/>
      </c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2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  <c r="AX94" s="52"/>
      <c r="AY94" s="52"/>
      <c r="AZ94" s="52"/>
      <c r="BA94" s="52"/>
      <c r="BB94" s="52"/>
      <c r="BC94" s="52"/>
      <c r="BD94" s="52"/>
      <c r="BE94" s="52"/>
      <c r="BF94" s="52"/>
      <c r="BG94" s="52"/>
      <c r="BH94" s="52"/>
      <c r="BI94" s="52"/>
      <c r="BJ94" s="52"/>
      <c r="BK94" s="52"/>
      <c r="BL94" s="52"/>
      <c r="BM94" s="52"/>
    </row>
    <row r="95" spans="1:65" ht="15" customHeight="1" x14ac:dyDescent="0.3">
      <c r="A95" s="10" t="str">
        <f>IF(Job_Master!A95="","",Job_Master!A95)</f>
        <v/>
      </c>
      <c r="B95" s="10" t="str">
        <f>IF($A95="","",Job_Master!B95)</f>
        <v/>
      </c>
      <c r="C95" s="10" t="str">
        <f>IF($A95="","",Job_Master!C95)</f>
        <v/>
      </c>
      <c r="D95" s="10" t="str">
        <f>IF($A95="","",Job_Master!D95)</f>
        <v/>
      </c>
      <c r="E95" s="10" t="str">
        <f>IF($A95="","",IFERROR(INDEX(Machine_List!$B$64:$B$71,MATCH("*"&amp;$B95&amp;"*",Machine_List!$J$64:$J$71,0)),"NO COMPATIBLE MACHINE"))</f>
        <v/>
      </c>
      <c r="F95" s="106" t="str">
        <f>IF($E95="","",IFERROR(VLOOKUP($E95,Machine_List!$B:$G,6,0),""))</f>
        <v/>
      </c>
      <c r="G95" s="53" t="str">
        <f>IF($E95="","",IFERROR(VLOOKUP($E95,Machine_List!$B:$C,2,0),""))</f>
        <v/>
      </c>
      <c r="H95" s="10" t="str">
        <f>IF($E95="","",IFERROR(VLOOKUP($E95,Machine_List!$B:$D,3,0),""))</f>
        <v/>
      </c>
      <c r="I95" s="54"/>
      <c r="J95" s="55" t="str">
        <f ca="1">IF($A95="","",IF($I95&lt;&gt;"",$I95,MAX(ENG_Plan!$M95,IFERROR(LOOKUP(2,1/($E$3:INDIRECT("E"&amp;(ROW()-1))=$E95),$M$3:INDIRECT("M"&amp;(ROW()-1))),ENG_Plan!$M95))))</f>
        <v/>
      </c>
      <c r="K95" s="10" t="str">
        <f>IF($A95="","",IFERROR(VLOOKUP(B95,CHOOSE(MATCH(C95,Settings!$L$4:$L$10,0),OPR_2P!$A$4:$I$18,SEG_6P!$A$4:$I$18,SOL_4P!$A$4:$I$18,RW_2P!$A$4:$I$18,RW2_4P!$A$4:$I$18,FLAP_4P!$A$4:$I$18,TUBE_4P!$A$4:$I$18),6,0),0))</f>
        <v/>
      </c>
      <c r="L95" s="10" t="str">
        <f t="shared" si="3"/>
        <v/>
      </c>
      <c r="M95" s="55" t="str">
        <f>IF($A95="","",IF(AND(ISNUMBER(G95),G95&gt;=J95,G95&lt;=(J95+(L95/(IF(F95="Contract Workman",Settings!$K$5,Settings!$K$4))))),J95+(L95/(IF(F95="Contract Workman",Settings!$K$5,Settings!$K$4)))+(H95/(IF(F95="Contract Workman",Settings!$K$5,Settings!$K$4))),J95+(L95/(IF(F95="Contract Workman",Settings!$K$5,Settings!$K$4)))))</f>
        <v/>
      </c>
      <c r="N95" s="10" t="str">
        <f t="shared" si="4"/>
        <v/>
      </c>
      <c r="O95" s="51" t="str">
        <f>IF(B95="","", IF(IFERROR(ISNUMBER(SEARCH(B95, VLOOKUP(E95, Machine_List!$B:$J, 9, 0))), FALSE()), "✅ Machine OK", "❌ Sug: " &amp; IFERROR(INDEX(Machine_List!$B$4:$B$50, MATCH("*"&amp;B95&amp;"*", Machine_List!$J$4:$J$50, 0)), "Check Limits")))</f>
        <v/>
      </c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  <c r="AC95" s="52"/>
      <c r="AD95" s="52"/>
      <c r="AE95" s="52"/>
      <c r="AF95" s="52"/>
      <c r="AG95" s="52"/>
      <c r="AH95" s="52"/>
      <c r="AI95" s="52"/>
      <c r="AJ95" s="52"/>
      <c r="AK95" s="52"/>
      <c r="AL95" s="52"/>
      <c r="AM95" s="52"/>
      <c r="AN95" s="52"/>
      <c r="AO95" s="52"/>
      <c r="AP95" s="52"/>
      <c r="AQ95" s="52"/>
      <c r="AR95" s="52"/>
      <c r="AS95" s="52"/>
      <c r="AT95" s="52"/>
      <c r="AU95" s="52"/>
      <c r="AV95" s="52"/>
      <c r="AW95" s="52"/>
      <c r="AX95" s="52"/>
      <c r="AY95" s="52"/>
      <c r="AZ95" s="52"/>
      <c r="BA95" s="52"/>
      <c r="BB95" s="52"/>
      <c r="BC95" s="52"/>
      <c r="BD95" s="52"/>
      <c r="BE95" s="52"/>
      <c r="BF95" s="52"/>
      <c r="BG95" s="52"/>
      <c r="BH95" s="52"/>
      <c r="BI95" s="52"/>
      <c r="BJ95" s="52"/>
      <c r="BK95" s="52"/>
      <c r="BL95" s="52"/>
      <c r="BM95" s="52"/>
    </row>
    <row r="96" spans="1:65" ht="15" customHeight="1" x14ac:dyDescent="0.3">
      <c r="A96" s="10" t="str">
        <f>IF(Job_Master!A96="","",Job_Master!A96)</f>
        <v/>
      </c>
      <c r="B96" s="10" t="str">
        <f>IF($A96="","",Job_Master!B96)</f>
        <v/>
      </c>
      <c r="C96" s="10" t="str">
        <f>IF($A96="","",Job_Master!C96)</f>
        <v/>
      </c>
      <c r="D96" s="10" t="str">
        <f>IF($A96="","",Job_Master!D96)</f>
        <v/>
      </c>
      <c r="E96" s="10" t="str">
        <f>IF($A96="","",IFERROR(INDEX(Machine_List!$B$64:$B$71,MATCH("*"&amp;$B96&amp;"*",Machine_List!$J$64:$J$71,0)),"NO COMPATIBLE MACHINE"))</f>
        <v/>
      </c>
      <c r="F96" s="106" t="str">
        <f>IF($E96="","",IFERROR(VLOOKUP($E96,Machine_List!$B:$G,6,0),""))</f>
        <v/>
      </c>
      <c r="G96" s="53" t="str">
        <f>IF($E96="","",IFERROR(VLOOKUP($E96,Machine_List!$B:$C,2,0),""))</f>
        <v/>
      </c>
      <c r="H96" s="10" t="str">
        <f>IF($E96="","",IFERROR(VLOOKUP($E96,Machine_List!$B:$D,3,0),""))</f>
        <v/>
      </c>
      <c r="I96" s="54"/>
      <c r="J96" s="55" t="str">
        <f ca="1">IF($A96="","",IF($I96&lt;&gt;"",$I96,MAX(ENG_Plan!$M96,IFERROR(LOOKUP(2,1/($E$3:INDIRECT("E"&amp;(ROW()-1))=$E96),$M$3:INDIRECT("M"&amp;(ROW()-1))),ENG_Plan!$M96))))</f>
        <v/>
      </c>
      <c r="K96" s="10" t="str">
        <f>IF($A96="","",IFERROR(VLOOKUP(B96,CHOOSE(MATCH(C96,Settings!$L$4:$L$10,0),OPR_2P!$A$4:$I$18,SEG_6P!$A$4:$I$18,SOL_4P!$A$4:$I$18,RW_2P!$A$4:$I$18,RW2_4P!$A$4:$I$18,FLAP_4P!$A$4:$I$18,TUBE_4P!$A$4:$I$18),6,0),0))</f>
        <v/>
      </c>
      <c r="L96" s="10" t="str">
        <f t="shared" si="3"/>
        <v/>
      </c>
      <c r="M96" s="55" t="str">
        <f>IF($A96="","",IF(AND(ISNUMBER(G96),G96&gt;=J96,G96&lt;=(J96+(L96/(IF(F96="Contract Workman",Settings!$K$5,Settings!$K$4))))),J96+(L96/(IF(F96="Contract Workman",Settings!$K$5,Settings!$K$4)))+(H96/(IF(F96="Contract Workman",Settings!$K$5,Settings!$K$4))),J96+(L96/(IF(F96="Contract Workman",Settings!$K$5,Settings!$K$4)))))</f>
        <v/>
      </c>
      <c r="N96" s="10" t="str">
        <f t="shared" si="4"/>
        <v/>
      </c>
      <c r="O96" s="51" t="str">
        <f>IF(B96="","", IF(IFERROR(ISNUMBER(SEARCH(B96, VLOOKUP(E96, Machine_List!$B:$J, 9, 0))), FALSE()), "✅ Machine OK", "❌ Sug: " &amp; IFERROR(INDEX(Machine_List!$B$4:$B$50, MATCH("*"&amp;B96&amp;"*", Machine_List!$J$4:$J$50, 0)), "Check Limits")))</f>
        <v/>
      </c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  <c r="AC96" s="52"/>
      <c r="AD96" s="52"/>
      <c r="AE96" s="52"/>
      <c r="AF96" s="52"/>
      <c r="AG96" s="52"/>
      <c r="AH96" s="52"/>
      <c r="AI96" s="52"/>
      <c r="AJ96" s="52"/>
      <c r="AK96" s="52"/>
      <c r="AL96" s="52"/>
      <c r="AM96" s="52"/>
      <c r="AN96" s="52"/>
      <c r="AO96" s="52"/>
      <c r="AP96" s="52"/>
      <c r="AQ96" s="52"/>
      <c r="AR96" s="52"/>
      <c r="AS96" s="52"/>
      <c r="AT96" s="52"/>
      <c r="AU96" s="52"/>
      <c r="AV96" s="52"/>
      <c r="AW96" s="52"/>
      <c r="AX96" s="52"/>
      <c r="AY96" s="52"/>
      <c r="AZ96" s="52"/>
      <c r="BA96" s="52"/>
      <c r="BB96" s="52"/>
      <c r="BC96" s="52"/>
      <c r="BD96" s="52"/>
      <c r="BE96" s="52"/>
      <c r="BF96" s="52"/>
      <c r="BG96" s="52"/>
      <c r="BH96" s="52"/>
      <c r="BI96" s="52"/>
      <c r="BJ96" s="52"/>
      <c r="BK96" s="52"/>
      <c r="BL96" s="52"/>
      <c r="BM96" s="52"/>
    </row>
    <row r="97" spans="1:65" ht="15" customHeight="1" x14ac:dyDescent="0.3">
      <c r="A97" s="10" t="str">
        <f>IF(Job_Master!A97="","",Job_Master!A97)</f>
        <v/>
      </c>
      <c r="B97" s="10" t="str">
        <f>IF($A97="","",Job_Master!B97)</f>
        <v/>
      </c>
      <c r="C97" s="10" t="str">
        <f>IF($A97="","",Job_Master!C97)</f>
        <v/>
      </c>
      <c r="D97" s="10" t="str">
        <f>IF($A97="","",Job_Master!D97)</f>
        <v/>
      </c>
      <c r="E97" s="10" t="str">
        <f>IF($A97="","",IFERROR(INDEX(Machine_List!$B$64:$B$71,MATCH("*"&amp;$B97&amp;"*",Machine_List!$J$64:$J$71,0)),"NO COMPATIBLE MACHINE"))</f>
        <v/>
      </c>
      <c r="F97" s="106" t="str">
        <f>IF($E97="","",IFERROR(VLOOKUP($E97,Machine_List!$B:$G,6,0),""))</f>
        <v/>
      </c>
      <c r="G97" s="53" t="str">
        <f>IF($E97="","",IFERROR(VLOOKUP($E97,Machine_List!$B:$C,2,0),""))</f>
        <v/>
      </c>
      <c r="H97" s="10" t="str">
        <f>IF($E97="","",IFERROR(VLOOKUP($E97,Machine_List!$B:$D,3,0),""))</f>
        <v/>
      </c>
      <c r="I97" s="54"/>
      <c r="J97" s="55" t="str">
        <f ca="1">IF($A97="","",IF($I97&lt;&gt;"",$I97,MAX(ENG_Plan!$M97,IFERROR(LOOKUP(2,1/($E$3:INDIRECT("E"&amp;(ROW()-1))=$E97),$M$3:INDIRECT("M"&amp;(ROW()-1))),ENG_Plan!$M97))))</f>
        <v/>
      </c>
      <c r="K97" s="10" t="str">
        <f>IF($A97="","",IFERROR(VLOOKUP(B97,CHOOSE(MATCH(C97,Settings!$L$4:$L$10,0),OPR_2P!$A$4:$I$18,SEG_6P!$A$4:$I$18,SOL_4P!$A$4:$I$18,RW_2P!$A$4:$I$18,RW2_4P!$A$4:$I$18,FLAP_4P!$A$4:$I$18,TUBE_4P!$A$4:$I$18),6,0),0))</f>
        <v/>
      </c>
      <c r="L97" s="10" t="str">
        <f t="shared" si="3"/>
        <v/>
      </c>
      <c r="M97" s="55" t="str">
        <f>IF($A97="","",IF(AND(ISNUMBER(G97),G97&gt;=J97,G97&lt;=(J97+(L97/(IF(F97="Contract Workman",Settings!$K$5,Settings!$K$4))))),J97+(L97/(IF(F97="Contract Workman",Settings!$K$5,Settings!$K$4)))+(H97/(IF(F97="Contract Workman",Settings!$K$5,Settings!$K$4))),J97+(L97/(IF(F97="Contract Workman",Settings!$K$5,Settings!$K$4)))))</f>
        <v/>
      </c>
      <c r="N97" s="10" t="str">
        <f t="shared" si="4"/>
        <v/>
      </c>
      <c r="O97" s="51" t="str">
        <f>IF(B97="","", IF(IFERROR(ISNUMBER(SEARCH(B97, VLOOKUP(E97, Machine_List!$B:$J, 9, 0))), FALSE()), "✅ Machine OK", "❌ Sug: " &amp; IFERROR(INDEX(Machine_List!$B$4:$B$50, MATCH("*"&amp;B97&amp;"*", Machine_List!$J$4:$J$50, 0)), "Check Limits")))</f>
        <v/>
      </c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  <c r="AE97" s="52"/>
      <c r="AF97" s="52"/>
      <c r="AG97" s="52"/>
      <c r="AH97" s="52"/>
      <c r="AI97" s="52"/>
      <c r="AJ97" s="52"/>
      <c r="AK97" s="52"/>
      <c r="AL97" s="52"/>
      <c r="AM97" s="52"/>
      <c r="AN97" s="52"/>
      <c r="AO97" s="52"/>
      <c r="AP97" s="52"/>
      <c r="AQ97" s="52"/>
      <c r="AR97" s="52"/>
      <c r="AS97" s="52"/>
      <c r="AT97" s="52"/>
      <c r="AU97" s="52"/>
      <c r="AV97" s="52"/>
      <c r="AW97" s="52"/>
      <c r="AX97" s="52"/>
      <c r="AY97" s="52"/>
      <c r="AZ97" s="52"/>
      <c r="BA97" s="52"/>
      <c r="BB97" s="52"/>
      <c r="BC97" s="52"/>
      <c r="BD97" s="52"/>
      <c r="BE97" s="52"/>
      <c r="BF97" s="52"/>
      <c r="BG97" s="52"/>
      <c r="BH97" s="52"/>
      <c r="BI97" s="52"/>
      <c r="BJ97" s="52"/>
      <c r="BK97" s="52"/>
      <c r="BL97" s="52"/>
      <c r="BM97" s="52"/>
    </row>
    <row r="98" spans="1:65" ht="15" customHeight="1" x14ac:dyDescent="0.3">
      <c r="A98" s="10" t="str">
        <f>IF(Job_Master!A98="","",Job_Master!A98)</f>
        <v/>
      </c>
      <c r="B98" s="10" t="str">
        <f>IF($A98="","",Job_Master!B98)</f>
        <v/>
      </c>
      <c r="C98" s="10" t="str">
        <f>IF($A98="","",Job_Master!C98)</f>
        <v/>
      </c>
      <c r="D98" s="10" t="str">
        <f>IF($A98="","",Job_Master!D98)</f>
        <v/>
      </c>
      <c r="E98" s="10" t="str">
        <f>IF($A98="","",IFERROR(INDEX(Machine_List!$B$64:$B$71,MATCH("*"&amp;$B98&amp;"*",Machine_List!$J$64:$J$71,0)),"NO COMPATIBLE MACHINE"))</f>
        <v/>
      </c>
      <c r="F98" s="106" t="str">
        <f>IF($E98="","",IFERROR(VLOOKUP($E98,Machine_List!$B:$G,6,0),""))</f>
        <v/>
      </c>
      <c r="G98" s="53" t="str">
        <f>IF($E98="","",IFERROR(VLOOKUP($E98,Machine_List!$B:$C,2,0),""))</f>
        <v/>
      </c>
      <c r="H98" s="10" t="str">
        <f>IF($E98="","",IFERROR(VLOOKUP($E98,Machine_List!$B:$D,3,0),""))</f>
        <v/>
      </c>
      <c r="I98" s="54"/>
      <c r="J98" s="55" t="str">
        <f ca="1">IF($A98="","",IF($I98&lt;&gt;"",$I98,MAX(ENG_Plan!$M98,IFERROR(LOOKUP(2,1/($E$3:INDIRECT("E"&amp;(ROW()-1))=$E98),$M$3:INDIRECT("M"&amp;(ROW()-1))),ENG_Plan!$M98))))</f>
        <v/>
      </c>
      <c r="K98" s="10" t="str">
        <f>IF($A98="","",IFERROR(VLOOKUP(B98,CHOOSE(MATCH(C98,Settings!$L$4:$L$10,0),OPR_2P!$A$4:$I$18,SEG_6P!$A$4:$I$18,SOL_4P!$A$4:$I$18,RW_2P!$A$4:$I$18,RW2_4P!$A$4:$I$18,FLAP_4P!$A$4:$I$18,TUBE_4P!$A$4:$I$18),6,0),0))</f>
        <v/>
      </c>
      <c r="L98" s="10" t="str">
        <f t="shared" si="3"/>
        <v/>
      </c>
      <c r="M98" s="55" t="str">
        <f>IF($A98="","",IF(AND(ISNUMBER(G98),G98&gt;=J98,G98&lt;=(J98+(L98/(IF(F98="Contract Workman",Settings!$K$5,Settings!$K$4))))),J98+(L98/(IF(F98="Contract Workman",Settings!$K$5,Settings!$K$4)))+(H98/(IF(F98="Contract Workman",Settings!$K$5,Settings!$K$4))),J98+(L98/(IF(F98="Contract Workman",Settings!$K$5,Settings!$K$4)))))</f>
        <v/>
      </c>
      <c r="N98" s="10" t="str">
        <f t="shared" si="4"/>
        <v/>
      </c>
      <c r="O98" s="51" t="str">
        <f>IF(B98="","", IF(IFERROR(ISNUMBER(SEARCH(B98, VLOOKUP(E98, Machine_List!$B:$J, 9, 0))), FALSE()), "✅ Machine OK", "❌ Sug: " &amp; IFERROR(INDEX(Machine_List!$B$4:$B$50, MATCH("*"&amp;B98&amp;"*", Machine_List!$J$4:$J$50, 0)), "Check Limits")))</f>
        <v/>
      </c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52"/>
      <c r="AN98" s="52"/>
      <c r="AO98" s="52"/>
      <c r="AP98" s="52"/>
      <c r="AQ98" s="52"/>
      <c r="AR98" s="52"/>
      <c r="AS98" s="52"/>
      <c r="AT98" s="52"/>
      <c r="AU98" s="52"/>
      <c r="AV98" s="52"/>
      <c r="AW98" s="52"/>
      <c r="AX98" s="52"/>
      <c r="AY98" s="52"/>
      <c r="AZ98" s="52"/>
      <c r="BA98" s="52"/>
      <c r="BB98" s="52"/>
      <c r="BC98" s="52"/>
      <c r="BD98" s="52"/>
      <c r="BE98" s="52"/>
      <c r="BF98" s="52"/>
      <c r="BG98" s="52"/>
      <c r="BH98" s="52"/>
      <c r="BI98" s="52"/>
      <c r="BJ98" s="52"/>
      <c r="BK98" s="52"/>
      <c r="BL98" s="52"/>
      <c r="BM98" s="52"/>
    </row>
    <row r="99" spans="1:65" ht="15" customHeight="1" x14ac:dyDescent="0.3">
      <c r="A99" s="10" t="str">
        <f>IF(Job_Master!A99="","",Job_Master!A99)</f>
        <v/>
      </c>
      <c r="B99" s="10" t="str">
        <f>IF($A99="","",Job_Master!B99)</f>
        <v/>
      </c>
      <c r="C99" s="10" t="str">
        <f>IF($A99="","",Job_Master!C99)</f>
        <v/>
      </c>
      <c r="D99" s="10" t="str">
        <f>IF($A99="","",Job_Master!D99)</f>
        <v/>
      </c>
      <c r="E99" s="10" t="str">
        <f>IF($A99="","",IFERROR(INDEX(Machine_List!$B$64:$B$71,MATCH("*"&amp;$B99&amp;"*",Machine_List!$J$64:$J$71,0)),"NO COMPATIBLE MACHINE"))</f>
        <v/>
      </c>
      <c r="F99" s="106" t="str">
        <f>IF($E99="","",IFERROR(VLOOKUP($E99,Machine_List!$B:$G,6,0),""))</f>
        <v/>
      </c>
      <c r="G99" s="53" t="str">
        <f>IF($E99="","",IFERROR(VLOOKUP($E99,Machine_List!$B:$C,2,0),""))</f>
        <v/>
      </c>
      <c r="H99" s="10" t="str">
        <f>IF($E99="","",IFERROR(VLOOKUP($E99,Machine_List!$B:$D,3,0),""))</f>
        <v/>
      </c>
      <c r="I99" s="54"/>
      <c r="J99" s="55" t="str">
        <f ca="1">IF($A99="","",IF($I99&lt;&gt;"",$I99,MAX(ENG_Plan!$M99,IFERROR(LOOKUP(2,1/($E$3:INDIRECT("E"&amp;(ROW()-1))=$E99),$M$3:INDIRECT("M"&amp;(ROW()-1))),ENG_Plan!$M99))))</f>
        <v/>
      </c>
      <c r="K99" s="10" t="str">
        <f>IF($A99="","",IFERROR(VLOOKUP(B99,CHOOSE(MATCH(C99,Settings!$L$4:$L$10,0),OPR_2P!$A$4:$I$18,SEG_6P!$A$4:$I$18,SOL_4P!$A$4:$I$18,RW_2P!$A$4:$I$18,RW2_4P!$A$4:$I$18,FLAP_4P!$A$4:$I$18,TUBE_4P!$A$4:$I$18),6,0),0))</f>
        <v/>
      </c>
      <c r="L99" s="10" t="str">
        <f t="shared" si="3"/>
        <v/>
      </c>
      <c r="M99" s="55" t="str">
        <f>IF($A99="","",IF(AND(ISNUMBER(G99),G99&gt;=J99,G99&lt;=(J99+(L99/(IF(F99="Contract Workman",Settings!$K$5,Settings!$K$4))))),J99+(L99/(IF(F99="Contract Workman",Settings!$K$5,Settings!$K$4)))+(H99/(IF(F99="Contract Workman",Settings!$K$5,Settings!$K$4))),J99+(L99/(IF(F99="Contract Workman",Settings!$K$5,Settings!$K$4)))))</f>
        <v/>
      </c>
      <c r="N99" s="10" t="str">
        <f t="shared" si="4"/>
        <v/>
      </c>
      <c r="O99" s="51" t="str">
        <f>IF(B99="","", IF(IFERROR(ISNUMBER(SEARCH(B99, VLOOKUP(E99, Machine_List!$B:$J, 9, 0))), FALSE()), "✅ Machine OK", "❌ Sug: " &amp; IFERROR(INDEX(Machine_List!$B$4:$B$50, MATCH("*"&amp;B99&amp;"*", Machine_List!$J$4:$J$50, 0)), "Check Limits")))</f>
        <v/>
      </c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  <c r="AE99" s="52"/>
      <c r="AF99" s="52"/>
      <c r="AG99" s="52"/>
      <c r="AH99" s="52"/>
      <c r="AI99" s="52"/>
      <c r="AJ99" s="52"/>
      <c r="AK99" s="52"/>
      <c r="AL99" s="52"/>
      <c r="AM99" s="52"/>
      <c r="AN99" s="52"/>
      <c r="AO99" s="52"/>
      <c r="AP99" s="52"/>
      <c r="AQ99" s="52"/>
      <c r="AR99" s="52"/>
      <c r="AS99" s="52"/>
      <c r="AT99" s="52"/>
      <c r="AU99" s="52"/>
      <c r="AV99" s="52"/>
      <c r="AW99" s="52"/>
      <c r="AX99" s="52"/>
      <c r="AY99" s="52"/>
      <c r="AZ99" s="52"/>
      <c r="BA99" s="52"/>
      <c r="BB99" s="52"/>
      <c r="BC99" s="52"/>
      <c r="BD99" s="52"/>
      <c r="BE99" s="52"/>
      <c r="BF99" s="52"/>
      <c r="BG99" s="52"/>
      <c r="BH99" s="52"/>
      <c r="BI99" s="52"/>
      <c r="BJ99" s="52"/>
      <c r="BK99" s="52"/>
      <c r="BL99" s="52"/>
      <c r="BM99" s="52"/>
    </row>
    <row r="100" spans="1:65" ht="15" customHeight="1" x14ac:dyDescent="0.3">
      <c r="A100" s="10" t="str">
        <f>IF(Job_Master!A100="","",Job_Master!A100)</f>
        <v/>
      </c>
      <c r="B100" s="10" t="str">
        <f>IF($A100="","",Job_Master!B100)</f>
        <v/>
      </c>
      <c r="C100" s="10" t="str">
        <f>IF($A100="","",Job_Master!C100)</f>
        <v/>
      </c>
      <c r="D100" s="10" t="str">
        <f>IF($A100="","",Job_Master!D100)</f>
        <v/>
      </c>
      <c r="E100" s="10" t="str">
        <f>IF($A100="","",IFERROR(INDEX(Machine_List!$B$64:$B$71,MATCH("*"&amp;$B100&amp;"*",Machine_List!$J$64:$J$71,0)),"NO COMPATIBLE MACHINE"))</f>
        <v/>
      </c>
      <c r="F100" s="106" t="str">
        <f>IF($E100="","",IFERROR(VLOOKUP($E100,Machine_List!$B:$G,6,0),""))</f>
        <v/>
      </c>
      <c r="G100" s="53" t="str">
        <f>IF($E100="","",IFERROR(VLOOKUP($E100,Machine_List!$B:$C,2,0),""))</f>
        <v/>
      </c>
      <c r="H100" s="10" t="str">
        <f>IF($E100="","",IFERROR(VLOOKUP($E100,Machine_List!$B:$D,3,0),""))</f>
        <v/>
      </c>
      <c r="I100" s="58"/>
      <c r="J100" s="55" t="str">
        <f ca="1">IF($A100="","",IF($I100&lt;&gt;"",$I100,MAX(ENG_Plan!$M100,IFERROR(LOOKUP(2,1/($E$3:INDIRECT("E"&amp;(ROW()-1))=$E100),$M$3:INDIRECT("M"&amp;(ROW()-1))),ENG_Plan!$M100))))</f>
        <v/>
      </c>
      <c r="K100" s="10" t="str">
        <f>IF($A100="","",IFERROR(VLOOKUP(B100,CHOOSE(MATCH(C100,Settings!$L$4:$L$10,0),OPR_2P!$A$4:$I$18,SEG_6P!$A$4:$I$18,SOL_4P!$A$4:$I$18,RW_2P!$A$4:$I$18,RW2_4P!$A$4:$I$18,FLAP_4P!$A$4:$I$18,TUBE_4P!$A$4:$I$18),6,0),0))</f>
        <v/>
      </c>
      <c r="L100" s="10" t="str">
        <f t="shared" si="3"/>
        <v/>
      </c>
      <c r="M100" s="55" t="str">
        <f>IF($A100="","",IF(AND(ISNUMBER(G100),G100&gt;=J100,G100&lt;=(J100+(L100/(IF(F100="Contract Workman",Settings!$K$5,Settings!$K$4))))),J100+(L100/(IF(F100="Contract Workman",Settings!$K$5,Settings!$K$4)))+(H100/(IF(F100="Contract Workman",Settings!$K$5,Settings!$K$4))),J100+(L100/(IF(F100="Contract Workman",Settings!$K$5,Settings!$K$4)))))</f>
        <v/>
      </c>
      <c r="N100" s="10" t="str">
        <f t="shared" ref="N100:N131" si="5">IF($A100="","",IF(F100="Contract Workman",IF(AND(MOD(M100,1)&gt;=8/24,MOD(M100,1)&lt;20/24),"Shift S1","Shift S2"),IF(AND(MOD(M100,1)&gt;=7/24,MOD(M100,1)&lt;15/24),"Shift A",IF(AND(MOD(M100,1)&gt;=15/24,MOD(M100,1)&lt;23/24),"Shift B","Shift C"))))</f>
        <v/>
      </c>
      <c r="O100" s="51" t="str">
        <f>IF(B100="","", IF(IFERROR(ISNUMBER(SEARCH(B100, VLOOKUP(E100, Machine_List!$B:$J, 9, 0))), FALSE()), "✅ Machine OK", "❌ Sug: " &amp; IFERROR(INDEX(Machine_List!$B$4:$B$50, MATCH("*"&amp;B100&amp;"*", Machine_List!$J$4:$J$50, 0)), "Check Limits")))</f>
        <v/>
      </c>
    </row>
    <row r="101" spans="1:65" ht="15" customHeight="1" x14ac:dyDescent="0.3">
      <c r="A101" s="10" t="str">
        <f>IF(Job_Master!A101="","",Job_Master!A101)</f>
        <v/>
      </c>
      <c r="B101" s="10" t="str">
        <f>IF($A101="","",Job_Master!B101)</f>
        <v/>
      </c>
      <c r="C101" s="10" t="str">
        <f>IF($A101="","",Job_Master!C101)</f>
        <v/>
      </c>
      <c r="D101" s="10" t="str">
        <f>IF($A101="","",Job_Master!D101)</f>
        <v/>
      </c>
      <c r="E101" s="10" t="str">
        <f>IF($A101="","",IFERROR(INDEX(Machine_List!$B$64:$B$71,MATCH("*"&amp;$B101&amp;"*",Machine_List!$J$64:$J$71,0)),"NO COMPATIBLE MACHINE"))</f>
        <v/>
      </c>
      <c r="F101" s="106" t="str">
        <f>IF($E101="","",IFERROR(VLOOKUP($E101,Machine_List!$B:$G,6,0),""))</f>
        <v/>
      </c>
      <c r="G101" s="53" t="str">
        <f>IF($E101="","",IFERROR(VLOOKUP($E101,Machine_List!$B:$C,2,0),""))</f>
        <v/>
      </c>
      <c r="H101" s="10" t="str">
        <f>IF($E101="","",IFERROR(VLOOKUP($E101,Machine_List!$B:$D,3,0),""))</f>
        <v/>
      </c>
      <c r="J101" s="55" t="str">
        <f ca="1">IF($A101="","",IF($I101&lt;&gt;"",$I101,MAX(ENG_Plan!$M101,IFERROR(LOOKUP(2,1/($E$3:INDIRECT("E"&amp;(ROW()-1))=$E101),$M$3:INDIRECT("M"&amp;(ROW()-1))),ENG_Plan!$M101))))</f>
        <v/>
      </c>
      <c r="K101" s="10" t="str">
        <f>IF($A101="","",IFERROR(VLOOKUP(B101,CHOOSE(MATCH(C101,Settings!$L$4:$L$10,0),OPR_2P!$A$4:$I$18,SEG_6P!$A$4:$I$18,SOL_4P!$A$4:$I$18,RW_2P!$A$4:$I$18,RW2_4P!$A$4:$I$18,FLAP_4P!$A$4:$I$18,TUBE_4P!$A$4:$I$18),6,0),0))</f>
        <v/>
      </c>
      <c r="L101" s="10" t="str">
        <f t="shared" si="3"/>
        <v/>
      </c>
      <c r="M101" s="55" t="str">
        <f>IF($A101="","",IF(AND(ISNUMBER(G101),G101&gt;=J101,G101&lt;=(J101+(L101/(IF(F101="Contract Workman",Settings!$K$5,Settings!$K$4))))),J101+(L101/(IF(F101="Contract Workman",Settings!$K$5,Settings!$K$4)))+(H101/(IF(F101="Contract Workman",Settings!$K$5,Settings!$K$4))),J101+(L101/(IF(F101="Contract Workman",Settings!$K$5,Settings!$K$4)))))</f>
        <v/>
      </c>
      <c r="N101" s="10" t="str">
        <f t="shared" si="5"/>
        <v/>
      </c>
      <c r="O101" s="51"/>
    </row>
    <row r="102" spans="1:65" ht="15" customHeight="1" x14ac:dyDescent="0.3">
      <c r="A102" s="10" t="str">
        <f>IF(Job_Master!A102="","",Job_Master!A102)</f>
        <v/>
      </c>
      <c r="B102" s="10" t="str">
        <f>IF($A102="","",Job_Master!B102)</f>
        <v/>
      </c>
      <c r="C102" s="10" t="str">
        <f>IF($A102="","",Job_Master!C102)</f>
        <v/>
      </c>
      <c r="D102" s="10" t="str">
        <f>IF($A102="","",Job_Master!D102)</f>
        <v/>
      </c>
      <c r="E102" s="10" t="str">
        <f>IF($A102="","",IFERROR(INDEX(Machine_List!$B$64:$B$71,MATCH("*"&amp;$B102&amp;"*",Machine_List!$J$64:$J$71,0)),"NO COMPATIBLE MACHINE"))</f>
        <v/>
      </c>
      <c r="F102" s="106" t="str">
        <f>IF($E102="","",IFERROR(VLOOKUP($E102,Machine_List!$B:$G,6,0),""))</f>
        <v/>
      </c>
      <c r="G102" s="53" t="str">
        <f>IF($E102="","",IFERROR(VLOOKUP($E102,Machine_List!$B:$C,2,0),""))</f>
        <v/>
      </c>
      <c r="H102" s="10" t="str">
        <f>IF($E102="","",IFERROR(VLOOKUP($E102,Machine_List!$B:$D,3,0),""))</f>
        <v/>
      </c>
      <c r="J102" s="55" t="str">
        <f ca="1">IF($A102="","",IF($I102&lt;&gt;"",$I102,MAX(ENG_Plan!$M102,IFERROR(LOOKUP(2,1/($E$3:INDIRECT("E"&amp;(ROW()-1))=$E102),$M$3:INDIRECT("M"&amp;(ROW()-1))),ENG_Plan!$M102))))</f>
        <v/>
      </c>
      <c r="K102" s="10" t="str">
        <f>IF($A102="","",IFERROR(VLOOKUP(B102,CHOOSE(MATCH(C102,Settings!$L$4:$L$10,0),OPR_2P!$A$4:$I$18,SEG_6P!$A$4:$I$18,SOL_4P!$A$4:$I$18,RW_2P!$A$4:$I$18,RW2_4P!$A$4:$I$18,FLAP_4P!$A$4:$I$18,TUBE_4P!$A$4:$I$18),6,0),0))</f>
        <v/>
      </c>
      <c r="L102" s="10" t="str">
        <f t="shared" si="3"/>
        <v/>
      </c>
      <c r="M102" s="55" t="str">
        <f>IF($A102="","",IF(AND(ISNUMBER(G102),G102&gt;=J102,G102&lt;=(J102+(L102/(IF(F102="Contract Workman",Settings!$K$5,Settings!$K$4))))),J102+(L102/(IF(F102="Contract Workman",Settings!$K$5,Settings!$K$4)))+(H102/(IF(F102="Contract Workman",Settings!$K$5,Settings!$K$4))),J102+(L102/(IF(F102="Contract Workman",Settings!$K$5,Settings!$K$4)))))</f>
        <v/>
      </c>
      <c r="N102" s="10" t="str">
        <f t="shared" si="5"/>
        <v/>
      </c>
      <c r="O102" s="51"/>
    </row>
    <row r="103" spans="1:65" ht="15" customHeight="1" x14ac:dyDescent="0.3">
      <c r="A103" s="10" t="str">
        <f>IF(Job_Master!A103="","",Job_Master!A103)</f>
        <v/>
      </c>
      <c r="B103" s="10" t="str">
        <f>IF($A103="","",Job_Master!B103)</f>
        <v/>
      </c>
      <c r="C103" s="10" t="str">
        <f>IF($A103="","",Job_Master!C103)</f>
        <v/>
      </c>
      <c r="D103" s="10" t="str">
        <f>IF($A103="","",Job_Master!D103)</f>
        <v/>
      </c>
      <c r="E103" s="10" t="str">
        <f>IF($A103="","",IFERROR(INDEX(Machine_List!$B$64:$B$71,MATCH("*"&amp;$B103&amp;"*",Machine_List!$J$64:$J$71,0)),"NO COMPATIBLE MACHINE"))</f>
        <v/>
      </c>
      <c r="F103" s="106" t="str">
        <f>IF($E103="","",IFERROR(VLOOKUP($E103,Machine_List!$B:$G,6,0),""))</f>
        <v/>
      </c>
      <c r="G103" s="53" t="str">
        <f>IF($E103="","",IFERROR(VLOOKUP($E103,Machine_List!$B:$C,2,0),""))</f>
        <v/>
      </c>
      <c r="H103" s="10" t="str">
        <f>IF($E103="","",IFERROR(VLOOKUP($E103,Machine_List!$B:$D,3,0),""))</f>
        <v/>
      </c>
      <c r="J103" s="55" t="str">
        <f ca="1">IF($A103="","",IF($I103&lt;&gt;"",$I103,MAX(ENG_Plan!$M103,IFERROR(LOOKUP(2,1/($E$3:INDIRECT("E"&amp;(ROW()-1))=$E103),$M$3:INDIRECT("M"&amp;(ROW()-1))),ENG_Plan!$M103))))</f>
        <v/>
      </c>
      <c r="K103" s="10" t="str">
        <f>IF($A103="","",IFERROR(VLOOKUP(B103,CHOOSE(MATCH(C103,Settings!$L$4:$L$10,0),OPR_2P!$A$4:$I$18,SEG_6P!$A$4:$I$18,SOL_4P!$A$4:$I$18,RW_2P!$A$4:$I$18,RW2_4P!$A$4:$I$18,FLAP_4P!$A$4:$I$18,TUBE_4P!$A$4:$I$18),6,0),0))</f>
        <v/>
      </c>
      <c r="L103" s="10" t="str">
        <f t="shared" si="3"/>
        <v/>
      </c>
      <c r="M103" s="55" t="str">
        <f>IF($A103="","",IF(AND(ISNUMBER(G103),G103&gt;=J103,G103&lt;=(J103+(L103/(IF(F103="Contract Workman",Settings!$K$5,Settings!$K$4))))),J103+(L103/(IF(F103="Contract Workman",Settings!$K$5,Settings!$K$4)))+(H103/(IF(F103="Contract Workman",Settings!$K$5,Settings!$K$4))),J103+(L103/(IF(F103="Contract Workman",Settings!$K$5,Settings!$K$4)))))</f>
        <v/>
      </c>
      <c r="N103" s="10" t="str">
        <f t="shared" si="5"/>
        <v/>
      </c>
      <c r="O103" s="51"/>
    </row>
    <row r="104" spans="1:65" ht="15" customHeight="1" x14ac:dyDescent="0.3">
      <c r="L104" t="str">
        <f t="shared" si="3"/>
        <v/>
      </c>
      <c r="O104" s="51"/>
    </row>
    <row r="105" spans="1:65" ht="15" customHeight="1" x14ac:dyDescent="0.3">
      <c r="L105" t="str">
        <f t="shared" si="3"/>
        <v/>
      </c>
      <c r="O105" s="51"/>
    </row>
    <row r="106" spans="1:65" ht="15" customHeight="1" x14ac:dyDescent="0.3">
      <c r="L106" t="str">
        <f t="shared" si="3"/>
        <v/>
      </c>
      <c r="O106" s="51"/>
    </row>
    <row r="107" spans="1:65" ht="15" customHeight="1" x14ac:dyDescent="0.3">
      <c r="L107" t="str">
        <f t="shared" si="3"/>
        <v/>
      </c>
      <c r="O107" s="51"/>
    </row>
    <row r="108" spans="1:65" ht="15" customHeight="1" x14ac:dyDescent="0.3">
      <c r="L108" t="str">
        <f t="shared" si="3"/>
        <v/>
      </c>
      <c r="O108" s="51"/>
    </row>
    <row r="109" spans="1:65" ht="15" customHeight="1" x14ac:dyDescent="0.3">
      <c r="L109" t="str">
        <f t="shared" si="3"/>
        <v/>
      </c>
      <c r="O109" s="51"/>
    </row>
    <row r="110" spans="1:65" ht="15" customHeight="1" x14ac:dyDescent="0.3">
      <c r="L110" t="str">
        <f t="shared" si="3"/>
        <v/>
      </c>
      <c r="O110" s="51"/>
    </row>
    <row r="111" spans="1:65" ht="15" customHeight="1" x14ac:dyDescent="0.3">
      <c r="L111" t="str">
        <f t="shared" si="3"/>
        <v/>
      </c>
      <c r="O111" s="51"/>
    </row>
    <row r="112" spans="1:65" ht="15" customHeight="1" x14ac:dyDescent="0.3">
      <c r="L112" t="str">
        <f t="shared" si="3"/>
        <v/>
      </c>
      <c r="O112" s="51"/>
    </row>
    <row r="113" spans="12:15" ht="15" customHeight="1" x14ac:dyDescent="0.3">
      <c r="L113" t="str">
        <f t="shared" si="3"/>
        <v/>
      </c>
      <c r="O113" s="51"/>
    </row>
    <row r="114" spans="12:15" ht="15" customHeight="1" x14ac:dyDescent="0.3">
      <c r="L114" t="str">
        <f t="shared" si="3"/>
        <v/>
      </c>
      <c r="O114" s="51"/>
    </row>
    <row r="115" spans="12:15" ht="15" customHeight="1" x14ac:dyDescent="0.3">
      <c r="L115" t="str">
        <f t="shared" si="3"/>
        <v/>
      </c>
      <c r="O115" s="51"/>
    </row>
    <row r="116" spans="12:15" ht="15" customHeight="1" x14ac:dyDescent="0.3">
      <c r="L116" t="str">
        <f t="shared" si="3"/>
        <v/>
      </c>
      <c r="O116" s="51"/>
    </row>
    <row r="117" spans="12:15" ht="15" customHeight="1" x14ac:dyDescent="0.3">
      <c r="L117" t="str">
        <f t="shared" si="3"/>
        <v/>
      </c>
      <c r="O117" s="51"/>
    </row>
    <row r="118" spans="12:15" ht="15" customHeight="1" x14ac:dyDescent="0.3">
      <c r="L118" t="str">
        <f t="shared" si="3"/>
        <v/>
      </c>
      <c r="O118" s="51"/>
    </row>
    <row r="119" spans="12:15" ht="15" customHeight="1" x14ac:dyDescent="0.3">
      <c r="L119" t="str">
        <f t="shared" si="3"/>
        <v/>
      </c>
      <c r="O119" s="51"/>
    </row>
    <row r="120" spans="12:15" ht="15" customHeight="1" x14ac:dyDescent="0.3">
      <c r="L120" t="str">
        <f t="shared" si="3"/>
        <v/>
      </c>
      <c r="O120" s="51"/>
    </row>
    <row r="121" spans="12:15" ht="15" customHeight="1" x14ac:dyDescent="0.3">
      <c r="L121" t="str">
        <f t="shared" si="3"/>
        <v/>
      </c>
      <c r="O121" s="51"/>
    </row>
    <row r="122" spans="12:15" ht="15" customHeight="1" x14ac:dyDescent="0.3">
      <c r="L122" t="str">
        <f t="shared" si="3"/>
        <v/>
      </c>
      <c r="O122" s="51"/>
    </row>
    <row r="123" spans="12:15" ht="15" customHeight="1" x14ac:dyDescent="0.3">
      <c r="L123" t="str">
        <f t="shared" si="3"/>
        <v/>
      </c>
      <c r="O123" s="51"/>
    </row>
    <row r="124" spans="12:15" ht="15" customHeight="1" x14ac:dyDescent="0.3">
      <c r="L124" t="str">
        <f t="shared" si="3"/>
        <v/>
      </c>
      <c r="O124" s="51"/>
    </row>
    <row r="125" spans="12:15" ht="15" customHeight="1" x14ac:dyDescent="0.3">
      <c r="L125" t="str">
        <f t="shared" si="3"/>
        <v/>
      </c>
      <c r="O125" s="51"/>
    </row>
    <row r="126" spans="12:15" ht="15" customHeight="1" x14ac:dyDescent="0.3">
      <c r="L126" t="str">
        <f t="shared" si="3"/>
        <v/>
      </c>
      <c r="O126" s="51"/>
    </row>
    <row r="127" spans="12:15" ht="15" customHeight="1" x14ac:dyDescent="0.3">
      <c r="L127" t="str">
        <f t="shared" si="3"/>
        <v/>
      </c>
      <c r="O127" s="51"/>
    </row>
    <row r="128" spans="12:15" ht="15" customHeight="1" x14ac:dyDescent="0.3">
      <c r="L128" t="str">
        <f t="shared" si="3"/>
        <v/>
      </c>
      <c r="O128" s="51"/>
    </row>
    <row r="129" spans="12:15" ht="15" customHeight="1" x14ac:dyDescent="0.3">
      <c r="L129" t="str">
        <f t="shared" si="3"/>
        <v/>
      </c>
      <c r="O129" s="51"/>
    </row>
    <row r="130" spans="12:15" ht="15" customHeight="1" x14ac:dyDescent="0.3">
      <c r="L130" t="str">
        <f t="shared" si="3"/>
        <v/>
      </c>
      <c r="O130" s="51"/>
    </row>
    <row r="131" spans="12:15" ht="15" customHeight="1" x14ac:dyDescent="0.3">
      <c r="L131" t="str">
        <f t="shared" si="3"/>
        <v/>
      </c>
      <c r="O131" s="51"/>
    </row>
    <row r="132" spans="12:15" ht="15" customHeight="1" x14ac:dyDescent="0.3">
      <c r="L132" t="str">
        <f t="shared" ref="L132:L195" si="6">IF($A132="","",K132*D132)</f>
        <v/>
      </c>
      <c r="O132" s="51"/>
    </row>
    <row r="133" spans="12:15" ht="15" customHeight="1" x14ac:dyDescent="0.3">
      <c r="L133" t="str">
        <f t="shared" si="6"/>
        <v/>
      </c>
      <c r="O133" s="51"/>
    </row>
    <row r="134" spans="12:15" ht="15" customHeight="1" x14ac:dyDescent="0.3">
      <c r="L134" t="str">
        <f t="shared" si="6"/>
        <v/>
      </c>
      <c r="O134" s="51"/>
    </row>
    <row r="135" spans="12:15" ht="15" customHeight="1" x14ac:dyDescent="0.3">
      <c r="L135" t="str">
        <f t="shared" si="6"/>
        <v/>
      </c>
      <c r="O135" s="51"/>
    </row>
    <row r="136" spans="12:15" ht="15" customHeight="1" x14ac:dyDescent="0.3">
      <c r="L136" t="str">
        <f t="shared" si="6"/>
        <v/>
      </c>
      <c r="O136" s="51"/>
    </row>
    <row r="137" spans="12:15" ht="15" customHeight="1" x14ac:dyDescent="0.3">
      <c r="L137" t="str">
        <f t="shared" si="6"/>
        <v/>
      </c>
      <c r="O137" s="51"/>
    </row>
    <row r="138" spans="12:15" ht="15" customHeight="1" x14ac:dyDescent="0.3">
      <c r="L138" t="str">
        <f t="shared" si="6"/>
        <v/>
      </c>
      <c r="O138" s="51"/>
    </row>
    <row r="139" spans="12:15" ht="15" customHeight="1" x14ac:dyDescent="0.3">
      <c r="L139" t="str">
        <f t="shared" si="6"/>
        <v/>
      </c>
      <c r="O139" s="51"/>
    </row>
    <row r="140" spans="12:15" ht="15" customHeight="1" x14ac:dyDescent="0.3">
      <c r="L140" t="str">
        <f t="shared" si="6"/>
        <v/>
      </c>
      <c r="O140" s="51"/>
    </row>
    <row r="141" spans="12:15" ht="15" customHeight="1" x14ac:dyDescent="0.3">
      <c r="L141" t="str">
        <f t="shared" si="6"/>
        <v/>
      </c>
      <c r="O141" s="51"/>
    </row>
    <row r="142" spans="12:15" ht="15" customHeight="1" x14ac:dyDescent="0.3">
      <c r="L142" t="str">
        <f t="shared" si="6"/>
        <v/>
      </c>
      <c r="O142" s="51"/>
    </row>
    <row r="143" spans="12:15" ht="15" customHeight="1" x14ac:dyDescent="0.3">
      <c r="L143" t="str">
        <f t="shared" si="6"/>
        <v/>
      </c>
      <c r="O143" s="51"/>
    </row>
    <row r="144" spans="12:15" ht="15" customHeight="1" x14ac:dyDescent="0.3">
      <c r="L144" t="str">
        <f t="shared" si="6"/>
        <v/>
      </c>
      <c r="O144" s="51"/>
    </row>
    <row r="145" spans="12:15" ht="15" customHeight="1" x14ac:dyDescent="0.3">
      <c r="L145" t="str">
        <f t="shared" si="6"/>
        <v/>
      </c>
      <c r="O145" s="51"/>
    </row>
    <row r="146" spans="12:15" ht="15" customHeight="1" x14ac:dyDescent="0.3">
      <c r="L146" t="str">
        <f t="shared" si="6"/>
        <v/>
      </c>
      <c r="O146" s="51"/>
    </row>
    <row r="147" spans="12:15" ht="15" customHeight="1" x14ac:dyDescent="0.3">
      <c r="L147" t="str">
        <f t="shared" si="6"/>
        <v/>
      </c>
      <c r="O147" s="51"/>
    </row>
    <row r="148" spans="12:15" ht="15" customHeight="1" x14ac:dyDescent="0.3">
      <c r="L148" t="str">
        <f t="shared" si="6"/>
        <v/>
      </c>
      <c r="O148" s="51"/>
    </row>
    <row r="149" spans="12:15" ht="15" customHeight="1" x14ac:dyDescent="0.3">
      <c r="L149" t="str">
        <f t="shared" si="6"/>
        <v/>
      </c>
      <c r="O149" s="51"/>
    </row>
    <row r="150" spans="12:15" ht="15" customHeight="1" x14ac:dyDescent="0.3">
      <c r="L150" t="str">
        <f t="shared" si="6"/>
        <v/>
      </c>
      <c r="O150" s="51"/>
    </row>
    <row r="151" spans="12:15" ht="15" customHeight="1" x14ac:dyDescent="0.3">
      <c r="L151" t="str">
        <f t="shared" si="6"/>
        <v/>
      </c>
      <c r="O151" s="51"/>
    </row>
    <row r="152" spans="12:15" ht="15" customHeight="1" x14ac:dyDescent="0.3">
      <c r="L152" t="str">
        <f t="shared" si="6"/>
        <v/>
      </c>
      <c r="O152" s="51"/>
    </row>
    <row r="153" spans="12:15" ht="15" customHeight="1" x14ac:dyDescent="0.3">
      <c r="L153" t="str">
        <f t="shared" si="6"/>
        <v/>
      </c>
      <c r="O153" s="51"/>
    </row>
    <row r="154" spans="12:15" ht="15" customHeight="1" x14ac:dyDescent="0.3">
      <c r="L154" t="str">
        <f t="shared" si="6"/>
        <v/>
      </c>
      <c r="O154" s="51"/>
    </row>
    <row r="155" spans="12:15" ht="15" customHeight="1" x14ac:dyDescent="0.3">
      <c r="L155" t="str">
        <f t="shared" si="6"/>
        <v/>
      </c>
      <c r="O155" s="51"/>
    </row>
    <row r="156" spans="12:15" ht="15" customHeight="1" x14ac:dyDescent="0.3">
      <c r="L156" t="str">
        <f t="shared" si="6"/>
        <v/>
      </c>
      <c r="O156" s="51"/>
    </row>
    <row r="157" spans="12:15" ht="15" customHeight="1" x14ac:dyDescent="0.3">
      <c r="L157" t="str">
        <f t="shared" si="6"/>
        <v/>
      </c>
      <c r="O157" s="51"/>
    </row>
    <row r="158" spans="12:15" ht="15" customHeight="1" x14ac:dyDescent="0.3">
      <c r="L158" t="str">
        <f t="shared" si="6"/>
        <v/>
      </c>
      <c r="O158" s="51"/>
    </row>
    <row r="159" spans="12:15" ht="15" customHeight="1" x14ac:dyDescent="0.3">
      <c r="L159" t="str">
        <f t="shared" si="6"/>
        <v/>
      </c>
      <c r="O159" s="51"/>
    </row>
    <row r="160" spans="12:15" ht="15" customHeight="1" x14ac:dyDescent="0.3">
      <c r="L160" t="str">
        <f t="shared" si="6"/>
        <v/>
      </c>
      <c r="O160" s="51"/>
    </row>
    <row r="161" spans="12:15" ht="15" customHeight="1" x14ac:dyDescent="0.3">
      <c r="L161" t="str">
        <f t="shared" si="6"/>
        <v/>
      </c>
      <c r="O161" s="51"/>
    </row>
    <row r="162" spans="12:15" ht="15" customHeight="1" x14ac:dyDescent="0.3">
      <c r="L162" t="str">
        <f t="shared" si="6"/>
        <v/>
      </c>
      <c r="O162" s="51"/>
    </row>
    <row r="163" spans="12:15" ht="15" customHeight="1" x14ac:dyDescent="0.3">
      <c r="L163" t="str">
        <f t="shared" si="6"/>
        <v/>
      </c>
      <c r="O163" s="51"/>
    </row>
    <row r="164" spans="12:15" ht="15" customHeight="1" x14ac:dyDescent="0.3">
      <c r="L164" t="str">
        <f t="shared" si="6"/>
        <v/>
      </c>
      <c r="O164" s="51"/>
    </row>
    <row r="165" spans="12:15" ht="15" customHeight="1" x14ac:dyDescent="0.3">
      <c r="L165" t="str">
        <f t="shared" si="6"/>
        <v/>
      </c>
      <c r="O165" s="51"/>
    </row>
    <row r="166" spans="12:15" ht="15" customHeight="1" x14ac:dyDescent="0.3">
      <c r="L166" t="str">
        <f t="shared" si="6"/>
        <v/>
      </c>
      <c r="O166" s="51"/>
    </row>
    <row r="167" spans="12:15" ht="15" customHeight="1" x14ac:dyDescent="0.3">
      <c r="L167" t="str">
        <f t="shared" si="6"/>
        <v/>
      </c>
      <c r="O167" s="51"/>
    </row>
    <row r="168" spans="12:15" ht="15" customHeight="1" x14ac:dyDescent="0.3">
      <c r="L168" t="str">
        <f t="shared" si="6"/>
        <v/>
      </c>
      <c r="O168" s="51"/>
    </row>
    <row r="169" spans="12:15" ht="15" customHeight="1" x14ac:dyDescent="0.3">
      <c r="L169" t="str">
        <f t="shared" si="6"/>
        <v/>
      </c>
      <c r="O169" s="51"/>
    </row>
    <row r="170" spans="12:15" ht="15" customHeight="1" x14ac:dyDescent="0.3">
      <c r="L170" t="str">
        <f t="shared" si="6"/>
        <v/>
      </c>
      <c r="O170" s="51"/>
    </row>
    <row r="171" spans="12:15" ht="15" customHeight="1" x14ac:dyDescent="0.3">
      <c r="L171" t="str">
        <f t="shared" si="6"/>
        <v/>
      </c>
      <c r="O171" s="51"/>
    </row>
    <row r="172" spans="12:15" ht="15" customHeight="1" x14ac:dyDescent="0.3">
      <c r="L172" t="str">
        <f t="shared" si="6"/>
        <v/>
      </c>
      <c r="O172" s="51"/>
    </row>
    <row r="173" spans="12:15" ht="15" customHeight="1" x14ac:dyDescent="0.3">
      <c r="L173" t="str">
        <f t="shared" si="6"/>
        <v/>
      </c>
      <c r="O173" s="51"/>
    </row>
    <row r="174" spans="12:15" ht="15" customHeight="1" x14ac:dyDescent="0.3">
      <c r="L174" t="str">
        <f t="shared" si="6"/>
        <v/>
      </c>
      <c r="O174" s="51"/>
    </row>
    <row r="175" spans="12:15" ht="15" customHeight="1" x14ac:dyDescent="0.3">
      <c r="L175" t="str">
        <f t="shared" si="6"/>
        <v/>
      </c>
      <c r="O175" s="51"/>
    </row>
    <row r="176" spans="12:15" ht="15" customHeight="1" x14ac:dyDescent="0.3">
      <c r="L176" t="str">
        <f t="shared" si="6"/>
        <v/>
      </c>
      <c r="O176" s="51"/>
    </row>
    <row r="177" spans="12:15" ht="15" customHeight="1" x14ac:dyDescent="0.3">
      <c r="L177" t="str">
        <f t="shared" si="6"/>
        <v/>
      </c>
      <c r="O177" s="51"/>
    </row>
    <row r="178" spans="12:15" ht="15" customHeight="1" x14ac:dyDescent="0.3">
      <c r="L178" t="str">
        <f t="shared" si="6"/>
        <v/>
      </c>
      <c r="O178" s="51"/>
    </row>
    <row r="179" spans="12:15" ht="15" customHeight="1" x14ac:dyDescent="0.3">
      <c r="L179" t="str">
        <f t="shared" si="6"/>
        <v/>
      </c>
      <c r="O179" s="51"/>
    </row>
    <row r="180" spans="12:15" ht="15" customHeight="1" x14ac:dyDescent="0.3">
      <c r="L180" t="str">
        <f t="shared" si="6"/>
        <v/>
      </c>
      <c r="O180" s="51"/>
    </row>
    <row r="181" spans="12:15" ht="15" customHeight="1" x14ac:dyDescent="0.3">
      <c r="L181" t="str">
        <f t="shared" si="6"/>
        <v/>
      </c>
      <c r="O181" s="51"/>
    </row>
    <row r="182" spans="12:15" ht="15" customHeight="1" x14ac:dyDescent="0.3">
      <c r="L182" t="str">
        <f t="shared" si="6"/>
        <v/>
      </c>
      <c r="O182" s="51"/>
    </row>
    <row r="183" spans="12:15" ht="15" customHeight="1" x14ac:dyDescent="0.3">
      <c r="L183" t="str">
        <f t="shared" si="6"/>
        <v/>
      </c>
      <c r="O183" s="51"/>
    </row>
    <row r="184" spans="12:15" ht="15" customHeight="1" x14ac:dyDescent="0.3">
      <c r="L184" t="str">
        <f t="shared" si="6"/>
        <v/>
      </c>
      <c r="O184" s="51"/>
    </row>
    <row r="185" spans="12:15" ht="15" customHeight="1" x14ac:dyDescent="0.3">
      <c r="L185" t="str">
        <f t="shared" si="6"/>
        <v/>
      </c>
      <c r="O185" s="51"/>
    </row>
    <row r="186" spans="12:15" ht="15" customHeight="1" x14ac:dyDescent="0.3">
      <c r="L186" t="str">
        <f t="shared" si="6"/>
        <v/>
      </c>
      <c r="O186" s="51"/>
    </row>
    <row r="187" spans="12:15" ht="15" customHeight="1" x14ac:dyDescent="0.3">
      <c r="L187" t="str">
        <f t="shared" si="6"/>
        <v/>
      </c>
      <c r="O187" s="51"/>
    </row>
    <row r="188" spans="12:15" ht="15" customHeight="1" x14ac:dyDescent="0.3">
      <c r="L188" t="str">
        <f t="shared" si="6"/>
        <v/>
      </c>
      <c r="O188" s="51"/>
    </row>
    <row r="189" spans="12:15" ht="15" customHeight="1" x14ac:dyDescent="0.3">
      <c r="L189" t="str">
        <f t="shared" si="6"/>
        <v/>
      </c>
      <c r="O189" s="51"/>
    </row>
    <row r="190" spans="12:15" ht="15" customHeight="1" x14ac:dyDescent="0.3">
      <c r="L190" t="str">
        <f t="shared" si="6"/>
        <v/>
      </c>
      <c r="O190" s="51"/>
    </row>
    <row r="191" spans="12:15" ht="15" customHeight="1" x14ac:dyDescent="0.3">
      <c r="L191" t="str">
        <f t="shared" si="6"/>
        <v/>
      </c>
      <c r="O191" s="51"/>
    </row>
    <row r="192" spans="12:15" ht="15" customHeight="1" x14ac:dyDescent="0.3">
      <c r="L192" t="str">
        <f t="shared" si="6"/>
        <v/>
      </c>
      <c r="O192" s="51"/>
    </row>
    <row r="193" spans="12:15" ht="15" customHeight="1" x14ac:dyDescent="0.3">
      <c r="L193" t="str">
        <f t="shared" si="6"/>
        <v/>
      </c>
      <c r="O193" s="51"/>
    </row>
    <row r="194" spans="12:15" ht="15" customHeight="1" x14ac:dyDescent="0.3">
      <c r="L194" t="str">
        <f t="shared" si="6"/>
        <v/>
      </c>
      <c r="O194" s="51"/>
    </row>
    <row r="195" spans="12:15" ht="15" customHeight="1" x14ac:dyDescent="0.3">
      <c r="L195" t="str">
        <f t="shared" si="6"/>
        <v/>
      </c>
      <c r="O195" s="51"/>
    </row>
    <row r="196" spans="12:15" ht="15" customHeight="1" x14ac:dyDescent="0.3">
      <c r="L196" t="str">
        <f t="shared" ref="L196:L259" si="7">IF($A196="","",K196*D196)</f>
        <v/>
      </c>
      <c r="O196" s="51"/>
    </row>
    <row r="197" spans="12:15" ht="15" customHeight="1" x14ac:dyDescent="0.3">
      <c r="L197" t="str">
        <f t="shared" si="7"/>
        <v/>
      </c>
      <c r="O197" s="51"/>
    </row>
    <row r="198" spans="12:15" ht="15" customHeight="1" x14ac:dyDescent="0.3">
      <c r="L198" t="str">
        <f t="shared" si="7"/>
        <v/>
      </c>
      <c r="O198" s="51"/>
    </row>
    <row r="199" spans="12:15" ht="15" customHeight="1" x14ac:dyDescent="0.3">
      <c r="L199" t="str">
        <f t="shared" si="7"/>
        <v/>
      </c>
      <c r="O199" s="51"/>
    </row>
    <row r="200" spans="12:15" ht="15" customHeight="1" x14ac:dyDescent="0.3">
      <c r="L200" t="str">
        <f t="shared" si="7"/>
        <v/>
      </c>
      <c r="O200" s="51"/>
    </row>
    <row r="201" spans="12:15" ht="15" customHeight="1" x14ac:dyDescent="0.3">
      <c r="L201" t="str">
        <f t="shared" si="7"/>
        <v/>
      </c>
      <c r="O201" s="51"/>
    </row>
    <row r="202" spans="12:15" ht="15" customHeight="1" x14ac:dyDescent="0.3">
      <c r="L202" t="str">
        <f t="shared" si="7"/>
        <v/>
      </c>
      <c r="O202" s="51"/>
    </row>
    <row r="203" spans="12:15" ht="15" customHeight="1" x14ac:dyDescent="0.3">
      <c r="L203" t="str">
        <f t="shared" si="7"/>
        <v/>
      </c>
      <c r="O203" s="51"/>
    </row>
    <row r="204" spans="12:15" ht="15" customHeight="1" x14ac:dyDescent="0.3">
      <c r="L204" t="str">
        <f t="shared" si="7"/>
        <v/>
      </c>
      <c r="O204" s="51"/>
    </row>
    <row r="205" spans="12:15" ht="15" customHeight="1" x14ac:dyDescent="0.3">
      <c r="L205" t="str">
        <f t="shared" si="7"/>
        <v/>
      </c>
      <c r="O205" s="51"/>
    </row>
    <row r="206" spans="12:15" ht="15" customHeight="1" x14ac:dyDescent="0.3">
      <c r="L206" t="str">
        <f t="shared" si="7"/>
        <v/>
      </c>
      <c r="O206" s="51"/>
    </row>
    <row r="207" spans="12:15" ht="15" customHeight="1" x14ac:dyDescent="0.3">
      <c r="L207" t="str">
        <f t="shared" si="7"/>
        <v/>
      </c>
      <c r="O207" s="51"/>
    </row>
    <row r="208" spans="12:15" ht="15" customHeight="1" x14ac:dyDescent="0.3">
      <c r="L208" t="str">
        <f t="shared" si="7"/>
        <v/>
      </c>
      <c r="O208" s="51"/>
    </row>
    <row r="209" spans="12:15" ht="15" customHeight="1" x14ac:dyDescent="0.3">
      <c r="L209" t="str">
        <f t="shared" si="7"/>
        <v/>
      </c>
      <c r="O209" s="51"/>
    </row>
    <row r="210" spans="12:15" ht="15" customHeight="1" x14ac:dyDescent="0.3">
      <c r="L210" t="str">
        <f t="shared" si="7"/>
        <v/>
      </c>
      <c r="O210" s="51"/>
    </row>
    <row r="211" spans="12:15" ht="15" customHeight="1" x14ac:dyDescent="0.3">
      <c r="L211" t="str">
        <f t="shared" si="7"/>
        <v/>
      </c>
      <c r="O211" s="51"/>
    </row>
    <row r="212" spans="12:15" ht="15" customHeight="1" x14ac:dyDescent="0.3">
      <c r="L212" t="str">
        <f t="shared" si="7"/>
        <v/>
      </c>
      <c r="O212" s="51"/>
    </row>
    <row r="213" spans="12:15" ht="15" customHeight="1" x14ac:dyDescent="0.3">
      <c r="L213" t="str">
        <f t="shared" si="7"/>
        <v/>
      </c>
      <c r="O213" s="51"/>
    </row>
    <row r="214" spans="12:15" ht="15" customHeight="1" x14ac:dyDescent="0.3">
      <c r="L214" t="str">
        <f t="shared" si="7"/>
        <v/>
      </c>
      <c r="O214" s="51"/>
    </row>
    <row r="215" spans="12:15" ht="15" customHeight="1" x14ac:dyDescent="0.3">
      <c r="L215" t="str">
        <f t="shared" si="7"/>
        <v/>
      </c>
      <c r="O215" s="51"/>
    </row>
    <row r="216" spans="12:15" ht="15" customHeight="1" x14ac:dyDescent="0.3">
      <c r="L216" t="str">
        <f t="shared" si="7"/>
        <v/>
      </c>
      <c r="O216" s="51"/>
    </row>
    <row r="217" spans="12:15" ht="15" customHeight="1" x14ac:dyDescent="0.3">
      <c r="L217" t="str">
        <f t="shared" si="7"/>
        <v/>
      </c>
      <c r="O217" s="51"/>
    </row>
    <row r="218" spans="12:15" ht="15" customHeight="1" x14ac:dyDescent="0.3">
      <c r="L218" t="str">
        <f t="shared" si="7"/>
        <v/>
      </c>
      <c r="O218" s="51"/>
    </row>
    <row r="219" spans="12:15" ht="15" customHeight="1" x14ac:dyDescent="0.3">
      <c r="L219" t="str">
        <f t="shared" si="7"/>
        <v/>
      </c>
      <c r="O219" s="51"/>
    </row>
    <row r="220" spans="12:15" ht="15" customHeight="1" x14ac:dyDescent="0.3">
      <c r="L220" t="str">
        <f t="shared" si="7"/>
        <v/>
      </c>
      <c r="O220" s="51"/>
    </row>
    <row r="221" spans="12:15" ht="15" customHeight="1" x14ac:dyDescent="0.3">
      <c r="L221" t="str">
        <f t="shared" si="7"/>
        <v/>
      </c>
      <c r="O221" s="51"/>
    </row>
    <row r="222" spans="12:15" ht="15" customHeight="1" x14ac:dyDescent="0.3">
      <c r="L222" t="str">
        <f t="shared" si="7"/>
        <v/>
      </c>
      <c r="O222" s="51"/>
    </row>
    <row r="223" spans="12:15" ht="15" customHeight="1" x14ac:dyDescent="0.3">
      <c r="L223" t="str">
        <f t="shared" si="7"/>
        <v/>
      </c>
      <c r="O223" s="51"/>
    </row>
    <row r="224" spans="12:15" ht="15" customHeight="1" x14ac:dyDescent="0.3">
      <c r="L224" t="str">
        <f t="shared" si="7"/>
        <v/>
      </c>
      <c r="O224" s="51"/>
    </row>
    <row r="225" spans="12:15" ht="15" customHeight="1" x14ac:dyDescent="0.3">
      <c r="L225" t="str">
        <f t="shared" si="7"/>
        <v/>
      </c>
      <c r="O225" s="51"/>
    </row>
    <row r="226" spans="12:15" ht="15" customHeight="1" x14ac:dyDescent="0.3">
      <c r="L226" t="str">
        <f t="shared" si="7"/>
        <v/>
      </c>
      <c r="O226" s="51"/>
    </row>
    <row r="227" spans="12:15" ht="15" customHeight="1" x14ac:dyDescent="0.3">
      <c r="L227" t="str">
        <f t="shared" si="7"/>
        <v/>
      </c>
      <c r="O227" s="51"/>
    </row>
    <row r="228" spans="12:15" ht="15" customHeight="1" x14ac:dyDescent="0.3">
      <c r="L228" t="str">
        <f t="shared" si="7"/>
        <v/>
      </c>
      <c r="O228" s="51"/>
    </row>
    <row r="229" spans="12:15" ht="15" customHeight="1" x14ac:dyDescent="0.3">
      <c r="L229" t="str">
        <f t="shared" si="7"/>
        <v/>
      </c>
      <c r="O229" s="51"/>
    </row>
    <row r="230" spans="12:15" ht="15" customHeight="1" x14ac:dyDescent="0.3">
      <c r="L230" t="str">
        <f t="shared" si="7"/>
        <v/>
      </c>
      <c r="O230" s="51"/>
    </row>
    <row r="231" spans="12:15" ht="15" customHeight="1" x14ac:dyDescent="0.3">
      <c r="L231" t="str">
        <f t="shared" si="7"/>
        <v/>
      </c>
      <c r="O231" s="51"/>
    </row>
    <row r="232" spans="12:15" ht="15" customHeight="1" x14ac:dyDescent="0.3">
      <c r="L232" t="str">
        <f t="shared" si="7"/>
        <v/>
      </c>
      <c r="O232" s="51"/>
    </row>
    <row r="233" spans="12:15" ht="15" customHeight="1" x14ac:dyDescent="0.3">
      <c r="L233" t="str">
        <f t="shared" si="7"/>
        <v/>
      </c>
      <c r="O233" s="51"/>
    </row>
    <row r="234" spans="12:15" ht="15" customHeight="1" x14ac:dyDescent="0.3">
      <c r="L234" t="str">
        <f t="shared" si="7"/>
        <v/>
      </c>
      <c r="O234" s="51"/>
    </row>
    <row r="235" spans="12:15" ht="15" customHeight="1" x14ac:dyDescent="0.3">
      <c r="L235" t="str">
        <f t="shared" si="7"/>
        <v/>
      </c>
      <c r="O235" s="51"/>
    </row>
    <row r="236" spans="12:15" ht="15" customHeight="1" x14ac:dyDescent="0.3">
      <c r="L236" t="str">
        <f t="shared" si="7"/>
        <v/>
      </c>
      <c r="O236" s="51"/>
    </row>
    <row r="237" spans="12:15" ht="15" customHeight="1" x14ac:dyDescent="0.3">
      <c r="L237" t="str">
        <f t="shared" si="7"/>
        <v/>
      </c>
      <c r="O237" s="51"/>
    </row>
    <row r="238" spans="12:15" ht="15" customHeight="1" x14ac:dyDescent="0.3">
      <c r="L238" t="str">
        <f t="shared" si="7"/>
        <v/>
      </c>
      <c r="O238" s="51"/>
    </row>
    <row r="239" spans="12:15" ht="15" customHeight="1" x14ac:dyDescent="0.3">
      <c r="L239" t="str">
        <f t="shared" si="7"/>
        <v/>
      </c>
      <c r="O239" s="51"/>
    </row>
    <row r="240" spans="12:15" ht="15" customHeight="1" x14ac:dyDescent="0.3">
      <c r="L240" t="str">
        <f t="shared" si="7"/>
        <v/>
      </c>
      <c r="O240" s="51"/>
    </row>
    <row r="241" spans="12:15" ht="15" customHeight="1" x14ac:dyDescent="0.3">
      <c r="L241" t="str">
        <f t="shared" si="7"/>
        <v/>
      </c>
      <c r="O241" s="51"/>
    </row>
    <row r="242" spans="12:15" ht="15" customHeight="1" x14ac:dyDescent="0.3">
      <c r="L242" t="str">
        <f t="shared" si="7"/>
        <v/>
      </c>
      <c r="O242" s="51"/>
    </row>
    <row r="243" spans="12:15" ht="15" customHeight="1" x14ac:dyDescent="0.3">
      <c r="L243" t="str">
        <f t="shared" si="7"/>
        <v/>
      </c>
      <c r="O243" s="51"/>
    </row>
    <row r="244" spans="12:15" ht="15" customHeight="1" x14ac:dyDescent="0.3">
      <c r="L244" t="str">
        <f t="shared" si="7"/>
        <v/>
      </c>
      <c r="O244" s="51"/>
    </row>
    <row r="245" spans="12:15" ht="15" customHeight="1" x14ac:dyDescent="0.3">
      <c r="L245" t="str">
        <f t="shared" si="7"/>
        <v/>
      </c>
      <c r="O245" s="51"/>
    </row>
    <row r="246" spans="12:15" ht="15" customHeight="1" x14ac:dyDescent="0.3">
      <c r="L246" t="str">
        <f t="shared" si="7"/>
        <v/>
      </c>
      <c r="O246" s="51"/>
    </row>
    <row r="247" spans="12:15" ht="15" customHeight="1" x14ac:dyDescent="0.3">
      <c r="L247" t="str">
        <f t="shared" si="7"/>
        <v/>
      </c>
      <c r="O247" s="51"/>
    </row>
    <row r="248" spans="12:15" ht="15" customHeight="1" x14ac:dyDescent="0.3">
      <c r="L248" t="str">
        <f t="shared" si="7"/>
        <v/>
      </c>
      <c r="O248" s="51"/>
    </row>
    <row r="249" spans="12:15" ht="15" customHeight="1" x14ac:dyDescent="0.3">
      <c r="L249" t="str">
        <f t="shared" si="7"/>
        <v/>
      </c>
      <c r="O249" s="51"/>
    </row>
    <row r="250" spans="12:15" ht="15" customHeight="1" x14ac:dyDescent="0.3">
      <c r="L250" t="str">
        <f t="shared" si="7"/>
        <v/>
      </c>
      <c r="O250" s="51"/>
    </row>
    <row r="251" spans="12:15" ht="15" customHeight="1" x14ac:dyDescent="0.3">
      <c r="L251" t="str">
        <f t="shared" si="7"/>
        <v/>
      </c>
      <c r="O251" s="51"/>
    </row>
    <row r="252" spans="12:15" ht="15" customHeight="1" x14ac:dyDescent="0.3">
      <c r="L252" t="str">
        <f t="shared" si="7"/>
        <v/>
      </c>
      <c r="O252" s="51"/>
    </row>
    <row r="253" spans="12:15" ht="15" customHeight="1" x14ac:dyDescent="0.3">
      <c r="L253" t="str">
        <f t="shared" si="7"/>
        <v/>
      </c>
      <c r="O253" s="51"/>
    </row>
    <row r="254" spans="12:15" ht="15" customHeight="1" x14ac:dyDescent="0.3">
      <c r="L254" t="str">
        <f t="shared" si="7"/>
        <v/>
      </c>
      <c r="O254" s="51"/>
    </row>
    <row r="255" spans="12:15" ht="15" customHeight="1" x14ac:dyDescent="0.3">
      <c r="L255" t="str">
        <f t="shared" si="7"/>
        <v/>
      </c>
      <c r="O255" s="51"/>
    </row>
    <row r="256" spans="12:15" ht="15" customHeight="1" x14ac:dyDescent="0.3">
      <c r="L256" t="str">
        <f t="shared" si="7"/>
        <v/>
      </c>
      <c r="O256" s="51"/>
    </row>
    <row r="257" spans="12:15" ht="15" customHeight="1" x14ac:dyDescent="0.3">
      <c r="L257" t="str">
        <f t="shared" si="7"/>
        <v/>
      </c>
      <c r="O257" s="51"/>
    </row>
    <row r="258" spans="12:15" ht="15" customHeight="1" x14ac:dyDescent="0.3">
      <c r="L258" t="str">
        <f t="shared" si="7"/>
        <v/>
      </c>
      <c r="O258" s="51"/>
    </row>
    <row r="259" spans="12:15" ht="15" customHeight="1" x14ac:dyDescent="0.3">
      <c r="L259" t="str">
        <f t="shared" si="7"/>
        <v/>
      </c>
      <c r="O259" s="51"/>
    </row>
    <row r="260" spans="12:15" ht="15" customHeight="1" x14ac:dyDescent="0.3">
      <c r="L260" t="str">
        <f t="shared" ref="L260:L323" si="8">IF($A260="","",K260*D260)</f>
        <v/>
      </c>
      <c r="O260" s="51"/>
    </row>
    <row r="261" spans="12:15" ht="15" customHeight="1" x14ac:dyDescent="0.3">
      <c r="L261" t="str">
        <f t="shared" si="8"/>
        <v/>
      </c>
      <c r="O261" s="51"/>
    </row>
    <row r="262" spans="12:15" ht="15" customHeight="1" x14ac:dyDescent="0.3">
      <c r="L262" t="str">
        <f t="shared" si="8"/>
        <v/>
      </c>
      <c r="O262" s="51"/>
    </row>
    <row r="263" spans="12:15" ht="15" customHeight="1" x14ac:dyDescent="0.3">
      <c r="L263" t="str">
        <f t="shared" si="8"/>
        <v/>
      </c>
      <c r="O263" s="51"/>
    </row>
    <row r="264" spans="12:15" ht="15" customHeight="1" x14ac:dyDescent="0.3">
      <c r="L264" t="str">
        <f t="shared" si="8"/>
        <v/>
      </c>
      <c r="O264" s="51"/>
    </row>
    <row r="265" spans="12:15" ht="15" customHeight="1" x14ac:dyDescent="0.3">
      <c r="L265" t="str">
        <f t="shared" si="8"/>
        <v/>
      </c>
      <c r="O265" s="51"/>
    </row>
    <row r="266" spans="12:15" ht="15" customHeight="1" x14ac:dyDescent="0.3">
      <c r="L266" t="str">
        <f t="shared" si="8"/>
        <v/>
      </c>
      <c r="O266" s="51"/>
    </row>
    <row r="267" spans="12:15" ht="15" customHeight="1" x14ac:dyDescent="0.3">
      <c r="L267" t="str">
        <f t="shared" si="8"/>
        <v/>
      </c>
      <c r="O267" s="51"/>
    </row>
    <row r="268" spans="12:15" ht="15" customHeight="1" x14ac:dyDescent="0.3">
      <c r="L268" t="str">
        <f t="shared" si="8"/>
        <v/>
      </c>
      <c r="O268" s="51"/>
    </row>
    <row r="269" spans="12:15" ht="15" customHeight="1" x14ac:dyDescent="0.3">
      <c r="L269" t="str">
        <f t="shared" si="8"/>
        <v/>
      </c>
      <c r="O269" s="51"/>
    </row>
    <row r="270" spans="12:15" ht="15" customHeight="1" x14ac:dyDescent="0.3">
      <c r="L270" t="str">
        <f t="shared" si="8"/>
        <v/>
      </c>
      <c r="O270" s="51"/>
    </row>
    <row r="271" spans="12:15" ht="15" customHeight="1" x14ac:dyDescent="0.3">
      <c r="L271" t="str">
        <f t="shared" si="8"/>
        <v/>
      </c>
      <c r="O271" s="51"/>
    </row>
    <row r="272" spans="12:15" ht="15" customHeight="1" x14ac:dyDescent="0.3">
      <c r="L272" t="str">
        <f t="shared" si="8"/>
        <v/>
      </c>
      <c r="O272" s="51"/>
    </row>
    <row r="273" spans="12:15" ht="15" customHeight="1" x14ac:dyDescent="0.3">
      <c r="L273" t="str">
        <f t="shared" si="8"/>
        <v/>
      </c>
      <c r="O273" s="51"/>
    </row>
    <row r="274" spans="12:15" ht="15" customHeight="1" x14ac:dyDescent="0.3">
      <c r="L274" t="str">
        <f t="shared" si="8"/>
        <v/>
      </c>
      <c r="O274" s="51"/>
    </row>
    <row r="275" spans="12:15" ht="15" customHeight="1" x14ac:dyDescent="0.3">
      <c r="L275" t="str">
        <f t="shared" si="8"/>
        <v/>
      </c>
      <c r="O275" s="51"/>
    </row>
    <row r="276" spans="12:15" ht="15" customHeight="1" x14ac:dyDescent="0.3">
      <c r="L276" t="str">
        <f t="shared" si="8"/>
        <v/>
      </c>
      <c r="O276" s="51"/>
    </row>
    <row r="277" spans="12:15" ht="15" customHeight="1" x14ac:dyDescent="0.3">
      <c r="L277" t="str">
        <f t="shared" si="8"/>
        <v/>
      </c>
      <c r="O277" s="51"/>
    </row>
    <row r="278" spans="12:15" ht="15" customHeight="1" x14ac:dyDescent="0.3">
      <c r="L278" t="str">
        <f t="shared" si="8"/>
        <v/>
      </c>
      <c r="O278" s="51"/>
    </row>
    <row r="279" spans="12:15" ht="15" customHeight="1" x14ac:dyDescent="0.3">
      <c r="L279" t="str">
        <f t="shared" si="8"/>
        <v/>
      </c>
      <c r="O279" s="51"/>
    </row>
    <row r="280" spans="12:15" ht="15" customHeight="1" x14ac:dyDescent="0.3">
      <c r="L280" t="str">
        <f t="shared" si="8"/>
        <v/>
      </c>
      <c r="O280" s="51"/>
    </row>
    <row r="281" spans="12:15" ht="15" customHeight="1" x14ac:dyDescent="0.3">
      <c r="L281" t="str">
        <f t="shared" si="8"/>
        <v/>
      </c>
      <c r="O281" s="51"/>
    </row>
    <row r="282" spans="12:15" ht="15" customHeight="1" x14ac:dyDescent="0.3">
      <c r="L282" t="str">
        <f t="shared" si="8"/>
        <v/>
      </c>
      <c r="O282" s="51"/>
    </row>
    <row r="283" spans="12:15" ht="15" customHeight="1" x14ac:dyDescent="0.3">
      <c r="L283" t="str">
        <f t="shared" si="8"/>
        <v/>
      </c>
      <c r="O283" s="51"/>
    </row>
    <row r="284" spans="12:15" ht="15" customHeight="1" x14ac:dyDescent="0.3">
      <c r="L284" t="str">
        <f t="shared" si="8"/>
        <v/>
      </c>
      <c r="O284" s="51"/>
    </row>
    <row r="285" spans="12:15" ht="15" customHeight="1" x14ac:dyDescent="0.3">
      <c r="L285" t="str">
        <f t="shared" si="8"/>
        <v/>
      </c>
      <c r="O285" s="51"/>
    </row>
    <row r="286" spans="12:15" ht="15" customHeight="1" x14ac:dyDescent="0.3">
      <c r="L286" t="str">
        <f t="shared" si="8"/>
        <v/>
      </c>
      <c r="O286" s="51"/>
    </row>
    <row r="287" spans="12:15" ht="15" customHeight="1" x14ac:dyDescent="0.3">
      <c r="L287" t="str">
        <f t="shared" si="8"/>
        <v/>
      </c>
      <c r="O287" s="51"/>
    </row>
    <row r="288" spans="12:15" ht="15" customHeight="1" x14ac:dyDescent="0.3">
      <c r="L288" t="str">
        <f t="shared" si="8"/>
        <v/>
      </c>
      <c r="O288" s="51"/>
    </row>
    <row r="289" spans="12:15" ht="15" customHeight="1" x14ac:dyDescent="0.3">
      <c r="L289" t="str">
        <f t="shared" si="8"/>
        <v/>
      </c>
      <c r="O289" s="51"/>
    </row>
    <row r="290" spans="12:15" ht="15" customHeight="1" x14ac:dyDescent="0.3">
      <c r="L290" t="str">
        <f t="shared" si="8"/>
        <v/>
      </c>
      <c r="O290" s="51"/>
    </row>
    <row r="291" spans="12:15" ht="15" customHeight="1" x14ac:dyDescent="0.3">
      <c r="L291" t="str">
        <f t="shared" si="8"/>
        <v/>
      </c>
      <c r="O291" s="51"/>
    </row>
    <row r="292" spans="12:15" ht="15" customHeight="1" x14ac:dyDescent="0.3">
      <c r="L292" t="str">
        <f t="shared" si="8"/>
        <v/>
      </c>
      <c r="O292" s="51"/>
    </row>
    <row r="293" spans="12:15" ht="15" customHeight="1" x14ac:dyDescent="0.3">
      <c r="L293" t="str">
        <f t="shared" si="8"/>
        <v/>
      </c>
      <c r="O293" s="51"/>
    </row>
    <row r="294" spans="12:15" ht="15" customHeight="1" x14ac:dyDescent="0.3">
      <c r="L294" t="str">
        <f t="shared" si="8"/>
        <v/>
      </c>
      <c r="O294" s="51"/>
    </row>
    <row r="295" spans="12:15" ht="15" customHeight="1" x14ac:dyDescent="0.3">
      <c r="L295" t="str">
        <f t="shared" si="8"/>
        <v/>
      </c>
      <c r="O295" s="51"/>
    </row>
    <row r="296" spans="12:15" ht="15" customHeight="1" x14ac:dyDescent="0.3">
      <c r="L296" t="str">
        <f t="shared" si="8"/>
        <v/>
      </c>
      <c r="O296" s="51"/>
    </row>
    <row r="297" spans="12:15" ht="15" customHeight="1" x14ac:dyDescent="0.3">
      <c r="L297" t="str">
        <f t="shared" si="8"/>
        <v/>
      </c>
      <c r="O297" s="51"/>
    </row>
    <row r="298" spans="12:15" ht="15" customHeight="1" x14ac:dyDescent="0.3">
      <c r="L298" t="str">
        <f t="shared" si="8"/>
        <v/>
      </c>
      <c r="O298" s="51"/>
    </row>
    <row r="299" spans="12:15" ht="15" customHeight="1" x14ac:dyDescent="0.3">
      <c r="L299" t="str">
        <f t="shared" si="8"/>
        <v/>
      </c>
      <c r="O299" s="51"/>
    </row>
    <row r="300" spans="12:15" ht="15" customHeight="1" x14ac:dyDescent="0.3">
      <c r="L300" t="str">
        <f t="shared" si="8"/>
        <v/>
      </c>
      <c r="O300" s="51"/>
    </row>
    <row r="301" spans="12:15" ht="15" customHeight="1" x14ac:dyDescent="0.3">
      <c r="L301" t="str">
        <f t="shared" si="8"/>
        <v/>
      </c>
      <c r="O301" s="51"/>
    </row>
    <row r="302" spans="12:15" ht="15" customHeight="1" x14ac:dyDescent="0.3">
      <c r="L302" t="str">
        <f t="shared" si="8"/>
        <v/>
      </c>
      <c r="O302" s="51"/>
    </row>
    <row r="303" spans="12:15" ht="15" customHeight="1" x14ac:dyDescent="0.3">
      <c r="L303" t="str">
        <f t="shared" si="8"/>
        <v/>
      </c>
      <c r="O303" s="51"/>
    </row>
    <row r="304" spans="12:15" ht="15" customHeight="1" x14ac:dyDescent="0.3">
      <c r="L304" t="str">
        <f t="shared" si="8"/>
        <v/>
      </c>
      <c r="O304" s="51"/>
    </row>
    <row r="305" spans="12:15" ht="15" customHeight="1" x14ac:dyDescent="0.3">
      <c r="L305" t="str">
        <f t="shared" si="8"/>
        <v/>
      </c>
      <c r="O305" s="51"/>
    </row>
    <row r="306" spans="12:15" ht="15" customHeight="1" x14ac:dyDescent="0.3">
      <c r="L306" t="str">
        <f t="shared" si="8"/>
        <v/>
      </c>
      <c r="O306" s="51"/>
    </row>
    <row r="307" spans="12:15" ht="15" customHeight="1" x14ac:dyDescent="0.3">
      <c r="L307" t="str">
        <f t="shared" si="8"/>
        <v/>
      </c>
      <c r="O307" s="51"/>
    </row>
    <row r="308" spans="12:15" ht="15" customHeight="1" x14ac:dyDescent="0.3">
      <c r="L308" t="str">
        <f t="shared" si="8"/>
        <v/>
      </c>
      <c r="O308" s="51"/>
    </row>
    <row r="309" spans="12:15" ht="15" customHeight="1" x14ac:dyDescent="0.3">
      <c r="L309" t="str">
        <f t="shared" si="8"/>
        <v/>
      </c>
      <c r="O309" s="51"/>
    </row>
    <row r="310" spans="12:15" ht="15" customHeight="1" x14ac:dyDescent="0.3">
      <c r="L310" t="str">
        <f t="shared" si="8"/>
        <v/>
      </c>
      <c r="O310" s="51"/>
    </row>
    <row r="311" spans="12:15" ht="15" customHeight="1" x14ac:dyDescent="0.3">
      <c r="L311" t="str">
        <f t="shared" si="8"/>
        <v/>
      </c>
      <c r="O311" s="51"/>
    </row>
    <row r="312" spans="12:15" ht="15" customHeight="1" x14ac:dyDescent="0.3">
      <c r="L312" t="str">
        <f t="shared" si="8"/>
        <v/>
      </c>
      <c r="O312" s="51"/>
    </row>
    <row r="313" spans="12:15" ht="15" customHeight="1" x14ac:dyDescent="0.3">
      <c r="L313" t="str">
        <f t="shared" si="8"/>
        <v/>
      </c>
      <c r="O313" s="51"/>
    </row>
    <row r="314" spans="12:15" ht="15" customHeight="1" x14ac:dyDescent="0.3">
      <c r="L314" t="str">
        <f t="shared" si="8"/>
        <v/>
      </c>
      <c r="O314" s="51"/>
    </row>
    <row r="315" spans="12:15" ht="15" customHeight="1" x14ac:dyDescent="0.3">
      <c r="L315" t="str">
        <f t="shared" si="8"/>
        <v/>
      </c>
      <c r="O315" s="51"/>
    </row>
    <row r="316" spans="12:15" ht="15" customHeight="1" x14ac:dyDescent="0.3">
      <c r="L316" t="str">
        <f t="shared" si="8"/>
        <v/>
      </c>
      <c r="O316" s="51"/>
    </row>
    <row r="317" spans="12:15" ht="15" customHeight="1" x14ac:dyDescent="0.3">
      <c r="L317" t="str">
        <f t="shared" si="8"/>
        <v/>
      </c>
      <c r="O317" s="51"/>
    </row>
    <row r="318" spans="12:15" ht="15" customHeight="1" x14ac:dyDescent="0.3">
      <c r="L318" t="str">
        <f t="shared" si="8"/>
        <v/>
      </c>
      <c r="O318" s="51"/>
    </row>
    <row r="319" spans="12:15" ht="15" customHeight="1" x14ac:dyDescent="0.3">
      <c r="L319" t="str">
        <f t="shared" si="8"/>
        <v/>
      </c>
      <c r="O319" s="51"/>
    </row>
    <row r="320" spans="12:15" ht="15" customHeight="1" x14ac:dyDescent="0.3">
      <c r="L320" t="str">
        <f t="shared" si="8"/>
        <v/>
      </c>
      <c r="O320" s="51"/>
    </row>
    <row r="321" spans="12:15" ht="15" customHeight="1" x14ac:dyDescent="0.3">
      <c r="L321" t="str">
        <f t="shared" si="8"/>
        <v/>
      </c>
      <c r="O321" s="51"/>
    </row>
    <row r="322" spans="12:15" ht="15" customHeight="1" x14ac:dyDescent="0.3">
      <c r="L322" t="str">
        <f t="shared" si="8"/>
        <v/>
      </c>
      <c r="O322" s="51"/>
    </row>
    <row r="323" spans="12:15" ht="15" customHeight="1" x14ac:dyDescent="0.3">
      <c r="L323" t="str">
        <f t="shared" si="8"/>
        <v/>
      </c>
      <c r="O323" s="51"/>
    </row>
    <row r="324" spans="12:15" ht="15" customHeight="1" x14ac:dyDescent="0.3">
      <c r="L324" t="str">
        <f t="shared" ref="L324:L387" si="9">IF($A324="","",K324*D324)</f>
        <v/>
      </c>
      <c r="O324" s="51"/>
    </row>
    <row r="325" spans="12:15" ht="15" customHeight="1" x14ac:dyDescent="0.3">
      <c r="L325" t="str">
        <f t="shared" si="9"/>
        <v/>
      </c>
      <c r="O325" s="51"/>
    </row>
    <row r="326" spans="12:15" ht="15" customHeight="1" x14ac:dyDescent="0.3">
      <c r="L326" t="str">
        <f t="shared" si="9"/>
        <v/>
      </c>
      <c r="O326" s="51"/>
    </row>
    <row r="327" spans="12:15" ht="15" customHeight="1" x14ac:dyDescent="0.3">
      <c r="L327" t="str">
        <f t="shared" si="9"/>
        <v/>
      </c>
      <c r="O327" s="51"/>
    </row>
    <row r="328" spans="12:15" ht="15" customHeight="1" x14ac:dyDescent="0.3">
      <c r="L328" t="str">
        <f t="shared" si="9"/>
        <v/>
      </c>
      <c r="O328" s="51"/>
    </row>
    <row r="329" spans="12:15" ht="15" customHeight="1" x14ac:dyDescent="0.3">
      <c r="L329" t="str">
        <f t="shared" si="9"/>
        <v/>
      </c>
      <c r="O329" s="51"/>
    </row>
    <row r="330" spans="12:15" ht="15" customHeight="1" x14ac:dyDescent="0.3">
      <c r="L330" t="str">
        <f t="shared" si="9"/>
        <v/>
      </c>
      <c r="O330" s="51"/>
    </row>
    <row r="331" spans="12:15" ht="15" customHeight="1" x14ac:dyDescent="0.3">
      <c r="L331" t="str">
        <f t="shared" si="9"/>
        <v/>
      </c>
      <c r="O331" s="51"/>
    </row>
    <row r="332" spans="12:15" ht="15" customHeight="1" x14ac:dyDescent="0.3">
      <c r="L332" t="str">
        <f t="shared" si="9"/>
        <v/>
      </c>
      <c r="O332" s="51"/>
    </row>
    <row r="333" spans="12:15" ht="15" customHeight="1" x14ac:dyDescent="0.3">
      <c r="L333" t="str">
        <f t="shared" si="9"/>
        <v/>
      </c>
      <c r="O333" s="51"/>
    </row>
    <row r="334" spans="12:15" ht="15" customHeight="1" x14ac:dyDescent="0.3">
      <c r="L334" t="str">
        <f t="shared" si="9"/>
        <v/>
      </c>
      <c r="O334" s="51"/>
    </row>
    <row r="335" spans="12:15" ht="15" customHeight="1" x14ac:dyDescent="0.3">
      <c r="L335" t="str">
        <f t="shared" si="9"/>
        <v/>
      </c>
      <c r="O335" s="51"/>
    </row>
    <row r="336" spans="12:15" ht="15" customHeight="1" x14ac:dyDescent="0.3">
      <c r="L336" t="str">
        <f t="shared" si="9"/>
        <v/>
      </c>
      <c r="O336" s="51"/>
    </row>
    <row r="337" spans="12:15" ht="15" customHeight="1" x14ac:dyDescent="0.3">
      <c r="L337" t="str">
        <f t="shared" si="9"/>
        <v/>
      </c>
      <c r="O337" s="51"/>
    </row>
    <row r="338" spans="12:15" ht="15" customHeight="1" x14ac:dyDescent="0.3">
      <c r="L338" t="str">
        <f t="shared" si="9"/>
        <v/>
      </c>
      <c r="O338" s="51"/>
    </row>
    <row r="339" spans="12:15" ht="15" customHeight="1" x14ac:dyDescent="0.3">
      <c r="L339" t="str">
        <f t="shared" si="9"/>
        <v/>
      </c>
      <c r="O339" s="51"/>
    </row>
    <row r="340" spans="12:15" ht="15" customHeight="1" x14ac:dyDescent="0.3">
      <c r="L340" t="str">
        <f t="shared" si="9"/>
        <v/>
      </c>
      <c r="O340" s="51"/>
    </row>
    <row r="341" spans="12:15" ht="15" customHeight="1" x14ac:dyDescent="0.3">
      <c r="L341" t="str">
        <f t="shared" si="9"/>
        <v/>
      </c>
      <c r="O341" s="51"/>
    </row>
    <row r="342" spans="12:15" ht="15" customHeight="1" x14ac:dyDescent="0.3">
      <c r="L342" t="str">
        <f t="shared" si="9"/>
        <v/>
      </c>
      <c r="O342" s="51"/>
    </row>
    <row r="343" spans="12:15" ht="15" customHeight="1" x14ac:dyDescent="0.3">
      <c r="L343" t="str">
        <f t="shared" si="9"/>
        <v/>
      </c>
      <c r="O343" s="51"/>
    </row>
    <row r="344" spans="12:15" ht="15" customHeight="1" x14ac:dyDescent="0.3">
      <c r="L344" t="str">
        <f t="shared" si="9"/>
        <v/>
      </c>
      <c r="O344" s="51"/>
    </row>
    <row r="345" spans="12:15" ht="15" customHeight="1" x14ac:dyDescent="0.3">
      <c r="L345" t="str">
        <f t="shared" si="9"/>
        <v/>
      </c>
      <c r="O345" s="51"/>
    </row>
    <row r="346" spans="12:15" ht="15" customHeight="1" x14ac:dyDescent="0.3">
      <c r="L346" t="str">
        <f t="shared" si="9"/>
        <v/>
      </c>
      <c r="O346" s="51"/>
    </row>
    <row r="347" spans="12:15" ht="15" customHeight="1" x14ac:dyDescent="0.3">
      <c r="L347" t="str">
        <f t="shared" si="9"/>
        <v/>
      </c>
      <c r="O347" s="51"/>
    </row>
    <row r="348" spans="12:15" ht="15" customHeight="1" x14ac:dyDescent="0.3">
      <c r="L348" t="str">
        <f t="shared" si="9"/>
        <v/>
      </c>
      <c r="O348" s="51"/>
    </row>
    <row r="349" spans="12:15" ht="15" customHeight="1" x14ac:dyDescent="0.3">
      <c r="L349" t="str">
        <f t="shared" si="9"/>
        <v/>
      </c>
      <c r="O349" s="51"/>
    </row>
    <row r="350" spans="12:15" ht="15" customHeight="1" x14ac:dyDescent="0.3">
      <c r="L350" t="str">
        <f t="shared" si="9"/>
        <v/>
      </c>
      <c r="O350" s="51"/>
    </row>
    <row r="351" spans="12:15" ht="15" customHeight="1" x14ac:dyDescent="0.3">
      <c r="L351" t="str">
        <f t="shared" si="9"/>
        <v/>
      </c>
      <c r="O351" s="51"/>
    </row>
    <row r="352" spans="12:15" ht="15" customHeight="1" x14ac:dyDescent="0.3">
      <c r="L352" t="str">
        <f t="shared" si="9"/>
        <v/>
      </c>
      <c r="O352" s="51"/>
    </row>
    <row r="353" spans="12:15" ht="15" customHeight="1" x14ac:dyDescent="0.3">
      <c r="L353" t="str">
        <f t="shared" si="9"/>
        <v/>
      </c>
      <c r="O353" s="51"/>
    </row>
    <row r="354" spans="12:15" ht="15" customHeight="1" x14ac:dyDescent="0.3">
      <c r="L354" t="str">
        <f t="shared" si="9"/>
        <v/>
      </c>
      <c r="O354" s="51"/>
    </row>
    <row r="355" spans="12:15" ht="15" customHeight="1" x14ac:dyDescent="0.3">
      <c r="L355" t="str">
        <f t="shared" si="9"/>
        <v/>
      </c>
      <c r="O355" s="51"/>
    </row>
    <row r="356" spans="12:15" ht="15" customHeight="1" x14ac:dyDescent="0.3">
      <c r="L356" t="str">
        <f t="shared" si="9"/>
        <v/>
      </c>
      <c r="O356" s="51"/>
    </row>
    <row r="357" spans="12:15" ht="15" customHeight="1" x14ac:dyDescent="0.3">
      <c r="L357" t="str">
        <f t="shared" si="9"/>
        <v/>
      </c>
      <c r="O357" s="51"/>
    </row>
    <row r="358" spans="12:15" ht="15" customHeight="1" x14ac:dyDescent="0.3">
      <c r="L358" t="str">
        <f t="shared" si="9"/>
        <v/>
      </c>
      <c r="O358" s="51"/>
    </row>
    <row r="359" spans="12:15" ht="15" customHeight="1" x14ac:dyDescent="0.3">
      <c r="L359" t="str">
        <f t="shared" si="9"/>
        <v/>
      </c>
      <c r="O359" s="51"/>
    </row>
    <row r="360" spans="12:15" ht="15" customHeight="1" x14ac:dyDescent="0.3">
      <c r="L360" t="str">
        <f t="shared" si="9"/>
        <v/>
      </c>
      <c r="O360" s="51"/>
    </row>
    <row r="361" spans="12:15" ht="15" customHeight="1" x14ac:dyDescent="0.3">
      <c r="L361" t="str">
        <f t="shared" si="9"/>
        <v/>
      </c>
      <c r="O361" s="51"/>
    </row>
    <row r="362" spans="12:15" ht="15" customHeight="1" x14ac:dyDescent="0.3">
      <c r="L362" t="str">
        <f t="shared" si="9"/>
        <v/>
      </c>
      <c r="O362" s="51"/>
    </row>
    <row r="363" spans="12:15" ht="15" customHeight="1" x14ac:dyDescent="0.3">
      <c r="L363" t="str">
        <f t="shared" si="9"/>
        <v/>
      </c>
      <c r="O363" s="51"/>
    </row>
    <row r="364" spans="12:15" ht="15" customHeight="1" x14ac:dyDescent="0.3">
      <c r="L364" t="str">
        <f t="shared" si="9"/>
        <v/>
      </c>
      <c r="O364" s="51"/>
    </row>
    <row r="365" spans="12:15" ht="15" customHeight="1" x14ac:dyDescent="0.3">
      <c r="L365" t="str">
        <f t="shared" si="9"/>
        <v/>
      </c>
      <c r="O365" s="51"/>
    </row>
    <row r="366" spans="12:15" ht="15" customHeight="1" x14ac:dyDescent="0.3">
      <c r="L366" t="str">
        <f t="shared" si="9"/>
        <v/>
      </c>
      <c r="O366" s="51"/>
    </row>
    <row r="367" spans="12:15" ht="15" customHeight="1" x14ac:dyDescent="0.3">
      <c r="L367" t="str">
        <f t="shared" si="9"/>
        <v/>
      </c>
      <c r="O367" s="51"/>
    </row>
    <row r="368" spans="12:15" ht="15" customHeight="1" x14ac:dyDescent="0.3">
      <c r="L368" t="str">
        <f t="shared" si="9"/>
        <v/>
      </c>
      <c r="O368" s="51"/>
    </row>
    <row r="369" spans="12:15" ht="15" customHeight="1" x14ac:dyDescent="0.3">
      <c r="L369" t="str">
        <f t="shared" si="9"/>
        <v/>
      </c>
      <c r="O369" s="51"/>
    </row>
    <row r="370" spans="12:15" ht="15" customHeight="1" x14ac:dyDescent="0.3">
      <c r="L370" t="str">
        <f t="shared" si="9"/>
        <v/>
      </c>
      <c r="O370" s="51"/>
    </row>
    <row r="371" spans="12:15" ht="15" customHeight="1" x14ac:dyDescent="0.3">
      <c r="L371" t="str">
        <f t="shared" si="9"/>
        <v/>
      </c>
      <c r="O371" s="51"/>
    </row>
    <row r="372" spans="12:15" ht="15" customHeight="1" x14ac:dyDescent="0.3">
      <c r="L372" t="str">
        <f t="shared" si="9"/>
        <v/>
      </c>
      <c r="O372" s="51"/>
    </row>
    <row r="373" spans="12:15" ht="15" customHeight="1" x14ac:dyDescent="0.3">
      <c r="L373" t="str">
        <f t="shared" si="9"/>
        <v/>
      </c>
      <c r="O373" s="51"/>
    </row>
    <row r="374" spans="12:15" ht="15" customHeight="1" x14ac:dyDescent="0.3">
      <c r="L374" t="str">
        <f t="shared" si="9"/>
        <v/>
      </c>
      <c r="O374" s="51"/>
    </row>
    <row r="375" spans="12:15" ht="15" customHeight="1" x14ac:dyDescent="0.3">
      <c r="L375" t="str">
        <f t="shared" si="9"/>
        <v/>
      </c>
      <c r="O375" s="51"/>
    </row>
    <row r="376" spans="12:15" ht="15" customHeight="1" x14ac:dyDescent="0.3">
      <c r="L376" t="str">
        <f t="shared" si="9"/>
        <v/>
      </c>
      <c r="O376" s="51"/>
    </row>
    <row r="377" spans="12:15" ht="15" customHeight="1" x14ac:dyDescent="0.3">
      <c r="L377" t="str">
        <f t="shared" si="9"/>
        <v/>
      </c>
      <c r="O377" s="51"/>
    </row>
    <row r="378" spans="12:15" ht="15" customHeight="1" x14ac:dyDescent="0.3">
      <c r="L378" t="str">
        <f t="shared" si="9"/>
        <v/>
      </c>
      <c r="O378" s="51"/>
    </row>
    <row r="379" spans="12:15" ht="15" customHeight="1" x14ac:dyDescent="0.3">
      <c r="L379" t="str">
        <f t="shared" si="9"/>
        <v/>
      </c>
      <c r="O379" s="51"/>
    </row>
    <row r="380" spans="12:15" ht="15" customHeight="1" x14ac:dyDescent="0.3">
      <c r="L380" t="str">
        <f t="shared" si="9"/>
        <v/>
      </c>
      <c r="O380" s="51"/>
    </row>
    <row r="381" spans="12:15" ht="15" customHeight="1" x14ac:dyDescent="0.3">
      <c r="L381" t="str">
        <f t="shared" si="9"/>
        <v/>
      </c>
      <c r="O381" s="51"/>
    </row>
    <row r="382" spans="12:15" ht="15" customHeight="1" x14ac:dyDescent="0.3">
      <c r="L382" t="str">
        <f t="shared" si="9"/>
        <v/>
      </c>
      <c r="O382" s="51"/>
    </row>
    <row r="383" spans="12:15" ht="15" customHeight="1" x14ac:dyDescent="0.3">
      <c r="L383" t="str">
        <f t="shared" si="9"/>
        <v/>
      </c>
      <c r="O383" s="51"/>
    </row>
    <row r="384" spans="12:15" ht="15" customHeight="1" x14ac:dyDescent="0.3">
      <c r="L384" t="str">
        <f t="shared" si="9"/>
        <v/>
      </c>
      <c r="O384" s="51"/>
    </row>
    <row r="385" spans="12:15" ht="15" customHeight="1" x14ac:dyDescent="0.3">
      <c r="L385" t="str">
        <f t="shared" si="9"/>
        <v/>
      </c>
      <c r="O385" s="51"/>
    </row>
    <row r="386" spans="12:15" ht="15" customHeight="1" x14ac:dyDescent="0.3">
      <c r="L386" t="str">
        <f t="shared" si="9"/>
        <v/>
      </c>
      <c r="O386" s="51"/>
    </row>
    <row r="387" spans="12:15" ht="15" customHeight="1" x14ac:dyDescent="0.3">
      <c r="L387" t="str">
        <f t="shared" si="9"/>
        <v/>
      </c>
      <c r="O387" s="51"/>
    </row>
    <row r="388" spans="12:15" ht="15" customHeight="1" x14ac:dyDescent="0.3">
      <c r="L388" t="str">
        <f t="shared" ref="L388:L451" si="10">IF($A388="","",K388*D388)</f>
        <v/>
      </c>
      <c r="O388" s="51"/>
    </row>
    <row r="389" spans="12:15" ht="15" customHeight="1" x14ac:dyDescent="0.3">
      <c r="L389" t="str">
        <f t="shared" si="10"/>
        <v/>
      </c>
      <c r="O389" s="51"/>
    </row>
    <row r="390" spans="12:15" ht="15" customHeight="1" x14ac:dyDescent="0.3">
      <c r="L390" t="str">
        <f t="shared" si="10"/>
        <v/>
      </c>
      <c r="O390" s="51"/>
    </row>
    <row r="391" spans="12:15" ht="15" customHeight="1" x14ac:dyDescent="0.3">
      <c r="L391" t="str">
        <f t="shared" si="10"/>
        <v/>
      </c>
      <c r="O391" s="51"/>
    </row>
    <row r="392" spans="12:15" ht="15" customHeight="1" x14ac:dyDescent="0.3">
      <c r="L392" t="str">
        <f t="shared" si="10"/>
        <v/>
      </c>
      <c r="O392" s="51"/>
    </row>
    <row r="393" spans="12:15" ht="15" customHeight="1" x14ac:dyDescent="0.3">
      <c r="L393" t="str">
        <f t="shared" si="10"/>
        <v/>
      </c>
      <c r="O393" s="51"/>
    </row>
    <row r="394" spans="12:15" ht="15" customHeight="1" x14ac:dyDescent="0.3">
      <c r="L394" t="str">
        <f t="shared" si="10"/>
        <v/>
      </c>
      <c r="O394" s="51"/>
    </row>
    <row r="395" spans="12:15" ht="15" customHeight="1" x14ac:dyDescent="0.3">
      <c r="L395" t="str">
        <f t="shared" si="10"/>
        <v/>
      </c>
      <c r="O395" s="51"/>
    </row>
    <row r="396" spans="12:15" ht="15" customHeight="1" x14ac:dyDescent="0.3">
      <c r="L396" t="str">
        <f t="shared" si="10"/>
        <v/>
      </c>
      <c r="O396" s="51"/>
    </row>
    <row r="397" spans="12:15" ht="15" customHeight="1" x14ac:dyDescent="0.3">
      <c r="L397" t="str">
        <f t="shared" si="10"/>
        <v/>
      </c>
      <c r="O397" s="51"/>
    </row>
    <row r="398" spans="12:15" ht="15" customHeight="1" x14ac:dyDescent="0.3">
      <c r="L398" t="str">
        <f t="shared" si="10"/>
        <v/>
      </c>
      <c r="O398" s="51"/>
    </row>
    <row r="399" spans="12:15" ht="15" customHeight="1" x14ac:dyDescent="0.3">
      <c r="L399" t="str">
        <f t="shared" si="10"/>
        <v/>
      </c>
      <c r="O399" s="51"/>
    </row>
    <row r="400" spans="12:15" ht="15" customHeight="1" x14ac:dyDescent="0.3">
      <c r="L400" t="str">
        <f t="shared" si="10"/>
        <v/>
      </c>
      <c r="O400" s="51"/>
    </row>
    <row r="401" spans="12:15" ht="15" customHeight="1" x14ac:dyDescent="0.3">
      <c r="L401" t="str">
        <f t="shared" si="10"/>
        <v/>
      </c>
      <c r="O401" s="51"/>
    </row>
    <row r="402" spans="12:15" ht="15" customHeight="1" x14ac:dyDescent="0.3">
      <c r="L402" t="str">
        <f t="shared" si="10"/>
        <v/>
      </c>
      <c r="O402" s="51"/>
    </row>
    <row r="403" spans="12:15" ht="15" customHeight="1" x14ac:dyDescent="0.3">
      <c r="L403" t="str">
        <f t="shared" si="10"/>
        <v/>
      </c>
      <c r="O403" s="51"/>
    </row>
    <row r="404" spans="12:15" ht="15" customHeight="1" x14ac:dyDescent="0.3">
      <c r="L404" t="str">
        <f t="shared" si="10"/>
        <v/>
      </c>
      <c r="O404" s="51"/>
    </row>
    <row r="405" spans="12:15" ht="15" customHeight="1" x14ac:dyDescent="0.3">
      <c r="L405" t="str">
        <f t="shared" si="10"/>
        <v/>
      </c>
      <c r="O405" s="51"/>
    </row>
    <row r="406" spans="12:15" ht="15" customHeight="1" x14ac:dyDescent="0.3">
      <c r="L406" t="str">
        <f t="shared" si="10"/>
        <v/>
      </c>
      <c r="O406" s="51"/>
    </row>
    <row r="407" spans="12:15" ht="15" customHeight="1" x14ac:dyDescent="0.3">
      <c r="L407" t="str">
        <f t="shared" si="10"/>
        <v/>
      </c>
      <c r="O407" s="51"/>
    </row>
    <row r="408" spans="12:15" ht="15" customHeight="1" x14ac:dyDescent="0.3">
      <c r="L408" t="str">
        <f t="shared" si="10"/>
        <v/>
      </c>
      <c r="O408" s="51"/>
    </row>
    <row r="409" spans="12:15" ht="15" customHeight="1" x14ac:dyDescent="0.3">
      <c r="L409" t="str">
        <f t="shared" si="10"/>
        <v/>
      </c>
      <c r="O409" s="51"/>
    </row>
    <row r="410" spans="12:15" ht="15" customHeight="1" x14ac:dyDescent="0.3">
      <c r="L410" t="str">
        <f t="shared" si="10"/>
        <v/>
      </c>
      <c r="O410" s="51"/>
    </row>
    <row r="411" spans="12:15" ht="15" customHeight="1" x14ac:dyDescent="0.3">
      <c r="L411" t="str">
        <f t="shared" si="10"/>
        <v/>
      </c>
      <c r="O411" s="51"/>
    </row>
    <row r="412" spans="12:15" ht="15" customHeight="1" x14ac:dyDescent="0.3">
      <c r="L412" t="str">
        <f t="shared" si="10"/>
        <v/>
      </c>
      <c r="O412" s="51"/>
    </row>
    <row r="413" spans="12:15" ht="15" customHeight="1" x14ac:dyDescent="0.3">
      <c r="L413" t="str">
        <f t="shared" si="10"/>
        <v/>
      </c>
      <c r="O413" s="51"/>
    </row>
    <row r="414" spans="12:15" ht="15" customHeight="1" x14ac:dyDescent="0.3">
      <c r="L414" t="str">
        <f t="shared" si="10"/>
        <v/>
      </c>
      <c r="O414" s="51"/>
    </row>
    <row r="415" spans="12:15" ht="15" customHeight="1" x14ac:dyDescent="0.3">
      <c r="L415" t="str">
        <f t="shared" si="10"/>
        <v/>
      </c>
      <c r="O415" s="51"/>
    </row>
    <row r="416" spans="12:15" ht="15" customHeight="1" x14ac:dyDescent="0.3">
      <c r="L416" t="str">
        <f t="shared" si="10"/>
        <v/>
      </c>
      <c r="O416" s="51"/>
    </row>
    <row r="417" spans="12:15" ht="15" customHeight="1" x14ac:dyDescent="0.3">
      <c r="L417" t="str">
        <f t="shared" si="10"/>
        <v/>
      </c>
      <c r="O417" s="51"/>
    </row>
    <row r="418" spans="12:15" ht="15" customHeight="1" x14ac:dyDescent="0.3">
      <c r="L418" t="str">
        <f t="shared" si="10"/>
        <v/>
      </c>
      <c r="O418" s="51"/>
    </row>
    <row r="419" spans="12:15" ht="15" customHeight="1" x14ac:dyDescent="0.3">
      <c r="L419" t="str">
        <f t="shared" si="10"/>
        <v/>
      </c>
      <c r="O419" s="51"/>
    </row>
    <row r="420" spans="12:15" ht="15" customHeight="1" x14ac:dyDescent="0.3">
      <c r="L420" t="str">
        <f t="shared" si="10"/>
        <v/>
      </c>
      <c r="O420" s="51"/>
    </row>
    <row r="421" spans="12:15" ht="15" customHeight="1" x14ac:dyDescent="0.3">
      <c r="L421" t="str">
        <f t="shared" si="10"/>
        <v/>
      </c>
      <c r="O421" s="51"/>
    </row>
    <row r="422" spans="12:15" ht="15" customHeight="1" x14ac:dyDescent="0.3">
      <c r="L422" t="str">
        <f t="shared" si="10"/>
        <v/>
      </c>
      <c r="O422" s="51"/>
    </row>
    <row r="423" spans="12:15" ht="15" customHeight="1" x14ac:dyDescent="0.3">
      <c r="L423" t="str">
        <f t="shared" si="10"/>
        <v/>
      </c>
      <c r="O423" s="51"/>
    </row>
    <row r="424" spans="12:15" ht="15" customHeight="1" x14ac:dyDescent="0.3">
      <c r="L424" t="str">
        <f t="shared" si="10"/>
        <v/>
      </c>
      <c r="O424" s="51"/>
    </row>
    <row r="425" spans="12:15" ht="15" customHeight="1" x14ac:dyDescent="0.3">
      <c r="L425" t="str">
        <f t="shared" si="10"/>
        <v/>
      </c>
      <c r="O425" s="51"/>
    </row>
    <row r="426" spans="12:15" ht="15" customHeight="1" x14ac:dyDescent="0.3">
      <c r="L426" t="str">
        <f t="shared" si="10"/>
        <v/>
      </c>
      <c r="O426" s="51"/>
    </row>
    <row r="427" spans="12:15" ht="15" customHeight="1" x14ac:dyDescent="0.3">
      <c r="L427" t="str">
        <f t="shared" si="10"/>
        <v/>
      </c>
      <c r="O427" s="51"/>
    </row>
    <row r="428" spans="12:15" ht="15" customHeight="1" x14ac:dyDescent="0.3">
      <c r="L428" t="str">
        <f t="shared" si="10"/>
        <v/>
      </c>
      <c r="O428" s="51"/>
    </row>
    <row r="429" spans="12:15" ht="15" customHeight="1" x14ac:dyDescent="0.3">
      <c r="L429" t="str">
        <f t="shared" si="10"/>
        <v/>
      </c>
      <c r="O429" s="51"/>
    </row>
    <row r="430" spans="12:15" ht="15" customHeight="1" x14ac:dyDescent="0.3">
      <c r="L430" t="str">
        <f t="shared" si="10"/>
        <v/>
      </c>
      <c r="O430" s="51"/>
    </row>
    <row r="431" spans="12:15" ht="15" customHeight="1" x14ac:dyDescent="0.3">
      <c r="L431" t="str">
        <f t="shared" si="10"/>
        <v/>
      </c>
      <c r="O431" s="51"/>
    </row>
    <row r="432" spans="12:15" ht="15" customHeight="1" x14ac:dyDescent="0.3">
      <c r="L432" t="str">
        <f t="shared" si="10"/>
        <v/>
      </c>
      <c r="O432" s="51"/>
    </row>
    <row r="433" spans="12:15" ht="15" customHeight="1" x14ac:dyDescent="0.3">
      <c r="L433" t="str">
        <f t="shared" si="10"/>
        <v/>
      </c>
      <c r="O433" s="51"/>
    </row>
    <row r="434" spans="12:15" ht="15" customHeight="1" x14ac:dyDescent="0.3">
      <c r="L434" t="str">
        <f t="shared" si="10"/>
        <v/>
      </c>
      <c r="O434" s="51"/>
    </row>
    <row r="435" spans="12:15" ht="15" customHeight="1" x14ac:dyDescent="0.3">
      <c r="L435" t="str">
        <f t="shared" si="10"/>
        <v/>
      </c>
      <c r="O435" s="51"/>
    </row>
    <row r="436" spans="12:15" ht="15" customHeight="1" x14ac:dyDescent="0.3">
      <c r="L436" t="str">
        <f t="shared" si="10"/>
        <v/>
      </c>
      <c r="O436" s="51"/>
    </row>
    <row r="437" spans="12:15" ht="15" customHeight="1" x14ac:dyDescent="0.3">
      <c r="L437" t="str">
        <f t="shared" si="10"/>
        <v/>
      </c>
      <c r="O437" s="51"/>
    </row>
    <row r="438" spans="12:15" ht="15" customHeight="1" x14ac:dyDescent="0.3">
      <c r="L438" t="str">
        <f t="shared" si="10"/>
        <v/>
      </c>
      <c r="O438" s="51"/>
    </row>
    <row r="439" spans="12:15" ht="15" customHeight="1" x14ac:dyDescent="0.3">
      <c r="L439" t="str">
        <f t="shared" si="10"/>
        <v/>
      </c>
      <c r="O439" s="51"/>
    </row>
    <row r="440" spans="12:15" ht="15" customHeight="1" x14ac:dyDescent="0.3">
      <c r="L440" t="str">
        <f t="shared" si="10"/>
        <v/>
      </c>
      <c r="O440" s="51"/>
    </row>
    <row r="441" spans="12:15" ht="15" customHeight="1" x14ac:dyDescent="0.3">
      <c r="L441" t="str">
        <f t="shared" si="10"/>
        <v/>
      </c>
      <c r="O441" s="51"/>
    </row>
    <row r="442" spans="12:15" ht="15" customHeight="1" x14ac:dyDescent="0.3">
      <c r="L442" t="str">
        <f t="shared" si="10"/>
        <v/>
      </c>
      <c r="O442" s="51"/>
    </row>
    <row r="443" spans="12:15" ht="15" customHeight="1" x14ac:dyDescent="0.3">
      <c r="L443" t="str">
        <f t="shared" si="10"/>
        <v/>
      </c>
      <c r="O443" s="51"/>
    </row>
    <row r="444" spans="12:15" ht="15" customHeight="1" x14ac:dyDescent="0.3">
      <c r="L444" t="str">
        <f t="shared" si="10"/>
        <v/>
      </c>
      <c r="O444" s="51"/>
    </row>
    <row r="445" spans="12:15" ht="15" customHeight="1" x14ac:dyDescent="0.3">
      <c r="L445" t="str">
        <f t="shared" si="10"/>
        <v/>
      </c>
      <c r="O445" s="51"/>
    </row>
    <row r="446" spans="12:15" ht="15" customHeight="1" x14ac:dyDescent="0.3">
      <c r="L446" t="str">
        <f t="shared" si="10"/>
        <v/>
      </c>
      <c r="O446" s="51"/>
    </row>
    <row r="447" spans="12:15" ht="15" customHeight="1" x14ac:dyDescent="0.3">
      <c r="L447" t="str">
        <f t="shared" si="10"/>
        <v/>
      </c>
      <c r="O447" s="51"/>
    </row>
    <row r="448" spans="12:15" ht="15" customHeight="1" x14ac:dyDescent="0.3">
      <c r="L448" t="str">
        <f t="shared" si="10"/>
        <v/>
      </c>
      <c r="O448" s="51"/>
    </row>
    <row r="449" spans="12:15" ht="15" customHeight="1" x14ac:dyDescent="0.3">
      <c r="L449" t="str">
        <f t="shared" si="10"/>
        <v/>
      </c>
      <c r="O449" s="51"/>
    </row>
    <row r="450" spans="12:15" ht="15" customHeight="1" x14ac:dyDescent="0.3">
      <c r="L450" t="str">
        <f t="shared" si="10"/>
        <v/>
      </c>
      <c r="O450" s="51"/>
    </row>
    <row r="451" spans="12:15" ht="15" customHeight="1" x14ac:dyDescent="0.3">
      <c r="L451" t="str">
        <f t="shared" si="10"/>
        <v/>
      </c>
      <c r="O451" s="51"/>
    </row>
    <row r="452" spans="12:15" ht="15" customHeight="1" x14ac:dyDescent="0.3">
      <c r="L452" t="str">
        <f t="shared" ref="L452:L515" si="11">IF($A452="","",K452*D452)</f>
        <v/>
      </c>
      <c r="O452" s="51"/>
    </row>
    <row r="453" spans="12:15" ht="15" customHeight="1" x14ac:dyDescent="0.3">
      <c r="L453" t="str">
        <f t="shared" si="11"/>
        <v/>
      </c>
      <c r="O453" s="51"/>
    </row>
    <row r="454" spans="12:15" ht="15" customHeight="1" x14ac:dyDescent="0.3">
      <c r="L454" t="str">
        <f t="shared" si="11"/>
        <v/>
      </c>
      <c r="O454" s="51"/>
    </row>
    <row r="455" spans="12:15" ht="15" customHeight="1" x14ac:dyDescent="0.3">
      <c r="L455" t="str">
        <f t="shared" si="11"/>
        <v/>
      </c>
      <c r="O455" s="51"/>
    </row>
    <row r="456" spans="12:15" ht="15" customHeight="1" x14ac:dyDescent="0.3">
      <c r="L456" t="str">
        <f t="shared" si="11"/>
        <v/>
      </c>
      <c r="O456" s="51"/>
    </row>
    <row r="457" spans="12:15" ht="15" customHeight="1" x14ac:dyDescent="0.3">
      <c r="L457" t="str">
        <f t="shared" si="11"/>
        <v/>
      </c>
      <c r="O457" s="51"/>
    </row>
    <row r="458" spans="12:15" ht="15" customHeight="1" x14ac:dyDescent="0.3">
      <c r="L458" t="str">
        <f t="shared" si="11"/>
        <v/>
      </c>
      <c r="O458" s="51"/>
    </row>
    <row r="459" spans="12:15" ht="15" customHeight="1" x14ac:dyDescent="0.3">
      <c r="L459" t="str">
        <f t="shared" si="11"/>
        <v/>
      </c>
      <c r="O459" s="51"/>
    </row>
    <row r="460" spans="12:15" ht="15" customHeight="1" x14ac:dyDescent="0.3">
      <c r="L460" t="str">
        <f t="shared" si="11"/>
        <v/>
      </c>
      <c r="O460" s="51"/>
    </row>
    <row r="461" spans="12:15" ht="15" customHeight="1" x14ac:dyDescent="0.3">
      <c r="L461" t="str">
        <f t="shared" si="11"/>
        <v/>
      </c>
      <c r="O461" s="51"/>
    </row>
    <row r="462" spans="12:15" ht="15" customHeight="1" x14ac:dyDescent="0.3">
      <c r="L462" t="str">
        <f t="shared" si="11"/>
        <v/>
      </c>
      <c r="O462" s="51"/>
    </row>
    <row r="463" spans="12:15" ht="15" customHeight="1" x14ac:dyDescent="0.3">
      <c r="L463" t="str">
        <f t="shared" si="11"/>
        <v/>
      </c>
      <c r="O463" s="51"/>
    </row>
    <row r="464" spans="12:15" ht="15" customHeight="1" x14ac:dyDescent="0.3">
      <c r="L464" t="str">
        <f t="shared" si="11"/>
        <v/>
      </c>
      <c r="O464" s="51"/>
    </row>
    <row r="465" spans="12:15" ht="15" customHeight="1" x14ac:dyDescent="0.3">
      <c r="L465" t="str">
        <f t="shared" si="11"/>
        <v/>
      </c>
      <c r="O465" s="51"/>
    </row>
    <row r="466" spans="12:15" ht="15" customHeight="1" x14ac:dyDescent="0.3">
      <c r="L466" t="str">
        <f t="shared" si="11"/>
        <v/>
      </c>
      <c r="O466" s="51"/>
    </row>
    <row r="467" spans="12:15" ht="15" customHeight="1" x14ac:dyDescent="0.3">
      <c r="L467" t="str">
        <f t="shared" si="11"/>
        <v/>
      </c>
      <c r="O467" s="51"/>
    </row>
    <row r="468" spans="12:15" ht="15" customHeight="1" x14ac:dyDescent="0.3">
      <c r="L468" t="str">
        <f t="shared" si="11"/>
        <v/>
      </c>
      <c r="O468" s="51"/>
    </row>
    <row r="469" spans="12:15" ht="15" customHeight="1" x14ac:dyDescent="0.3">
      <c r="L469" t="str">
        <f t="shared" si="11"/>
        <v/>
      </c>
      <c r="O469" s="51"/>
    </row>
    <row r="470" spans="12:15" ht="15" customHeight="1" x14ac:dyDescent="0.3">
      <c r="L470" t="str">
        <f t="shared" si="11"/>
        <v/>
      </c>
      <c r="O470" s="51"/>
    </row>
    <row r="471" spans="12:15" ht="15" customHeight="1" x14ac:dyDescent="0.3">
      <c r="L471" t="str">
        <f t="shared" si="11"/>
        <v/>
      </c>
      <c r="O471" s="51"/>
    </row>
    <row r="472" spans="12:15" ht="15" customHeight="1" x14ac:dyDescent="0.3">
      <c r="L472" t="str">
        <f t="shared" si="11"/>
        <v/>
      </c>
      <c r="O472" s="51"/>
    </row>
    <row r="473" spans="12:15" ht="15" customHeight="1" x14ac:dyDescent="0.3">
      <c r="L473" t="str">
        <f t="shared" si="11"/>
        <v/>
      </c>
      <c r="O473" s="51"/>
    </row>
    <row r="474" spans="12:15" ht="15" customHeight="1" x14ac:dyDescent="0.3">
      <c r="L474" t="str">
        <f t="shared" si="11"/>
        <v/>
      </c>
      <c r="O474" s="51"/>
    </row>
    <row r="475" spans="12:15" ht="15" customHeight="1" x14ac:dyDescent="0.3">
      <c r="L475" t="str">
        <f t="shared" si="11"/>
        <v/>
      </c>
      <c r="O475" s="51"/>
    </row>
    <row r="476" spans="12:15" ht="15" customHeight="1" x14ac:dyDescent="0.3">
      <c r="L476" t="str">
        <f t="shared" si="11"/>
        <v/>
      </c>
      <c r="O476" s="51"/>
    </row>
    <row r="477" spans="12:15" ht="15" customHeight="1" x14ac:dyDescent="0.3">
      <c r="L477" t="str">
        <f t="shared" si="11"/>
        <v/>
      </c>
      <c r="O477" s="51"/>
    </row>
    <row r="478" spans="12:15" ht="15" customHeight="1" x14ac:dyDescent="0.3">
      <c r="L478" t="str">
        <f t="shared" si="11"/>
        <v/>
      </c>
      <c r="O478" s="51"/>
    </row>
    <row r="479" spans="12:15" ht="15" customHeight="1" x14ac:dyDescent="0.3">
      <c r="L479" t="str">
        <f t="shared" si="11"/>
        <v/>
      </c>
      <c r="O479" s="51"/>
    </row>
    <row r="480" spans="12:15" ht="15" customHeight="1" x14ac:dyDescent="0.3">
      <c r="L480" t="str">
        <f t="shared" si="11"/>
        <v/>
      </c>
      <c r="O480" s="51"/>
    </row>
    <row r="481" spans="12:15" ht="15" customHeight="1" x14ac:dyDescent="0.3">
      <c r="L481" t="str">
        <f t="shared" si="11"/>
        <v/>
      </c>
      <c r="O481" s="51"/>
    </row>
    <row r="482" spans="12:15" ht="15" customHeight="1" x14ac:dyDescent="0.3">
      <c r="L482" t="str">
        <f t="shared" si="11"/>
        <v/>
      </c>
      <c r="O482" s="51"/>
    </row>
    <row r="483" spans="12:15" ht="15" customHeight="1" x14ac:dyDescent="0.3">
      <c r="L483" t="str">
        <f t="shared" si="11"/>
        <v/>
      </c>
      <c r="O483" s="51"/>
    </row>
    <row r="484" spans="12:15" ht="15" customHeight="1" x14ac:dyDescent="0.3">
      <c r="L484" t="str">
        <f t="shared" si="11"/>
        <v/>
      </c>
      <c r="O484" s="51"/>
    </row>
    <row r="485" spans="12:15" ht="15" customHeight="1" x14ac:dyDescent="0.3">
      <c r="L485" t="str">
        <f t="shared" si="11"/>
        <v/>
      </c>
      <c r="O485" s="51"/>
    </row>
    <row r="486" spans="12:15" ht="15" customHeight="1" x14ac:dyDescent="0.3">
      <c r="L486" t="str">
        <f t="shared" si="11"/>
        <v/>
      </c>
      <c r="O486" s="51"/>
    </row>
    <row r="487" spans="12:15" ht="15" customHeight="1" x14ac:dyDescent="0.3">
      <c r="L487" t="str">
        <f t="shared" si="11"/>
        <v/>
      </c>
      <c r="O487" s="51"/>
    </row>
    <row r="488" spans="12:15" ht="15" customHeight="1" x14ac:dyDescent="0.3">
      <c r="L488" t="str">
        <f t="shared" si="11"/>
        <v/>
      </c>
      <c r="O488" s="51"/>
    </row>
    <row r="489" spans="12:15" ht="15" customHeight="1" x14ac:dyDescent="0.3">
      <c r="L489" t="str">
        <f t="shared" si="11"/>
        <v/>
      </c>
      <c r="O489" s="51"/>
    </row>
    <row r="490" spans="12:15" ht="15" customHeight="1" x14ac:dyDescent="0.3">
      <c r="L490" t="str">
        <f t="shared" si="11"/>
        <v/>
      </c>
      <c r="O490" s="51"/>
    </row>
    <row r="491" spans="12:15" ht="15" customHeight="1" x14ac:dyDescent="0.3">
      <c r="L491" t="str">
        <f t="shared" si="11"/>
        <v/>
      </c>
      <c r="O491" s="51"/>
    </row>
    <row r="492" spans="12:15" ht="15" customHeight="1" x14ac:dyDescent="0.3">
      <c r="L492" t="str">
        <f t="shared" si="11"/>
        <v/>
      </c>
      <c r="O492" s="51"/>
    </row>
    <row r="493" spans="12:15" ht="15" customHeight="1" x14ac:dyDescent="0.3">
      <c r="L493" t="str">
        <f t="shared" si="11"/>
        <v/>
      </c>
      <c r="O493" s="51"/>
    </row>
    <row r="494" spans="12:15" ht="15" customHeight="1" x14ac:dyDescent="0.3">
      <c r="L494" t="str">
        <f t="shared" si="11"/>
        <v/>
      </c>
      <c r="O494" s="51"/>
    </row>
    <row r="495" spans="12:15" ht="15" customHeight="1" x14ac:dyDescent="0.3">
      <c r="L495" t="str">
        <f t="shared" si="11"/>
        <v/>
      </c>
      <c r="O495" s="51"/>
    </row>
    <row r="496" spans="12:15" ht="15" customHeight="1" x14ac:dyDescent="0.3">
      <c r="L496" t="str">
        <f t="shared" si="11"/>
        <v/>
      </c>
      <c r="O496" s="51"/>
    </row>
    <row r="497" spans="12:15" ht="15" customHeight="1" x14ac:dyDescent="0.3">
      <c r="L497" t="str">
        <f t="shared" si="11"/>
        <v/>
      </c>
      <c r="O497" s="51"/>
    </row>
    <row r="498" spans="12:15" ht="15" customHeight="1" x14ac:dyDescent="0.3">
      <c r="L498" t="str">
        <f t="shared" si="11"/>
        <v/>
      </c>
      <c r="O498" s="51"/>
    </row>
    <row r="499" spans="12:15" ht="15" customHeight="1" x14ac:dyDescent="0.3">
      <c r="L499" t="str">
        <f t="shared" si="11"/>
        <v/>
      </c>
      <c r="O499" s="51"/>
    </row>
    <row r="500" spans="12:15" ht="15" customHeight="1" x14ac:dyDescent="0.3">
      <c r="L500" t="str">
        <f t="shared" si="11"/>
        <v/>
      </c>
      <c r="O500" s="51"/>
    </row>
  </sheetData>
  <conditionalFormatting sqref="P4:BV103">
    <cfRule type="expression" dxfId="38" priority="2">
      <formula>AND($A4&lt;&gt;"",P$3&gt;=INT($J4),P$3&lt;=INT($M4))</formula>
    </cfRule>
  </conditionalFormatting>
  <printOptions horizontalCentered="1"/>
  <pageMargins left="0.7" right="0.7" top="0.75" bottom="0.75" header="0.511811023622047" footer="0.511811023622047"/>
  <pageSetup fitToHeight="0" orientation="portrait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CG1000"/>
  <sheetViews>
    <sheetView zoomScale="70" zoomScaleNormal="70" workbookViewId="0">
      <selection activeCell="E5" sqref="E5"/>
    </sheetView>
  </sheetViews>
  <sheetFormatPr defaultColWidth="8.6640625" defaultRowHeight="14.4" x14ac:dyDescent="0.3"/>
  <cols>
    <col min="1" max="1" width="6.44140625" bestFit="1" customWidth="1"/>
    <col min="2" max="2" width="4.21875" bestFit="1" customWidth="1"/>
    <col min="3" max="3" width="5.109375" bestFit="1" customWidth="1"/>
    <col min="4" max="4" width="5" bestFit="1" customWidth="1"/>
    <col min="5" max="5" width="15.33203125" bestFit="1" customWidth="1"/>
    <col min="6" max="6" width="14.33203125" style="107" customWidth="1"/>
    <col min="7" max="7" width="12.5546875" bestFit="1" customWidth="1"/>
    <col min="8" max="8" width="6.5546875" bestFit="1" customWidth="1"/>
    <col min="9" max="9" width="7.88671875" bestFit="1" customWidth="1"/>
    <col min="10" max="10" width="15.44140625" bestFit="1" customWidth="1"/>
    <col min="11" max="11" width="6.6640625" bestFit="1" customWidth="1"/>
    <col min="12" max="12" width="9.21875" bestFit="1" customWidth="1"/>
    <col min="13" max="13" width="15.44140625" bestFit="1" customWidth="1"/>
    <col min="14" max="14" width="9.77734375" bestFit="1" customWidth="1"/>
    <col min="15" max="15" width="21.88671875" bestFit="1" customWidth="1"/>
    <col min="16" max="24" width="4.5546875" bestFit="1" customWidth="1"/>
    <col min="25" max="45" width="5.44140625" bestFit="1" customWidth="1"/>
    <col min="46" max="54" width="4.88671875" bestFit="1" customWidth="1"/>
    <col min="55" max="74" width="5.77734375" bestFit="1" customWidth="1"/>
    <col min="75" max="75" width="12" bestFit="1" customWidth="1"/>
    <col min="76" max="76" width="29.21875" bestFit="1" customWidth="1"/>
    <col min="77" max="77" width="8.77734375" bestFit="1" customWidth="1"/>
    <col min="78" max="78" width="8.109375" bestFit="1" customWidth="1"/>
    <col min="79" max="79" width="7.6640625" bestFit="1" customWidth="1"/>
    <col min="80" max="80" width="8.5546875" bestFit="1" customWidth="1"/>
    <col min="81" max="81" width="8.33203125" bestFit="1" customWidth="1"/>
    <col min="82" max="82" width="8.109375" bestFit="1" customWidth="1"/>
    <col min="83" max="83" width="8.5546875" bestFit="1" customWidth="1"/>
    <col min="84" max="84" width="8.44140625" bestFit="1" customWidth="1"/>
    <col min="85" max="85" width="8.109375" bestFit="1" customWidth="1"/>
    <col min="86" max="86" width="12.88671875" customWidth="1"/>
    <col min="87" max="100" width="13" customWidth="1"/>
  </cols>
  <sheetData>
    <row r="1" spans="1:85" ht="15" customHeight="1" x14ac:dyDescent="0.3">
      <c r="D1" s="31"/>
      <c r="E1" s="32"/>
      <c r="F1" s="103"/>
      <c r="G1" s="31"/>
      <c r="H1" s="31"/>
      <c r="I1" s="31"/>
      <c r="J1" s="31"/>
      <c r="K1" s="31"/>
      <c r="L1" s="31"/>
      <c r="M1" s="31"/>
      <c r="N1" s="31"/>
      <c r="BW1" s="31"/>
      <c r="BX1" s="33" t="s">
        <v>255</v>
      </c>
      <c r="BY1" s="31"/>
      <c r="BZ1" s="31"/>
      <c r="CA1" s="31"/>
      <c r="CB1" s="31"/>
      <c r="CC1" s="31"/>
      <c r="CD1" s="31"/>
      <c r="CE1" s="31"/>
      <c r="CF1" s="31"/>
      <c r="CG1" s="31"/>
    </row>
    <row r="2" spans="1:85" ht="15" customHeight="1" x14ac:dyDescent="0.3">
      <c r="D2" s="31"/>
      <c r="E2" s="34"/>
      <c r="F2" s="104"/>
      <c r="G2" s="34"/>
      <c r="H2" s="34"/>
      <c r="I2" s="34"/>
      <c r="J2" s="34"/>
      <c r="K2" s="34"/>
      <c r="L2" s="34"/>
      <c r="M2" s="34"/>
      <c r="N2" s="34"/>
      <c r="Q2" s="35"/>
      <c r="BW2" s="31"/>
      <c r="BX2" s="36" t="s">
        <v>226</v>
      </c>
      <c r="BY2" s="36" t="s">
        <v>227</v>
      </c>
      <c r="BZ2" s="36" t="s">
        <v>228</v>
      </c>
      <c r="CA2" s="36" t="s">
        <v>229</v>
      </c>
      <c r="CB2" s="36" t="s">
        <v>230</v>
      </c>
      <c r="CC2" s="36" t="s">
        <v>231</v>
      </c>
      <c r="CD2" s="36" t="s">
        <v>232</v>
      </c>
      <c r="CE2" s="36" t="s">
        <v>233</v>
      </c>
      <c r="CF2" s="36" t="s">
        <v>234</v>
      </c>
      <c r="CG2" s="36" t="s">
        <v>235</v>
      </c>
    </row>
    <row r="3" spans="1:85" x14ac:dyDescent="0.3">
      <c r="A3" s="101" t="s">
        <v>2</v>
      </c>
      <c r="B3" s="101" t="s">
        <v>3</v>
      </c>
      <c r="C3" s="101" t="s">
        <v>4</v>
      </c>
      <c r="D3" s="37" t="s">
        <v>236</v>
      </c>
      <c r="E3" s="38" t="s">
        <v>237</v>
      </c>
      <c r="F3" s="39" t="s">
        <v>238</v>
      </c>
      <c r="G3" s="38" t="s">
        <v>239</v>
      </c>
      <c r="H3" s="38" t="s">
        <v>240</v>
      </c>
      <c r="I3" s="40" t="s">
        <v>241</v>
      </c>
      <c r="J3" s="41" t="s">
        <v>242</v>
      </c>
      <c r="K3" s="41" t="s">
        <v>243</v>
      </c>
      <c r="L3" s="41" t="s">
        <v>244</v>
      </c>
      <c r="M3" s="41" t="s">
        <v>245</v>
      </c>
      <c r="N3" s="42" t="s">
        <v>246</v>
      </c>
      <c r="O3" s="102" t="s">
        <v>247</v>
      </c>
      <c r="P3" s="100">
        <v>46113</v>
      </c>
      <c r="Q3" s="100">
        <v>46114</v>
      </c>
      <c r="R3" s="100">
        <v>46115</v>
      </c>
      <c r="S3" s="100">
        <v>46116</v>
      </c>
      <c r="T3" s="100">
        <v>46117</v>
      </c>
      <c r="U3" s="100">
        <v>46118</v>
      </c>
      <c r="V3" s="100">
        <v>46119</v>
      </c>
      <c r="W3" s="100">
        <v>46120</v>
      </c>
      <c r="X3" s="100">
        <v>46121</v>
      </c>
      <c r="Y3" s="100">
        <v>46122</v>
      </c>
      <c r="Z3" s="100">
        <v>46123</v>
      </c>
      <c r="AA3" s="100">
        <v>46124</v>
      </c>
      <c r="AB3" s="100">
        <v>46125</v>
      </c>
      <c r="AC3" s="100">
        <v>46126</v>
      </c>
      <c r="AD3" s="100">
        <v>46127</v>
      </c>
      <c r="AE3" s="100">
        <v>46128</v>
      </c>
      <c r="AF3" s="100">
        <v>46129</v>
      </c>
      <c r="AG3" s="100">
        <v>46130</v>
      </c>
      <c r="AH3" s="100">
        <v>46131</v>
      </c>
      <c r="AI3" s="100">
        <v>46132</v>
      </c>
      <c r="AJ3" s="100">
        <v>46133</v>
      </c>
      <c r="AK3" s="100">
        <v>46134</v>
      </c>
      <c r="AL3" s="100">
        <v>46135</v>
      </c>
      <c r="AM3" s="100">
        <v>46136</v>
      </c>
      <c r="AN3" s="100">
        <v>46137</v>
      </c>
      <c r="AO3" s="100">
        <v>46138</v>
      </c>
      <c r="AP3" s="100">
        <v>46139</v>
      </c>
      <c r="AQ3" s="100">
        <v>46140</v>
      </c>
      <c r="AR3" s="100">
        <v>46141</v>
      </c>
      <c r="AS3" s="100">
        <v>46142</v>
      </c>
      <c r="AT3" s="100">
        <v>46143</v>
      </c>
      <c r="AU3" s="100">
        <v>46144</v>
      </c>
      <c r="AV3" s="100">
        <v>46145</v>
      </c>
      <c r="AW3" s="100">
        <v>46146</v>
      </c>
      <c r="AX3" s="100">
        <v>46147</v>
      </c>
      <c r="AY3" s="100">
        <v>46148</v>
      </c>
      <c r="AZ3" s="100">
        <v>46149</v>
      </c>
      <c r="BA3" s="100">
        <v>46150</v>
      </c>
      <c r="BB3" s="100">
        <v>46151</v>
      </c>
      <c r="BC3" s="100">
        <v>46152</v>
      </c>
      <c r="BD3" s="100">
        <v>46153</v>
      </c>
      <c r="BE3" s="100">
        <v>46154</v>
      </c>
      <c r="BF3" s="100">
        <v>46155</v>
      </c>
      <c r="BG3" s="100">
        <v>46156</v>
      </c>
      <c r="BH3" s="100">
        <v>46157</v>
      </c>
      <c r="BI3" s="100">
        <v>46158</v>
      </c>
      <c r="BJ3" s="100">
        <v>46159</v>
      </c>
      <c r="BK3" s="100">
        <v>46160</v>
      </c>
      <c r="BL3" s="100">
        <v>46161</v>
      </c>
      <c r="BM3" s="100">
        <v>46162</v>
      </c>
      <c r="BN3" s="100">
        <v>46163</v>
      </c>
      <c r="BO3" s="100">
        <v>46164</v>
      </c>
      <c r="BP3" s="100">
        <v>46165</v>
      </c>
      <c r="BQ3" s="100">
        <v>46166</v>
      </c>
      <c r="BR3" s="100">
        <v>46167</v>
      </c>
      <c r="BS3" s="100">
        <v>46168</v>
      </c>
      <c r="BT3" s="100">
        <v>46169</v>
      </c>
      <c r="BU3" s="100">
        <v>46170</v>
      </c>
      <c r="BV3" s="100">
        <v>46171</v>
      </c>
      <c r="BW3" s="45" t="s">
        <v>248</v>
      </c>
      <c r="BX3" s="46">
        <v>56</v>
      </c>
      <c r="BY3" s="46">
        <v>544</v>
      </c>
      <c r="BZ3" s="46">
        <v>670</v>
      </c>
      <c r="CA3" s="46">
        <v>492</v>
      </c>
      <c r="CB3" s="46">
        <v>1038</v>
      </c>
      <c r="CC3" s="46">
        <v>996</v>
      </c>
      <c r="CD3" s="46">
        <v>1228</v>
      </c>
      <c r="CE3" s="46">
        <v>506</v>
      </c>
      <c r="CF3" s="46">
        <v>410</v>
      </c>
      <c r="CG3" s="46">
        <v>542</v>
      </c>
    </row>
    <row r="4" spans="1:85" ht="27.6" customHeight="1" x14ac:dyDescent="0.3">
      <c r="A4" s="10" t="str">
        <f>IF(Job_Master!A4="","",Job_Master!A4)</f>
        <v>BJ-104</v>
      </c>
      <c r="B4" s="10">
        <f>IF($A4="","",Job_Master!B4)</f>
        <v>28</v>
      </c>
      <c r="C4" s="10" t="str">
        <f>IF($A4="","",Job_Master!C4)</f>
        <v>2P</v>
      </c>
      <c r="D4" s="47">
        <f>IF($A4="","",Job_Master!D4)</f>
        <v>2</v>
      </c>
      <c r="E4" s="48" t="str">
        <f>IF($A4="","","FID-MC-01")</f>
        <v>FID-MC-01</v>
      </c>
      <c r="F4" s="105" t="str">
        <f>IF($E4="","",IFERROR(VLOOKUP($E4,Machine_List!$B:$G,6,0),""))</f>
        <v>Contract Workman</v>
      </c>
      <c r="G4" s="49">
        <f>IF($E4="","",IFERROR(VLOOKUP($E4,Machine_List!$B:$C,2,0),""))</f>
        <v>46106</v>
      </c>
      <c r="H4" s="48">
        <f>IF($E4="","",IFERROR(VLOOKUP($E4,Machine_List!$B:$D,3,0),""))</f>
        <v>6</v>
      </c>
      <c r="I4" s="46"/>
      <c r="J4" s="50">
        <f ca="1">IF($A4="","",IF($I4&lt;&gt;"",$I4,MAX(VENT_Plan!$M4,IFERROR(LOOKUP(2,1/($E$3:INDIRECT("E"&amp;(ROW()-1))=$E4),$M$3:INDIRECT("M"&amp;(ROW()-1))),VENT_Plan!$M4))))</f>
        <v>46127.908068783057</v>
      </c>
      <c r="K4" s="48">
        <f>IF($A4="","",IFERROR(VLOOKUP(B4,CHOOSE(MATCH(C4,Settings!$L$4:$L$10,0),OPR_2P!$A$4:$I$18,SEG_6P!$A$4:$I$18,SOL_4P!$A$4:$I$18,RW_2P!$A$4:$I$18,RW2_4P!$A$4:$I$18,FLAP_4P!$A$4:$I$18,TUBE_4P!$A$4:$I$18),7,0),0))</f>
        <v>32</v>
      </c>
      <c r="L4" s="48">
        <f t="shared" ref="L4:L67" si="0">IF($A4="","",K4*D4)</f>
        <v>64</v>
      </c>
      <c r="M4" s="50">
        <f ca="1">IF($A4="","",IF(AND(ISNUMBER(G4),G4&gt;=J4,G4&lt;=(J4+(L4/(IF(F4="Contract Workman",Settings!$K$5,Settings!$K$4))))),J4+(L4/(IF(F4="Contract Workman",Settings!$K$5,Settings!$K$4)))+(H4/(IF(F4="Contract Workman",Settings!$K$5,Settings!$K$4))),J4+(L4/(IF(F4="Contract Workman",Settings!$K$5,Settings!$K$4)))))</f>
        <v>46130.765211640202</v>
      </c>
      <c r="N4" s="48" t="str">
        <f t="shared" ref="N4:N35" ca="1" si="1">IF($A4="","",IF(F4="Contract Workman",IF(AND(MOD(M4,1)&gt;=8/24,MOD(M4,1)&lt;20/24),"Shift S1","Shift S2"),IF(AND(MOD(M4,1)&gt;=7/24,MOD(M4,1)&lt;15/24),"Shift A",IF(AND(MOD(M4,1)&gt;=15/24,MOD(M4,1)&lt;23/24),"Shift B","Shift C"))))</f>
        <v>Shift S1</v>
      </c>
      <c r="O4" s="51" t="str">
        <f>IF(B4="","", IF(IFERROR(ISNUMBER(SEARCH(B4, VLOOKUP(E4, Machine_List!$B:$J, 9, 0))), FALSE()), "✅ Machine OK", "❌ Sug: " &amp; IFERROR(INDEX(Machine_List!$B$4:$B$50, MATCH("*"&amp;B4&amp;"*", Machine_List!$J$4:$J$50, 0)), "Check Limits")))</f>
        <v>✅ Machine OK</v>
      </c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2"/>
      <c r="BK4" s="52"/>
      <c r="BL4" s="52"/>
      <c r="BM4" s="52"/>
      <c r="BW4" s="45" t="s">
        <v>249</v>
      </c>
      <c r="BX4" s="46">
        <v>6480</v>
      </c>
      <c r="BY4" s="46">
        <v>6696</v>
      </c>
      <c r="BZ4" s="46">
        <v>6480</v>
      </c>
      <c r="CA4" s="46">
        <v>6696</v>
      </c>
      <c r="CB4" s="46">
        <v>6696</v>
      </c>
      <c r="CC4" s="46">
        <v>6480</v>
      </c>
      <c r="CD4" s="46">
        <v>6696</v>
      </c>
      <c r="CE4" s="46">
        <v>6480</v>
      </c>
      <c r="CF4" s="46">
        <v>6696</v>
      </c>
      <c r="CG4" s="46">
        <v>6696</v>
      </c>
    </row>
    <row r="5" spans="1:85" ht="28.8" customHeight="1" x14ac:dyDescent="0.3">
      <c r="A5" s="10" t="str">
        <f>IF(Job_Master!A5="","",Job_Master!A5)</f>
        <v>BJ-101</v>
      </c>
      <c r="B5" s="10">
        <f>IF($A5="","",Job_Master!B5)</f>
        <v>42</v>
      </c>
      <c r="C5" s="10" t="str">
        <f>IF($A5="","",Job_Master!C5)</f>
        <v>SOL</v>
      </c>
      <c r="D5" s="10">
        <f>IF($A5="","",Job_Master!D5)</f>
        <v>4</v>
      </c>
      <c r="E5" s="48" t="str">
        <f>IF($A5="","","FID-MC-01")</f>
        <v>FID-MC-01</v>
      </c>
      <c r="F5" s="106" t="str">
        <f>IF($E5="","",IFERROR(VLOOKUP($E5,Machine_List!$B:$G,6,0),""))</f>
        <v>Contract Workman</v>
      </c>
      <c r="G5" s="53">
        <f>IF($E5="","",IFERROR(VLOOKUP($E5,Machine_List!$B:$C,2,0),""))</f>
        <v>46106</v>
      </c>
      <c r="H5" s="10">
        <f>IF($E5="","",IFERROR(VLOOKUP($E5,Machine_List!$B:$D,3,0),""))</f>
        <v>6</v>
      </c>
      <c r="I5" s="54"/>
      <c r="J5" s="55">
        <f ca="1">IF($A5="","",IF($I5&lt;&gt;"",$I5,MAX(VENT_Plan!$M5,IFERROR(LOOKUP(2,1/($E$3:INDIRECT("E"&amp;(ROW()-1))=$E5),$M$3:INDIRECT("M"&amp;(ROW()-1))),VENT_Plan!$M5))))</f>
        <v>46156.935846560838</v>
      </c>
      <c r="K5" s="10">
        <f>IF($A5="","",IFERROR(VLOOKUP(B5,CHOOSE(MATCH(C5,Settings!$L$4:$L$10,0),OPR_2P!$A$4:$I$18,SEG_6P!$A$4:$I$18,SOL_4P!$A$4:$I$18,RW_2P!$A$4:$I$18,RW2_4P!$A$4:$I$18,FLAP_4P!$A$4:$I$18,TUBE_4P!$A$4:$I$18),7,0),0))</f>
        <v>41</v>
      </c>
      <c r="L5" s="10">
        <f t="shared" si="0"/>
        <v>164</v>
      </c>
      <c r="M5" s="55">
        <f ca="1">IF($A5="","",IF(AND(ISNUMBER(G5),G5&gt;=J5,G5&lt;=(J5+(L5/(IF(F5="Contract Workman",Settings!$K$5,Settings!$K$4))))),J5+(L5/(IF(F5="Contract Workman",Settings!$K$5,Settings!$K$4)))+(H5/(IF(F5="Contract Workman",Settings!$K$5,Settings!$K$4))),J5+(L5/(IF(F5="Contract Workman",Settings!$K$5,Settings!$K$4)))))</f>
        <v>46164.257275132266</v>
      </c>
      <c r="N5" s="10" t="str">
        <f t="shared" ca="1" si="1"/>
        <v>Shift S2</v>
      </c>
      <c r="O5" s="51" t="str">
        <f>IF(B5="","", IF(IFERROR(ISNUMBER(SEARCH(B5, VLOOKUP(E5, Machine_List!$B:$J, 9, 0))), FALSE()), "✅ Machine OK", "❌ Sug: " &amp; IFERROR(INDEX(Machine_List!$B$4:$B$50, MATCH("*"&amp;B5&amp;"*", Machine_List!$J$4:$J$50, 0)), "Check Limits")))</f>
        <v>✅ Machine OK</v>
      </c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  <c r="BD5" s="52"/>
      <c r="BE5" s="52"/>
      <c r="BF5" s="52"/>
      <c r="BG5" s="52"/>
      <c r="BH5" s="52"/>
      <c r="BI5" s="52"/>
      <c r="BJ5" s="52"/>
      <c r="BK5" s="52"/>
      <c r="BL5" s="52"/>
      <c r="BM5" s="52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</row>
    <row r="6" spans="1:85" ht="28.8" customHeight="1" x14ac:dyDescent="0.3">
      <c r="A6" s="10" t="str">
        <f>IF(Job_Master!A6="","",Job_Master!A6)</f>
        <v>BJ-105</v>
      </c>
      <c r="B6" s="10">
        <f>IF($A6="","",Job_Master!B6)</f>
        <v>28</v>
      </c>
      <c r="C6" s="10" t="str">
        <f>IF($A6="","",Job_Master!C6)</f>
        <v>RW</v>
      </c>
      <c r="D6" s="10">
        <f>IF($A6="","",Job_Master!D6)</f>
        <v>2</v>
      </c>
      <c r="E6" s="48" t="str">
        <f>IF($A6="","","FID-MC-02")</f>
        <v>FID-MC-02</v>
      </c>
      <c r="F6" s="106" t="str">
        <f>IF($E6="","",IFERROR(VLOOKUP($E6,Machine_List!$B:$G,6,0),""))</f>
        <v>Contract Workman</v>
      </c>
      <c r="G6" s="53">
        <f>IF($E6="","",IFERROR(VLOOKUP($E6,Machine_List!$B:$C,2,0),""))</f>
        <v>46142</v>
      </c>
      <c r="H6" s="10">
        <f>IF($E6="","",IFERROR(VLOOKUP($E6,Machine_List!$B:$D,3,0),""))</f>
        <v>6</v>
      </c>
      <c r="I6" s="54"/>
      <c r="J6" s="55">
        <f ca="1">IF($A6="","",IF($I6&lt;&gt;"",$I6,MAX(VENT_Plan!$M6,IFERROR(LOOKUP(2,1/($E$3:INDIRECT("E"&amp;(ROW()-1))=$E6),$M$3:INDIRECT("M"&amp;(ROW()-1))),VENT_Plan!$M6))))</f>
        <v>46129.293650793639</v>
      </c>
      <c r="K6" s="10">
        <f>IF($A6="","",IFERROR(VLOOKUP(B6,CHOOSE(MATCH(C6,Settings!$L$4:$L$10,0),OPR_2P!$A$4:$I$18,SEG_6P!$A$4:$I$18,SOL_4P!$A$4:$I$18,RW_2P!$A$4:$I$18,RW2_4P!$A$4:$I$18,FLAP_4P!$A$4:$I$18,TUBE_4P!$A$4:$I$18),7,0),0))</f>
        <v>24</v>
      </c>
      <c r="L6" s="10">
        <f t="shared" si="0"/>
        <v>48</v>
      </c>
      <c r="M6" s="55">
        <f ca="1">IF($A6="","",IF(AND(ISNUMBER(G6),G6&gt;=J6,G6&lt;=(J6+(L6/(IF(F6="Contract Workman",Settings!$K$5,Settings!$K$4))))),J6+(L6/(IF(F6="Contract Workman",Settings!$K$5,Settings!$K$4)))+(H6/(IF(F6="Contract Workman",Settings!$K$5,Settings!$K$4))),J6+(L6/(IF(F6="Contract Workman",Settings!$K$5,Settings!$K$4)))))</f>
        <v>46131.436507936494</v>
      </c>
      <c r="N6" s="10" t="str">
        <f t="shared" ca="1" si="1"/>
        <v>Shift S1</v>
      </c>
      <c r="O6" s="51" t="str">
        <f>IF(B6="","", IF(IFERROR(ISNUMBER(SEARCH(B6, VLOOKUP(E6, Machine_List!$B:$J, 9, 0))), FALSE()), "✅ Machine OK", "❌ Sug: " &amp; IFERROR(INDEX(Machine_List!$B$4:$B$50, MATCH("*"&amp;B6&amp;"*", Machine_List!$J$4:$J$50, 0)), "Check Limits")))</f>
        <v>✅ Machine OK</v>
      </c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52"/>
      <c r="BJ6" s="52"/>
      <c r="BK6" s="52"/>
      <c r="BL6" s="52"/>
      <c r="BM6" s="52"/>
    </row>
    <row r="7" spans="1:85" ht="28.8" customHeight="1" x14ac:dyDescent="0.3">
      <c r="A7" s="10" t="str">
        <f>IF(Job_Master!A7="","",Job_Master!A7)</f>
        <v>BJ-100</v>
      </c>
      <c r="B7" s="10">
        <f>IF($A7="","",Job_Master!B7)</f>
        <v>25</v>
      </c>
      <c r="C7" s="10" t="str">
        <f>IF($A7="","",Job_Master!C7)</f>
        <v>SEG</v>
      </c>
      <c r="D7" s="10">
        <f>IF($A7="","",Job_Master!D7)</f>
        <v>6</v>
      </c>
      <c r="E7" s="48" t="str">
        <f>IF($A7="","","FID-MC-01")</f>
        <v>FID-MC-01</v>
      </c>
      <c r="F7" s="106" t="str">
        <f>IF($E7="","",IFERROR(VLOOKUP($E7,Machine_List!$B:$G,6,0),""))</f>
        <v>Contract Workman</v>
      </c>
      <c r="G7" s="53">
        <f>IF($E7="","",IFERROR(VLOOKUP($E7,Machine_List!$B:$C,2,0),""))</f>
        <v>46106</v>
      </c>
      <c r="H7" s="10">
        <f>IF($E7="","",IFERROR(VLOOKUP($E7,Machine_List!$B:$D,3,0),""))</f>
        <v>6</v>
      </c>
      <c r="I7" s="54"/>
      <c r="J7" s="55">
        <f ca="1">IF($A7="","",IF($I7&lt;&gt;"",$I7,MAX(VENT_Plan!$M7,IFERROR(LOOKUP(2,1/($E$3:INDIRECT("E"&amp;(ROW()-1))=$E7),$M$3:INDIRECT("M"&amp;(ROW()-1))),VENT_Plan!$M7))))</f>
        <v>46164.257275132266</v>
      </c>
      <c r="K7" s="10">
        <f>IF($A7="","",IFERROR(VLOOKUP(B7,CHOOSE(MATCH(C7,Settings!$L$4:$L$10,0),OPR_2P!$A$4:$I$18,SEG_6P!$A$4:$I$18,SOL_4P!$A$4:$I$18,RW_2P!$A$4:$I$18,RW2_4P!$A$4:$I$18,FLAP_4P!$A$4:$I$18,TUBE_4P!$A$4:$I$18),7,0),0))</f>
        <v>31</v>
      </c>
      <c r="L7" s="10">
        <f t="shared" si="0"/>
        <v>186</v>
      </c>
      <c r="M7" s="55">
        <f ca="1">IF($A7="","",IF(AND(ISNUMBER(G7),G7&gt;=J7,G7&lt;=(J7+(L7/(IF(F7="Contract Workman",Settings!$K$5,Settings!$K$4))))),J7+(L7/(IF(F7="Contract Workman",Settings!$K$5,Settings!$K$4)))+(H7/(IF(F7="Contract Workman",Settings!$K$5,Settings!$K$4))),J7+(L7/(IF(F7="Contract Workman",Settings!$K$5,Settings!$K$4)))))</f>
        <v>46172.560846560838</v>
      </c>
      <c r="N7" s="10" t="str">
        <f t="shared" ca="1" si="1"/>
        <v>Shift S1</v>
      </c>
      <c r="O7" s="51" t="str">
        <f>IF(B7="","", IF(IFERROR(ISNUMBER(SEARCH(B7, VLOOKUP(E7, Machine_List!$B:$J, 9, 0))), FALSE()), "✅ Machine OK", "❌ Sug: " &amp; IFERROR(INDEX(Machine_List!$B$4:$B$50, MATCH("*"&amp;B7&amp;"*", Machine_List!$J$4:$J$50, 0)), "Check Limits")))</f>
        <v>✅ Machine OK</v>
      </c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52"/>
      <c r="BJ7" s="52"/>
      <c r="BK7" s="52"/>
      <c r="BL7" s="52"/>
      <c r="BM7" s="52"/>
    </row>
    <row r="8" spans="1:85" ht="28.8" customHeight="1" x14ac:dyDescent="0.3">
      <c r="A8" s="10" t="str">
        <f>IF(Job_Master!A8="","",Job_Master!A8)</f>
        <v>BJ-102</v>
      </c>
      <c r="B8" s="10">
        <f>IF($A8="","",Job_Master!B8)</f>
        <v>34</v>
      </c>
      <c r="C8" s="10" t="str">
        <f>IF($A8="","",Job_Master!C8)</f>
        <v>SEG</v>
      </c>
      <c r="D8" s="10">
        <f>IF($A8="","",Job_Master!D8)</f>
        <v>6</v>
      </c>
      <c r="E8" s="48" t="str">
        <f>IF($A8="","","FID-MC-01")</f>
        <v>FID-MC-01</v>
      </c>
      <c r="F8" s="106" t="str">
        <f>IF($E8="","",IFERROR(VLOOKUP($E8,Machine_List!$B:$G,6,0),""))</f>
        <v>Contract Workman</v>
      </c>
      <c r="G8" s="53">
        <f>IF($E8="","",IFERROR(VLOOKUP($E8,Machine_List!$B:$C,2,0),""))</f>
        <v>46106</v>
      </c>
      <c r="H8" s="10">
        <f>IF($E8="","",IFERROR(VLOOKUP($E8,Machine_List!$B:$D,3,0),""))</f>
        <v>6</v>
      </c>
      <c r="I8" s="54"/>
      <c r="J8" s="55">
        <f ca="1">IF($A8="","",IF($I8&lt;&gt;"",$I8,MAX(VENT_Plan!$M8,IFERROR(LOOKUP(2,1/($E$3:INDIRECT("E"&amp;(ROW()-1))=$E8),$M$3:INDIRECT("M"&amp;(ROW()-1))),VENT_Plan!$M8))))</f>
        <v>46172.560846560838</v>
      </c>
      <c r="K8" s="10">
        <f>IF($A8="","",IFERROR(VLOOKUP(B8,CHOOSE(MATCH(C8,Settings!$L$4:$L$10,0),OPR_2P!$A$4:$I$18,SEG_6P!$A$4:$I$18,SOL_4P!$A$4:$I$18,RW_2P!$A$4:$I$18,RW2_4P!$A$4:$I$18,FLAP_4P!$A$4:$I$18,TUBE_4P!$A$4:$I$18),7,0),0))</f>
        <v>33</v>
      </c>
      <c r="L8" s="10">
        <f t="shared" si="0"/>
        <v>198</v>
      </c>
      <c r="M8" s="55">
        <f ca="1">IF($A8="","",IF(AND(ISNUMBER(G8),G8&gt;=J8,G8&lt;=(J8+(L8/(IF(F8="Contract Workman",Settings!$K$5,Settings!$K$4))))),J8+(L8/(IF(F8="Contract Workman",Settings!$K$5,Settings!$K$4)))+(H8/(IF(F8="Contract Workman",Settings!$K$5,Settings!$K$4))),J8+(L8/(IF(F8="Contract Workman",Settings!$K$5,Settings!$K$4)))))</f>
        <v>46181.400132275121</v>
      </c>
      <c r="N8" s="10" t="str">
        <f t="shared" ca="1" si="1"/>
        <v>Shift S1</v>
      </c>
      <c r="O8" s="51" t="str">
        <f>IF(B8="","", IF(IFERROR(ISNUMBER(SEARCH(B8, VLOOKUP(E8, Machine_List!$B:$J, 9, 0))), FALSE()), "✅ Machine OK", "❌ Sug: " &amp; IFERROR(INDEX(Machine_List!$B$4:$B$50, MATCH("*"&amp;B8&amp;"*", Machine_List!$J$4:$J$50, 0)), "Check Limits")))</f>
        <v>✅ Machine OK</v>
      </c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52"/>
      <c r="BL8" s="52"/>
      <c r="BM8" s="52"/>
    </row>
    <row r="9" spans="1:85" ht="28.8" customHeight="1" x14ac:dyDescent="0.3">
      <c r="A9" s="10" t="str">
        <f>IF(Job_Master!A9="","",Job_Master!A9)</f>
        <v>BJ-103</v>
      </c>
      <c r="B9" s="10">
        <f>IF($A9="","",Job_Master!B9)</f>
        <v>20</v>
      </c>
      <c r="C9" s="10" t="str">
        <f>IF($A9="","",Job_Master!C9)</f>
        <v>RW</v>
      </c>
      <c r="D9" s="10">
        <f>IF($A9="","",Job_Master!D9)</f>
        <v>2</v>
      </c>
      <c r="E9" s="48" t="str">
        <f>IF($A9="","","FID-MC-03")</f>
        <v>FID-MC-03</v>
      </c>
      <c r="F9" s="106" t="str">
        <f>IF($E9="","",IFERROR(VLOOKUP($E9,Machine_List!$B:$G,6,0),""))</f>
        <v>Contract Workman</v>
      </c>
      <c r="G9" s="53">
        <f>IF($E9="","",IFERROR(VLOOKUP($E9,Machine_List!$B:$C,2,0),""))</f>
        <v>46483</v>
      </c>
      <c r="H9" s="10">
        <f>IF($E9="","",IFERROR(VLOOKUP($E9,Machine_List!$B:$D,3,0),""))</f>
        <v>6</v>
      </c>
      <c r="I9" s="54"/>
      <c r="J9" s="55">
        <f ca="1">IF($A9="","",IF($I9&lt;&gt;"",$I9,MAX(VENT_Plan!$M9,IFERROR(LOOKUP(2,1/($E$3:INDIRECT("E"&amp;(ROW()-1))=$E9),$M$3:INDIRECT("M"&amp;(ROW()-1))),VENT_Plan!$M9))))</f>
        <v>46127.382275132266</v>
      </c>
      <c r="K9" s="10">
        <f>IF($A9="","",IFERROR(VLOOKUP(B9,CHOOSE(MATCH(C9,Settings!$L$4:$L$10,0),OPR_2P!$A$4:$I$18,SEG_6P!$A$4:$I$18,SOL_4P!$A$4:$I$18,RW_2P!$A$4:$I$18,RW2_4P!$A$4:$I$18,FLAP_4P!$A$4:$I$18,TUBE_4P!$A$4:$I$18),7,0),0))</f>
        <v>15</v>
      </c>
      <c r="L9" s="10">
        <f t="shared" si="0"/>
        <v>30</v>
      </c>
      <c r="M9" s="55">
        <f ca="1">IF($A9="","",IF(AND(ISNUMBER(G9),G9&gt;=J9,G9&lt;=(J9+(L9/(IF(F9="Contract Workman",Settings!$K$5,Settings!$K$4))))),J9+(L9/(IF(F9="Contract Workman",Settings!$K$5,Settings!$K$4)))+(H9/(IF(F9="Contract Workman",Settings!$K$5,Settings!$K$4))),J9+(L9/(IF(F9="Contract Workman",Settings!$K$5,Settings!$K$4)))))</f>
        <v>46128.721560846549</v>
      </c>
      <c r="N9" s="10" t="str">
        <f t="shared" ca="1" si="1"/>
        <v>Shift S1</v>
      </c>
      <c r="O9" s="51" t="str">
        <f>IF(B9="","", IF(IFERROR(ISNUMBER(SEARCH(B9, VLOOKUP(E9, Machine_List!$B:$J, 9, 0))), FALSE()), "✅ Machine OK", "❌ Sug: " &amp; IFERROR(INDEX(Machine_List!$B$4:$B$50, MATCH("*"&amp;B9&amp;"*", Machine_List!$J$4:$J$50, 0)), "Check Limits")))</f>
        <v>✅ Machine OK</v>
      </c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2"/>
      <c r="AQ9" s="52"/>
      <c r="AR9" s="52"/>
      <c r="AS9" s="52"/>
      <c r="AT9" s="52"/>
      <c r="AU9" s="52"/>
      <c r="AV9" s="52"/>
      <c r="AW9" s="52"/>
      <c r="AX9" s="52"/>
      <c r="AY9" s="52"/>
      <c r="AZ9" s="52"/>
      <c r="BA9" s="52"/>
      <c r="BB9" s="52"/>
      <c r="BC9" s="52"/>
      <c r="BD9" s="52"/>
      <c r="BE9" s="52"/>
      <c r="BF9" s="52"/>
      <c r="BG9" s="52"/>
      <c r="BH9" s="52"/>
      <c r="BI9" s="52"/>
      <c r="BJ9" s="52"/>
      <c r="BK9" s="52"/>
      <c r="BL9" s="52"/>
      <c r="BM9" s="52"/>
    </row>
    <row r="10" spans="1:85" ht="28.8" customHeight="1" x14ac:dyDescent="0.3">
      <c r="A10" s="10" t="str">
        <f>IF(Job_Master!A10="","",Job_Master!A10)</f>
        <v>BJ-108</v>
      </c>
      <c r="B10" s="10">
        <f>IF($A10="","",Job_Master!B10)</f>
        <v>70</v>
      </c>
      <c r="C10" s="10" t="str">
        <f>IF($A10="","",Job_Master!C10)</f>
        <v>RW</v>
      </c>
      <c r="D10" s="10">
        <f>IF($A10="","",Job_Master!D10)</f>
        <v>2</v>
      </c>
      <c r="E10" s="48" t="str">
        <f>IF($A10="","","FID-MC-02")</f>
        <v>FID-MC-02</v>
      </c>
      <c r="F10" s="106" t="str">
        <f>IF($E10="","",IFERROR(VLOOKUP($E10,Machine_List!$B:$G,6,0),""))</f>
        <v>Contract Workman</v>
      </c>
      <c r="G10" s="53">
        <f>IF($E10="","",IFERROR(VLOOKUP($E10,Machine_List!$B:$C,2,0),""))</f>
        <v>46142</v>
      </c>
      <c r="H10" s="10">
        <f>IF($E10="","",IFERROR(VLOOKUP($E10,Machine_List!$B:$D,3,0),""))</f>
        <v>6</v>
      </c>
      <c r="I10" s="54"/>
      <c r="J10" s="55">
        <f ca="1">IF($A10="","",IF($I10&lt;&gt;"",$I10,MAX(VENT_Plan!$M10,IFERROR(LOOKUP(2,1/($E$3:INDIRECT("E"&amp;(ROW()-1))=$E10),$M$3:INDIRECT("M"&amp;(ROW()-1))),VENT_Plan!$M10))))</f>
        <v>46167.018518518511</v>
      </c>
      <c r="K10" s="10">
        <f>IF($A10="","",IFERROR(VLOOKUP(B10,CHOOSE(MATCH(C10,Settings!$L$4:$L$10,0),OPR_2P!$A$4:$I$18,SEG_6P!$A$4:$I$18,SOL_4P!$A$4:$I$18,RW_2P!$A$4:$I$18,RW2_4P!$A$4:$I$18,FLAP_4P!$A$4:$I$18,TUBE_4P!$A$4:$I$18),7,0),0))</f>
        <v>87</v>
      </c>
      <c r="L10" s="10">
        <f t="shared" si="0"/>
        <v>174</v>
      </c>
      <c r="M10" s="55">
        <f ca="1">IF($A10="","",IF(AND(ISNUMBER(G10),G10&gt;=J10,G10&lt;=(J10+(L10/(IF(F10="Contract Workman",Settings!$K$5,Settings!$K$4))))),J10+(L10/(IF(F10="Contract Workman",Settings!$K$5,Settings!$K$4)))+(H10/(IF(F10="Contract Workman",Settings!$K$5,Settings!$K$4))),J10+(L10/(IF(F10="Contract Workman",Settings!$K$5,Settings!$K$4)))))</f>
        <v>46174.786375661366</v>
      </c>
      <c r="N10" s="10" t="str">
        <f t="shared" ca="1" si="1"/>
        <v>Shift S1</v>
      </c>
      <c r="O10" s="51" t="str">
        <f>IF(B10="","", IF(IFERROR(ISNUMBER(SEARCH(B10, VLOOKUP(E10, Machine_List!$B:$J, 9, 0))), FALSE()), "✅ Machine OK", "❌ Sug: " &amp; IFERROR(INDEX(Machine_List!$B$4:$B$50, MATCH("*"&amp;B10&amp;"*", Machine_List!$J$4:$J$50, 0)), "Check Limits")))</f>
        <v>✅ Machine OK</v>
      </c>
      <c r="P10" s="56"/>
      <c r="Q10" s="57"/>
      <c r="R10" s="57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2"/>
      <c r="BM10" s="52"/>
    </row>
    <row r="11" spans="1:85" ht="28.8" customHeight="1" x14ac:dyDescent="0.3">
      <c r="A11" s="10" t="str">
        <f>IF(Job_Master!A11="","",Job_Master!A11)</f>
        <v>BJ-106</v>
      </c>
      <c r="B11" s="10">
        <f>IF($A11="","",Job_Master!B11)</f>
        <v>15</v>
      </c>
      <c r="C11" s="10" t="str">
        <f>IF($A11="","",Job_Master!C11)</f>
        <v>RW</v>
      </c>
      <c r="D11" s="10">
        <f>IF($A11="","",Job_Master!D11)</f>
        <v>2</v>
      </c>
      <c r="E11" s="48" t="str">
        <f>IF($A11="","","FID-MC-04")</f>
        <v>FID-MC-04</v>
      </c>
      <c r="F11" s="106" t="str">
        <f>IF($E11="","",IFERROR(VLOOKUP($E11,Machine_List!$B:$G,6,0),""))</f>
        <v>Contract Workman</v>
      </c>
      <c r="G11" s="53">
        <f>IF($E11="","",IFERROR(VLOOKUP($E11,Machine_List!$B:$C,2,0),""))</f>
        <v>46318</v>
      </c>
      <c r="H11" s="10">
        <f>IF($E11="","",IFERROR(VLOOKUP($E11,Machine_List!$B:$D,3,0),""))</f>
        <v>6</v>
      </c>
      <c r="I11" s="54"/>
      <c r="J11" s="55">
        <f ca="1">IF($A11="","",IF($I11&lt;&gt;"",$I11,MAX(VENT_Plan!$M11,IFERROR(LOOKUP(2,1/($E$3:INDIRECT("E"&amp;(ROW()-1))=$E11),$M$3:INDIRECT("M"&amp;(ROW()-1))),VENT_Plan!$M11))))</f>
        <v>46123.361111111109</v>
      </c>
      <c r="K11" s="10">
        <f>IF($A11="","",IFERROR(VLOOKUP(B11,CHOOSE(MATCH(C11,Settings!$L$4:$L$10,0),OPR_2P!$A$4:$I$18,SEG_6P!$A$4:$I$18,SOL_4P!$A$4:$I$18,RW_2P!$A$4:$I$18,RW2_4P!$A$4:$I$18,FLAP_4P!$A$4:$I$18,TUBE_4P!$A$4:$I$18),7,0),0))</f>
        <v>14</v>
      </c>
      <c r="L11" s="10">
        <f t="shared" si="0"/>
        <v>28</v>
      </c>
      <c r="M11" s="55">
        <f ca="1">IF($A11="","",IF(AND(ISNUMBER(G11),G11&gt;=J11,G11&lt;=(J11+(L11/(IF(F11="Contract Workman",Settings!$K$5,Settings!$K$4))))),J11+(L11/(IF(F11="Contract Workman",Settings!$K$5,Settings!$K$4)))+(H11/(IF(F11="Contract Workman",Settings!$K$5,Settings!$K$4))),J11+(L11/(IF(F11="Contract Workman",Settings!$K$5,Settings!$K$4)))))</f>
        <v>46124.611111111109</v>
      </c>
      <c r="N11" s="10" t="str">
        <f t="shared" ca="1" si="1"/>
        <v>Shift S1</v>
      </c>
      <c r="O11" s="51" t="str">
        <f>IF(B11="","", IF(IFERROR(ISNUMBER(SEARCH(B11, VLOOKUP(E11, Machine_List!$B:$J, 9, 0))), FALSE()), "✅ Machine OK", "❌ Sug: " &amp; IFERROR(INDEX(Machine_List!$B$4:$B$50, MATCH("*"&amp;B11&amp;"*", Machine_List!$J$4:$J$50, 0)), "Check Limits")))</f>
        <v>✅ Machine OK</v>
      </c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  <c r="BM11" s="52"/>
    </row>
    <row r="12" spans="1:85" ht="28.8" customHeight="1" x14ac:dyDescent="0.3">
      <c r="A12" s="10" t="str">
        <f>IF(Job_Master!A12="","",Job_Master!A12)</f>
        <v>BJ-109</v>
      </c>
      <c r="B12" s="10">
        <f>IF($A12="","",Job_Master!B12)</f>
        <v>30</v>
      </c>
      <c r="C12" s="10" t="str">
        <f>IF($A12="","",Job_Master!C12)</f>
        <v>RW</v>
      </c>
      <c r="D12" s="10">
        <f>IF($A12="","",Job_Master!D12)</f>
        <v>2</v>
      </c>
      <c r="E12" s="48" t="str">
        <f>IF($A12="","","FID-MC-03")</f>
        <v>FID-MC-03</v>
      </c>
      <c r="F12" s="106" t="str">
        <f>IF($E12="","",IFERROR(VLOOKUP($E12,Machine_List!$B:$G,6,0),""))</f>
        <v>Contract Workman</v>
      </c>
      <c r="G12" s="53">
        <f>IF($E12="","",IFERROR(VLOOKUP($E12,Machine_List!$B:$C,2,0),""))</f>
        <v>46483</v>
      </c>
      <c r="H12" s="10">
        <f>IF($E12="","",IFERROR(VLOOKUP($E12,Machine_List!$B:$D,3,0),""))</f>
        <v>6</v>
      </c>
      <c r="I12" s="54"/>
      <c r="J12" s="55">
        <f ca="1">IF($A12="","",IF($I12&lt;&gt;"",$I12,MAX(VENT_Plan!$M12,IFERROR(LOOKUP(2,1/($E$3:INDIRECT("E"&amp;(ROW()-1))=$E12),$M$3:INDIRECT("M"&amp;(ROW()-1))),VENT_Plan!$M12))))</f>
        <v>46136.892857142855</v>
      </c>
      <c r="K12" s="10">
        <f>IF($A12="","",IFERROR(VLOOKUP(B12,CHOOSE(MATCH(C12,Settings!$L$4:$L$10,0),OPR_2P!$A$4:$I$18,SEG_6P!$A$4:$I$18,SOL_4P!$A$4:$I$18,RW_2P!$A$4:$I$18,RW2_4P!$A$4:$I$18,FLAP_4P!$A$4:$I$18,TUBE_4P!$A$4:$I$18),7,0),0))</f>
        <v>20</v>
      </c>
      <c r="L12" s="10">
        <f t="shared" si="0"/>
        <v>40</v>
      </c>
      <c r="M12" s="55">
        <f ca="1">IF($A12="","",IF(AND(ISNUMBER(G12),G12&gt;=J12,G12&lt;=(J12+(L12/(IF(F12="Contract Workman",Settings!$K$5,Settings!$K$4))))),J12+(L12/(IF(F12="Contract Workman",Settings!$K$5,Settings!$K$4)))+(H12/(IF(F12="Contract Workman",Settings!$K$5,Settings!$K$4))),J12+(L12/(IF(F12="Contract Workman",Settings!$K$5,Settings!$K$4)))))</f>
        <v>46138.678571428572</v>
      </c>
      <c r="N12" s="10" t="str">
        <f t="shared" ca="1" si="1"/>
        <v>Shift S1</v>
      </c>
      <c r="O12" s="51" t="str">
        <f>IF(B12="","", IF(IFERROR(ISNUMBER(SEARCH(B12, VLOOKUP(E12, Machine_List!$B:$J, 9, 0))), FALSE()), "✅ Machine OK", "❌ Sug: " &amp; IFERROR(INDEX(Machine_List!$B$4:$B$50, MATCH("*"&amp;B12&amp;"*", Machine_List!$J$4:$J$50, 0)), "Check Limits")))</f>
        <v>✅ Machine OK</v>
      </c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2"/>
      <c r="BD12" s="52"/>
      <c r="BE12" s="52"/>
      <c r="BF12" s="52"/>
      <c r="BG12" s="52"/>
      <c r="BH12" s="52"/>
      <c r="BI12" s="52"/>
      <c r="BJ12" s="52"/>
      <c r="BK12" s="52"/>
      <c r="BL12" s="52"/>
      <c r="BM12" s="52"/>
    </row>
    <row r="13" spans="1:85" ht="28.8" customHeight="1" x14ac:dyDescent="0.3">
      <c r="A13" s="10" t="str">
        <f>IF(Job_Master!A13="","",Job_Master!A13)</f>
        <v>BJ-110</v>
      </c>
      <c r="B13" s="10">
        <f>IF($A13="","",Job_Master!B13)</f>
        <v>17</v>
      </c>
      <c r="C13" s="10" t="str">
        <f>IF($A13="","",Job_Master!C13)</f>
        <v>2P</v>
      </c>
      <c r="D13" s="10">
        <f>IF($A13="","",Job_Master!D13)</f>
        <v>2</v>
      </c>
      <c r="E13" s="48" t="str">
        <f>IF($A13="","","FID-MC-04")</f>
        <v>FID-MC-04</v>
      </c>
      <c r="F13" s="106" t="str">
        <f>IF($E13="","",IFERROR(VLOOKUP($E13,Machine_List!$B:$G,6,0),""))</f>
        <v>Contract Workman</v>
      </c>
      <c r="G13" s="53">
        <f>IF($E13="","",IFERROR(VLOOKUP($E13,Machine_List!$B:$C,2,0),""))</f>
        <v>46318</v>
      </c>
      <c r="H13" s="10">
        <f>IF($E13="","",IFERROR(VLOOKUP($E13,Machine_List!$B:$D,3,0),""))</f>
        <v>6</v>
      </c>
      <c r="I13" s="54"/>
      <c r="J13" s="55">
        <f ca="1">IF($A13="","",IF($I13&lt;&gt;"",$I13,MAX(VENT_Plan!$M13,IFERROR(LOOKUP(2,1/($E$3:INDIRECT("E"&amp;(ROW()-1))=$E13),$M$3:INDIRECT("M"&amp;(ROW()-1))),VENT_Plan!$M13))))</f>
        <v>46126.201719576711</v>
      </c>
      <c r="K13" s="10">
        <f>IF($A13="","",IFERROR(VLOOKUP(B13,CHOOSE(MATCH(C13,Settings!$L$4:$L$10,0),OPR_2P!$A$4:$I$18,SEG_6P!$A$4:$I$18,SOL_4P!$A$4:$I$18,RW_2P!$A$4:$I$18,RW2_4P!$A$4:$I$18,FLAP_4P!$A$4:$I$18,TUBE_4P!$A$4:$I$18),7,0),0))</f>
        <v>17</v>
      </c>
      <c r="L13" s="10">
        <f t="shared" si="0"/>
        <v>34</v>
      </c>
      <c r="M13" s="55">
        <f ca="1">IF($A13="","",IF(AND(ISNUMBER(G13),G13&gt;=J13,G13&lt;=(J13+(L13/(IF(F13="Contract Workman",Settings!$K$5,Settings!$K$4))))),J13+(L13/(IF(F13="Contract Workman",Settings!$K$5,Settings!$K$4)))+(H13/(IF(F13="Contract Workman",Settings!$K$5,Settings!$K$4))),J13+(L13/(IF(F13="Contract Workman",Settings!$K$5,Settings!$K$4)))))</f>
        <v>46127.719576719566</v>
      </c>
      <c r="N13" s="10" t="str">
        <f t="shared" ca="1" si="1"/>
        <v>Shift S1</v>
      </c>
      <c r="O13" s="51" t="str">
        <f>IF(B13="","", IF(IFERROR(ISNUMBER(SEARCH(B13, VLOOKUP(E13, Machine_List!$B:$J, 9, 0))), FALSE()), "✅ Machine OK", "❌ Sug: " &amp; IFERROR(INDEX(Machine_List!$B$4:$B$50, MATCH("*"&amp;B13&amp;"*", Machine_List!$J$4:$J$50, 0)), "Check Limits")))</f>
        <v>✅ Machine OK</v>
      </c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2"/>
      <c r="BD13" s="52"/>
      <c r="BE13" s="52"/>
      <c r="BF13" s="52"/>
      <c r="BG13" s="52"/>
      <c r="BH13" s="52"/>
      <c r="BI13" s="52"/>
      <c r="BJ13" s="52"/>
      <c r="BK13" s="52"/>
      <c r="BL13" s="52"/>
      <c r="BM13" s="52"/>
    </row>
    <row r="14" spans="1:85" ht="28.8" customHeight="1" x14ac:dyDescent="0.3">
      <c r="A14" s="10" t="str">
        <f>IF(Job_Master!A14="","",Job_Master!A14)</f>
        <v>BJ-111</v>
      </c>
      <c r="B14" s="10">
        <f>IF($A14="","",Job_Master!B14)</f>
        <v>25</v>
      </c>
      <c r="C14" s="10" t="str">
        <f>IF($A14="","",Job_Master!C14)</f>
        <v>RW</v>
      </c>
      <c r="D14" s="10">
        <f>IF($A14="","",Job_Master!D14)</f>
        <v>2</v>
      </c>
      <c r="E14" s="48" t="str">
        <f>IF($A14="","","FID-MC-04")</f>
        <v>FID-MC-04</v>
      </c>
      <c r="F14" s="106" t="str">
        <f>IF($E14="","",IFERROR(VLOOKUP($E14,Machine_List!$B:$G,6,0),""))</f>
        <v>Contract Workman</v>
      </c>
      <c r="G14" s="53">
        <f>IF($E14="","",IFERROR(VLOOKUP($E14,Machine_List!$B:$C,2,0),""))</f>
        <v>46318</v>
      </c>
      <c r="H14" s="10">
        <f>IF($E14="","",IFERROR(VLOOKUP($E14,Machine_List!$B:$D,3,0),""))</f>
        <v>6</v>
      </c>
      <c r="I14" s="54"/>
      <c r="J14" s="55">
        <f ca="1">IF($A14="","",IF($I14&lt;&gt;"",$I14,MAX(VENT_Plan!$M14,IFERROR(LOOKUP(2,1/($E$3:INDIRECT("E"&amp;(ROW()-1))=$E14),$M$3:INDIRECT("M"&amp;(ROW()-1))),VENT_Plan!$M14))))</f>
        <v>46134.697089947083</v>
      </c>
      <c r="K14" s="10">
        <f>IF($A14="","",IFERROR(VLOOKUP(B14,CHOOSE(MATCH(C14,Settings!$L$4:$L$10,0),OPR_2P!$A$4:$I$18,SEG_6P!$A$4:$I$18,SOL_4P!$A$4:$I$18,RW_2P!$A$4:$I$18,RW2_4P!$A$4:$I$18,FLAP_4P!$A$4:$I$18,TUBE_4P!$A$4:$I$18),7,0),0))</f>
        <v>18</v>
      </c>
      <c r="L14" s="10">
        <f t="shared" si="0"/>
        <v>36</v>
      </c>
      <c r="M14" s="55">
        <f ca="1">IF($A14="","",IF(AND(ISNUMBER(G14),G14&gt;=J14,G14&lt;=(J14+(L14/(IF(F14="Contract Workman",Settings!$K$5,Settings!$K$4))))),J14+(L14/(IF(F14="Contract Workman",Settings!$K$5,Settings!$K$4)))+(H14/(IF(F14="Contract Workman",Settings!$K$5,Settings!$K$4))),J14+(L14/(IF(F14="Contract Workman",Settings!$K$5,Settings!$K$4)))))</f>
        <v>46136.304232804228</v>
      </c>
      <c r="N14" s="10" t="str">
        <f t="shared" ca="1" si="1"/>
        <v>Shift S2</v>
      </c>
      <c r="O14" s="51" t="str">
        <f>IF(B14="","", IF(IFERROR(ISNUMBER(SEARCH(B14, VLOOKUP(E14, Machine_List!$B:$J, 9, 0))), FALSE()), "✅ Machine OK", "❌ Sug: " &amp; IFERROR(INDEX(Machine_List!$B$4:$B$50, MATCH("*"&amp;B14&amp;"*", Machine_List!$J$4:$J$50, 0)), "Check Limits")))</f>
        <v>✅ Machine OK</v>
      </c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2"/>
      <c r="AQ14" s="52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2"/>
      <c r="BD14" s="52"/>
      <c r="BE14" s="52"/>
      <c r="BF14" s="52"/>
      <c r="BG14" s="52"/>
      <c r="BH14" s="52"/>
      <c r="BI14" s="52"/>
      <c r="BJ14" s="52"/>
      <c r="BK14" s="52"/>
      <c r="BL14" s="52"/>
      <c r="BM14" s="52"/>
    </row>
    <row r="15" spans="1:85" ht="28.8" customHeight="1" x14ac:dyDescent="0.3">
      <c r="A15" s="10" t="str">
        <f>IF(Job_Master!A15="","",Job_Master!A15)</f>
        <v>BJ-107</v>
      </c>
      <c r="B15" s="10">
        <f>IF($A15="","",Job_Master!B15)</f>
        <v>20</v>
      </c>
      <c r="C15" s="10" t="str">
        <f>IF($A15="","",Job_Master!C15)</f>
        <v>SEG</v>
      </c>
      <c r="D15" s="10">
        <f>IF($A15="","",Job_Master!D15)</f>
        <v>6</v>
      </c>
      <c r="E15" s="48" t="str">
        <f>IF($A15="","","FID-MC-03")</f>
        <v>FID-MC-03</v>
      </c>
      <c r="F15" s="106" t="str">
        <f>IF($E15="","",IFERROR(VLOOKUP($E15,Machine_List!$B:$G,6,0),""))</f>
        <v>Contract Workman</v>
      </c>
      <c r="G15" s="53">
        <f>IF($E15="","",IFERROR(VLOOKUP($E15,Machine_List!$B:$C,2,0),""))</f>
        <v>46483</v>
      </c>
      <c r="H15" s="10">
        <f>IF($E15="","",IFERROR(VLOOKUP($E15,Machine_List!$B:$D,3,0),""))</f>
        <v>6</v>
      </c>
      <c r="I15" s="54"/>
      <c r="J15" s="55">
        <f ca="1">IF($A15="","",IF($I15&lt;&gt;"",$I15,MAX(VENT_Plan!$M15,IFERROR(LOOKUP(2,1/($E$3:INDIRECT("E"&amp;(ROW()-1))=$E15),$M$3:INDIRECT("M"&amp;(ROW()-1))),VENT_Plan!$M15))))</f>
        <v>46163.195767195757</v>
      </c>
      <c r="K15" s="10">
        <f>IF($A15="","",IFERROR(VLOOKUP(B15,CHOOSE(MATCH(C15,Settings!$L$4:$L$10,0),OPR_2P!$A$4:$I$18,SEG_6P!$A$4:$I$18,SOL_4P!$A$4:$I$18,RW_2P!$A$4:$I$18,RW2_4P!$A$4:$I$18,FLAP_4P!$A$4:$I$18,TUBE_4P!$A$4:$I$18),7,0),0))</f>
        <v>22</v>
      </c>
      <c r="L15" s="10">
        <f t="shared" si="0"/>
        <v>132</v>
      </c>
      <c r="M15" s="55">
        <f ca="1">IF($A15="","",IF(AND(ISNUMBER(G15),G15&gt;=J15,G15&lt;=(J15+(L15/(IF(F15="Contract Workman",Settings!$K$5,Settings!$K$4))))),J15+(L15/(IF(F15="Contract Workman",Settings!$K$5,Settings!$K$4)))+(H15/(IF(F15="Contract Workman",Settings!$K$5,Settings!$K$4))),J15+(L15/(IF(F15="Contract Workman",Settings!$K$5,Settings!$K$4)))))</f>
        <v>46169.088624338612</v>
      </c>
      <c r="N15" s="10" t="str">
        <f t="shared" ca="1" si="1"/>
        <v>Shift S2</v>
      </c>
      <c r="O15" s="51" t="str">
        <f>IF(B15="","", IF(IFERROR(ISNUMBER(SEARCH(B15, VLOOKUP(E15, Machine_List!$B:$J, 9, 0))), FALSE()), "✅ Machine OK", "❌ Sug: " &amp; IFERROR(INDEX(Machine_List!$B$4:$B$50, MATCH("*"&amp;B15&amp;"*", Machine_List!$J$4:$J$50, 0)), "Check Limits")))</f>
        <v>✅ Machine OK</v>
      </c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2"/>
      <c r="BC15" s="52"/>
      <c r="BD15" s="52"/>
      <c r="BE15" s="52"/>
      <c r="BF15" s="52"/>
      <c r="BG15" s="52"/>
      <c r="BH15" s="52"/>
      <c r="BI15" s="52"/>
      <c r="BJ15" s="52"/>
      <c r="BK15" s="52"/>
      <c r="BL15" s="52"/>
      <c r="BM15" s="52"/>
    </row>
    <row r="16" spans="1:85" ht="28.8" customHeight="1" x14ac:dyDescent="0.3">
      <c r="A16" s="10" t="str">
        <f>IF(Job_Master!A16="","",Job_Master!A16)</f>
        <v>BJ-112</v>
      </c>
      <c r="B16" s="10">
        <f>IF($A16="","",Job_Master!B16)</f>
        <v>17</v>
      </c>
      <c r="C16" s="10" t="str">
        <f>IF($A16="","",Job_Master!C16)</f>
        <v>2P</v>
      </c>
      <c r="D16" s="10">
        <f>IF($A16="","",Job_Master!D16)</f>
        <v>2</v>
      </c>
      <c r="E16" s="48" t="str">
        <f>IF($A16="","","FID-MC-04")</f>
        <v>FID-MC-04</v>
      </c>
      <c r="F16" s="106" t="str">
        <f>IF($E16="","",IFERROR(VLOOKUP($E16,Machine_List!$B:$G,6,0),""))</f>
        <v>Contract Workman</v>
      </c>
      <c r="G16" s="53">
        <f>IF($E16="","",IFERROR(VLOOKUP($E16,Machine_List!$B:$C,2,0),""))</f>
        <v>46318</v>
      </c>
      <c r="H16" s="10">
        <f>IF($E16="","",IFERROR(VLOOKUP($E16,Machine_List!$B:$D,3,0),""))</f>
        <v>6</v>
      </c>
      <c r="I16" s="54"/>
      <c r="J16" s="55">
        <f ca="1">IF($A16="","",IF($I16&lt;&gt;"",$I16,MAX(VENT_Plan!$M16,IFERROR(LOOKUP(2,1/($E$3:INDIRECT("E"&amp;(ROW()-1))=$E16),$M$3:INDIRECT("M"&amp;(ROW()-1))),VENT_Plan!$M16))))</f>
        <v>46138.886904761894</v>
      </c>
      <c r="K16" s="10">
        <f>IF($A16="","",IFERROR(VLOOKUP(B16,CHOOSE(MATCH(C16,Settings!$L$4:$L$10,0),OPR_2P!$A$4:$I$18,SEG_6P!$A$4:$I$18,SOL_4P!$A$4:$I$18,RW_2P!$A$4:$I$18,RW2_4P!$A$4:$I$18,FLAP_4P!$A$4:$I$18,TUBE_4P!$A$4:$I$18),7,0),0))</f>
        <v>17</v>
      </c>
      <c r="L16" s="10">
        <f t="shared" si="0"/>
        <v>34</v>
      </c>
      <c r="M16" s="55">
        <f ca="1">IF($A16="","",IF(AND(ISNUMBER(G16),G16&gt;=J16,G16&lt;=(J16+(L16/(IF(F16="Contract Workman",Settings!$K$5,Settings!$K$4))))),J16+(L16/(IF(F16="Contract Workman",Settings!$K$5,Settings!$K$4)))+(H16/(IF(F16="Contract Workman",Settings!$K$5,Settings!$K$4))),J16+(L16/(IF(F16="Contract Workman",Settings!$K$5,Settings!$K$4)))))</f>
        <v>46140.404761904749</v>
      </c>
      <c r="N16" s="10" t="str">
        <f t="shared" ca="1" si="1"/>
        <v>Shift S1</v>
      </c>
      <c r="O16" s="51" t="str">
        <f>IF(B16="","", IF(IFERROR(ISNUMBER(SEARCH(B16, VLOOKUP(E16, Machine_List!$B:$J, 9, 0))), FALSE()), "✅ Machine OK", "❌ Sug: " &amp; IFERROR(INDEX(Machine_List!$B$4:$B$50, MATCH("*"&amp;B16&amp;"*", Machine_List!$J$4:$J$50, 0)), "Check Limits")))</f>
        <v>✅ Machine OK</v>
      </c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  <c r="BD16" s="52"/>
      <c r="BE16" s="52"/>
      <c r="BF16" s="52"/>
      <c r="BG16" s="52"/>
      <c r="BH16" s="52"/>
      <c r="BI16" s="52"/>
      <c r="BJ16" s="52"/>
      <c r="BK16" s="52"/>
      <c r="BL16" s="52"/>
      <c r="BM16" s="52"/>
    </row>
    <row r="17" spans="1:65" ht="28.8" customHeight="1" x14ac:dyDescent="0.3">
      <c r="A17" s="10" t="str">
        <f>IF(Job_Master!A17="","",Job_Master!A17)</f>
        <v>BJ-114</v>
      </c>
      <c r="B17" s="10">
        <f>IF($A17="","",Job_Master!B17)</f>
        <v>50</v>
      </c>
      <c r="C17" s="10" t="str">
        <f>IF($A17="","",Job_Master!C17)</f>
        <v>SEG</v>
      </c>
      <c r="D17" s="10">
        <f>IF($A17="","",Job_Master!D17)</f>
        <v>6</v>
      </c>
      <c r="E17" s="48" t="str">
        <f>IF($A17="","","FID-MC-01")</f>
        <v>FID-MC-01</v>
      </c>
      <c r="F17" s="106" t="str">
        <f>IF($E17="","",IFERROR(VLOOKUP($E17,Machine_List!$B:$G,6,0),""))</f>
        <v>Contract Workman</v>
      </c>
      <c r="G17" s="53">
        <f>IF($E17="","",IFERROR(VLOOKUP($E17,Machine_List!$B:$C,2,0),""))</f>
        <v>46106</v>
      </c>
      <c r="H17" s="10">
        <f>IF($E17="","",IFERROR(VLOOKUP($E17,Machine_List!$B:$D,3,0),""))</f>
        <v>6</v>
      </c>
      <c r="I17" s="54"/>
      <c r="J17" s="55">
        <f ca="1">IF($A17="","",IF($I17&lt;&gt;"",$I17,MAX(VENT_Plan!$M17,IFERROR(LOOKUP(2,1/($E$3:INDIRECT("E"&amp;(ROW()-1))=$E17),$M$3:INDIRECT("M"&amp;(ROW()-1))),VENT_Plan!$M17))))</f>
        <v>46213.691798941793</v>
      </c>
      <c r="K17" s="10">
        <f>IF($A17="","",IFERROR(VLOOKUP(B17,CHOOSE(MATCH(C17,Settings!$L$4:$L$10,0),OPR_2P!$A$4:$I$18,SEG_6P!$A$4:$I$18,SOL_4P!$A$4:$I$18,RW_2P!$A$4:$I$18,RW2_4P!$A$4:$I$18,FLAP_4P!$A$4:$I$18,TUBE_4P!$A$4:$I$18),7,0),0))</f>
        <v>59</v>
      </c>
      <c r="L17" s="10">
        <f t="shared" si="0"/>
        <v>354</v>
      </c>
      <c r="M17" s="55">
        <f ca="1">IF($A17="","",IF(AND(ISNUMBER(G17),G17&gt;=J17,G17&lt;=(J17+(L17/(IF(F17="Contract Workman",Settings!$K$5,Settings!$K$4))))),J17+(L17/(IF(F17="Contract Workman",Settings!$K$5,Settings!$K$4)))+(H17/(IF(F17="Contract Workman",Settings!$K$5,Settings!$K$4))),J17+(L17/(IF(F17="Contract Workman",Settings!$K$5,Settings!$K$4)))))</f>
        <v>46229.495370370365</v>
      </c>
      <c r="N17" s="10" t="str">
        <f t="shared" ca="1" si="1"/>
        <v>Shift S1</v>
      </c>
      <c r="O17" s="51" t="str">
        <f>IF(B17="","", IF(IFERROR(ISNUMBER(SEARCH(B17, VLOOKUP(E17, Machine_List!$B:$J, 9, 0))), FALSE()), "✅ Machine OK", "❌ Sug: " &amp; IFERROR(INDEX(Machine_List!$B$4:$B$50, MATCH("*"&amp;B17&amp;"*", Machine_List!$J$4:$J$50, 0)), "Check Limits")))</f>
        <v>✅ Machine OK</v>
      </c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2"/>
      <c r="BF17" s="52"/>
      <c r="BG17" s="52"/>
      <c r="BH17" s="52"/>
      <c r="BI17" s="52"/>
      <c r="BJ17" s="52"/>
      <c r="BK17" s="52"/>
      <c r="BL17" s="52"/>
      <c r="BM17" s="52"/>
    </row>
    <row r="18" spans="1:65" ht="28.8" customHeight="1" x14ac:dyDescent="0.3">
      <c r="A18" s="10" t="str">
        <f>IF(Job_Master!A18="","",Job_Master!A18)</f>
        <v>BJ-115</v>
      </c>
      <c r="B18" s="10">
        <f>IF($A18="","",Job_Master!B18)</f>
        <v>46</v>
      </c>
      <c r="C18" s="10" t="str">
        <f>IF($A18="","",Job_Master!C18)</f>
        <v>2P</v>
      </c>
      <c r="D18" s="10">
        <f>IF($A18="","",Job_Master!D18)</f>
        <v>2</v>
      </c>
      <c r="E18" s="48" t="str">
        <f>IF($A18="","","FID-MC-04")</f>
        <v>FID-MC-04</v>
      </c>
      <c r="F18" s="106" t="str">
        <f>IF($E18="","",IFERROR(VLOOKUP($E18,Machine_List!$B:$G,6,0),""))</f>
        <v>Contract Workman</v>
      </c>
      <c r="G18" s="53">
        <f>IF($E18="","",IFERROR(VLOOKUP($E18,Machine_List!$B:$C,2,0),""))</f>
        <v>46318</v>
      </c>
      <c r="H18" s="10">
        <f>IF($E18="","",IFERROR(VLOOKUP($E18,Machine_List!$B:$D,3,0),""))</f>
        <v>6</v>
      </c>
      <c r="I18" s="54"/>
      <c r="J18" s="55">
        <f ca="1">IF($A18="","",IF($I18&lt;&gt;"",$I18,MAX(VENT_Plan!$M18,IFERROR(LOOKUP(2,1/($E$3:INDIRECT("E"&amp;(ROW()-1))=$E18),$M$3:INDIRECT("M"&amp;(ROW()-1))),VENT_Plan!$M18))))</f>
        <v>46150.447751322754</v>
      </c>
      <c r="K18" s="10">
        <f>IF($A18="","",IFERROR(VLOOKUP(B18,CHOOSE(MATCH(C18,Settings!$L$4:$L$10,0),OPR_2P!$A$4:$I$18,SEG_6P!$A$4:$I$18,SOL_4P!$A$4:$I$18,RW_2P!$A$4:$I$18,RW2_4P!$A$4:$I$18,FLAP_4P!$A$4:$I$18,TUBE_4P!$A$4:$I$18),7,0),0))</f>
        <v>35</v>
      </c>
      <c r="L18" s="10">
        <f t="shared" si="0"/>
        <v>70</v>
      </c>
      <c r="M18" s="55">
        <f ca="1">IF($A18="","",IF(AND(ISNUMBER(G18),G18&gt;=J18,G18&lt;=(J18+(L18/(IF(F18="Contract Workman",Settings!$K$5,Settings!$K$4))))),J18+(L18/(IF(F18="Contract Workman",Settings!$K$5,Settings!$K$4)))+(H18/(IF(F18="Contract Workman",Settings!$K$5,Settings!$K$4))),J18+(L18/(IF(F18="Contract Workman",Settings!$K$5,Settings!$K$4)))))</f>
        <v>46153.572751322754</v>
      </c>
      <c r="N18" s="10" t="str">
        <f t="shared" ca="1" si="1"/>
        <v>Shift S1</v>
      </c>
      <c r="O18" s="51" t="str">
        <f>IF(B18="","", IF(IFERROR(ISNUMBER(SEARCH(B18, VLOOKUP(E18, Machine_List!$B:$J, 9, 0))), FALSE()), "✅ Machine OK", "❌ Sug: " &amp; IFERROR(INDEX(Machine_List!$B$4:$B$50, MATCH("*"&amp;B18&amp;"*", Machine_List!$J$4:$J$50, 0)), "Check Limits")))</f>
        <v>✅ Machine OK</v>
      </c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52"/>
      <c r="BE18" s="52"/>
      <c r="BF18" s="52"/>
      <c r="BG18" s="52"/>
      <c r="BH18" s="52"/>
      <c r="BI18" s="52"/>
      <c r="BJ18" s="52"/>
      <c r="BK18" s="52"/>
      <c r="BL18" s="52"/>
      <c r="BM18" s="52"/>
    </row>
    <row r="19" spans="1:65" ht="28.8" customHeight="1" x14ac:dyDescent="0.3">
      <c r="A19" s="10" t="str">
        <f>IF(Job_Master!A19="","",Job_Master!A19)</f>
        <v>BJ-116</v>
      </c>
      <c r="B19" s="10">
        <f>IF($A19="","",Job_Master!B19)</f>
        <v>54</v>
      </c>
      <c r="C19" s="10" t="str">
        <f>IF($A19="","",Job_Master!C19)</f>
        <v>2P</v>
      </c>
      <c r="D19" s="10">
        <f>IF($A19="","",Job_Master!D19)</f>
        <v>2</v>
      </c>
      <c r="E19" s="48" t="str">
        <f>IF($A19="","","FID-MC-03")</f>
        <v>FID-MC-03</v>
      </c>
      <c r="F19" s="106" t="str">
        <f>IF($E19="","",IFERROR(VLOOKUP($E19,Machine_List!$B:$G,6,0),""))</f>
        <v>Contract Workman</v>
      </c>
      <c r="G19" s="53">
        <f>IF($E19="","",IFERROR(VLOOKUP($E19,Machine_List!$B:$C,2,0),""))</f>
        <v>46483</v>
      </c>
      <c r="H19" s="10">
        <f>IF($E19="","",IFERROR(VLOOKUP($E19,Machine_List!$B:$D,3,0),""))</f>
        <v>6</v>
      </c>
      <c r="I19" s="54"/>
      <c r="J19" s="55">
        <f ca="1">IF($A19="","",IF($I19&lt;&gt;"",$I19,MAX(VENT_Plan!$M19,IFERROR(LOOKUP(2,1/($E$3:INDIRECT("E"&amp;(ROW()-1))=$E19),$M$3:INDIRECT("M"&amp;(ROW()-1))),VENT_Plan!$M19))))</f>
        <v>46169.088624338612</v>
      </c>
      <c r="K19" s="10">
        <f>IF($A19="","",IFERROR(VLOOKUP(B19,CHOOSE(MATCH(C19,Settings!$L$4:$L$10,0),OPR_2P!$A$4:$I$18,SEG_6P!$A$4:$I$18,SOL_4P!$A$4:$I$18,RW_2P!$A$4:$I$18,RW2_4P!$A$4:$I$18,FLAP_4P!$A$4:$I$18,TUBE_4P!$A$4:$I$18),7,0),0))</f>
        <v>77</v>
      </c>
      <c r="L19" s="10">
        <f t="shared" si="0"/>
        <v>154</v>
      </c>
      <c r="M19" s="55">
        <f ca="1">IF($A19="","",IF(AND(ISNUMBER(G19),G19&gt;=J19,G19&lt;=(J19+(L19/(IF(F19="Contract Workman",Settings!$K$5,Settings!$K$4))))),J19+(L19/(IF(F19="Contract Workman",Settings!$K$5,Settings!$K$4)))+(H19/(IF(F19="Contract Workman",Settings!$K$5,Settings!$K$4))),J19+(L19/(IF(F19="Contract Workman",Settings!$K$5,Settings!$K$4)))))</f>
        <v>46175.963624338612</v>
      </c>
      <c r="N19" s="10" t="str">
        <f t="shared" ca="1" si="1"/>
        <v>Shift S2</v>
      </c>
      <c r="O19" s="51" t="str">
        <f>IF(B19="","", IF(IFERROR(ISNUMBER(SEARCH(B19, VLOOKUP(E19, Machine_List!$B:$J, 9, 0))), FALSE()), "✅ Machine OK", "❌ Sug: " &amp; IFERROR(INDEX(Machine_List!$B$4:$B$50, MATCH("*"&amp;B19&amp;"*", Machine_List!$J$4:$J$50, 0)), "Check Limits")))</f>
        <v>✅ Machine OK</v>
      </c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2"/>
      <c r="AQ19" s="52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2"/>
      <c r="BD19" s="52"/>
      <c r="BE19" s="52"/>
      <c r="BF19" s="52"/>
      <c r="BG19" s="52"/>
      <c r="BH19" s="52"/>
      <c r="BI19" s="52"/>
      <c r="BJ19" s="52"/>
      <c r="BK19" s="52"/>
      <c r="BL19" s="52"/>
      <c r="BM19" s="52"/>
    </row>
    <row r="20" spans="1:65" ht="28.8" customHeight="1" x14ac:dyDescent="0.3">
      <c r="A20" s="10" t="str">
        <f>IF(Job_Master!A20="","",Job_Master!A20)</f>
        <v>BJ-118</v>
      </c>
      <c r="B20" s="10">
        <f>IF($A20="","",Job_Master!B20)</f>
        <v>28</v>
      </c>
      <c r="C20" s="10" t="str">
        <f>IF($A20="","",Job_Master!C20)</f>
        <v>SOL</v>
      </c>
      <c r="D20" s="10">
        <f>IF($A20="","",Job_Master!D20)</f>
        <v>4</v>
      </c>
      <c r="E20" s="48" t="str">
        <f>IF($A20="","","FID-MC-04")</f>
        <v>FID-MC-04</v>
      </c>
      <c r="F20" s="106" t="str">
        <f>IF($E20="","",IFERROR(VLOOKUP($E20,Machine_List!$B:$G,6,0),""))</f>
        <v>Contract Workman</v>
      </c>
      <c r="G20" s="53">
        <f>IF($E20="","",IFERROR(VLOOKUP($E20,Machine_List!$B:$C,2,0),""))</f>
        <v>46318</v>
      </c>
      <c r="H20" s="10">
        <f>IF($E20="","",IFERROR(VLOOKUP($E20,Machine_List!$B:$D,3,0),""))</f>
        <v>6</v>
      </c>
      <c r="I20" s="54"/>
      <c r="J20" s="55">
        <f ca="1">IF($A20="","",IF($I20&lt;&gt;"",$I20,MAX(VENT_Plan!$M20,IFERROR(LOOKUP(2,1/($E$3:INDIRECT("E"&amp;(ROW()-1))=$E20),$M$3:INDIRECT("M"&amp;(ROW()-1))),VENT_Plan!$M20))))</f>
        <v>46157.458333333321</v>
      </c>
      <c r="K20" s="10">
        <f>IF($A20="","",IFERROR(VLOOKUP(B20,CHOOSE(MATCH(C20,Settings!$L$4:$L$10,0),OPR_2P!$A$4:$I$18,SEG_6P!$A$4:$I$18,SOL_4P!$A$4:$I$18,RW_2P!$A$4:$I$18,RW2_4P!$A$4:$I$18,FLAP_4P!$A$4:$I$18,TUBE_4P!$A$4:$I$18),7,0),0))</f>
        <v>23</v>
      </c>
      <c r="L20" s="10">
        <f t="shared" si="0"/>
        <v>92</v>
      </c>
      <c r="M20" s="55">
        <f ca="1">IF($A20="","",IF(AND(ISNUMBER(G20),G20&gt;=J20,G20&lt;=(J20+(L20/(IF(F20="Contract Workman",Settings!$K$5,Settings!$K$4))))),J20+(L20/(IF(F20="Contract Workman",Settings!$K$5,Settings!$K$4)))+(H20/(IF(F20="Contract Workman",Settings!$K$5,Settings!$K$4))),J20+(L20/(IF(F20="Contract Workman",Settings!$K$5,Settings!$K$4)))))</f>
        <v>46161.565476190466</v>
      </c>
      <c r="N20" s="10" t="str">
        <f t="shared" ca="1" si="1"/>
        <v>Shift S1</v>
      </c>
      <c r="O20" s="51" t="str">
        <f>IF(B20="","", IF(IFERROR(ISNUMBER(SEARCH(B20, VLOOKUP(E20, Machine_List!$B:$J, 9, 0))), FALSE()), "✅ Machine OK", "❌ Sug: " &amp; IFERROR(INDEX(Machine_List!$B$4:$B$50, MATCH("*"&amp;B20&amp;"*", Machine_List!$J$4:$J$50, 0)), "Check Limits")))</f>
        <v>✅ Machine OK</v>
      </c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2"/>
      <c r="AQ20" s="52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2"/>
      <c r="BC20" s="52"/>
      <c r="BD20" s="52"/>
      <c r="BE20" s="52"/>
      <c r="BF20" s="52"/>
      <c r="BG20" s="52"/>
      <c r="BH20" s="52"/>
      <c r="BI20" s="52"/>
      <c r="BJ20" s="52"/>
      <c r="BK20" s="52"/>
      <c r="BL20" s="52"/>
      <c r="BM20" s="52"/>
    </row>
    <row r="21" spans="1:65" ht="28.8" customHeight="1" x14ac:dyDescent="0.3">
      <c r="A21" s="10" t="str">
        <f>IF(Job_Master!A21="","",Job_Master!A21)</f>
        <v>BJ-119</v>
      </c>
      <c r="B21" s="10">
        <f>IF($A21="","",Job_Master!B21)</f>
        <v>63</v>
      </c>
      <c r="C21" s="10" t="str">
        <f>IF($A21="","",Job_Master!C21)</f>
        <v>SOL</v>
      </c>
      <c r="D21" s="10">
        <f>IF($A21="","",Job_Master!D21)</f>
        <v>4</v>
      </c>
      <c r="E21" s="48" t="str">
        <f>IF($A21="","","FID-MC-01")</f>
        <v>FID-MC-01</v>
      </c>
      <c r="F21" s="106" t="str">
        <f>IF($E21="","",IFERROR(VLOOKUP($E21,Machine_List!$B:$G,6,0),""))</f>
        <v>Contract Workman</v>
      </c>
      <c r="G21" s="53">
        <f>IF($E21="","",IFERROR(VLOOKUP($E21,Machine_List!$B:$C,2,0),""))</f>
        <v>46106</v>
      </c>
      <c r="H21" s="10">
        <f>IF($E21="","",IFERROR(VLOOKUP($E21,Machine_List!$B:$D,3,0),""))</f>
        <v>6</v>
      </c>
      <c r="I21" s="54"/>
      <c r="J21" s="55">
        <f ca="1">IF($A21="","",IF($I21&lt;&gt;"",$I21,MAX(VENT_Plan!$M21,IFERROR(LOOKUP(2,1/($E$3:INDIRECT("E"&amp;(ROW()-1))=$E21),$M$3:INDIRECT("M"&amp;(ROW()-1))),VENT_Plan!$M21))))</f>
        <v>46235.110449735439</v>
      </c>
      <c r="K21" s="10">
        <f>IF($A21="","",IFERROR(VLOOKUP(B21,CHOOSE(MATCH(C21,Settings!$L$4:$L$10,0),OPR_2P!$A$4:$I$18,SEG_6P!$A$4:$I$18,SOL_4P!$A$4:$I$18,RW_2P!$A$4:$I$18,RW2_4P!$A$4:$I$18,FLAP_4P!$A$4:$I$18,TUBE_4P!$A$4:$I$18),7,0),0))</f>
        <v>52</v>
      </c>
      <c r="L21" s="10">
        <f t="shared" si="0"/>
        <v>208</v>
      </c>
      <c r="M21" s="55">
        <f ca="1">IF($A21="","",IF(AND(ISNUMBER(G21),G21&gt;=J21,G21&lt;=(J21+(L21/(IF(F21="Contract Workman",Settings!$K$5,Settings!$K$4))))),J21+(L21/(IF(F21="Contract Workman",Settings!$K$5,Settings!$K$4)))+(H21/(IF(F21="Contract Workman",Settings!$K$5,Settings!$K$4))),J21+(L21/(IF(F21="Contract Workman",Settings!$K$5,Settings!$K$4)))))</f>
        <v>46244.396164021156</v>
      </c>
      <c r="N21" s="10" t="str">
        <f t="shared" ca="1" si="1"/>
        <v>Shift S1</v>
      </c>
      <c r="O21" s="51" t="str">
        <f>IF(B21="","", IF(IFERROR(ISNUMBER(SEARCH(B21, VLOOKUP(E21, Machine_List!$B:$J, 9, 0))), FALSE()), "✅ Machine OK", "❌ Sug: " &amp; IFERROR(INDEX(Machine_List!$B$4:$B$50, MATCH("*"&amp;B21&amp;"*", Machine_List!$J$4:$J$50, 0)), "Check Limits")))</f>
        <v>✅ Machine OK</v>
      </c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2"/>
      <c r="AQ21" s="52"/>
      <c r="AR21" s="52"/>
      <c r="AS21" s="52"/>
      <c r="AT21" s="52"/>
      <c r="AU21" s="52"/>
      <c r="AV21" s="52"/>
      <c r="AW21" s="52"/>
      <c r="AX21" s="52"/>
      <c r="AY21" s="52"/>
      <c r="AZ21" s="52"/>
      <c r="BA21" s="52"/>
      <c r="BB21" s="52"/>
      <c r="BC21" s="52"/>
      <c r="BD21" s="52"/>
      <c r="BE21" s="52"/>
      <c r="BF21" s="52"/>
      <c r="BG21" s="52"/>
      <c r="BH21" s="52"/>
      <c r="BI21" s="52"/>
      <c r="BJ21" s="52"/>
      <c r="BK21" s="52"/>
      <c r="BL21" s="52"/>
      <c r="BM21" s="52"/>
    </row>
    <row r="22" spans="1:65" ht="28.8" customHeight="1" x14ac:dyDescent="0.3">
      <c r="A22" s="10" t="str">
        <f>IF(Job_Master!A22="","",Job_Master!A22)</f>
        <v>BJ-120</v>
      </c>
      <c r="B22" s="10">
        <f>IF($A22="","",Job_Master!B22)</f>
        <v>46</v>
      </c>
      <c r="C22" s="10" t="str">
        <f>IF($A22="","",Job_Master!C22)</f>
        <v>2P</v>
      </c>
      <c r="D22" s="10">
        <f>IF($A22="","",Job_Master!D22)</f>
        <v>2</v>
      </c>
      <c r="E22" s="48" t="str">
        <f>IF($A22="","","FID-MC-05")</f>
        <v>FID-MC-05</v>
      </c>
      <c r="F22" s="106" t="str">
        <f>IF($E22="","",IFERROR(VLOOKUP($E22,Machine_List!$B:$G,6,0),""))</f>
        <v>Contract Workman</v>
      </c>
      <c r="G22" s="53">
        <f>IF($E22="","",IFERROR(VLOOKUP($E22,Machine_List!$B:$C,2,0),""))</f>
        <v>46431</v>
      </c>
      <c r="H22" s="10">
        <f>IF($E22="","",IFERROR(VLOOKUP($E22,Machine_List!$B:$D,3,0),""))</f>
        <v>6</v>
      </c>
      <c r="I22" s="54"/>
      <c r="J22" s="55">
        <f ca="1">IF($A22="","",IF($I22&lt;&gt;"",$I22,MAX(VENT_Plan!$M22,IFERROR(LOOKUP(2,1/($E$3:INDIRECT("E"&amp;(ROW()-1))=$E22),$M$3:INDIRECT("M"&amp;(ROW()-1))),VENT_Plan!$M22))))</f>
        <v>46159.892195767199</v>
      </c>
      <c r="K22" s="10">
        <f>IF($A22="","",IFERROR(VLOOKUP(B22,CHOOSE(MATCH(C22,Settings!$L$4:$L$10,0),OPR_2P!$A$4:$I$18,SEG_6P!$A$4:$I$18,SOL_4P!$A$4:$I$18,RW_2P!$A$4:$I$18,RW2_4P!$A$4:$I$18,FLAP_4P!$A$4:$I$18,TUBE_4P!$A$4:$I$18),7,0),0))</f>
        <v>35</v>
      </c>
      <c r="L22" s="10">
        <f t="shared" si="0"/>
        <v>70</v>
      </c>
      <c r="M22" s="55">
        <f ca="1">IF($A22="","",IF(AND(ISNUMBER(G22),G22&gt;=J22,G22&lt;=(J22+(L22/(IF(F22="Contract Workman",Settings!$K$5,Settings!$K$4))))),J22+(L22/(IF(F22="Contract Workman",Settings!$K$5,Settings!$K$4)))+(H22/(IF(F22="Contract Workman",Settings!$K$5,Settings!$K$4))),J22+(L22/(IF(F22="Contract Workman",Settings!$K$5,Settings!$K$4)))))</f>
        <v>46163.017195767199</v>
      </c>
      <c r="N22" s="10" t="str">
        <f t="shared" ca="1" si="1"/>
        <v>Shift S2</v>
      </c>
      <c r="O22" s="51" t="str">
        <f>IF(B22="","", IF(IFERROR(ISNUMBER(SEARCH(B22, VLOOKUP(E22, Machine_List!$B:$J, 9, 0))), FALSE()), "✅ Machine OK", "❌ Sug: " &amp; IFERROR(INDEX(Machine_List!$B$4:$B$50, MATCH("*"&amp;B22&amp;"*", Machine_List!$J$4:$J$50, 0)), "Check Limits")))</f>
        <v>✅ Machine OK</v>
      </c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2"/>
      <c r="AP22" s="52"/>
      <c r="AQ22" s="52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52"/>
      <c r="BC22" s="52"/>
      <c r="BD22" s="52"/>
      <c r="BE22" s="52"/>
      <c r="BF22" s="52"/>
      <c r="BG22" s="52"/>
      <c r="BH22" s="52"/>
      <c r="BI22" s="52"/>
      <c r="BJ22" s="52"/>
      <c r="BK22" s="52"/>
      <c r="BL22" s="52"/>
      <c r="BM22" s="52"/>
    </row>
    <row r="23" spans="1:65" ht="28.8" customHeight="1" x14ac:dyDescent="0.3">
      <c r="A23" s="10" t="str">
        <f>IF(Job_Master!A23="","",Job_Master!A23)</f>
        <v>BJ-113</v>
      </c>
      <c r="B23" s="10">
        <f>IF($A23="","",Job_Master!B23)</f>
        <v>9</v>
      </c>
      <c r="C23" s="10" t="str">
        <f>IF($A23="","",Job_Master!C23)</f>
        <v>SEG</v>
      </c>
      <c r="D23" s="10">
        <f>IF($A23="","",Job_Master!D23)</f>
        <v>6</v>
      </c>
      <c r="E23" s="48" t="str">
        <f>IF($A23="","","FID-MC-06")</f>
        <v>FID-MC-06</v>
      </c>
      <c r="F23" s="106" t="str">
        <f>IF($E23="","",IFERROR(VLOOKUP($E23,Machine_List!$B:$G,6,0),""))</f>
        <v>Contract Workman</v>
      </c>
      <c r="G23" s="53">
        <f>IF($E23="","",IFERROR(VLOOKUP($E23,Machine_List!$B:$C,2,0),""))</f>
        <v>46088</v>
      </c>
      <c r="H23" s="10">
        <f>IF($E23="","",IFERROR(VLOOKUP($E23,Machine_List!$B:$D,3,0),""))</f>
        <v>6</v>
      </c>
      <c r="I23" s="54"/>
      <c r="J23" s="55">
        <f ca="1">IF($A23="","",IF($I23&lt;&gt;"",$I23,MAX(VENT_Plan!$M23,IFERROR(LOOKUP(2,1/($E$3:INDIRECT("E"&amp;(ROW()-1))=$E23),$M$3:INDIRECT("M"&amp;(ROW()-1))),VENT_Plan!$M23))))</f>
        <v>46164.53505291004</v>
      </c>
      <c r="K23" s="10">
        <f>IF($A23="","",IFERROR(VLOOKUP(B23,CHOOSE(MATCH(C23,Settings!$L$4:$L$10,0),OPR_2P!$A$4:$I$18,SEG_6P!$A$4:$I$18,SOL_4P!$A$4:$I$18,RW_2P!$A$4:$I$18,RW2_4P!$A$4:$I$18,FLAP_4P!$A$4:$I$18,TUBE_4P!$A$4:$I$18),7,0),0))</f>
        <v>2</v>
      </c>
      <c r="L23" s="10">
        <f t="shared" si="0"/>
        <v>12</v>
      </c>
      <c r="M23" s="55">
        <f ca="1">IF($A23="","",IF(AND(ISNUMBER(G23),G23&gt;=J23,G23&lt;=(J23+(L23/(IF(F23="Contract Workman",Settings!$K$5,Settings!$K$4))))),J23+(L23/(IF(F23="Contract Workman",Settings!$K$5,Settings!$K$4)))+(H23/(IF(F23="Contract Workman",Settings!$K$5,Settings!$K$4))),J23+(L23/(IF(F23="Contract Workman",Settings!$K$5,Settings!$K$4)))))</f>
        <v>46165.070767195757</v>
      </c>
      <c r="N23" s="10" t="str">
        <f t="shared" ca="1" si="1"/>
        <v>Shift S2</v>
      </c>
      <c r="O23" s="51" t="str">
        <f>IF(B23="","", IF(IFERROR(ISNUMBER(SEARCH(B23, VLOOKUP(E23, Machine_List!$B:$J, 9, 0))), FALSE()), "✅ Machine OK", "❌ Sug: " &amp; IFERROR(INDEX(Machine_List!$B$4:$B$50, MATCH("*"&amp;B23&amp;"*", Machine_List!$J$4:$J$50, 0)), "Check Limits")))</f>
        <v>✅ Machine OK</v>
      </c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2"/>
      <c r="AQ23" s="52"/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 s="52"/>
      <c r="BC23" s="52"/>
      <c r="BD23" s="52"/>
      <c r="BE23" s="52"/>
      <c r="BF23" s="52"/>
      <c r="BG23" s="52"/>
      <c r="BH23" s="52"/>
      <c r="BI23" s="52"/>
      <c r="BJ23" s="52"/>
      <c r="BK23" s="52"/>
      <c r="BL23" s="52"/>
      <c r="BM23" s="52"/>
    </row>
    <row r="24" spans="1:65" ht="28.8" customHeight="1" x14ac:dyDescent="0.3">
      <c r="A24" s="10" t="str">
        <f>IF(Job_Master!A24="","",Job_Master!A24)</f>
        <v>BJ-121</v>
      </c>
      <c r="B24" s="10">
        <f>IF($A24="","",Job_Master!B24)</f>
        <v>57</v>
      </c>
      <c r="C24" s="10" t="str">
        <f>IF($A24="","",Job_Master!C24)</f>
        <v>RW</v>
      </c>
      <c r="D24" s="10">
        <f>IF($A24="","",Job_Master!D24)</f>
        <v>2</v>
      </c>
      <c r="E24" s="48" t="str">
        <f>IF($A24="","","FID-MC-02")</f>
        <v>FID-MC-02</v>
      </c>
      <c r="F24" s="106" t="str">
        <f>IF($E24="","",IFERROR(VLOOKUP($E24,Machine_List!$B:$G,6,0),""))</f>
        <v>Contract Workman</v>
      </c>
      <c r="G24" s="53">
        <f>IF($E24="","",IFERROR(VLOOKUP($E24,Machine_List!$B:$C,2,0),""))</f>
        <v>46142</v>
      </c>
      <c r="H24" s="10">
        <f>IF($E24="","",IFERROR(VLOOKUP($E24,Machine_List!$B:$D,3,0),""))</f>
        <v>6</v>
      </c>
      <c r="I24" s="54"/>
      <c r="J24" s="55">
        <f ca="1">IF($A24="","",IF($I24&lt;&gt;"",$I24,MAX(VENT_Plan!$M24,IFERROR(LOOKUP(2,1/($E$3:INDIRECT("E"&amp;(ROW()-1))=$E24),$M$3:INDIRECT("M"&amp;(ROW()-1))),VENT_Plan!$M24))))</f>
        <v>46174.786375661366</v>
      </c>
      <c r="K24" s="10">
        <f>IF($A24="","",IFERROR(VLOOKUP(B24,CHOOSE(MATCH(C24,Settings!$L$4:$L$10,0),OPR_2P!$A$4:$I$18,SEG_6P!$A$4:$I$18,SOL_4P!$A$4:$I$18,RW_2P!$A$4:$I$18,RW2_4P!$A$4:$I$18,FLAP_4P!$A$4:$I$18,TUBE_4P!$A$4:$I$18),7,0),0))</f>
        <v>84</v>
      </c>
      <c r="L24" s="10">
        <f t="shared" si="0"/>
        <v>168</v>
      </c>
      <c r="M24" s="55">
        <f ca="1">IF($A24="","",IF(AND(ISNUMBER(G24),G24&gt;=J24,G24&lt;=(J24+(L24/(IF(F24="Contract Workman",Settings!$K$5,Settings!$K$4))))),J24+(L24/(IF(F24="Contract Workman",Settings!$K$5,Settings!$K$4)))+(H24/(IF(F24="Contract Workman",Settings!$K$5,Settings!$K$4))),J24+(L24/(IF(F24="Contract Workman",Settings!$K$5,Settings!$K$4)))))</f>
        <v>46182.286375661366</v>
      </c>
      <c r="N24" s="10" t="str">
        <f t="shared" ca="1" si="1"/>
        <v>Shift S2</v>
      </c>
      <c r="O24" s="51" t="str">
        <f>IF(B24="","", IF(IFERROR(ISNUMBER(SEARCH(B24, VLOOKUP(E24, Machine_List!$B:$J, 9, 0))), FALSE()), "✅ Machine OK", "❌ Sug: " &amp; IFERROR(INDEX(Machine_List!$B$4:$B$50, MATCH("*"&amp;B24&amp;"*", Machine_List!$J$4:$J$50, 0)), "Check Limits")))</f>
        <v>✅ Machine OK</v>
      </c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2"/>
      <c r="AP24" s="52"/>
      <c r="AQ24" s="52"/>
      <c r="AR24" s="52"/>
      <c r="AS24" s="52"/>
      <c r="AT24" s="52"/>
      <c r="AU24" s="52"/>
      <c r="AV24" s="52"/>
      <c r="AW24" s="52"/>
      <c r="AX24" s="52"/>
      <c r="AY24" s="52"/>
      <c r="AZ24" s="52"/>
      <c r="BA24" s="52"/>
      <c r="BB24" s="52"/>
      <c r="BC24" s="52"/>
      <c r="BD24" s="52"/>
      <c r="BE24" s="52"/>
      <c r="BF24" s="52"/>
      <c r="BG24" s="52"/>
      <c r="BH24" s="52"/>
      <c r="BI24" s="52"/>
      <c r="BJ24" s="52"/>
      <c r="BK24" s="52"/>
      <c r="BL24" s="52"/>
      <c r="BM24" s="52"/>
    </row>
    <row r="25" spans="1:65" ht="28.8" customHeight="1" x14ac:dyDescent="0.3">
      <c r="A25" s="10" t="str">
        <f>IF(Job_Master!A25="","",Job_Master!A25)</f>
        <v>BJ-123</v>
      </c>
      <c r="B25" s="10">
        <f>IF($A25="","",Job_Master!B25)</f>
        <v>46</v>
      </c>
      <c r="C25" s="10" t="str">
        <f>IF($A25="","",Job_Master!C25)</f>
        <v>RW</v>
      </c>
      <c r="D25" s="10">
        <f>IF($A25="","",Job_Master!D25)</f>
        <v>2</v>
      </c>
      <c r="E25" s="48" t="str">
        <f>IF($A25="","","FID-MC-04")</f>
        <v>FID-MC-04</v>
      </c>
      <c r="F25" s="106" t="str">
        <f>IF($E25="","",IFERROR(VLOOKUP($E25,Machine_List!$B:$G,6,0),""))</f>
        <v>Contract Workman</v>
      </c>
      <c r="G25" s="53">
        <f>IF($E25="","",IFERROR(VLOOKUP($E25,Machine_List!$B:$C,2,0),""))</f>
        <v>46318</v>
      </c>
      <c r="H25" s="10">
        <f>IF($E25="","",IFERROR(VLOOKUP($E25,Machine_List!$B:$D,3,0),""))</f>
        <v>6</v>
      </c>
      <c r="I25" s="54"/>
      <c r="J25" s="55">
        <f ca="1">IF($A25="","",IF($I25&lt;&gt;"",$I25,MAX(VENT_Plan!$M25,IFERROR(LOOKUP(2,1/($E$3:INDIRECT("E"&amp;(ROW()-1))=$E25),$M$3:INDIRECT("M"&amp;(ROW()-1))),VENT_Plan!$M25))))</f>
        <v>46165.851190476176</v>
      </c>
      <c r="K25" s="10">
        <f>IF($A25="","",IFERROR(VLOOKUP(B25,CHOOSE(MATCH(C25,Settings!$L$4:$L$10,0),OPR_2P!$A$4:$I$18,SEG_6P!$A$4:$I$18,SOL_4P!$A$4:$I$18,RW_2P!$A$4:$I$18,RW2_4P!$A$4:$I$18,FLAP_4P!$A$4:$I$18,TUBE_4P!$A$4:$I$18),7,0),0))</f>
        <v>35</v>
      </c>
      <c r="L25" s="10">
        <f t="shared" si="0"/>
        <v>70</v>
      </c>
      <c r="M25" s="55">
        <f ca="1">IF($A25="","",IF(AND(ISNUMBER(G25),G25&gt;=J25,G25&lt;=(J25+(L25/(IF(F25="Contract Workman",Settings!$K$5,Settings!$K$4))))),J25+(L25/(IF(F25="Contract Workman",Settings!$K$5,Settings!$K$4)))+(H25/(IF(F25="Contract Workman",Settings!$K$5,Settings!$K$4))),J25+(L25/(IF(F25="Contract Workman",Settings!$K$5,Settings!$K$4)))))</f>
        <v>46168.976190476176</v>
      </c>
      <c r="N25" s="10" t="str">
        <f t="shared" ca="1" si="1"/>
        <v>Shift S2</v>
      </c>
      <c r="O25" s="51" t="str">
        <f>IF(B25="","", IF(IFERROR(ISNUMBER(SEARCH(B25, VLOOKUP(E25, Machine_List!$B:$J, 9, 0))), FALSE()), "✅ Machine OK", "❌ Sug: " &amp; IFERROR(INDEX(Machine_List!$B$4:$B$50, MATCH("*"&amp;B25&amp;"*", Machine_List!$J$4:$J$50, 0)), "Check Limits")))</f>
        <v>✅ Machine OK</v>
      </c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52"/>
      <c r="BC25" s="52"/>
      <c r="BD25" s="52"/>
      <c r="BE25" s="52"/>
      <c r="BF25" s="52"/>
      <c r="BG25" s="52"/>
      <c r="BH25" s="52"/>
      <c r="BI25" s="52"/>
      <c r="BJ25" s="52"/>
      <c r="BK25" s="52"/>
      <c r="BL25" s="52"/>
      <c r="BM25" s="52"/>
    </row>
    <row r="26" spans="1:65" ht="28.8" customHeight="1" x14ac:dyDescent="0.3">
      <c r="A26" s="10" t="str">
        <f>IF(Job_Master!A26="","",Job_Master!A26)</f>
        <v>BJ-117</v>
      </c>
      <c r="B26" s="10">
        <f>IF($A26="","",Job_Master!B26)</f>
        <v>15</v>
      </c>
      <c r="C26" s="10" t="str">
        <f>IF($A26="","",Job_Master!C26)</f>
        <v>RW</v>
      </c>
      <c r="D26" s="10">
        <f>IF($A26="","",Job_Master!D26)</f>
        <v>2</v>
      </c>
      <c r="E26" s="48" t="str">
        <f>IF($A26="","","FID-MC-06")</f>
        <v>FID-MC-06</v>
      </c>
      <c r="F26" s="106" t="str">
        <f>IF($E26="","",IFERROR(VLOOKUP($E26,Machine_List!$B:$G,6,0),""))</f>
        <v>Contract Workman</v>
      </c>
      <c r="G26" s="53">
        <f>IF($E26="","",IFERROR(VLOOKUP($E26,Machine_List!$B:$C,2,0),""))</f>
        <v>46088</v>
      </c>
      <c r="H26" s="10">
        <f>IF($E26="","",IFERROR(VLOOKUP($E26,Machine_List!$B:$D,3,0),""))</f>
        <v>6</v>
      </c>
      <c r="I26" s="54"/>
      <c r="J26" s="55">
        <f ca="1">IF($A26="","",IF($I26&lt;&gt;"",$I26,MAX(VENT_Plan!$M26,IFERROR(LOOKUP(2,1/($E$3:INDIRECT("E"&amp;(ROW()-1))=$E26),$M$3:INDIRECT("M"&amp;(ROW()-1))),VENT_Plan!$M26))))</f>
        <v>46165.16005291004</v>
      </c>
      <c r="K26" s="10">
        <f>IF($A26="","",IFERROR(VLOOKUP(B26,CHOOSE(MATCH(C26,Settings!$L$4:$L$10,0),OPR_2P!$A$4:$I$18,SEG_6P!$A$4:$I$18,SOL_4P!$A$4:$I$18,RW_2P!$A$4:$I$18,RW2_4P!$A$4:$I$18,FLAP_4P!$A$4:$I$18,TUBE_4P!$A$4:$I$18),7,0),0))</f>
        <v>14</v>
      </c>
      <c r="L26" s="10">
        <f t="shared" si="0"/>
        <v>28</v>
      </c>
      <c r="M26" s="55">
        <f ca="1">IF($A26="","",IF(AND(ISNUMBER(G26),G26&gt;=J26,G26&lt;=(J26+(L26/(IF(F26="Contract Workman",Settings!$K$5,Settings!$K$4))))),J26+(L26/(IF(F26="Contract Workman",Settings!$K$5,Settings!$K$4)))+(H26/(IF(F26="Contract Workman",Settings!$K$5,Settings!$K$4))),J26+(L26/(IF(F26="Contract Workman",Settings!$K$5,Settings!$K$4)))))</f>
        <v>46166.41005291004</v>
      </c>
      <c r="N26" s="10" t="str">
        <f t="shared" ca="1" si="1"/>
        <v>Shift S1</v>
      </c>
      <c r="O26" s="51" t="str">
        <f>IF(B26="","", IF(IFERROR(ISNUMBER(SEARCH(B26, VLOOKUP(E26, Machine_List!$B:$J, 9, 0))), FALSE()), "✅ Machine OK", "❌ Sug: " &amp; IFERROR(INDEX(Machine_List!$B$4:$B$50, MATCH("*"&amp;B26&amp;"*", Machine_List!$J$4:$J$50, 0)), "Check Limits")))</f>
        <v>✅ Machine OK</v>
      </c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2"/>
      <c r="BF26" s="52"/>
      <c r="BG26" s="52"/>
      <c r="BH26" s="52"/>
      <c r="BI26" s="52"/>
      <c r="BJ26" s="52"/>
      <c r="BK26" s="52"/>
      <c r="BL26" s="52"/>
      <c r="BM26" s="52"/>
    </row>
    <row r="27" spans="1:65" ht="28.8" customHeight="1" x14ac:dyDescent="0.3">
      <c r="A27" s="10" t="str">
        <f>IF(Job_Master!A27="","",Job_Master!A27)</f>
        <v>BJ-122</v>
      </c>
      <c r="B27" s="10">
        <f>IF($A27="","",Job_Master!B27)</f>
        <v>54</v>
      </c>
      <c r="C27" s="10" t="str">
        <f>IF($A27="","",Job_Master!C27)</f>
        <v>SOL</v>
      </c>
      <c r="D27" s="10">
        <f>IF($A27="","",Job_Master!D27)</f>
        <v>4</v>
      </c>
      <c r="E27" s="48" t="str">
        <f>IF($A27="","","FID-MC-02")</f>
        <v>FID-MC-02</v>
      </c>
      <c r="F27" s="106" t="str">
        <f>IF($E27="","",IFERROR(VLOOKUP($E27,Machine_List!$B:$G,6,0),""))</f>
        <v>Contract Workman</v>
      </c>
      <c r="G27" s="53">
        <f>IF($E27="","",IFERROR(VLOOKUP($E27,Machine_List!$B:$C,2,0),""))</f>
        <v>46142</v>
      </c>
      <c r="H27" s="10">
        <f>IF($E27="","",IFERROR(VLOOKUP($E27,Machine_List!$B:$D,3,0),""))</f>
        <v>6</v>
      </c>
      <c r="I27" s="54"/>
      <c r="J27" s="55">
        <f ca="1">IF($A27="","",IF($I27&lt;&gt;"",$I27,MAX(VENT_Plan!$M27,IFERROR(LOOKUP(2,1/($E$3:INDIRECT("E"&amp;(ROW()-1))=$E27),$M$3:INDIRECT("M"&amp;(ROW()-1))),VENT_Plan!$M27))))</f>
        <v>46224.230820105811</v>
      </c>
      <c r="K27" s="10">
        <f>IF($A27="","",IFERROR(VLOOKUP(B27,CHOOSE(MATCH(C27,Settings!$L$4:$L$10,0),OPR_2P!$A$4:$I$18,SEG_6P!$A$4:$I$18,SOL_4P!$A$4:$I$18,RW_2P!$A$4:$I$18,RW2_4P!$A$4:$I$18,FLAP_4P!$A$4:$I$18,TUBE_4P!$A$4:$I$18),7,0),0))</f>
        <v>78</v>
      </c>
      <c r="L27" s="10">
        <f t="shared" si="0"/>
        <v>312</v>
      </c>
      <c r="M27" s="55">
        <f ca="1">IF($A27="","",IF(AND(ISNUMBER(G27),G27&gt;=J27,G27&lt;=(J27+(L27/(IF(F27="Contract Workman",Settings!$K$5,Settings!$K$4))))),J27+(L27/(IF(F27="Contract Workman",Settings!$K$5,Settings!$K$4)))+(H27/(IF(F27="Contract Workman",Settings!$K$5,Settings!$K$4))),J27+(L27/(IF(F27="Contract Workman",Settings!$K$5,Settings!$K$4)))))</f>
        <v>46238.159391534384</v>
      </c>
      <c r="N27" s="10" t="str">
        <f t="shared" ca="1" si="1"/>
        <v>Shift S2</v>
      </c>
      <c r="O27" s="51" t="str">
        <f>IF(B27="","", IF(IFERROR(ISNUMBER(SEARCH(B27, VLOOKUP(E27, Machine_List!$B:$J, 9, 0))), FALSE()), "✅ Machine OK", "❌ Sug: " &amp; IFERROR(INDEX(Machine_List!$B$4:$B$50, MATCH("*"&amp;B27&amp;"*", Machine_List!$J$4:$J$50, 0)), "Check Limits")))</f>
        <v>✅ Machine OK</v>
      </c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2"/>
      <c r="AQ27" s="52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52"/>
      <c r="BC27" s="52"/>
      <c r="BD27" s="52"/>
      <c r="BE27" s="52"/>
      <c r="BF27" s="52"/>
      <c r="BG27" s="52"/>
      <c r="BH27" s="52"/>
      <c r="BI27" s="52"/>
      <c r="BJ27" s="52"/>
      <c r="BK27" s="52"/>
      <c r="BL27" s="52"/>
      <c r="BM27" s="52"/>
    </row>
    <row r="28" spans="1:65" ht="28.8" customHeight="1" x14ac:dyDescent="0.3">
      <c r="A28" s="10" t="str">
        <f>IF(Job_Master!A28="","",Job_Master!A28)</f>
        <v>BJ-124</v>
      </c>
      <c r="B28" s="10">
        <f>IF($A28="","",Job_Master!B28)</f>
        <v>42</v>
      </c>
      <c r="C28" s="10" t="str">
        <f>IF($A28="","",Job_Master!C28)</f>
        <v>2P</v>
      </c>
      <c r="D28" s="10">
        <f>IF($A28="","",Job_Master!D28)</f>
        <v>2</v>
      </c>
      <c r="E28" s="48" t="str">
        <f>IF($A28="","","FID-MC-04")</f>
        <v>FID-MC-04</v>
      </c>
      <c r="F28" s="106" t="str">
        <f>IF($E28="","",IFERROR(VLOOKUP($E28,Machine_List!$B:$G,6,0),""))</f>
        <v>Contract Workman</v>
      </c>
      <c r="G28" s="53">
        <f>IF($E28="","",IFERROR(VLOOKUP($E28,Machine_List!$B:$C,2,0),""))</f>
        <v>46318</v>
      </c>
      <c r="H28" s="10">
        <f>IF($E28="","",IFERROR(VLOOKUP($E28,Machine_List!$B:$D,3,0),""))</f>
        <v>6</v>
      </c>
      <c r="I28" s="54"/>
      <c r="J28" s="55">
        <f ca="1">IF($A28="","",IF($I28&lt;&gt;"",$I28,MAX(VENT_Plan!$M28,IFERROR(LOOKUP(2,1/($E$3:INDIRECT("E"&amp;(ROW()-1))=$E28),$M$3:INDIRECT("M"&amp;(ROW()-1))),VENT_Plan!$M28))))</f>
        <v>46169.568121693119</v>
      </c>
      <c r="K28" s="10">
        <f>IF($A28="","",IFERROR(VLOOKUP(B28,CHOOSE(MATCH(C28,Settings!$L$4:$L$10,0),OPR_2P!$A$4:$I$18,SEG_6P!$A$4:$I$18,SOL_4P!$A$4:$I$18,RW_2P!$A$4:$I$18,RW2_4P!$A$4:$I$18,FLAP_4P!$A$4:$I$18,TUBE_4P!$A$4:$I$18),7,0),0))</f>
        <v>51</v>
      </c>
      <c r="L28" s="10">
        <f t="shared" si="0"/>
        <v>102</v>
      </c>
      <c r="M28" s="55">
        <f ca="1">IF($A28="","",IF(AND(ISNUMBER(G28),G28&gt;=J28,G28&lt;=(J28+(L28/(IF(F28="Contract Workman",Settings!$K$5,Settings!$K$4))))),J28+(L28/(IF(F28="Contract Workman",Settings!$K$5,Settings!$K$4)))+(H28/(IF(F28="Contract Workman",Settings!$K$5,Settings!$K$4))),J28+(L28/(IF(F28="Contract Workman",Settings!$K$5,Settings!$K$4)))))</f>
        <v>46174.121693121691</v>
      </c>
      <c r="N28" s="10" t="str">
        <f t="shared" ca="1" si="1"/>
        <v>Shift S2</v>
      </c>
      <c r="O28" s="51" t="str">
        <f>IF(B28="","", IF(IFERROR(ISNUMBER(SEARCH(B28, VLOOKUP(E28, Machine_List!$B:$J, 9, 0))), FALSE()), "✅ Machine OK", "❌ Sug: " &amp; IFERROR(INDEX(Machine_List!$B$4:$B$50, MATCH("*"&amp;B28&amp;"*", Machine_List!$J$4:$J$50, 0)), "Check Limits")))</f>
        <v>✅ Machine OK</v>
      </c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2"/>
      <c r="AO28" s="52"/>
      <c r="AP28" s="52"/>
      <c r="AQ28" s="52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52"/>
      <c r="BC28" s="52"/>
      <c r="BD28" s="52"/>
      <c r="BE28" s="52"/>
      <c r="BF28" s="52"/>
      <c r="BG28" s="52"/>
      <c r="BH28" s="52"/>
      <c r="BI28" s="52"/>
      <c r="BJ28" s="52"/>
      <c r="BK28" s="52"/>
      <c r="BL28" s="52"/>
      <c r="BM28" s="52"/>
    </row>
    <row r="29" spans="1:65" ht="28.8" customHeight="1" x14ac:dyDescent="0.3">
      <c r="A29" s="10" t="str">
        <f>IF(Job_Master!A29="","",Job_Master!A29)</f>
        <v>BJ-126</v>
      </c>
      <c r="B29" s="10">
        <f>IF($A29="","",Job_Master!B29)</f>
        <v>42</v>
      </c>
      <c r="C29" s="10" t="str">
        <f>IF($A29="","",Job_Master!C29)</f>
        <v>2P</v>
      </c>
      <c r="D29" s="10">
        <f>IF($A29="","",Job_Master!D29)</f>
        <v>2</v>
      </c>
      <c r="E29" s="48" t="str">
        <f>IF($A29="","","FID-MC-03")</f>
        <v>FID-MC-03</v>
      </c>
      <c r="F29" s="106" t="str">
        <f>IF($E29="","",IFERROR(VLOOKUP($E29,Machine_List!$B:$G,6,0),""))</f>
        <v>Contract Workman</v>
      </c>
      <c r="G29" s="53">
        <f>IF($E29="","",IFERROR(VLOOKUP($E29,Machine_List!$B:$C,2,0),""))</f>
        <v>46483</v>
      </c>
      <c r="H29" s="10">
        <f>IF($E29="","",IFERROR(VLOOKUP($E29,Machine_List!$B:$D,3,0),""))</f>
        <v>6</v>
      </c>
      <c r="I29" s="54"/>
      <c r="J29" s="55">
        <f ca="1">IF($A29="","",IF($I29&lt;&gt;"",$I29,MAX(VENT_Plan!$M29,IFERROR(LOOKUP(2,1/($E$3:INDIRECT("E"&amp;(ROW()-1))=$E29),$M$3:INDIRECT("M"&amp;(ROW()-1))),VENT_Plan!$M29))))</f>
        <v>46175.963624338612</v>
      </c>
      <c r="K29" s="10">
        <f>IF($A29="","",IFERROR(VLOOKUP(B29,CHOOSE(MATCH(C29,Settings!$L$4:$L$10,0),OPR_2P!$A$4:$I$18,SEG_6P!$A$4:$I$18,SOL_4P!$A$4:$I$18,RW_2P!$A$4:$I$18,RW2_4P!$A$4:$I$18,FLAP_4P!$A$4:$I$18,TUBE_4P!$A$4:$I$18),7,0),0))</f>
        <v>51</v>
      </c>
      <c r="L29" s="10">
        <f t="shared" si="0"/>
        <v>102</v>
      </c>
      <c r="M29" s="55">
        <f ca="1">IF($A29="","",IF(AND(ISNUMBER(G29),G29&gt;=J29,G29&lt;=(J29+(L29/(IF(F29="Contract Workman",Settings!$K$5,Settings!$K$4))))),J29+(L29/(IF(F29="Contract Workman",Settings!$K$5,Settings!$K$4)))+(H29/(IF(F29="Contract Workman",Settings!$K$5,Settings!$K$4))),J29+(L29/(IF(F29="Contract Workman",Settings!$K$5,Settings!$K$4)))))</f>
        <v>46180.517195767185</v>
      </c>
      <c r="N29" s="10" t="str">
        <f t="shared" ca="1" si="1"/>
        <v>Shift S1</v>
      </c>
      <c r="O29" s="51" t="str">
        <f>IF(B29="","", IF(IFERROR(ISNUMBER(SEARCH(B29, VLOOKUP(E29, Machine_List!$B:$J, 9, 0))), FALSE()), "✅ Machine OK", "❌ Sug: " &amp; IFERROR(INDEX(Machine_List!$B$4:$B$50, MATCH("*"&amp;B29&amp;"*", Machine_List!$J$4:$J$50, 0)), "Check Limits")))</f>
        <v>✅ Machine OK</v>
      </c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2"/>
      <c r="AQ29" s="52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52"/>
      <c r="BC29" s="52"/>
      <c r="BD29" s="52"/>
      <c r="BE29" s="52"/>
      <c r="BF29" s="52"/>
      <c r="BG29" s="52"/>
      <c r="BH29" s="52"/>
      <c r="BI29" s="52"/>
      <c r="BJ29" s="52"/>
      <c r="BK29" s="52"/>
      <c r="BL29" s="52"/>
      <c r="BM29" s="52"/>
    </row>
    <row r="30" spans="1:65" ht="28.8" customHeight="1" x14ac:dyDescent="0.3">
      <c r="A30" s="10" t="str">
        <f>IF(Job_Master!A30="","",Job_Master!A30)</f>
        <v>BJ-127</v>
      </c>
      <c r="B30" s="10">
        <f>IF($A30="","",Job_Master!B30)</f>
        <v>15</v>
      </c>
      <c r="C30" s="10" t="str">
        <f>IF($A30="","",Job_Master!C30)</f>
        <v>RW</v>
      </c>
      <c r="D30" s="10">
        <f>IF($A30="","",Job_Master!D30)</f>
        <v>2</v>
      </c>
      <c r="E30" s="48" t="str">
        <f>IF($A30="","","FID-MC-07")</f>
        <v>FID-MC-07</v>
      </c>
      <c r="F30" s="106" t="str">
        <f>IF($E30="","",IFERROR(VLOOKUP($E30,Machine_List!$B:$G,6,0),""))</f>
        <v>Contract Workman</v>
      </c>
      <c r="G30" s="53">
        <f>IF($E30="","",IFERROR(VLOOKUP($E30,Machine_List!$B:$C,2,0),""))</f>
        <v>46402</v>
      </c>
      <c r="H30" s="10">
        <f>IF($E30="","",IFERROR(VLOOKUP($E30,Machine_List!$B:$D,3,0),""))</f>
        <v>6</v>
      </c>
      <c r="I30" s="54"/>
      <c r="J30" s="55">
        <f ca="1">IF($A30="","",IF($I30&lt;&gt;"",$I30,MAX(VENT_Plan!$M30,IFERROR(LOOKUP(2,1/($E$3:INDIRECT("E"&amp;(ROW()-1))=$E30),$M$3:INDIRECT("M"&amp;(ROW()-1))),VENT_Plan!$M30))))</f>
        <v>46159.525132275114</v>
      </c>
      <c r="K30" s="10">
        <f>IF($A30="","",IFERROR(VLOOKUP(B30,CHOOSE(MATCH(C30,Settings!$L$4:$L$10,0),OPR_2P!$A$4:$I$18,SEG_6P!$A$4:$I$18,SOL_4P!$A$4:$I$18,RW_2P!$A$4:$I$18,RW2_4P!$A$4:$I$18,FLAP_4P!$A$4:$I$18,TUBE_4P!$A$4:$I$18),7,0),0))</f>
        <v>14</v>
      </c>
      <c r="L30" s="10">
        <f t="shared" si="0"/>
        <v>28</v>
      </c>
      <c r="M30" s="55">
        <f ca="1">IF($A30="","",IF(AND(ISNUMBER(G30),G30&gt;=J30,G30&lt;=(J30+(L30/(IF(F30="Contract Workman",Settings!$K$5,Settings!$K$4))))),J30+(L30/(IF(F30="Contract Workman",Settings!$K$5,Settings!$K$4)))+(H30/(IF(F30="Contract Workman",Settings!$K$5,Settings!$K$4))),J30+(L30/(IF(F30="Contract Workman",Settings!$K$5,Settings!$K$4)))))</f>
        <v>46160.775132275114</v>
      </c>
      <c r="N30" s="10" t="str">
        <f t="shared" ca="1" si="1"/>
        <v>Shift S1</v>
      </c>
      <c r="O30" s="51" t="str">
        <f>IF(B30="","", IF(IFERROR(ISNUMBER(SEARCH(B30, VLOOKUP(E30, Machine_List!$B:$J, 9, 0))), FALSE()), "✅ Machine OK", "❌ Sug: " &amp; IFERROR(INDEX(Machine_List!$B$4:$B$50, MATCH("*"&amp;B30&amp;"*", Machine_List!$J$4:$J$50, 0)), "Check Limits")))</f>
        <v>✅ Machine OK</v>
      </c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P30" s="52"/>
      <c r="AQ30" s="52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52"/>
      <c r="BC30" s="52"/>
      <c r="BD30" s="52"/>
      <c r="BE30" s="52"/>
      <c r="BF30" s="52"/>
      <c r="BG30" s="52"/>
      <c r="BH30" s="52"/>
      <c r="BI30" s="52"/>
      <c r="BJ30" s="52"/>
      <c r="BK30" s="52"/>
      <c r="BL30" s="52"/>
      <c r="BM30" s="52"/>
    </row>
    <row r="31" spans="1:65" ht="28.8" customHeight="1" x14ac:dyDescent="0.3">
      <c r="A31" s="10" t="str">
        <f>IF(Job_Master!A31="","",Job_Master!A31)</f>
        <v>BJ-128</v>
      </c>
      <c r="B31" s="10">
        <f>IF($A31="","",Job_Master!B31)</f>
        <v>46</v>
      </c>
      <c r="C31" s="10" t="str">
        <f>IF($A31="","",Job_Master!C31)</f>
        <v>2P</v>
      </c>
      <c r="D31" s="10">
        <f>IF($A31="","",Job_Master!D31)</f>
        <v>2</v>
      </c>
      <c r="E31" s="48" t="str">
        <f>IF($A31="","","FID-MC-03")</f>
        <v>FID-MC-03</v>
      </c>
      <c r="F31" s="106" t="str">
        <f>IF($E31="","",IFERROR(VLOOKUP($E31,Machine_List!$B:$G,6,0),""))</f>
        <v>Contract Workman</v>
      </c>
      <c r="G31" s="53">
        <f>IF($E31="","",IFERROR(VLOOKUP($E31,Machine_List!$B:$C,2,0),""))</f>
        <v>46483</v>
      </c>
      <c r="H31" s="10">
        <f>IF($E31="","",IFERROR(VLOOKUP($E31,Machine_List!$B:$D,3,0),""))</f>
        <v>6</v>
      </c>
      <c r="I31" s="54"/>
      <c r="J31" s="55">
        <f ca="1">IF($A31="","",IF($I31&lt;&gt;"",$I31,MAX(VENT_Plan!$M31,IFERROR(LOOKUP(2,1/($E$3:INDIRECT("E"&amp;(ROW()-1))=$E31),$M$3:INDIRECT("M"&amp;(ROW()-1))),VENT_Plan!$M31))))</f>
        <v>46180.517195767185</v>
      </c>
      <c r="K31" s="10">
        <f>IF($A31="","",IFERROR(VLOOKUP(B31,CHOOSE(MATCH(C31,Settings!$L$4:$L$10,0),OPR_2P!$A$4:$I$18,SEG_6P!$A$4:$I$18,SOL_4P!$A$4:$I$18,RW_2P!$A$4:$I$18,RW2_4P!$A$4:$I$18,FLAP_4P!$A$4:$I$18,TUBE_4P!$A$4:$I$18),7,0),0))</f>
        <v>35</v>
      </c>
      <c r="L31" s="10">
        <f t="shared" si="0"/>
        <v>70</v>
      </c>
      <c r="M31" s="55">
        <f ca="1">IF($A31="","",IF(AND(ISNUMBER(G31),G31&gt;=J31,G31&lt;=(J31+(L31/(IF(F31="Contract Workman",Settings!$K$5,Settings!$K$4))))),J31+(L31/(IF(F31="Contract Workman",Settings!$K$5,Settings!$K$4)))+(H31/(IF(F31="Contract Workman",Settings!$K$5,Settings!$K$4))),J31+(L31/(IF(F31="Contract Workman",Settings!$K$5,Settings!$K$4)))))</f>
        <v>46183.642195767185</v>
      </c>
      <c r="N31" s="10" t="str">
        <f t="shared" ca="1" si="1"/>
        <v>Shift S1</v>
      </c>
      <c r="O31" s="51" t="str">
        <f>IF(B31="","", IF(IFERROR(ISNUMBER(SEARCH(B31, VLOOKUP(E31, Machine_List!$B:$J, 9, 0))), FALSE()), "✅ Machine OK", "❌ Sug: " &amp; IFERROR(INDEX(Machine_List!$B$4:$B$50, MATCH("*"&amp;B31&amp;"*", Machine_List!$J$4:$J$50, 0)), "Check Limits")))</f>
        <v>✅ Machine OK</v>
      </c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2"/>
      <c r="BC31" s="52"/>
      <c r="BD31" s="52"/>
      <c r="BE31" s="52"/>
      <c r="BF31" s="52"/>
      <c r="BG31" s="52"/>
      <c r="BH31" s="52"/>
      <c r="BI31" s="52"/>
      <c r="BJ31" s="52"/>
      <c r="BK31" s="52"/>
      <c r="BL31" s="52"/>
      <c r="BM31" s="52"/>
    </row>
    <row r="32" spans="1:65" ht="28.8" customHeight="1" x14ac:dyDescent="0.3">
      <c r="A32" s="10" t="str">
        <f>IF(Job_Master!A32="","",Job_Master!A32)</f>
        <v>BJ-125</v>
      </c>
      <c r="B32" s="10">
        <f>IF($A32="","",Job_Master!B32)</f>
        <v>25</v>
      </c>
      <c r="C32" s="10" t="str">
        <f>IF($A32="","",Job_Master!C32)</f>
        <v>SEG</v>
      </c>
      <c r="D32" s="10">
        <f>IF($A32="","",Job_Master!D32)</f>
        <v>6</v>
      </c>
      <c r="E32" s="48" t="str">
        <f>IF($A32="","","FID-MC-04")</f>
        <v>FID-MC-04</v>
      </c>
      <c r="F32" s="106" t="str">
        <f>IF($E32="","",IFERROR(VLOOKUP($E32,Machine_List!$B:$G,6,0),""))</f>
        <v>Contract Workman</v>
      </c>
      <c r="G32" s="53">
        <f>IF($E32="","",IFERROR(VLOOKUP($E32,Machine_List!$B:$C,2,0),""))</f>
        <v>46318</v>
      </c>
      <c r="H32" s="10">
        <f>IF($E32="","",IFERROR(VLOOKUP($E32,Machine_List!$B:$D,3,0),""))</f>
        <v>6</v>
      </c>
      <c r="I32" s="54"/>
      <c r="J32" s="55">
        <f ca="1">IF($A32="","",IF($I32&lt;&gt;"",$I32,MAX(VENT_Plan!$M32,IFERROR(LOOKUP(2,1/($E$3:INDIRECT("E"&amp;(ROW()-1))=$E32),$M$3:INDIRECT("M"&amp;(ROW()-1))),VENT_Plan!$M32))))</f>
        <v>46178.714947089939</v>
      </c>
      <c r="K32" s="10">
        <f>IF($A32="","",IFERROR(VLOOKUP(B32,CHOOSE(MATCH(C32,Settings!$L$4:$L$10,0),OPR_2P!$A$4:$I$18,SEG_6P!$A$4:$I$18,SOL_4P!$A$4:$I$18,RW_2P!$A$4:$I$18,RW2_4P!$A$4:$I$18,FLAP_4P!$A$4:$I$18,TUBE_4P!$A$4:$I$18),7,0),0))</f>
        <v>31</v>
      </c>
      <c r="L32" s="10">
        <f t="shared" si="0"/>
        <v>186</v>
      </c>
      <c r="M32" s="55">
        <f ca="1">IF($A32="","",IF(AND(ISNUMBER(G32),G32&gt;=J32,G32&lt;=(J32+(L32/(IF(F32="Contract Workman",Settings!$K$5,Settings!$K$4))))),J32+(L32/(IF(F32="Contract Workman",Settings!$K$5,Settings!$K$4)))+(H32/(IF(F32="Contract Workman",Settings!$K$5,Settings!$K$4))),J32+(L32/(IF(F32="Contract Workman",Settings!$K$5,Settings!$K$4)))))</f>
        <v>46187.018518518511</v>
      </c>
      <c r="N32" s="10" t="str">
        <f t="shared" ca="1" si="1"/>
        <v>Shift S2</v>
      </c>
      <c r="O32" s="51" t="str">
        <f>IF(B32="","", IF(IFERROR(ISNUMBER(SEARCH(B32, VLOOKUP(E32, Machine_List!$B:$J, 9, 0))), FALSE()), "✅ Machine OK", "❌ Sug: " &amp; IFERROR(INDEX(Machine_List!$B$4:$B$50, MATCH("*"&amp;B32&amp;"*", Machine_List!$J$4:$J$50, 0)), "Check Limits")))</f>
        <v>✅ Machine OK</v>
      </c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2"/>
      <c r="AO32" s="52"/>
      <c r="AP32" s="52"/>
      <c r="AQ32" s="52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52"/>
      <c r="BC32" s="52"/>
      <c r="BD32" s="52"/>
      <c r="BE32" s="52"/>
      <c r="BF32" s="52"/>
      <c r="BG32" s="52"/>
      <c r="BH32" s="52"/>
      <c r="BI32" s="52"/>
      <c r="BJ32" s="52"/>
      <c r="BK32" s="52"/>
      <c r="BL32" s="52"/>
      <c r="BM32" s="52"/>
    </row>
    <row r="33" spans="1:65" ht="28.8" customHeight="1" x14ac:dyDescent="0.3">
      <c r="A33" s="10" t="str">
        <f>IF(Job_Master!A33="","",Job_Master!A33)</f>
        <v>BJ-129</v>
      </c>
      <c r="B33" s="10">
        <f>IF($A33="","",Job_Master!B33)</f>
        <v>9</v>
      </c>
      <c r="C33" s="10" t="str">
        <f>IF($A33="","",Job_Master!C33)</f>
        <v>RW</v>
      </c>
      <c r="D33" s="10">
        <f>IF($A33="","",Job_Master!D33)</f>
        <v>2</v>
      </c>
      <c r="E33" s="48" t="str">
        <f>IF($A33="","","FID-MC-08")</f>
        <v>FID-MC-08</v>
      </c>
      <c r="F33" s="106" t="str">
        <f>IF($E33="","",IFERROR(VLOOKUP($E33,Machine_List!$B:$G,6,0),""))</f>
        <v>Contract Workman</v>
      </c>
      <c r="G33" s="53">
        <f>IF($E33="","",IFERROR(VLOOKUP($E33,Machine_List!$B:$C,2,0),""))</f>
        <v>46328</v>
      </c>
      <c r="H33" s="10">
        <f>IF($E33="","",IFERROR(VLOOKUP($E33,Machine_List!$B:$D,3,0),""))</f>
        <v>6</v>
      </c>
      <c r="I33" s="54"/>
      <c r="J33" s="55">
        <f ca="1">IF($A33="","",IF($I33&lt;&gt;"",$I33,MAX(VENT_Plan!$M33,IFERROR(LOOKUP(2,1/($E$3:INDIRECT("E"&amp;(ROW()-1))=$E33),$M$3:INDIRECT("M"&amp;(ROW()-1))),VENT_Plan!$M33))))</f>
        <v>46157.636904761894</v>
      </c>
      <c r="K33" s="10">
        <f>IF($A33="","",IFERROR(VLOOKUP(B33,CHOOSE(MATCH(C33,Settings!$L$4:$L$10,0),OPR_2P!$A$4:$I$18,SEG_6P!$A$4:$I$18,SOL_4P!$A$4:$I$18,RW_2P!$A$4:$I$18,RW2_4P!$A$4:$I$18,FLAP_4P!$A$4:$I$18,TUBE_4P!$A$4:$I$18),7,0),0))</f>
        <v>6</v>
      </c>
      <c r="L33" s="10">
        <f t="shared" si="0"/>
        <v>12</v>
      </c>
      <c r="M33" s="55">
        <f ca="1">IF($A33="","",IF(AND(ISNUMBER(G33),G33&gt;=J33,G33&lt;=(J33+(L33/(IF(F33="Contract Workman",Settings!$K$5,Settings!$K$4))))),J33+(L33/(IF(F33="Contract Workman",Settings!$K$5,Settings!$K$4)))+(H33/(IF(F33="Contract Workman",Settings!$K$5,Settings!$K$4))),J33+(L33/(IF(F33="Contract Workman",Settings!$K$5,Settings!$K$4)))))</f>
        <v>46158.172619047611</v>
      </c>
      <c r="N33" s="10" t="str">
        <f t="shared" ca="1" si="1"/>
        <v>Shift S2</v>
      </c>
      <c r="O33" s="51" t="str">
        <f>IF(B33="","", IF(IFERROR(ISNUMBER(SEARCH(B33, VLOOKUP(E33, Machine_List!$B:$J, 9, 0))), FALSE()), "✅ Machine OK", "❌ Sug: " &amp; IFERROR(INDEX(Machine_List!$B$4:$B$50, MATCH("*"&amp;B33&amp;"*", Machine_List!$J$4:$J$50, 0)), "Check Limits")))</f>
        <v>✅ Machine OK</v>
      </c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2"/>
      <c r="AQ33" s="52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/>
      <c r="BD33" s="52"/>
      <c r="BE33" s="52"/>
      <c r="BF33" s="52"/>
      <c r="BG33" s="52"/>
      <c r="BH33" s="52"/>
      <c r="BI33" s="52"/>
      <c r="BJ33" s="52"/>
      <c r="BK33" s="52"/>
      <c r="BL33" s="52"/>
      <c r="BM33" s="52"/>
    </row>
    <row r="34" spans="1:65" ht="28.8" customHeight="1" x14ac:dyDescent="0.3">
      <c r="A34" s="10" t="str">
        <f>IF(Job_Master!A34="","",Job_Master!A34)</f>
        <v>BJ-130</v>
      </c>
      <c r="B34" s="10">
        <f>IF($A34="","",Job_Master!B34)</f>
        <v>57</v>
      </c>
      <c r="C34" s="10" t="str">
        <f>IF($A34="","",Job_Master!C34)</f>
        <v>RW</v>
      </c>
      <c r="D34" s="10">
        <f>IF($A34="","",Job_Master!D34)</f>
        <v>2</v>
      </c>
      <c r="E34" s="48" t="str">
        <f>IF($A34="","","FID-MC-03")</f>
        <v>FID-MC-03</v>
      </c>
      <c r="F34" s="106" t="str">
        <f>IF($E34="","",IFERROR(VLOOKUP($E34,Machine_List!$B:$G,6,0),""))</f>
        <v>Contract Workman</v>
      </c>
      <c r="G34" s="53">
        <f>IF($E34="","",IFERROR(VLOOKUP($E34,Machine_List!$B:$C,2,0),""))</f>
        <v>46483</v>
      </c>
      <c r="H34" s="10">
        <f>IF($E34="","",IFERROR(VLOOKUP($E34,Machine_List!$B:$D,3,0),""))</f>
        <v>6</v>
      </c>
      <c r="I34" s="54"/>
      <c r="J34" s="55">
        <f ca="1">IF($A34="","",IF($I34&lt;&gt;"",$I34,MAX(VENT_Plan!$M34,IFERROR(LOOKUP(2,1/($E$3:INDIRECT("E"&amp;(ROW()-1))=$E34),$M$3:INDIRECT("M"&amp;(ROW()-1))),VENT_Plan!$M34))))</f>
        <v>46186.079365079371</v>
      </c>
      <c r="K34" s="10">
        <f>IF($A34="","",IFERROR(VLOOKUP(B34,CHOOSE(MATCH(C34,Settings!$L$4:$L$10,0),OPR_2P!$A$4:$I$18,SEG_6P!$A$4:$I$18,SOL_4P!$A$4:$I$18,RW_2P!$A$4:$I$18,RW2_4P!$A$4:$I$18,FLAP_4P!$A$4:$I$18,TUBE_4P!$A$4:$I$18),7,0),0))</f>
        <v>84</v>
      </c>
      <c r="L34" s="10">
        <f t="shared" si="0"/>
        <v>168</v>
      </c>
      <c r="M34" s="55">
        <f ca="1">IF($A34="","",IF(AND(ISNUMBER(G34),G34&gt;=J34,G34&lt;=(J34+(L34/(IF(F34="Contract Workman",Settings!$K$5,Settings!$K$4))))),J34+(L34/(IF(F34="Contract Workman",Settings!$K$5,Settings!$K$4)))+(H34/(IF(F34="Contract Workman",Settings!$K$5,Settings!$K$4))),J34+(L34/(IF(F34="Contract Workman",Settings!$K$5,Settings!$K$4)))))</f>
        <v>46193.579365079371</v>
      </c>
      <c r="N34" s="10" t="str">
        <f t="shared" ca="1" si="1"/>
        <v>Shift S1</v>
      </c>
      <c r="O34" s="51" t="str">
        <f>IF(B34="","", IF(IFERROR(ISNUMBER(SEARCH(B34, VLOOKUP(E34, Machine_List!$B:$J, 9, 0))), FALSE()), "✅ Machine OK", "❌ Sug: " &amp; IFERROR(INDEX(Machine_List!$B$4:$B$50, MATCH("*"&amp;B34&amp;"*", Machine_List!$J$4:$J$50, 0)), "Check Limits")))</f>
        <v>✅ Machine OK</v>
      </c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2"/>
      <c r="AO34" s="52"/>
      <c r="AP34" s="52"/>
      <c r="AQ34" s="52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52"/>
      <c r="BC34" s="52"/>
      <c r="BD34" s="52"/>
      <c r="BE34" s="52"/>
      <c r="BF34" s="52"/>
      <c r="BG34" s="52"/>
      <c r="BH34" s="52"/>
      <c r="BI34" s="52"/>
      <c r="BJ34" s="52"/>
      <c r="BK34" s="52"/>
      <c r="BL34" s="52"/>
      <c r="BM34" s="52"/>
    </row>
    <row r="35" spans="1:65" ht="28.8" customHeight="1" x14ac:dyDescent="0.3">
      <c r="A35" s="10" t="str">
        <f>IF(Job_Master!A35="","",Job_Master!A35)</f>
        <v>BJ-133</v>
      </c>
      <c r="B35" s="10">
        <f>IF($A35="","",Job_Master!B35)</f>
        <v>25</v>
      </c>
      <c r="C35" s="10" t="str">
        <f>IF($A35="","",Job_Master!C35)</f>
        <v>RW</v>
      </c>
      <c r="D35" s="10">
        <f>IF($A35="","",Job_Master!D35)</f>
        <v>2</v>
      </c>
      <c r="E35" s="48" t="str">
        <f>IF($A35="","","FID-MC-06")</f>
        <v>FID-MC-06</v>
      </c>
      <c r="F35" s="106" t="str">
        <f>IF($E35="","",IFERROR(VLOOKUP($E35,Machine_List!$B:$G,6,0),""))</f>
        <v>Contract Workman</v>
      </c>
      <c r="G35" s="53">
        <f>IF($E35="","",IFERROR(VLOOKUP($E35,Machine_List!$B:$C,2,0),""))</f>
        <v>46088</v>
      </c>
      <c r="H35" s="10">
        <f>IF($E35="","",IFERROR(VLOOKUP($E35,Machine_List!$B:$D,3,0),""))</f>
        <v>6</v>
      </c>
      <c r="I35" s="54"/>
      <c r="J35" s="55">
        <f ca="1">IF($A35="","",IF($I35&lt;&gt;"",$I35,MAX(VENT_Plan!$M35,IFERROR(LOOKUP(2,1/($E$3:INDIRECT("E"&amp;(ROW()-1))=$E35),$M$3:INDIRECT("M"&amp;(ROW()-1))),VENT_Plan!$M35))))</f>
        <v>46167.213624338612</v>
      </c>
      <c r="K35" s="10">
        <f>IF($A35="","",IFERROR(VLOOKUP(B35,CHOOSE(MATCH(C35,Settings!$L$4:$L$10,0),OPR_2P!$A$4:$I$18,SEG_6P!$A$4:$I$18,SOL_4P!$A$4:$I$18,RW_2P!$A$4:$I$18,RW2_4P!$A$4:$I$18,FLAP_4P!$A$4:$I$18,TUBE_4P!$A$4:$I$18),7,0),0))</f>
        <v>18</v>
      </c>
      <c r="L35" s="10">
        <f t="shared" si="0"/>
        <v>36</v>
      </c>
      <c r="M35" s="55">
        <f ca="1">IF($A35="","",IF(AND(ISNUMBER(G35),G35&gt;=J35,G35&lt;=(J35+(L35/(IF(F35="Contract Workman",Settings!$K$5,Settings!$K$4))))),J35+(L35/(IF(F35="Contract Workman",Settings!$K$5,Settings!$K$4)))+(H35/(IF(F35="Contract Workman",Settings!$K$5,Settings!$K$4))),J35+(L35/(IF(F35="Contract Workman",Settings!$K$5,Settings!$K$4)))))</f>
        <v>46168.820767195757</v>
      </c>
      <c r="N35" s="10" t="str">
        <f t="shared" ca="1" si="1"/>
        <v>Shift S1</v>
      </c>
      <c r="O35" s="51" t="str">
        <f>IF(B35="","", IF(IFERROR(ISNUMBER(SEARCH(B35, VLOOKUP(E35, Machine_List!$B:$J, 9, 0))), FALSE()), "✅ Machine OK", "❌ Sug: " &amp; IFERROR(INDEX(Machine_List!$B$4:$B$50, MATCH("*"&amp;B35&amp;"*", Machine_List!$J$4:$J$50, 0)), "Check Limits")))</f>
        <v>✅ Machine OK</v>
      </c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2"/>
      <c r="BF35" s="52"/>
      <c r="BG35" s="52"/>
      <c r="BH35" s="52"/>
      <c r="BI35" s="52"/>
      <c r="BJ35" s="52"/>
      <c r="BK35" s="52"/>
      <c r="BL35" s="52"/>
      <c r="BM35" s="52"/>
    </row>
    <row r="36" spans="1:65" ht="28.8" customHeight="1" x14ac:dyDescent="0.3">
      <c r="A36" s="10" t="str">
        <f>IF(Job_Master!A36="","",Job_Master!A36)</f>
        <v>BJ-131</v>
      </c>
      <c r="B36" s="10">
        <f>IF($A36="","",Job_Master!B36)</f>
        <v>70</v>
      </c>
      <c r="C36" s="10" t="str">
        <f>IF($A36="","",Job_Master!C36)</f>
        <v>2P</v>
      </c>
      <c r="D36" s="10">
        <f>IF($A36="","",Job_Master!D36)</f>
        <v>2</v>
      </c>
      <c r="E36" s="48" t="str">
        <f>IF($A36="","","FID-MC-03")</f>
        <v>FID-MC-03</v>
      </c>
      <c r="F36" s="106" t="str">
        <f>IF($E36="","",IFERROR(VLOOKUP($E36,Machine_List!$B:$G,6,0),""))</f>
        <v>Contract Workman</v>
      </c>
      <c r="G36" s="53">
        <f>IF($E36="","",IFERROR(VLOOKUP($E36,Machine_List!$B:$C,2,0),""))</f>
        <v>46483</v>
      </c>
      <c r="H36" s="10">
        <f>IF($E36="","",IFERROR(VLOOKUP($E36,Machine_List!$B:$D,3,0),""))</f>
        <v>6</v>
      </c>
      <c r="I36" s="54"/>
      <c r="J36" s="55">
        <f ca="1">IF($A36="","",IF($I36&lt;&gt;"",$I36,MAX(VENT_Plan!$M36,IFERROR(LOOKUP(2,1/($E$3:INDIRECT("E"&amp;(ROW()-1))=$E36),$M$3:INDIRECT("M"&amp;(ROW()-1))),VENT_Plan!$M36))))</f>
        <v>46202.716269841265</v>
      </c>
      <c r="K36" s="10">
        <f>IF($A36="","",IFERROR(VLOOKUP(B36,CHOOSE(MATCH(C36,Settings!$L$4:$L$10,0),OPR_2P!$A$4:$I$18,SEG_6P!$A$4:$I$18,SOL_4P!$A$4:$I$18,RW_2P!$A$4:$I$18,RW2_4P!$A$4:$I$18,FLAP_4P!$A$4:$I$18,TUBE_4P!$A$4:$I$18),7,0),0))</f>
        <v>70</v>
      </c>
      <c r="L36" s="10">
        <f t="shared" si="0"/>
        <v>140</v>
      </c>
      <c r="M36" s="55">
        <f ca="1">IF($A36="","",IF(AND(ISNUMBER(G36),G36&gt;=J36,G36&lt;=(J36+(L36/(IF(F36="Contract Workman",Settings!$K$5,Settings!$K$4))))),J36+(L36/(IF(F36="Contract Workman",Settings!$K$5,Settings!$K$4)))+(H36/(IF(F36="Contract Workman",Settings!$K$5,Settings!$K$4))),J36+(L36/(IF(F36="Contract Workman",Settings!$K$5,Settings!$K$4)))))</f>
        <v>46208.966269841265</v>
      </c>
      <c r="N36" s="10" t="str">
        <f t="shared" ref="N36:N67" ca="1" si="2">IF($A36="","",IF(F36="Contract Workman",IF(AND(MOD(M36,1)&gt;=8/24,MOD(M36,1)&lt;20/24),"Shift S1","Shift S2"),IF(AND(MOD(M36,1)&gt;=7/24,MOD(M36,1)&lt;15/24),"Shift A",IF(AND(MOD(M36,1)&gt;=15/24,MOD(M36,1)&lt;23/24),"Shift B","Shift C"))))</f>
        <v>Shift S2</v>
      </c>
      <c r="O36" s="51" t="str">
        <f>IF(B36="","", IF(IFERROR(ISNUMBER(SEARCH(B36, VLOOKUP(E36, Machine_List!$B:$J, 9, 0))), FALSE()), "✅ Machine OK", "❌ Sug: " &amp; IFERROR(INDEX(Machine_List!$B$4:$B$50, MATCH("*"&amp;B36&amp;"*", Machine_List!$J$4:$J$50, 0)), "Check Limits")))</f>
        <v>✅ Machine OK</v>
      </c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2"/>
      <c r="AN36" s="52"/>
      <c r="AO36" s="52"/>
      <c r="AP36" s="52"/>
      <c r="AQ36" s="52"/>
      <c r="AR36" s="52"/>
      <c r="AS36" s="52"/>
      <c r="AT36" s="52"/>
      <c r="AU36" s="52"/>
      <c r="AV36" s="52"/>
      <c r="AW36" s="52"/>
      <c r="AX36" s="52"/>
      <c r="AY36" s="52"/>
      <c r="AZ36" s="52"/>
      <c r="BA36" s="52"/>
      <c r="BB36" s="52"/>
      <c r="BC36" s="52"/>
      <c r="BD36" s="52"/>
      <c r="BE36" s="52"/>
      <c r="BF36" s="52"/>
      <c r="BG36" s="52"/>
      <c r="BH36" s="52"/>
      <c r="BI36" s="52"/>
      <c r="BJ36" s="52"/>
      <c r="BK36" s="52"/>
      <c r="BL36" s="52"/>
      <c r="BM36" s="52"/>
    </row>
    <row r="37" spans="1:65" ht="28.8" customHeight="1" x14ac:dyDescent="0.3">
      <c r="A37" s="10" t="str">
        <f>IF(Job_Master!A37="","",Job_Master!A37)</f>
        <v>BJ-134</v>
      </c>
      <c r="B37" s="10">
        <f>IF($A37="","",Job_Master!B37)</f>
        <v>15</v>
      </c>
      <c r="C37" s="10" t="str">
        <f>IF($A37="","",Job_Master!C37)</f>
        <v>RW</v>
      </c>
      <c r="D37" s="10">
        <f>IF($A37="","",Job_Master!D37)</f>
        <v>2</v>
      </c>
      <c r="E37" s="48" t="str">
        <f>IF($A37="","","FID-MC-07")</f>
        <v>FID-MC-07</v>
      </c>
      <c r="F37" s="106" t="str">
        <f>IF($E37="","",IFERROR(VLOOKUP($E37,Machine_List!$B:$G,6,0),""))</f>
        <v>Contract Workman</v>
      </c>
      <c r="G37" s="53">
        <f>IF($E37="","",IFERROR(VLOOKUP($E37,Machine_List!$B:$C,2,0),""))</f>
        <v>46402</v>
      </c>
      <c r="H37" s="10">
        <f>IF($E37="","",IFERROR(VLOOKUP($E37,Machine_List!$B:$D,3,0),""))</f>
        <v>6</v>
      </c>
      <c r="I37" s="54"/>
      <c r="J37" s="55">
        <f ca="1">IF($A37="","",IF($I37&lt;&gt;"",$I37,MAX(VENT_Plan!$M37,IFERROR(LOOKUP(2,1/($E$3:INDIRECT("E"&amp;(ROW()-1))=$E37),$M$3:INDIRECT("M"&amp;(ROW()-1))),VENT_Plan!$M37))))</f>
        <v>46160.775132275114</v>
      </c>
      <c r="K37" s="10">
        <f>IF($A37="","",IFERROR(VLOOKUP(B37,CHOOSE(MATCH(C37,Settings!$L$4:$L$10,0),OPR_2P!$A$4:$I$18,SEG_6P!$A$4:$I$18,SOL_4P!$A$4:$I$18,RW_2P!$A$4:$I$18,RW2_4P!$A$4:$I$18,FLAP_4P!$A$4:$I$18,TUBE_4P!$A$4:$I$18),7,0),0))</f>
        <v>14</v>
      </c>
      <c r="L37" s="10">
        <f t="shared" si="0"/>
        <v>28</v>
      </c>
      <c r="M37" s="55">
        <f ca="1">IF($A37="","",IF(AND(ISNUMBER(G37),G37&gt;=J37,G37&lt;=(J37+(L37/(IF(F37="Contract Workman",Settings!$K$5,Settings!$K$4))))),J37+(L37/(IF(F37="Contract Workman",Settings!$K$5,Settings!$K$4)))+(H37/(IF(F37="Contract Workman",Settings!$K$5,Settings!$K$4))),J37+(L37/(IF(F37="Contract Workman",Settings!$K$5,Settings!$K$4)))))</f>
        <v>46162.025132275114</v>
      </c>
      <c r="N37" s="10" t="str">
        <f t="shared" ca="1" si="2"/>
        <v>Shift S2</v>
      </c>
      <c r="O37" s="51" t="str">
        <f>IF(B37="","", IF(IFERROR(ISNUMBER(SEARCH(B37, VLOOKUP(E37, Machine_List!$B:$J, 9, 0))), FALSE()), "✅ Machine OK", "❌ Sug: " &amp; IFERROR(INDEX(Machine_List!$B$4:$B$50, MATCH("*"&amp;B37&amp;"*", Machine_List!$J$4:$J$50, 0)), "Check Limits")))</f>
        <v>✅ Machine OK</v>
      </c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2"/>
      <c r="AN37" s="52"/>
      <c r="AO37" s="52"/>
      <c r="AP37" s="52"/>
      <c r="AQ37" s="52"/>
      <c r="AR37" s="52"/>
      <c r="AS37" s="52"/>
      <c r="AT37" s="52"/>
      <c r="AU37" s="52"/>
      <c r="AV37" s="52"/>
      <c r="AW37" s="52"/>
      <c r="AX37" s="52"/>
      <c r="AY37" s="52"/>
      <c r="AZ37" s="52"/>
      <c r="BA37" s="52"/>
      <c r="BB37" s="52"/>
      <c r="BC37" s="52"/>
      <c r="BD37" s="52"/>
      <c r="BE37" s="52"/>
      <c r="BF37" s="52"/>
      <c r="BG37" s="52"/>
      <c r="BH37" s="52"/>
      <c r="BI37" s="52"/>
      <c r="BJ37" s="52"/>
      <c r="BK37" s="52"/>
      <c r="BL37" s="52"/>
      <c r="BM37" s="52"/>
    </row>
    <row r="38" spans="1:65" ht="28.8" customHeight="1" x14ac:dyDescent="0.3">
      <c r="A38" s="10" t="str">
        <f>IF(Job_Master!A38="","",Job_Master!A38)</f>
        <v>BJ-135</v>
      </c>
      <c r="B38" s="10">
        <f>IF($A38="","",Job_Master!B38)</f>
        <v>28</v>
      </c>
      <c r="C38" s="10" t="str">
        <f>IF($A38="","",Job_Master!C38)</f>
        <v>2P</v>
      </c>
      <c r="D38" s="10">
        <f>IF($A38="","",Job_Master!D38)</f>
        <v>2</v>
      </c>
      <c r="E38" s="48" t="str">
        <f>IF($A38="","","FID-MC-05")</f>
        <v>FID-MC-05</v>
      </c>
      <c r="F38" s="106" t="str">
        <f>IF($E38="","",IFERROR(VLOOKUP($E38,Machine_List!$B:$G,6,0),""))</f>
        <v>Contract Workman</v>
      </c>
      <c r="G38" s="53">
        <f>IF($E38="","",IFERROR(VLOOKUP($E38,Machine_List!$B:$C,2,0),""))</f>
        <v>46431</v>
      </c>
      <c r="H38" s="10">
        <f>IF($E38="","",IFERROR(VLOOKUP($E38,Machine_List!$B:$D,3,0),""))</f>
        <v>6</v>
      </c>
      <c r="I38" s="54"/>
      <c r="J38" s="55">
        <f ca="1">IF($A38="","",IF($I38&lt;&gt;"",$I38,MAX(VENT_Plan!$M38,IFERROR(LOOKUP(2,1/($E$3:INDIRECT("E"&amp;(ROW()-1))=$E38),$M$3:INDIRECT("M"&amp;(ROW()-1))),VENT_Plan!$M38))))</f>
        <v>46170.222883597875</v>
      </c>
      <c r="K38" s="10">
        <f>IF($A38="","",IFERROR(VLOOKUP(B38,CHOOSE(MATCH(C38,Settings!$L$4:$L$10,0),OPR_2P!$A$4:$I$18,SEG_6P!$A$4:$I$18,SOL_4P!$A$4:$I$18,RW_2P!$A$4:$I$18,RW2_4P!$A$4:$I$18,FLAP_4P!$A$4:$I$18,TUBE_4P!$A$4:$I$18),7,0),0))</f>
        <v>32</v>
      </c>
      <c r="L38" s="10">
        <f t="shared" si="0"/>
        <v>64</v>
      </c>
      <c r="M38" s="55">
        <f ca="1">IF($A38="","",IF(AND(ISNUMBER(G38),G38&gt;=J38,G38&lt;=(J38+(L38/(IF(F38="Contract Workman",Settings!$K$5,Settings!$K$4))))),J38+(L38/(IF(F38="Contract Workman",Settings!$K$5,Settings!$K$4)))+(H38/(IF(F38="Contract Workman",Settings!$K$5,Settings!$K$4))),J38+(L38/(IF(F38="Contract Workman",Settings!$K$5,Settings!$K$4)))))</f>
        <v>46173.08002645502</v>
      </c>
      <c r="N38" s="10" t="str">
        <f t="shared" ca="1" si="2"/>
        <v>Shift S2</v>
      </c>
      <c r="O38" s="51" t="str">
        <f>IF(B38="","", IF(IFERROR(ISNUMBER(SEARCH(B38, VLOOKUP(E38, Machine_List!$B:$J, 9, 0))), FALSE()), "✅ Machine OK", "❌ Sug: " &amp; IFERROR(INDEX(Machine_List!$B$4:$B$50, MATCH("*"&amp;B38&amp;"*", Machine_List!$J$4:$J$50, 0)), "Check Limits")))</f>
        <v>✅ Machine OK</v>
      </c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2"/>
      <c r="AN38" s="52"/>
      <c r="AO38" s="52"/>
      <c r="AP38" s="52"/>
      <c r="AQ38" s="52"/>
      <c r="AR38" s="52"/>
      <c r="AS38" s="52"/>
      <c r="AT38" s="52"/>
      <c r="AU38" s="52"/>
      <c r="AV38" s="52"/>
      <c r="AW38" s="52"/>
      <c r="AX38" s="52"/>
      <c r="AY38" s="52"/>
      <c r="AZ38" s="52"/>
      <c r="BA38" s="52"/>
      <c r="BB38" s="52"/>
      <c r="BC38" s="52"/>
      <c r="BD38" s="52"/>
      <c r="BE38" s="52"/>
      <c r="BF38" s="52"/>
      <c r="BG38" s="52"/>
      <c r="BH38" s="52"/>
      <c r="BI38" s="52"/>
      <c r="BJ38" s="52"/>
      <c r="BK38" s="52"/>
      <c r="BL38" s="52"/>
      <c r="BM38" s="52"/>
    </row>
    <row r="39" spans="1:65" ht="28.8" customHeight="1" x14ac:dyDescent="0.3">
      <c r="A39" s="10" t="str">
        <f>IF(Job_Master!A39="","",Job_Master!A39)</f>
        <v>BJ-132</v>
      </c>
      <c r="B39" s="10">
        <f>IF($A39="","",Job_Master!B39)</f>
        <v>57</v>
      </c>
      <c r="C39" s="10" t="str">
        <f>IF($A39="","",Job_Master!C39)</f>
        <v>SOL</v>
      </c>
      <c r="D39" s="10">
        <f>IF($A39="","",Job_Master!D39)</f>
        <v>4</v>
      </c>
      <c r="E39" s="48" t="str">
        <f>IF($A39="","","FID-MC-01")</f>
        <v>FID-MC-01</v>
      </c>
      <c r="F39" s="106" t="str">
        <f>IF($E39="","",IFERROR(VLOOKUP($E39,Machine_List!$B:$G,6,0),""))</f>
        <v>Contract Workman</v>
      </c>
      <c r="G39" s="53">
        <f>IF($E39="","",IFERROR(VLOOKUP($E39,Machine_List!$B:$C,2,0),""))</f>
        <v>46106</v>
      </c>
      <c r="H39" s="10">
        <f>IF($E39="","",IFERROR(VLOOKUP($E39,Machine_List!$B:$D,3,0),""))</f>
        <v>6</v>
      </c>
      <c r="I39" s="54"/>
      <c r="J39" s="55">
        <f ca="1">IF($A39="","",IF($I39&lt;&gt;"",$I39,MAX(VENT_Plan!$M39,IFERROR(LOOKUP(2,1/($E$3:INDIRECT("E"&amp;(ROW()-1))=$E39),$M$3:INDIRECT("M"&amp;(ROW()-1))),VENT_Plan!$M39))))</f>
        <v>46251.413359788348</v>
      </c>
      <c r="K39" s="10">
        <f>IF($A39="","",IFERROR(VLOOKUP(B39,CHOOSE(MATCH(C39,Settings!$L$4:$L$10,0),OPR_2P!$A$4:$I$18,SEG_6P!$A$4:$I$18,SOL_4P!$A$4:$I$18,RW_2P!$A$4:$I$18,RW2_4P!$A$4:$I$18,FLAP_4P!$A$4:$I$18,TUBE_4P!$A$4:$I$18),7,0),0))</f>
        <v>54</v>
      </c>
      <c r="L39" s="10">
        <f t="shared" si="0"/>
        <v>216</v>
      </c>
      <c r="M39" s="55">
        <f ca="1">IF($A39="","",IF(AND(ISNUMBER(G39),G39&gt;=J39,G39&lt;=(J39+(L39/(IF(F39="Contract Workman",Settings!$K$5,Settings!$K$4))))),J39+(L39/(IF(F39="Contract Workman",Settings!$K$5,Settings!$K$4)))+(H39/(IF(F39="Contract Workman",Settings!$K$5,Settings!$K$4))),J39+(L39/(IF(F39="Contract Workman",Settings!$K$5,Settings!$K$4)))))</f>
        <v>46261.056216931203</v>
      </c>
      <c r="N39" s="10" t="str">
        <f t="shared" ca="1" si="2"/>
        <v>Shift S2</v>
      </c>
      <c r="O39" s="51" t="str">
        <f>IF(B39="","", IF(IFERROR(ISNUMBER(SEARCH(B39, VLOOKUP(E39, Machine_List!$B:$J, 9, 0))), FALSE()), "✅ Machine OK", "❌ Sug: " &amp; IFERROR(INDEX(Machine_List!$B$4:$B$50, MATCH("*"&amp;B39&amp;"*", Machine_List!$J$4:$J$50, 0)), "Check Limits")))</f>
        <v>✅ Machine OK</v>
      </c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2"/>
      <c r="AN39" s="52"/>
      <c r="AO39" s="52"/>
      <c r="AP39" s="52"/>
      <c r="AQ39" s="52"/>
      <c r="AR39" s="52"/>
      <c r="AS39" s="52"/>
      <c r="AT39" s="52"/>
      <c r="AU39" s="52"/>
      <c r="AV39" s="52"/>
      <c r="AW39" s="52"/>
      <c r="AX39" s="52"/>
      <c r="AY39" s="52"/>
      <c r="AZ39" s="52"/>
      <c r="BA39" s="52"/>
      <c r="BB39" s="52"/>
      <c r="BC39" s="52"/>
      <c r="BD39" s="52"/>
      <c r="BE39" s="52"/>
      <c r="BF39" s="52"/>
      <c r="BG39" s="52"/>
      <c r="BH39" s="52"/>
      <c r="BI39" s="52"/>
      <c r="BJ39" s="52"/>
      <c r="BK39" s="52"/>
      <c r="BL39" s="52"/>
      <c r="BM39" s="52"/>
    </row>
    <row r="40" spans="1:65" ht="28.8" customHeight="1" x14ac:dyDescent="0.3">
      <c r="A40" s="10" t="str">
        <f>IF(Job_Master!A40="","",Job_Master!A40)</f>
        <v>BJ-136</v>
      </c>
      <c r="B40" s="10">
        <f>IF($A40="","",Job_Master!B40)</f>
        <v>20</v>
      </c>
      <c r="C40" s="10" t="str">
        <f>IF($A40="","",Job_Master!C40)</f>
        <v>RW</v>
      </c>
      <c r="D40" s="10">
        <f>IF($A40="","",Job_Master!D40)</f>
        <v>2</v>
      </c>
      <c r="E40" s="48" t="str">
        <f>IF($A40="","","FID-MC-06")</f>
        <v>FID-MC-06</v>
      </c>
      <c r="F40" s="106" t="str">
        <f>IF($E40="","",IFERROR(VLOOKUP($E40,Machine_List!$B:$G,6,0),""))</f>
        <v>Contract Workman</v>
      </c>
      <c r="G40" s="53">
        <f>IF($E40="","",IFERROR(VLOOKUP($E40,Machine_List!$B:$C,2,0),""))</f>
        <v>46088</v>
      </c>
      <c r="H40" s="10">
        <f>IF($E40="","",IFERROR(VLOOKUP($E40,Machine_List!$B:$D,3,0),""))</f>
        <v>6</v>
      </c>
      <c r="I40" s="54"/>
      <c r="J40" s="55">
        <f ca="1">IF($A40="","",IF($I40&lt;&gt;"",$I40,MAX(VENT_Plan!$M40,IFERROR(LOOKUP(2,1/($E$3:INDIRECT("E"&amp;(ROW()-1))=$E40),$M$3:INDIRECT("M"&amp;(ROW()-1))),VENT_Plan!$M40))))</f>
        <v>46168.820767195757</v>
      </c>
      <c r="K40" s="10">
        <f>IF($A40="","",IFERROR(VLOOKUP(B40,CHOOSE(MATCH(C40,Settings!$L$4:$L$10,0),OPR_2P!$A$4:$I$18,SEG_6P!$A$4:$I$18,SOL_4P!$A$4:$I$18,RW_2P!$A$4:$I$18,RW2_4P!$A$4:$I$18,FLAP_4P!$A$4:$I$18,TUBE_4P!$A$4:$I$18),7,0),0))</f>
        <v>15</v>
      </c>
      <c r="L40" s="10">
        <f t="shared" si="0"/>
        <v>30</v>
      </c>
      <c r="M40" s="55">
        <f ca="1">IF($A40="","",IF(AND(ISNUMBER(G40),G40&gt;=J40,G40&lt;=(J40+(L40/(IF(F40="Contract Workman",Settings!$K$5,Settings!$K$4))))),J40+(L40/(IF(F40="Contract Workman",Settings!$K$5,Settings!$K$4)))+(H40/(IF(F40="Contract Workman",Settings!$K$5,Settings!$K$4))),J40+(L40/(IF(F40="Contract Workman",Settings!$K$5,Settings!$K$4)))))</f>
        <v>46170.16005291004</v>
      </c>
      <c r="N40" s="10" t="str">
        <f t="shared" ca="1" si="2"/>
        <v>Shift S2</v>
      </c>
      <c r="O40" s="51" t="str">
        <f>IF(B40="","", IF(IFERROR(ISNUMBER(SEARCH(B40, VLOOKUP(E40, Machine_List!$B:$J, 9, 0))), FALSE()), "✅ Machine OK", "❌ Sug: " &amp; IFERROR(INDEX(Machine_List!$B$4:$B$50, MATCH("*"&amp;B40&amp;"*", Machine_List!$J$4:$J$50, 0)), "Check Limits")))</f>
        <v>✅ Machine OK</v>
      </c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2"/>
      <c r="AN40" s="52"/>
      <c r="AO40" s="52"/>
      <c r="AP40" s="52"/>
      <c r="AQ40" s="52"/>
      <c r="AR40" s="52"/>
      <c r="AS40" s="52"/>
      <c r="AT40" s="52"/>
      <c r="AU40" s="52"/>
      <c r="AV40" s="52"/>
      <c r="AW40" s="52"/>
      <c r="AX40" s="52"/>
      <c r="AY40" s="52"/>
      <c r="AZ40" s="52"/>
      <c r="BA40" s="52"/>
      <c r="BB40" s="52"/>
      <c r="BC40" s="52"/>
      <c r="BD40" s="52"/>
      <c r="BE40" s="52"/>
      <c r="BF40" s="52"/>
      <c r="BG40" s="52"/>
      <c r="BH40" s="52"/>
      <c r="BI40" s="52"/>
      <c r="BJ40" s="52"/>
      <c r="BK40" s="52"/>
      <c r="BL40" s="52"/>
      <c r="BM40" s="52"/>
    </row>
    <row r="41" spans="1:65" ht="28.8" customHeight="1" x14ac:dyDescent="0.3">
      <c r="A41" s="10" t="str">
        <f>IF(Job_Master!A41="","",Job_Master!A41)</f>
        <v>BJ-137</v>
      </c>
      <c r="B41" s="10">
        <f>IF($A41="","",Job_Master!B41)</f>
        <v>34</v>
      </c>
      <c r="C41" s="10" t="str">
        <f>IF($A41="","",Job_Master!C41)</f>
        <v>RW</v>
      </c>
      <c r="D41" s="10">
        <f>IF($A41="","",Job_Master!D41)</f>
        <v>2</v>
      </c>
      <c r="E41" s="48" t="str">
        <f>IF($A41="","","FID-MC-05")</f>
        <v>FID-MC-05</v>
      </c>
      <c r="F41" s="106" t="str">
        <f>IF($E41="","",IFERROR(VLOOKUP($E41,Machine_List!$B:$G,6,0),""))</f>
        <v>Contract Workman</v>
      </c>
      <c r="G41" s="53">
        <f>IF($E41="","",IFERROR(VLOOKUP($E41,Machine_List!$B:$C,2,0),""))</f>
        <v>46431</v>
      </c>
      <c r="H41" s="10">
        <f>IF($E41="","",IFERROR(VLOOKUP($E41,Machine_List!$B:$D,3,0),""))</f>
        <v>6</v>
      </c>
      <c r="I41" s="54"/>
      <c r="J41" s="55">
        <f ca="1">IF($A41="","",IF($I41&lt;&gt;"",$I41,MAX(VENT_Plan!$M41,IFERROR(LOOKUP(2,1/($E$3:INDIRECT("E"&amp;(ROW()-1))=$E41),$M$3:INDIRECT("M"&amp;(ROW()-1))),VENT_Plan!$M41))))</f>
        <v>46177.815476190473</v>
      </c>
      <c r="K41" s="10">
        <f>IF($A41="","",IFERROR(VLOOKUP(B41,CHOOSE(MATCH(C41,Settings!$L$4:$L$10,0),OPR_2P!$A$4:$I$18,SEG_6P!$A$4:$I$18,SOL_4P!$A$4:$I$18,RW_2P!$A$4:$I$18,RW2_4P!$A$4:$I$18,FLAP_4P!$A$4:$I$18,TUBE_4P!$A$4:$I$18),7,0),0))</f>
        <v>37</v>
      </c>
      <c r="L41" s="10">
        <f t="shared" si="0"/>
        <v>74</v>
      </c>
      <c r="M41" s="55">
        <f ca="1">IF($A41="","",IF(AND(ISNUMBER(G41),G41&gt;=J41,G41&lt;=(J41+(L41/(IF(F41="Contract Workman",Settings!$K$5,Settings!$K$4))))),J41+(L41/(IF(F41="Contract Workman",Settings!$K$5,Settings!$K$4)))+(H41/(IF(F41="Contract Workman",Settings!$K$5,Settings!$K$4))),J41+(L41/(IF(F41="Contract Workman",Settings!$K$5,Settings!$K$4)))))</f>
        <v>46181.119047619046</v>
      </c>
      <c r="N41" s="10" t="str">
        <f t="shared" ca="1" si="2"/>
        <v>Shift S2</v>
      </c>
      <c r="O41" s="51" t="str">
        <f>IF(B41="","", IF(IFERROR(ISNUMBER(SEARCH(B41, VLOOKUP(E41, Machine_List!$B:$J, 9, 0))), FALSE()), "✅ Machine OK", "❌ Sug: " &amp; IFERROR(INDEX(Machine_List!$B$4:$B$50, MATCH("*"&amp;B41&amp;"*", Machine_List!$J$4:$J$50, 0)), "Check Limits")))</f>
        <v>✅ Machine OK</v>
      </c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2"/>
      <c r="AN41" s="52"/>
      <c r="AO41" s="52"/>
      <c r="AP41" s="52"/>
      <c r="AQ41" s="52"/>
      <c r="AR41" s="52"/>
      <c r="AS41" s="52"/>
      <c r="AT41" s="52"/>
      <c r="AU41" s="52"/>
      <c r="AV41" s="52"/>
      <c r="AW41" s="52"/>
      <c r="AX41" s="52"/>
      <c r="AY41" s="52"/>
      <c r="AZ41" s="52"/>
      <c r="BA41" s="52"/>
      <c r="BB41" s="52"/>
      <c r="BC41" s="52"/>
      <c r="BD41" s="52"/>
      <c r="BE41" s="52"/>
      <c r="BF41" s="52"/>
      <c r="BG41" s="52"/>
      <c r="BH41" s="52"/>
      <c r="BI41" s="52"/>
      <c r="BJ41" s="52"/>
      <c r="BK41" s="52"/>
      <c r="BL41" s="52"/>
      <c r="BM41" s="52"/>
    </row>
    <row r="42" spans="1:65" ht="28.8" customHeight="1" x14ac:dyDescent="0.3">
      <c r="A42" s="10" t="str">
        <f>IF(Job_Master!A42="","",Job_Master!A42)</f>
        <v>BJ-140</v>
      </c>
      <c r="B42" s="10">
        <f>IF($A42="","",Job_Master!B42)</f>
        <v>54</v>
      </c>
      <c r="C42" s="10" t="str">
        <f>IF($A42="","",Job_Master!C42)</f>
        <v>RW</v>
      </c>
      <c r="D42" s="10">
        <f>IF($A42="","",Job_Master!D42)</f>
        <v>2</v>
      </c>
      <c r="E42" s="48" t="str">
        <f>IF($A42="","","FID-MC-04")</f>
        <v>FID-MC-04</v>
      </c>
      <c r="F42" s="106" t="str">
        <f>IF($E42="","",IFERROR(VLOOKUP($E42,Machine_List!$B:$G,6,0),""))</f>
        <v>Contract Workman</v>
      </c>
      <c r="G42" s="53">
        <f>IF($E42="","",IFERROR(VLOOKUP($E42,Machine_List!$B:$C,2,0),""))</f>
        <v>46318</v>
      </c>
      <c r="H42" s="10">
        <f>IF($E42="","",IFERROR(VLOOKUP($E42,Machine_List!$B:$D,3,0),""))</f>
        <v>6</v>
      </c>
      <c r="I42" s="54"/>
      <c r="J42" s="55">
        <f ca="1">IF($A42="","",IF($I42&lt;&gt;"",$I42,MAX(VENT_Plan!$M42,IFERROR(LOOKUP(2,1/($E$3:INDIRECT("E"&amp;(ROW()-1))=$E42),$M$3:INDIRECT("M"&amp;(ROW()-1))),VENT_Plan!$M42))))</f>
        <v>46195.785052910061</v>
      </c>
      <c r="K42" s="10">
        <f>IF($A42="","",IFERROR(VLOOKUP(B42,CHOOSE(MATCH(C42,Settings!$L$4:$L$10,0),OPR_2P!$A$4:$I$18,SEG_6P!$A$4:$I$18,SOL_4P!$A$4:$I$18,RW_2P!$A$4:$I$18,RW2_4P!$A$4:$I$18,FLAP_4P!$A$4:$I$18,TUBE_4P!$A$4:$I$18),7,0),0))</f>
        <v>54</v>
      </c>
      <c r="L42" s="10">
        <f t="shared" si="0"/>
        <v>108</v>
      </c>
      <c r="M42" s="55">
        <f ca="1">IF($A42="","",IF(AND(ISNUMBER(G42),G42&gt;=J42,G42&lt;=(J42+(L42/(IF(F42="Contract Workman",Settings!$K$5,Settings!$K$4))))),J42+(L42/(IF(F42="Contract Workman",Settings!$K$5,Settings!$K$4)))+(H42/(IF(F42="Contract Workman",Settings!$K$5,Settings!$K$4))),J42+(L42/(IF(F42="Contract Workman",Settings!$K$5,Settings!$K$4)))))</f>
        <v>46200.606481481489</v>
      </c>
      <c r="N42" s="10" t="str">
        <f t="shared" ca="1" si="2"/>
        <v>Shift S1</v>
      </c>
      <c r="O42" s="51" t="str">
        <f>IF(B42="","", IF(IFERROR(ISNUMBER(SEARCH(B42, VLOOKUP(E42, Machine_List!$B:$J, 9, 0))), FALSE()), "✅ Machine OK", "❌ Sug: " &amp; IFERROR(INDEX(Machine_List!$B$4:$B$50, MATCH("*"&amp;B42&amp;"*", Machine_List!$J$4:$J$50, 0)), "Check Limits")))</f>
        <v>✅ Machine OK</v>
      </c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2"/>
      <c r="AN42" s="52"/>
      <c r="AO42" s="52"/>
      <c r="AP42" s="52"/>
      <c r="AQ42" s="52"/>
      <c r="AR42" s="52"/>
      <c r="AS42" s="52"/>
      <c r="AT42" s="52"/>
      <c r="AU42" s="52"/>
      <c r="AV42" s="52"/>
      <c r="AW42" s="52"/>
      <c r="AX42" s="52"/>
      <c r="AY42" s="52"/>
      <c r="AZ42" s="52"/>
      <c r="BA42" s="52"/>
      <c r="BB42" s="52"/>
      <c r="BC42" s="52"/>
      <c r="BD42" s="52"/>
      <c r="BE42" s="52"/>
      <c r="BF42" s="52"/>
      <c r="BG42" s="52"/>
      <c r="BH42" s="52"/>
      <c r="BI42" s="52"/>
      <c r="BJ42" s="52"/>
      <c r="BK42" s="52"/>
      <c r="BL42" s="52"/>
      <c r="BM42" s="52"/>
    </row>
    <row r="43" spans="1:65" ht="28.8" customHeight="1" x14ac:dyDescent="0.3">
      <c r="A43" s="10" t="str">
        <f>IF(Job_Master!A43="","",Job_Master!A43)</f>
        <v>BJ-138</v>
      </c>
      <c r="B43" s="10">
        <f>IF($A43="","",Job_Master!B43)</f>
        <v>9</v>
      </c>
      <c r="C43" s="10" t="str">
        <f>IF($A43="","",Job_Master!C43)</f>
        <v>RW</v>
      </c>
      <c r="D43" s="10">
        <f>IF($A43="","",Job_Master!D43)</f>
        <v>2</v>
      </c>
      <c r="E43" s="48" t="str">
        <f>IF($A43="","","FID-MC-07")</f>
        <v>FID-MC-07</v>
      </c>
      <c r="F43" s="106" t="str">
        <f>IF($E43="","",IFERROR(VLOOKUP($E43,Machine_List!$B:$G,6,0),""))</f>
        <v>Contract Workman</v>
      </c>
      <c r="G43" s="53">
        <f>IF($E43="","",IFERROR(VLOOKUP($E43,Machine_List!$B:$C,2,0),""))</f>
        <v>46402</v>
      </c>
      <c r="H43" s="10">
        <f>IF($E43="","",IFERROR(VLOOKUP($E43,Machine_List!$B:$D,3,0),""))</f>
        <v>6</v>
      </c>
      <c r="I43" s="54"/>
      <c r="J43" s="55">
        <f ca="1">IF($A43="","",IF($I43&lt;&gt;"",$I43,MAX(VENT_Plan!$M43,IFERROR(LOOKUP(2,1/($E$3:INDIRECT("E"&amp;(ROW()-1))=$E43),$M$3:INDIRECT("M"&amp;(ROW()-1))),VENT_Plan!$M43))))</f>
        <v>46168.099867724857</v>
      </c>
      <c r="K43" s="10">
        <f>IF($A43="","",IFERROR(VLOOKUP(B43,CHOOSE(MATCH(C43,Settings!$L$4:$L$10,0),OPR_2P!$A$4:$I$18,SEG_6P!$A$4:$I$18,SOL_4P!$A$4:$I$18,RW_2P!$A$4:$I$18,RW2_4P!$A$4:$I$18,FLAP_4P!$A$4:$I$18,TUBE_4P!$A$4:$I$18),7,0),0))</f>
        <v>6</v>
      </c>
      <c r="L43" s="10">
        <f t="shared" si="0"/>
        <v>12</v>
      </c>
      <c r="M43" s="55">
        <f ca="1">IF($A43="","",IF(AND(ISNUMBER(G43),G43&gt;=J43,G43&lt;=(J43+(L43/(IF(F43="Contract Workman",Settings!$K$5,Settings!$K$4))))),J43+(L43/(IF(F43="Contract Workman",Settings!$K$5,Settings!$K$4)))+(H43/(IF(F43="Contract Workman",Settings!$K$5,Settings!$K$4))),J43+(L43/(IF(F43="Contract Workman",Settings!$K$5,Settings!$K$4)))))</f>
        <v>46168.635582010575</v>
      </c>
      <c r="N43" s="10" t="str">
        <f t="shared" ca="1" si="2"/>
        <v>Shift S1</v>
      </c>
      <c r="O43" s="51" t="str">
        <f>IF(B43="","", IF(IFERROR(ISNUMBER(SEARCH(B43, VLOOKUP(E43, Machine_List!$B:$J, 9, 0))), FALSE()), "✅ Machine OK", "❌ Sug: " &amp; IFERROR(INDEX(Machine_List!$B$4:$B$50, MATCH("*"&amp;B43&amp;"*", Machine_List!$J$4:$J$50, 0)), "Check Limits")))</f>
        <v>✅ Machine OK</v>
      </c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52"/>
      <c r="AN43" s="52"/>
      <c r="AO43" s="52"/>
      <c r="AP43" s="52"/>
      <c r="AQ43" s="52"/>
      <c r="AR43" s="52"/>
      <c r="AS43" s="52"/>
      <c r="AT43" s="52"/>
      <c r="AU43" s="52"/>
      <c r="AV43" s="52"/>
      <c r="AW43" s="52"/>
      <c r="AX43" s="52"/>
      <c r="AY43" s="52"/>
      <c r="AZ43" s="52"/>
      <c r="BA43" s="52"/>
      <c r="BB43" s="52"/>
      <c r="BC43" s="52"/>
      <c r="BD43" s="52"/>
      <c r="BE43" s="52"/>
      <c r="BF43" s="52"/>
      <c r="BG43" s="52"/>
      <c r="BH43" s="52"/>
      <c r="BI43" s="52"/>
      <c r="BJ43" s="52"/>
      <c r="BK43" s="52"/>
      <c r="BL43" s="52"/>
      <c r="BM43" s="52"/>
    </row>
    <row r="44" spans="1:65" ht="28.8" customHeight="1" x14ac:dyDescent="0.3">
      <c r="A44" s="10" t="str">
        <f>IF(Job_Master!A44="","",Job_Master!A44)</f>
        <v>BJ-144</v>
      </c>
      <c r="B44" s="10">
        <f>IF($A44="","",Job_Master!B44)</f>
        <v>63</v>
      </c>
      <c r="C44" s="10" t="str">
        <f>IF($A44="","",Job_Master!C44)</f>
        <v>RW</v>
      </c>
      <c r="D44" s="10">
        <f>IF($A44="","",Job_Master!D44)</f>
        <v>2</v>
      </c>
      <c r="E44" s="48" t="str">
        <f>IF($A44="","","FID-MC-03")</f>
        <v>FID-MC-03</v>
      </c>
      <c r="F44" s="106" t="str">
        <f>IF($E44="","",IFERROR(VLOOKUP($E44,Machine_List!$B:$G,6,0),""))</f>
        <v>Contract Workman</v>
      </c>
      <c r="G44" s="53">
        <f>IF($E44="","",IFERROR(VLOOKUP($E44,Machine_List!$B:$C,2,0),""))</f>
        <v>46483</v>
      </c>
      <c r="H44" s="10">
        <f>IF($E44="","",IFERROR(VLOOKUP($E44,Machine_List!$B:$D,3,0),""))</f>
        <v>6</v>
      </c>
      <c r="I44" s="54"/>
      <c r="J44" s="55">
        <f ca="1">IF($A44="","",IF($I44&lt;&gt;"",$I44,MAX(VENT_Plan!$M44,IFERROR(LOOKUP(2,1/($E$3:INDIRECT("E"&amp;(ROW()-1))=$E44),$M$3:INDIRECT("M"&amp;(ROW()-1))),VENT_Plan!$M44))))</f>
        <v>46227.534391534384</v>
      </c>
      <c r="K44" s="10">
        <f>IF($A44="","",IFERROR(VLOOKUP(B44,CHOOSE(MATCH(C44,Settings!$L$4:$L$10,0),OPR_2P!$A$4:$I$18,SEG_6P!$A$4:$I$18,SOL_4P!$A$4:$I$18,RW_2P!$A$4:$I$18,RW2_4P!$A$4:$I$18,FLAP_4P!$A$4:$I$18,TUBE_4P!$A$4:$I$18),7,0),0))</f>
        <v>76</v>
      </c>
      <c r="L44" s="10">
        <f t="shared" si="0"/>
        <v>152</v>
      </c>
      <c r="M44" s="55">
        <f ca="1">IF($A44="","",IF(AND(ISNUMBER(G44),G44&gt;=J44,G44&lt;=(J44+(L44/(IF(F44="Contract Workman",Settings!$K$5,Settings!$K$4))))),J44+(L44/(IF(F44="Contract Workman",Settings!$K$5,Settings!$K$4)))+(H44/(IF(F44="Contract Workman",Settings!$K$5,Settings!$K$4))),J44+(L44/(IF(F44="Contract Workman",Settings!$K$5,Settings!$K$4)))))</f>
        <v>46234.320105820101</v>
      </c>
      <c r="N44" s="10" t="str">
        <f t="shared" ca="1" si="2"/>
        <v>Shift S2</v>
      </c>
      <c r="O44" s="51" t="str">
        <f>IF(B44="","", IF(IFERROR(ISNUMBER(SEARCH(B44, VLOOKUP(E44, Machine_List!$B:$J, 9, 0))), FALSE()), "✅ Machine OK", "❌ Sug: " &amp; IFERROR(INDEX(Machine_List!$B$4:$B$50, MATCH("*"&amp;B44&amp;"*", Machine_List!$J$4:$J$50, 0)), "Check Limits")))</f>
        <v>✅ Machine OK</v>
      </c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2"/>
      <c r="AN44" s="52"/>
      <c r="AO44" s="52"/>
      <c r="AP44" s="52"/>
      <c r="AQ44" s="52"/>
      <c r="AR44" s="52"/>
      <c r="AS44" s="52"/>
      <c r="AT44" s="52"/>
      <c r="AU44" s="52"/>
      <c r="AV44" s="52"/>
      <c r="AW44" s="52"/>
      <c r="AX44" s="52"/>
      <c r="AY44" s="52"/>
      <c r="AZ44" s="52"/>
      <c r="BA44" s="52"/>
      <c r="BB44" s="52"/>
      <c r="BC44" s="52"/>
      <c r="BD44" s="52"/>
      <c r="BE44" s="52"/>
      <c r="BF44" s="52"/>
      <c r="BG44" s="52"/>
      <c r="BH44" s="52"/>
      <c r="BI44" s="52"/>
      <c r="BJ44" s="52"/>
      <c r="BK44" s="52"/>
      <c r="BL44" s="52"/>
      <c r="BM44" s="52"/>
    </row>
    <row r="45" spans="1:65" ht="28.8" customHeight="1" x14ac:dyDescent="0.3">
      <c r="A45" s="10" t="str">
        <f>IF(Job_Master!A45="","",Job_Master!A45)</f>
        <v>BJ-146</v>
      </c>
      <c r="B45" s="10">
        <f>IF($A45="","",Job_Master!B45)</f>
        <v>20</v>
      </c>
      <c r="C45" s="10" t="str">
        <f>IF($A45="","",Job_Master!C45)</f>
        <v>RW</v>
      </c>
      <c r="D45" s="10">
        <f>IF($A45="","",Job_Master!D45)</f>
        <v>2</v>
      </c>
      <c r="E45" s="48" t="str">
        <f>IF($A45="","","FID-MC-06")</f>
        <v>FID-MC-06</v>
      </c>
      <c r="F45" s="106" t="str">
        <f>IF($E45="","",IFERROR(VLOOKUP($E45,Machine_List!$B:$G,6,0),""))</f>
        <v>Contract Workman</v>
      </c>
      <c r="G45" s="53">
        <f>IF($E45="","",IFERROR(VLOOKUP($E45,Machine_List!$B:$C,2,0),""))</f>
        <v>46088</v>
      </c>
      <c r="H45" s="10">
        <f>IF($E45="","",IFERROR(VLOOKUP($E45,Machine_List!$B:$D,3,0),""))</f>
        <v>6</v>
      </c>
      <c r="I45" s="54"/>
      <c r="J45" s="55">
        <f ca="1">IF($A45="","",IF($I45&lt;&gt;"",$I45,MAX(VENT_Plan!$M45,IFERROR(LOOKUP(2,1/($E$3:INDIRECT("E"&amp;(ROW()-1))=$E45),$M$3:INDIRECT("M"&amp;(ROW()-1))),VENT_Plan!$M45))))</f>
        <v>46172.567460317448</v>
      </c>
      <c r="K45" s="10">
        <f>IF($A45="","",IFERROR(VLOOKUP(B45,CHOOSE(MATCH(C45,Settings!$L$4:$L$10,0),OPR_2P!$A$4:$I$18,SEG_6P!$A$4:$I$18,SOL_4P!$A$4:$I$18,RW_2P!$A$4:$I$18,RW2_4P!$A$4:$I$18,FLAP_4P!$A$4:$I$18,TUBE_4P!$A$4:$I$18),7,0),0))</f>
        <v>15</v>
      </c>
      <c r="L45" s="10">
        <f t="shared" si="0"/>
        <v>30</v>
      </c>
      <c r="M45" s="55">
        <f ca="1">IF($A45="","",IF(AND(ISNUMBER(G45),G45&gt;=J45,G45&lt;=(J45+(L45/(IF(F45="Contract Workman",Settings!$K$5,Settings!$K$4))))),J45+(L45/(IF(F45="Contract Workman",Settings!$K$5,Settings!$K$4)))+(H45/(IF(F45="Contract Workman",Settings!$K$5,Settings!$K$4))),J45+(L45/(IF(F45="Contract Workman",Settings!$K$5,Settings!$K$4)))))</f>
        <v>46173.906746031731</v>
      </c>
      <c r="N45" s="10" t="str">
        <f t="shared" ca="1" si="2"/>
        <v>Shift S2</v>
      </c>
      <c r="O45" s="51" t="str">
        <f>IF(B45="","", IF(IFERROR(ISNUMBER(SEARCH(B45, VLOOKUP(E45, Machine_List!$B:$J, 9, 0))), FALSE()), "✅ Machine OK", "❌ Sug: " &amp; IFERROR(INDEX(Machine_List!$B$4:$B$50, MATCH("*"&amp;B45&amp;"*", Machine_List!$J$4:$J$50, 0)), "Check Limits")))</f>
        <v>✅ Machine OK</v>
      </c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2"/>
      <c r="AN45" s="52"/>
      <c r="AO45" s="52"/>
      <c r="AP45" s="52"/>
      <c r="AQ45" s="52"/>
      <c r="AR45" s="52"/>
      <c r="AS45" s="52"/>
      <c r="AT45" s="52"/>
      <c r="AU45" s="52"/>
      <c r="AV45" s="52"/>
      <c r="AW45" s="52"/>
      <c r="AX45" s="52"/>
      <c r="AY45" s="52"/>
      <c r="AZ45" s="52"/>
      <c r="BA45" s="52"/>
      <c r="BB45" s="52"/>
      <c r="BC45" s="52"/>
      <c r="BD45" s="52"/>
      <c r="BE45" s="52"/>
      <c r="BF45" s="52"/>
      <c r="BG45" s="52"/>
      <c r="BH45" s="52"/>
      <c r="BI45" s="52"/>
      <c r="BJ45" s="52"/>
      <c r="BK45" s="52"/>
      <c r="BL45" s="52"/>
      <c r="BM45" s="52"/>
    </row>
    <row r="46" spans="1:65" ht="28.8" customHeight="1" x14ac:dyDescent="0.3">
      <c r="A46" s="10" t="str">
        <f>IF(Job_Master!A46="","",Job_Master!A46)</f>
        <v>BJ-139</v>
      </c>
      <c r="B46" s="10">
        <f>IF($A46="","",Job_Master!B46)</f>
        <v>15</v>
      </c>
      <c r="C46" s="10" t="str">
        <f>IF($A46="","",Job_Master!C46)</f>
        <v>RW</v>
      </c>
      <c r="D46" s="10">
        <f>IF($A46="","",Job_Master!D46)</f>
        <v>2</v>
      </c>
      <c r="E46" s="48" t="str">
        <f>IF($A46="","","FID-MC-07")</f>
        <v>FID-MC-07</v>
      </c>
      <c r="F46" s="106" t="str">
        <f>IF($E46="","",IFERROR(VLOOKUP($E46,Machine_List!$B:$G,6,0),""))</f>
        <v>Contract Workman</v>
      </c>
      <c r="G46" s="53">
        <f>IF($E46="","",IFERROR(VLOOKUP($E46,Machine_List!$B:$C,2,0),""))</f>
        <v>46402</v>
      </c>
      <c r="H46" s="10">
        <f>IF($E46="","",IFERROR(VLOOKUP($E46,Machine_List!$B:$D,3,0),""))</f>
        <v>6</v>
      </c>
      <c r="I46" s="54"/>
      <c r="J46" s="55">
        <f ca="1">IF($A46="","",IF($I46&lt;&gt;"",$I46,MAX(VENT_Plan!$M46,IFERROR(LOOKUP(2,1/($E$3:INDIRECT("E"&amp;(ROW()-1))=$E46),$M$3:INDIRECT("M"&amp;(ROW()-1))),VENT_Plan!$M46))))</f>
        <v>46168.724867724857</v>
      </c>
      <c r="K46" s="10">
        <f>IF($A46="","",IFERROR(VLOOKUP(B46,CHOOSE(MATCH(C46,Settings!$L$4:$L$10,0),OPR_2P!$A$4:$I$18,SEG_6P!$A$4:$I$18,SOL_4P!$A$4:$I$18,RW_2P!$A$4:$I$18,RW2_4P!$A$4:$I$18,FLAP_4P!$A$4:$I$18,TUBE_4P!$A$4:$I$18),7,0),0))</f>
        <v>14</v>
      </c>
      <c r="L46" s="10">
        <f t="shared" si="0"/>
        <v>28</v>
      </c>
      <c r="M46" s="55">
        <f ca="1">IF($A46="","",IF(AND(ISNUMBER(G46),G46&gt;=J46,G46&lt;=(J46+(L46/(IF(F46="Contract Workman",Settings!$K$5,Settings!$K$4))))),J46+(L46/(IF(F46="Contract Workman",Settings!$K$5,Settings!$K$4)))+(H46/(IF(F46="Contract Workman",Settings!$K$5,Settings!$K$4))),J46+(L46/(IF(F46="Contract Workman",Settings!$K$5,Settings!$K$4)))))</f>
        <v>46169.974867724857</v>
      </c>
      <c r="N46" s="10" t="str">
        <f t="shared" ca="1" si="2"/>
        <v>Shift S2</v>
      </c>
      <c r="O46" s="51" t="str">
        <f>IF(B46="","", IF(IFERROR(ISNUMBER(SEARCH(B46, VLOOKUP(E46, Machine_List!$B:$J, 9, 0))), FALSE()), "✅ Machine OK", "❌ Sug: " &amp; IFERROR(INDEX(Machine_List!$B$4:$B$50, MATCH("*"&amp;B46&amp;"*", Machine_List!$J$4:$J$50, 0)), "Check Limits")))</f>
        <v>✅ Machine OK</v>
      </c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2"/>
      <c r="AN46" s="52"/>
      <c r="AO46" s="52"/>
      <c r="AP46" s="52"/>
      <c r="AQ46" s="52"/>
      <c r="AR46" s="52"/>
      <c r="AS46" s="52"/>
      <c r="AT46" s="52"/>
      <c r="AU46" s="52"/>
      <c r="AV46" s="52"/>
      <c r="AW46" s="52"/>
      <c r="AX46" s="52"/>
      <c r="AY46" s="52"/>
      <c r="AZ46" s="52"/>
      <c r="BA46" s="52"/>
      <c r="BB46" s="52"/>
      <c r="BC46" s="52"/>
      <c r="BD46" s="52"/>
      <c r="BE46" s="52"/>
      <c r="BF46" s="52"/>
      <c r="BG46" s="52"/>
      <c r="BH46" s="52"/>
      <c r="BI46" s="52"/>
      <c r="BJ46" s="52"/>
      <c r="BK46" s="52"/>
      <c r="BL46" s="52"/>
      <c r="BM46" s="52"/>
    </row>
    <row r="47" spans="1:65" ht="28.8" customHeight="1" x14ac:dyDescent="0.3">
      <c r="A47" s="10" t="str">
        <f>IF(Job_Master!A47="","",Job_Master!A47)</f>
        <v>BJ-141</v>
      </c>
      <c r="B47" s="10">
        <f>IF($A47="","",Job_Master!B47)</f>
        <v>50</v>
      </c>
      <c r="C47" s="10" t="str">
        <f>IF($A47="","",Job_Master!C47)</f>
        <v>SOL</v>
      </c>
      <c r="D47" s="10">
        <f>IF($A47="","",Job_Master!D47)</f>
        <v>4</v>
      </c>
      <c r="E47" s="48" t="str">
        <f>IF($A47="","","FID-MC-01")</f>
        <v>FID-MC-01</v>
      </c>
      <c r="F47" s="106" t="str">
        <f>IF($E47="","",IFERROR(VLOOKUP($E47,Machine_List!$B:$G,6,0),""))</f>
        <v>Contract Workman</v>
      </c>
      <c r="G47" s="53">
        <f>IF($E47="","",IFERROR(VLOOKUP($E47,Machine_List!$B:$C,2,0),""))</f>
        <v>46106</v>
      </c>
      <c r="H47" s="10">
        <f>IF($E47="","",IFERROR(VLOOKUP($E47,Machine_List!$B:$D,3,0),""))</f>
        <v>6</v>
      </c>
      <c r="I47" s="54"/>
      <c r="J47" s="55">
        <f ca="1">IF($A47="","",IF($I47&lt;&gt;"",$I47,MAX(VENT_Plan!$M47,IFERROR(LOOKUP(2,1/($E$3:INDIRECT("E"&amp;(ROW()-1))=$E47),$M$3:INDIRECT("M"&amp;(ROW()-1))),VENT_Plan!$M47))))</f>
        <v>46261.056216931203</v>
      </c>
      <c r="K47" s="10">
        <f>IF($A47="","",IFERROR(VLOOKUP(B47,CHOOSE(MATCH(C47,Settings!$L$4:$L$10,0),OPR_2P!$A$4:$I$18,SEG_6P!$A$4:$I$18,SOL_4P!$A$4:$I$18,RW_2P!$A$4:$I$18,RW2_4P!$A$4:$I$18,FLAP_4P!$A$4:$I$18,TUBE_4P!$A$4:$I$18),7,0),0))</f>
        <v>71</v>
      </c>
      <c r="L47" s="10">
        <f t="shared" si="0"/>
        <v>284</v>
      </c>
      <c r="M47" s="55">
        <f ca="1">IF($A47="","",IF(AND(ISNUMBER(G47),G47&gt;=J47,G47&lt;=(J47+(L47/(IF(F47="Contract Workman",Settings!$K$5,Settings!$K$4))))),J47+(L47/(IF(F47="Contract Workman",Settings!$K$5,Settings!$K$4)))+(H47/(IF(F47="Contract Workman",Settings!$K$5,Settings!$K$4))),J47+(L47/(IF(F47="Contract Workman",Settings!$K$5,Settings!$K$4)))))</f>
        <v>46273.734788359776</v>
      </c>
      <c r="N47" s="10" t="str">
        <f t="shared" ca="1" si="2"/>
        <v>Shift S1</v>
      </c>
      <c r="O47" s="51" t="str">
        <f>IF(B47="","", IF(IFERROR(ISNUMBER(SEARCH(B47, VLOOKUP(E47, Machine_List!$B:$J, 9, 0))), FALSE()), "✅ Machine OK", "❌ Sug: " &amp; IFERROR(INDEX(Machine_List!$B$4:$B$50, MATCH("*"&amp;B47&amp;"*", Machine_List!$J$4:$J$50, 0)), "Check Limits")))</f>
        <v>✅ Machine OK</v>
      </c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2"/>
      <c r="AN47" s="52"/>
      <c r="AO47" s="52"/>
      <c r="AP47" s="52"/>
      <c r="AQ47" s="52"/>
      <c r="AR47" s="52"/>
      <c r="AS47" s="52"/>
      <c r="AT47" s="52"/>
      <c r="AU47" s="52"/>
      <c r="AV47" s="52"/>
      <c r="AW47" s="52"/>
      <c r="AX47" s="52"/>
      <c r="AY47" s="52"/>
      <c r="AZ47" s="52"/>
      <c r="BA47" s="52"/>
      <c r="BB47" s="52"/>
      <c r="BC47" s="52"/>
      <c r="BD47" s="52"/>
      <c r="BE47" s="52"/>
      <c r="BF47" s="52"/>
      <c r="BG47" s="52"/>
      <c r="BH47" s="52"/>
      <c r="BI47" s="52"/>
      <c r="BJ47" s="52"/>
      <c r="BK47" s="52"/>
      <c r="BL47" s="52"/>
      <c r="BM47" s="52"/>
    </row>
    <row r="48" spans="1:65" ht="28.8" customHeight="1" x14ac:dyDescent="0.3">
      <c r="A48" s="10" t="str">
        <f>IF(Job_Master!A48="","",Job_Master!A48)</f>
        <v>BJ-142</v>
      </c>
      <c r="B48" s="10">
        <f>IF($A48="","",Job_Master!B48)</f>
        <v>9</v>
      </c>
      <c r="C48" s="10" t="str">
        <f>IF($A48="","",Job_Master!C48)</f>
        <v>RW</v>
      </c>
      <c r="D48" s="10">
        <f>IF($A48="","",Job_Master!D48)</f>
        <v>2</v>
      </c>
      <c r="E48" s="48" t="str">
        <f>IF($A48="","","FID-MC-08")</f>
        <v>FID-MC-08</v>
      </c>
      <c r="F48" s="106" t="str">
        <f>IF($E48="","",IFERROR(VLOOKUP($E48,Machine_List!$B:$G,6,0),""))</f>
        <v>Contract Workman</v>
      </c>
      <c r="G48" s="53">
        <f>IF($E48="","",IFERROR(VLOOKUP($E48,Machine_List!$B:$C,2,0),""))</f>
        <v>46328</v>
      </c>
      <c r="H48" s="10">
        <f>IF($E48="","",IFERROR(VLOOKUP($E48,Machine_List!$B:$D,3,0),""))</f>
        <v>6</v>
      </c>
      <c r="I48" s="54"/>
      <c r="J48" s="55">
        <f ca="1">IF($A48="","",IF($I48&lt;&gt;"",$I48,MAX(VENT_Plan!$M48,IFERROR(LOOKUP(2,1/($E$3:INDIRECT("E"&amp;(ROW()-1))=$E48),$M$3:INDIRECT("M"&amp;(ROW()-1))),VENT_Plan!$M48))))</f>
        <v>46168.90343915343</v>
      </c>
      <c r="K48" s="10">
        <f>IF($A48="","",IFERROR(VLOOKUP(B48,CHOOSE(MATCH(C48,Settings!$L$4:$L$10,0),OPR_2P!$A$4:$I$18,SEG_6P!$A$4:$I$18,SOL_4P!$A$4:$I$18,RW_2P!$A$4:$I$18,RW2_4P!$A$4:$I$18,FLAP_4P!$A$4:$I$18,TUBE_4P!$A$4:$I$18),7,0),0))</f>
        <v>6</v>
      </c>
      <c r="L48" s="10">
        <f t="shared" si="0"/>
        <v>12</v>
      </c>
      <c r="M48" s="55">
        <f ca="1">IF($A48="","",IF(AND(ISNUMBER(G48),G48&gt;=J48,G48&lt;=(J48+(L48/(IF(F48="Contract Workman",Settings!$K$5,Settings!$K$4))))),J48+(L48/(IF(F48="Contract Workman",Settings!$K$5,Settings!$K$4)))+(H48/(IF(F48="Contract Workman",Settings!$K$5,Settings!$K$4))),J48+(L48/(IF(F48="Contract Workman",Settings!$K$5,Settings!$K$4)))))</f>
        <v>46169.439153439147</v>
      </c>
      <c r="N48" s="10" t="str">
        <f t="shared" ca="1" si="2"/>
        <v>Shift S1</v>
      </c>
      <c r="O48" s="51" t="str">
        <f>IF(B48="","", IF(IFERROR(ISNUMBER(SEARCH(B48, VLOOKUP(E48, Machine_List!$B:$J, 9, 0))), FALSE()), "✅ Machine OK", "❌ Sug: " &amp; IFERROR(INDEX(Machine_List!$B$4:$B$50, MATCH("*"&amp;B48&amp;"*", Machine_List!$J$4:$J$50, 0)), "Check Limits")))</f>
        <v>✅ Machine OK</v>
      </c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2"/>
      <c r="AN48" s="52"/>
      <c r="AO48" s="52"/>
      <c r="AP48" s="52"/>
      <c r="AQ48" s="52"/>
      <c r="AR48" s="52"/>
      <c r="AS48" s="52"/>
      <c r="AT48" s="52"/>
      <c r="AU48" s="52"/>
      <c r="AV48" s="52"/>
      <c r="AW48" s="52"/>
      <c r="AX48" s="52"/>
      <c r="AY48" s="52"/>
      <c r="AZ48" s="52"/>
      <c r="BA48" s="52"/>
      <c r="BB48" s="52"/>
      <c r="BC48" s="52"/>
      <c r="BD48" s="52"/>
      <c r="BE48" s="52"/>
      <c r="BF48" s="52"/>
      <c r="BG48" s="52"/>
      <c r="BH48" s="52"/>
      <c r="BI48" s="52"/>
      <c r="BJ48" s="52"/>
      <c r="BK48" s="52"/>
      <c r="BL48" s="52"/>
      <c r="BM48" s="52"/>
    </row>
    <row r="49" spans="1:65" ht="28.8" customHeight="1" x14ac:dyDescent="0.3">
      <c r="A49" s="10" t="str">
        <f>IF(Job_Master!A49="","",Job_Master!A49)</f>
        <v>BJ-147</v>
      </c>
      <c r="B49" s="10">
        <f>IF($A49="","",Job_Master!B49)</f>
        <v>34</v>
      </c>
      <c r="C49" s="10" t="str">
        <f>IF($A49="","",Job_Master!C49)</f>
        <v>SOL</v>
      </c>
      <c r="D49" s="10">
        <f>IF($A49="","",Job_Master!D49)</f>
        <v>4</v>
      </c>
      <c r="E49" s="48" t="str">
        <f>IF($A49="","","FID-MC-05")</f>
        <v>FID-MC-05</v>
      </c>
      <c r="F49" s="106" t="str">
        <f>IF($E49="","",IFERROR(VLOOKUP($E49,Machine_List!$B:$G,6,0),""))</f>
        <v>Contract Workman</v>
      </c>
      <c r="G49" s="53">
        <f>IF($E49="","",IFERROR(VLOOKUP($E49,Machine_List!$B:$C,2,0),""))</f>
        <v>46431</v>
      </c>
      <c r="H49" s="10">
        <f>IF($E49="","",IFERROR(VLOOKUP($E49,Machine_List!$B:$D,3,0),""))</f>
        <v>6</v>
      </c>
      <c r="I49" s="54"/>
      <c r="J49" s="55">
        <f ca="1">IF($A49="","",IF($I49&lt;&gt;"",$I49,MAX(VENT_Plan!$M49,IFERROR(LOOKUP(2,1/($E$3:INDIRECT("E"&amp;(ROW()-1))=$E49),$M$3:INDIRECT("M"&amp;(ROW()-1))),VENT_Plan!$M49))))</f>
        <v>46199.521825396841</v>
      </c>
      <c r="K49" s="10">
        <f>IF($A49="","",IFERROR(VLOOKUP(B49,CHOOSE(MATCH(C49,Settings!$L$4:$L$10,0),OPR_2P!$A$4:$I$18,SEG_6P!$A$4:$I$18,SOL_4P!$A$4:$I$18,RW_2P!$A$4:$I$18,RW2_4P!$A$4:$I$18,FLAP_4P!$A$4:$I$18,TUBE_4P!$A$4:$I$18),7,0),0))</f>
        <v>25</v>
      </c>
      <c r="L49" s="10">
        <f t="shared" si="0"/>
        <v>100</v>
      </c>
      <c r="M49" s="55">
        <f ca="1">IF($A49="","",IF(AND(ISNUMBER(G49),G49&gt;=J49,G49&lt;=(J49+(L49/(IF(F49="Contract Workman",Settings!$K$5,Settings!$K$4))))),J49+(L49/(IF(F49="Contract Workman",Settings!$K$5,Settings!$K$4)))+(H49/(IF(F49="Contract Workman",Settings!$K$5,Settings!$K$4))),J49+(L49/(IF(F49="Contract Workman",Settings!$K$5,Settings!$K$4)))))</f>
        <v>46203.986111111124</v>
      </c>
      <c r="N49" s="10" t="str">
        <f t="shared" ca="1" si="2"/>
        <v>Shift S2</v>
      </c>
      <c r="O49" s="51" t="str">
        <f>IF(B49="","", IF(IFERROR(ISNUMBER(SEARCH(B49, VLOOKUP(E49, Machine_List!$B:$J, 9, 0))), FALSE()), "✅ Machine OK", "❌ Sug: " &amp; IFERROR(INDEX(Machine_List!$B$4:$B$50, MATCH("*"&amp;B49&amp;"*", Machine_List!$J$4:$J$50, 0)), "Check Limits")))</f>
        <v>✅ Machine OK</v>
      </c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O49" s="52"/>
      <c r="AP49" s="52"/>
      <c r="AQ49" s="52"/>
      <c r="AR49" s="52"/>
      <c r="AS49" s="52"/>
      <c r="AT49" s="52"/>
      <c r="AU49" s="52"/>
      <c r="AV49" s="52"/>
      <c r="AW49" s="52"/>
      <c r="AX49" s="52"/>
      <c r="AY49" s="52"/>
      <c r="AZ49" s="52"/>
      <c r="BA49" s="52"/>
      <c r="BB49" s="52"/>
      <c r="BC49" s="52"/>
      <c r="BD49" s="52"/>
      <c r="BE49" s="52"/>
      <c r="BF49" s="52"/>
      <c r="BG49" s="52"/>
      <c r="BH49" s="52"/>
      <c r="BI49" s="52"/>
      <c r="BJ49" s="52"/>
      <c r="BK49" s="52"/>
      <c r="BL49" s="52"/>
      <c r="BM49" s="52"/>
    </row>
    <row r="50" spans="1:65" ht="28.8" customHeight="1" x14ac:dyDescent="0.3">
      <c r="A50" s="10" t="str">
        <f>IF(Job_Master!A50="","",Job_Master!A50)</f>
        <v>BJ-150</v>
      </c>
      <c r="B50" s="10">
        <f>IF($A50="","",Job_Master!B50)</f>
        <v>34</v>
      </c>
      <c r="C50" s="10" t="str">
        <f>IF($A50="","",Job_Master!C50)</f>
        <v>SOL</v>
      </c>
      <c r="D50" s="10">
        <f>IF($A50="","",Job_Master!D50)</f>
        <v>4</v>
      </c>
      <c r="E50" s="48" t="str">
        <f>IF($A50="","","FID-MC-05")</f>
        <v>FID-MC-05</v>
      </c>
      <c r="F50" s="106" t="str">
        <f>IF($E50="","",IFERROR(VLOOKUP($E50,Machine_List!$B:$G,6,0),""))</f>
        <v>Contract Workman</v>
      </c>
      <c r="G50" s="53">
        <f>IF($E50="","",IFERROR(VLOOKUP($E50,Machine_List!$B:$C,2,0),""))</f>
        <v>46431</v>
      </c>
      <c r="H50" s="10">
        <f>IF($E50="","",IFERROR(VLOOKUP($E50,Machine_List!$B:$D,3,0),""))</f>
        <v>6</v>
      </c>
      <c r="I50" s="54"/>
      <c r="J50" s="55">
        <f ca="1">IF($A50="","",IF($I50&lt;&gt;"",$I50,MAX(VENT_Plan!$M50,IFERROR(LOOKUP(2,1/($E$3:INDIRECT("E"&amp;(ROW()-1))=$E50),$M$3:INDIRECT("M"&amp;(ROW()-1))),VENT_Plan!$M50))))</f>
        <v>46211.558862433878</v>
      </c>
      <c r="K50" s="10">
        <f>IF($A50="","",IFERROR(VLOOKUP(B50,CHOOSE(MATCH(C50,Settings!$L$4:$L$10,0),OPR_2P!$A$4:$I$18,SEG_6P!$A$4:$I$18,SOL_4P!$A$4:$I$18,RW_2P!$A$4:$I$18,RW2_4P!$A$4:$I$18,FLAP_4P!$A$4:$I$18,TUBE_4P!$A$4:$I$18),7,0),0))</f>
        <v>25</v>
      </c>
      <c r="L50" s="10">
        <f t="shared" si="0"/>
        <v>100</v>
      </c>
      <c r="M50" s="55">
        <f ca="1">IF($A50="","",IF(AND(ISNUMBER(G50),G50&gt;=J50,G50&lt;=(J50+(L50/(IF(F50="Contract Workman",Settings!$K$5,Settings!$K$4))))),J50+(L50/(IF(F50="Contract Workman",Settings!$K$5,Settings!$K$4)))+(H50/(IF(F50="Contract Workman",Settings!$K$5,Settings!$K$4))),J50+(L50/(IF(F50="Contract Workman",Settings!$K$5,Settings!$K$4)))))</f>
        <v>46216.023148148161</v>
      </c>
      <c r="N50" s="10" t="str">
        <f t="shared" ca="1" si="2"/>
        <v>Shift S2</v>
      </c>
      <c r="O50" s="51" t="str">
        <f>IF(B50="","", IF(IFERROR(ISNUMBER(SEARCH(B50, VLOOKUP(E50, Machine_List!$B:$J, 9, 0))), FALSE()), "✅ Machine OK", "❌ Sug: " &amp; IFERROR(INDEX(Machine_List!$B$4:$B$50, MATCH("*"&amp;B50&amp;"*", Machine_List!$J$4:$J$50, 0)), "Check Limits")))</f>
        <v>✅ Machine OK</v>
      </c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  <c r="AK50" s="52"/>
      <c r="AL50" s="52"/>
      <c r="AM50" s="52"/>
      <c r="AN50" s="52"/>
      <c r="AO50" s="52"/>
      <c r="AP50" s="52"/>
      <c r="AQ50" s="52"/>
      <c r="AR50" s="52"/>
      <c r="AS50" s="52"/>
      <c r="AT50" s="52"/>
      <c r="AU50" s="52"/>
      <c r="AV50" s="52"/>
      <c r="AW50" s="52"/>
      <c r="AX50" s="52"/>
      <c r="AY50" s="52"/>
      <c r="AZ50" s="52"/>
      <c r="BA50" s="52"/>
      <c r="BB50" s="52"/>
      <c r="BC50" s="52"/>
      <c r="BD50" s="52"/>
      <c r="BE50" s="52"/>
      <c r="BF50" s="52"/>
      <c r="BG50" s="52"/>
      <c r="BH50" s="52"/>
      <c r="BI50" s="52"/>
      <c r="BJ50" s="52"/>
      <c r="BK50" s="52"/>
      <c r="BL50" s="52"/>
      <c r="BM50" s="52"/>
    </row>
    <row r="51" spans="1:65" ht="28.8" customHeight="1" x14ac:dyDescent="0.3">
      <c r="A51" s="10" t="str">
        <f>IF(Job_Master!A51="","",Job_Master!A51)</f>
        <v>BJ-151</v>
      </c>
      <c r="B51" s="10">
        <f>IF($A51="","",Job_Master!B51)</f>
        <v>25</v>
      </c>
      <c r="C51" s="10" t="str">
        <f>IF($A51="","",Job_Master!C51)</f>
        <v>SOL</v>
      </c>
      <c r="D51" s="10">
        <f>IF($A51="","",Job_Master!D51)</f>
        <v>4</v>
      </c>
      <c r="E51" s="48" t="str">
        <f>IF($A51="","","FID-MC-06")</f>
        <v>FID-MC-06</v>
      </c>
      <c r="F51" s="106" t="str">
        <f>IF($E51="","",IFERROR(VLOOKUP($E51,Machine_List!$B:$G,6,0),""))</f>
        <v>Contract Workman</v>
      </c>
      <c r="G51" s="53">
        <f>IF($E51="","",IFERROR(VLOOKUP($E51,Machine_List!$B:$C,2,0),""))</f>
        <v>46088</v>
      </c>
      <c r="H51" s="10">
        <f>IF($E51="","",IFERROR(VLOOKUP($E51,Machine_List!$B:$D,3,0),""))</f>
        <v>6</v>
      </c>
      <c r="I51" s="54"/>
      <c r="J51" s="55">
        <f ca="1">IF($A51="","",IF($I51&lt;&gt;"",$I51,MAX(VENT_Plan!$M51,IFERROR(LOOKUP(2,1/($E$3:INDIRECT("E"&amp;(ROW()-1))=$E51),$M$3:INDIRECT("M"&amp;(ROW()-1))),VENT_Plan!$M51))))</f>
        <v>46182.286375661366</v>
      </c>
      <c r="K51" s="10">
        <f>IF($A51="","",IFERROR(VLOOKUP(B51,CHOOSE(MATCH(C51,Settings!$L$4:$L$10,0),OPR_2P!$A$4:$I$18,SEG_6P!$A$4:$I$18,SOL_4P!$A$4:$I$18,RW_2P!$A$4:$I$18,RW2_4P!$A$4:$I$18,FLAP_4P!$A$4:$I$18,TUBE_4P!$A$4:$I$18),7,0),0))</f>
        <v>23</v>
      </c>
      <c r="L51" s="10">
        <f t="shared" si="0"/>
        <v>92</v>
      </c>
      <c r="M51" s="55">
        <f ca="1">IF($A51="","",IF(AND(ISNUMBER(G51),G51&gt;=J51,G51&lt;=(J51+(L51/(IF(F51="Contract Workman",Settings!$K$5,Settings!$K$4))))),J51+(L51/(IF(F51="Contract Workman",Settings!$K$5,Settings!$K$4)))+(H51/(IF(F51="Contract Workman",Settings!$K$5,Settings!$K$4))),J51+(L51/(IF(F51="Contract Workman",Settings!$K$5,Settings!$K$4)))))</f>
        <v>46186.393518518511</v>
      </c>
      <c r="N51" s="10" t="str">
        <f t="shared" ca="1" si="2"/>
        <v>Shift S1</v>
      </c>
      <c r="O51" s="51" t="str">
        <f>IF(B51="","", IF(IFERROR(ISNUMBER(SEARCH(B51, VLOOKUP(E51, Machine_List!$B:$J, 9, 0))), FALSE()), "✅ Machine OK", "❌ Sug: " &amp; IFERROR(INDEX(Machine_List!$B$4:$B$50, MATCH("*"&amp;B51&amp;"*", Machine_List!$J$4:$J$50, 0)), "Check Limits")))</f>
        <v>✅ Machine OK</v>
      </c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L51" s="52"/>
      <c r="AM51" s="52"/>
      <c r="AN51" s="52"/>
      <c r="AO51" s="52"/>
      <c r="AP51" s="52"/>
      <c r="AQ51" s="52"/>
      <c r="AR51" s="52"/>
      <c r="AS51" s="52"/>
      <c r="AT51" s="52"/>
      <c r="AU51" s="52"/>
      <c r="AV51" s="52"/>
      <c r="AW51" s="52"/>
      <c r="AX51" s="52"/>
      <c r="AY51" s="52"/>
      <c r="AZ51" s="52"/>
      <c r="BA51" s="52"/>
      <c r="BB51" s="52"/>
      <c r="BC51" s="52"/>
      <c r="BD51" s="52"/>
      <c r="BE51" s="52"/>
      <c r="BF51" s="52"/>
      <c r="BG51" s="52"/>
      <c r="BH51" s="52"/>
      <c r="BI51" s="52"/>
      <c r="BJ51" s="52"/>
      <c r="BK51" s="52"/>
      <c r="BL51" s="52"/>
      <c r="BM51" s="52"/>
    </row>
    <row r="52" spans="1:65" ht="28.8" customHeight="1" x14ac:dyDescent="0.3">
      <c r="A52" s="10" t="str">
        <f>IF(Job_Master!A52="","",Job_Master!A52)</f>
        <v>BJ-152</v>
      </c>
      <c r="B52" s="10">
        <f>IF($A52="","",Job_Master!B52)</f>
        <v>34</v>
      </c>
      <c r="C52" s="10" t="str">
        <f>IF($A52="","",Job_Master!C52)</f>
        <v>2P</v>
      </c>
      <c r="D52" s="10">
        <f>IF($A52="","",Job_Master!D52)</f>
        <v>2</v>
      </c>
      <c r="E52" s="48" t="str">
        <f>IF($A52="","","FID-MC-06")</f>
        <v>FID-MC-06</v>
      </c>
      <c r="F52" s="106" t="str">
        <f>IF($E52="","",IFERROR(VLOOKUP($E52,Machine_List!$B:$G,6,0),""))</f>
        <v>Contract Workman</v>
      </c>
      <c r="G52" s="53">
        <f>IF($E52="","",IFERROR(VLOOKUP($E52,Machine_List!$B:$C,2,0),""))</f>
        <v>46088</v>
      </c>
      <c r="H52" s="10">
        <f>IF($E52="","",IFERROR(VLOOKUP($E52,Machine_List!$B:$D,3,0),""))</f>
        <v>6</v>
      </c>
      <c r="I52" s="54"/>
      <c r="J52" s="55">
        <f ca="1">IF($A52="","",IF($I52&lt;&gt;"",$I52,MAX(VENT_Plan!$M52,IFERROR(LOOKUP(2,1/($E$3:INDIRECT("E"&amp;(ROW()-1))=$E52),$M$3:INDIRECT("M"&amp;(ROW()-1))),VENT_Plan!$M52))))</f>
        <v>46213.969576719595</v>
      </c>
      <c r="K52" s="10">
        <f>IF($A52="","",IFERROR(VLOOKUP(B52,CHOOSE(MATCH(C52,Settings!$L$4:$L$10,0),OPR_2P!$A$4:$I$18,SEG_6P!$A$4:$I$18,SOL_4P!$A$4:$I$18,RW_2P!$A$4:$I$18,RW2_4P!$A$4:$I$18,FLAP_4P!$A$4:$I$18,TUBE_4P!$A$4:$I$18),7,0),0))</f>
        <v>37</v>
      </c>
      <c r="L52" s="10">
        <f t="shared" si="0"/>
        <v>74</v>
      </c>
      <c r="M52" s="55">
        <f ca="1">IF($A52="","",IF(AND(ISNUMBER(G52),G52&gt;=J52,G52&lt;=(J52+(L52/(IF(F52="Contract Workman",Settings!$K$5,Settings!$K$4))))),J52+(L52/(IF(F52="Contract Workman",Settings!$K$5,Settings!$K$4)))+(H52/(IF(F52="Contract Workman",Settings!$K$5,Settings!$K$4))),J52+(L52/(IF(F52="Contract Workman",Settings!$K$5,Settings!$K$4)))))</f>
        <v>46217.273148148168</v>
      </c>
      <c r="N52" s="10" t="str">
        <f t="shared" ca="1" si="2"/>
        <v>Shift S2</v>
      </c>
      <c r="O52" s="51" t="str">
        <f>IF(B52="","", IF(IFERROR(ISNUMBER(SEARCH(B52, VLOOKUP(E52, Machine_List!$B:$J, 9, 0))), FALSE()), "✅ Machine OK", "❌ Sug: " &amp; IFERROR(INDEX(Machine_List!$B$4:$B$50, MATCH("*"&amp;B52&amp;"*", Machine_List!$J$4:$J$50, 0)), "Check Limits")))</f>
        <v>✅ Machine OK</v>
      </c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  <c r="AK52" s="52"/>
      <c r="AL52" s="52"/>
      <c r="AM52" s="52"/>
      <c r="AN52" s="52"/>
      <c r="AO52" s="52"/>
      <c r="AP52" s="52"/>
      <c r="AQ52" s="52"/>
      <c r="AR52" s="52"/>
      <c r="AS52" s="52"/>
      <c r="AT52" s="52"/>
      <c r="AU52" s="52"/>
      <c r="AV52" s="52"/>
      <c r="AW52" s="52"/>
      <c r="AX52" s="52"/>
      <c r="AY52" s="52"/>
      <c r="AZ52" s="52"/>
      <c r="BA52" s="52"/>
      <c r="BB52" s="52"/>
      <c r="BC52" s="52"/>
      <c r="BD52" s="52"/>
      <c r="BE52" s="52"/>
      <c r="BF52" s="52"/>
      <c r="BG52" s="52"/>
      <c r="BH52" s="52"/>
      <c r="BI52" s="52"/>
      <c r="BJ52" s="52"/>
      <c r="BK52" s="52"/>
      <c r="BL52" s="52"/>
      <c r="BM52" s="52"/>
    </row>
    <row r="53" spans="1:65" ht="28.8" customHeight="1" x14ac:dyDescent="0.3">
      <c r="A53" s="10" t="str">
        <f>IF(Job_Master!A53="","",Job_Master!A53)</f>
        <v>BJ-143</v>
      </c>
      <c r="B53" s="10">
        <f>IF($A53="","",Job_Master!B53)</f>
        <v>17</v>
      </c>
      <c r="C53" s="10" t="str">
        <f>IF($A53="","",Job_Master!C53)</f>
        <v>SOL</v>
      </c>
      <c r="D53" s="10">
        <f>IF($A53="","",Job_Master!D53)</f>
        <v>4</v>
      </c>
      <c r="E53" s="48" t="str">
        <f>IF($A53="","","FID-MC-07")</f>
        <v>FID-MC-07</v>
      </c>
      <c r="F53" s="106" t="str">
        <f>IF($E53="","",IFERROR(VLOOKUP($E53,Machine_List!$B:$G,6,0),""))</f>
        <v>Contract Workman</v>
      </c>
      <c r="G53" s="53">
        <f>IF($E53="","",IFERROR(VLOOKUP($E53,Machine_List!$B:$C,2,0),""))</f>
        <v>46402</v>
      </c>
      <c r="H53" s="10">
        <f>IF($E53="","",IFERROR(VLOOKUP($E53,Machine_List!$B:$D,3,0),""))</f>
        <v>6</v>
      </c>
      <c r="I53" s="54"/>
      <c r="J53" s="55">
        <f ca="1">IF($A53="","",IF($I53&lt;&gt;"",$I53,MAX(VENT_Plan!$M53,IFERROR(LOOKUP(2,1/($E$3:INDIRECT("E"&amp;(ROW()-1))=$E53),$M$3:INDIRECT("M"&amp;(ROW()-1))),VENT_Plan!$M53))))</f>
        <v>46177.359126984142</v>
      </c>
      <c r="K53" s="10">
        <f>IF($A53="","",IFERROR(VLOOKUP(B53,CHOOSE(MATCH(C53,Settings!$L$4:$L$10,0),OPR_2P!$A$4:$I$18,SEG_6P!$A$4:$I$18,SOL_4P!$A$4:$I$18,RW_2P!$A$4:$I$18,RW2_4P!$A$4:$I$18,FLAP_4P!$A$4:$I$18,TUBE_4P!$A$4:$I$18),7,0),0))</f>
        <v>11</v>
      </c>
      <c r="L53" s="10">
        <f t="shared" si="0"/>
        <v>44</v>
      </c>
      <c r="M53" s="55">
        <f ca="1">IF($A53="","",IF(AND(ISNUMBER(G53),G53&gt;=J53,G53&lt;=(J53+(L53/(IF(F53="Contract Workman",Settings!$K$5,Settings!$K$4))))),J53+(L53/(IF(F53="Contract Workman",Settings!$K$5,Settings!$K$4)))+(H53/(IF(F53="Contract Workman",Settings!$K$5,Settings!$K$4))),J53+(L53/(IF(F53="Contract Workman",Settings!$K$5,Settings!$K$4)))))</f>
        <v>46179.323412698424</v>
      </c>
      <c r="N53" s="10" t="str">
        <f t="shared" ca="1" si="2"/>
        <v>Shift S2</v>
      </c>
      <c r="O53" s="51" t="str">
        <f>IF(B53="","", IF(IFERROR(ISNUMBER(SEARCH(B53, VLOOKUP(E53, Machine_List!$B:$J, 9, 0))), FALSE()), "✅ Machine OK", "❌ Sug: " &amp; IFERROR(INDEX(Machine_List!$B$4:$B$50, MATCH("*"&amp;B53&amp;"*", Machine_List!$J$4:$J$50, 0)), "Check Limits")))</f>
        <v>✅ Machine OK</v>
      </c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52"/>
      <c r="AN53" s="52"/>
      <c r="AO53" s="52"/>
      <c r="AP53" s="52"/>
      <c r="AQ53" s="52"/>
      <c r="AR53" s="52"/>
      <c r="AS53" s="52"/>
      <c r="AT53" s="52"/>
      <c r="AU53" s="52"/>
      <c r="AV53" s="52"/>
      <c r="AW53" s="52"/>
      <c r="AX53" s="52"/>
      <c r="AY53" s="52"/>
      <c r="AZ53" s="52"/>
      <c r="BA53" s="52"/>
      <c r="BB53" s="52"/>
      <c r="BC53" s="52"/>
      <c r="BD53" s="52"/>
      <c r="BE53" s="52"/>
      <c r="BF53" s="52"/>
      <c r="BG53" s="52"/>
      <c r="BH53" s="52"/>
      <c r="BI53" s="52"/>
      <c r="BJ53" s="52"/>
      <c r="BK53" s="52"/>
      <c r="BL53" s="52"/>
      <c r="BM53" s="52"/>
    </row>
    <row r="54" spans="1:65" ht="28.8" customHeight="1" x14ac:dyDescent="0.3">
      <c r="A54" s="10" t="str">
        <f>IF(Job_Master!A54="","",Job_Master!A54)</f>
        <v>BJ-154</v>
      </c>
      <c r="B54" s="10">
        <f>IF($A54="","",Job_Master!B54)</f>
        <v>25</v>
      </c>
      <c r="C54" s="10" t="str">
        <f>IF($A54="","",Job_Master!C54)</f>
        <v>RW</v>
      </c>
      <c r="D54" s="10">
        <f>IF($A54="","",Job_Master!D54)</f>
        <v>2</v>
      </c>
      <c r="E54" s="48" t="str">
        <f>IF($A54="","","FID-MC-08")</f>
        <v>FID-MC-08</v>
      </c>
      <c r="F54" s="106" t="str">
        <f>IF($E54="","",IFERROR(VLOOKUP($E54,Machine_List!$B:$G,6,0),""))</f>
        <v>Contract Workman</v>
      </c>
      <c r="G54" s="53">
        <f>IF($E54="","",IFERROR(VLOOKUP($E54,Machine_List!$B:$C,2,0),""))</f>
        <v>46328</v>
      </c>
      <c r="H54" s="10">
        <f>IF($E54="","",IFERROR(VLOOKUP($E54,Machine_List!$B:$D,3,0),""))</f>
        <v>6</v>
      </c>
      <c r="I54" s="54"/>
      <c r="J54" s="55">
        <f ca="1">IF($A54="","",IF($I54&lt;&gt;"",$I54,MAX(VENT_Plan!$M54,IFERROR(LOOKUP(2,1/($E$3:INDIRECT("E"&amp;(ROW()-1))=$E54),$M$3:INDIRECT("M"&amp;(ROW()-1))),VENT_Plan!$M54))))</f>
        <v>46181.734126984134</v>
      </c>
      <c r="K54" s="10">
        <f>IF($A54="","",IFERROR(VLOOKUP(B54,CHOOSE(MATCH(C54,Settings!$L$4:$L$10,0),OPR_2P!$A$4:$I$18,SEG_6P!$A$4:$I$18,SOL_4P!$A$4:$I$18,RW_2P!$A$4:$I$18,RW2_4P!$A$4:$I$18,FLAP_4P!$A$4:$I$18,TUBE_4P!$A$4:$I$18),7,0),0))</f>
        <v>18</v>
      </c>
      <c r="L54" s="10">
        <f t="shared" si="0"/>
        <v>36</v>
      </c>
      <c r="M54" s="55">
        <f ca="1">IF($A54="","",IF(AND(ISNUMBER(G54),G54&gt;=J54,G54&lt;=(J54+(L54/(IF(F54="Contract Workman",Settings!$K$5,Settings!$K$4))))),J54+(L54/(IF(F54="Contract Workman",Settings!$K$5,Settings!$K$4)))+(H54/(IF(F54="Contract Workman",Settings!$K$5,Settings!$K$4))),J54+(L54/(IF(F54="Contract Workman",Settings!$K$5,Settings!$K$4)))))</f>
        <v>46183.341269841279</v>
      </c>
      <c r="N54" s="10" t="str">
        <f t="shared" ca="1" si="2"/>
        <v>Shift S1</v>
      </c>
      <c r="O54" s="51" t="str">
        <f>IF(B54="","", IF(IFERROR(ISNUMBER(SEARCH(B54, VLOOKUP(E54, Machine_List!$B:$J, 9, 0))), FALSE()), "✅ Machine OK", "❌ Sug: " &amp; IFERROR(INDEX(Machine_List!$B$4:$B$50, MATCH("*"&amp;B54&amp;"*", Machine_List!$J$4:$J$50, 0)), "Check Limits")))</f>
        <v>✅ Machine OK</v>
      </c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  <c r="AK54" s="52"/>
      <c r="AL54" s="52"/>
      <c r="AM54" s="52"/>
      <c r="AN54" s="52"/>
      <c r="AO54" s="52"/>
      <c r="AP54" s="52"/>
      <c r="AQ54" s="52"/>
      <c r="AR54" s="52"/>
      <c r="AS54" s="52"/>
      <c r="AT54" s="52"/>
      <c r="AU54" s="52"/>
      <c r="AV54" s="52"/>
      <c r="AW54" s="52"/>
      <c r="AX54" s="52"/>
      <c r="AY54" s="52"/>
      <c r="AZ54" s="52"/>
      <c r="BA54" s="52"/>
      <c r="BB54" s="52"/>
      <c r="BC54" s="52"/>
      <c r="BD54" s="52"/>
      <c r="BE54" s="52"/>
      <c r="BF54" s="52"/>
      <c r="BG54" s="52"/>
      <c r="BH54" s="52"/>
      <c r="BI54" s="52"/>
      <c r="BJ54" s="52"/>
      <c r="BK54" s="52"/>
      <c r="BL54" s="52"/>
      <c r="BM54" s="52"/>
    </row>
    <row r="55" spans="1:65" ht="28.8" customHeight="1" x14ac:dyDescent="0.3">
      <c r="A55" s="10" t="str">
        <f>IF(Job_Master!A55="","",Job_Master!A55)</f>
        <v>BJ-156</v>
      </c>
      <c r="B55" s="10">
        <f>IF($A55="","",Job_Master!B55)</f>
        <v>25</v>
      </c>
      <c r="C55" s="10" t="str">
        <f>IF($A55="","",Job_Master!C55)</f>
        <v>2P</v>
      </c>
      <c r="D55" s="10">
        <f>IF($A55="","",Job_Master!D55)</f>
        <v>2</v>
      </c>
      <c r="E55" s="48" t="str">
        <f>IF($A55="","","FID-MC-07")</f>
        <v>FID-MC-07</v>
      </c>
      <c r="F55" s="106" t="str">
        <f>IF($E55="","",IFERROR(VLOOKUP($E55,Machine_List!$B:$G,6,0),""))</f>
        <v>Contract Workman</v>
      </c>
      <c r="G55" s="53">
        <f>IF($E55="","",IFERROR(VLOOKUP($E55,Machine_List!$B:$C,2,0),""))</f>
        <v>46402</v>
      </c>
      <c r="H55" s="10">
        <f>IF($E55="","",IFERROR(VLOOKUP($E55,Machine_List!$B:$D,3,0),""))</f>
        <v>6</v>
      </c>
      <c r="I55" s="54"/>
      <c r="J55" s="55">
        <f ca="1">IF($A55="","",IF($I55&lt;&gt;"",$I55,MAX(VENT_Plan!$M55,IFERROR(LOOKUP(2,1/($E$3:INDIRECT("E"&amp;(ROW()-1))=$E55),$M$3:INDIRECT("M"&amp;(ROW()-1))),VENT_Plan!$M55))))</f>
        <v>46184.697089947083</v>
      </c>
      <c r="K55" s="10">
        <f>IF($A55="","",IFERROR(VLOOKUP(B55,CHOOSE(MATCH(C55,Settings!$L$4:$L$10,0),OPR_2P!$A$4:$I$18,SEG_6P!$A$4:$I$18,SOL_4P!$A$4:$I$18,RW_2P!$A$4:$I$18,RW2_4P!$A$4:$I$18,FLAP_4P!$A$4:$I$18,TUBE_4P!$A$4:$I$18),7,0),0))</f>
        <v>24</v>
      </c>
      <c r="L55" s="10">
        <f t="shared" si="0"/>
        <v>48</v>
      </c>
      <c r="M55" s="55">
        <f ca="1">IF($A55="","",IF(AND(ISNUMBER(G55),G55&gt;=J55,G55&lt;=(J55+(L55/(IF(F55="Contract Workman",Settings!$K$5,Settings!$K$4))))),J55+(L55/(IF(F55="Contract Workman",Settings!$K$5,Settings!$K$4)))+(H55/(IF(F55="Contract Workman",Settings!$K$5,Settings!$K$4))),J55+(L55/(IF(F55="Contract Workman",Settings!$K$5,Settings!$K$4)))))</f>
        <v>46186.839947089939</v>
      </c>
      <c r="N55" s="10" t="str">
        <f t="shared" ca="1" si="2"/>
        <v>Shift S2</v>
      </c>
      <c r="O55" s="51" t="str">
        <f>IF(B55="","", IF(IFERROR(ISNUMBER(SEARCH(B55, VLOOKUP(E55, Machine_List!$B:$J, 9, 0))), FALSE()), "✅ Machine OK", "❌ Sug: " &amp; IFERROR(INDEX(Machine_List!$B$4:$B$50, MATCH("*"&amp;B55&amp;"*", Machine_List!$J$4:$J$50, 0)), "Check Limits")))</f>
        <v>✅ Machine OK</v>
      </c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  <c r="AK55" s="52"/>
      <c r="AL55" s="52"/>
      <c r="AM55" s="52"/>
      <c r="AN55" s="52"/>
      <c r="AO55" s="52"/>
      <c r="AP55" s="52"/>
      <c r="AQ55" s="52"/>
      <c r="AR55" s="52"/>
      <c r="AS55" s="52"/>
      <c r="AT55" s="52"/>
      <c r="AU55" s="52"/>
      <c r="AV55" s="52"/>
      <c r="AW55" s="52"/>
      <c r="AX55" s="52"/>
      <c r="AY55" s="52"/>
      <c r="AZ55" s="52"/>
      <c r="BA55" s="52"/>
      <c r="BB55" s="52"/>
      <c r="BC55" s="52"/>
      <c r="BD55" s="52"/>
      <c r="BE55" s="52"/>
      <c r="BF55" s="52"/>
      <c r="BG55" s="52"/>
      <c r="BH55" s="52"/>
      <c r="BI55" s="52"/>
      <c r="BJ55" s="52"/>
      <c r="BK55" s="52"/>
      <c r="BL55" s="52"/>
      <c r="BM55" s="52"/>
    </row>
    <row r="56" spans="1:65" ht="28.8" customHeight="1" x14ac:dyDescent="0.3">
      <c r="A56" s="10" t="str">
        <f>IF(Job_Master!A56="","",Job_Master!A56)</f>
        <v>BJ-145</v>
      </c>
      <c r="B56" s="10">
        <f>IF($A56="","",Job_Master!B56)</f>
        <v>15</v>
      </c>
      <c r="C56" s="10" t="str">
        <f>IF($A56="","",Job_Master!C56)</f>
        <v>2P</v>
      </c>
      <c r="D56" s="10">
        <f>IF($A56="","",Job_Master!D56)</f>
        <v>2</v>
      </c>
      <c r="E56" s="48" t="str">
        <f>IF($A56="","","FID-MC-09")</f>
        <v>FID-MC-09</v>
      </c>
      <c r="F56" s="106" t="str">
        <f>IF($E56="","",IFERROR(VLOOKUP($E56,Machine_List!$B:$G,6,0),""))</f>
        <v>Contract Workman</v>
      </c>
      <c r="G56" s="53">
        <f>IF($E56="","",IFERROR(VLOOKUP($E56,Machine_List!$B:$C,2,0),""))</f>
        <v>46165</v>
      </c>
      <c r="H56" s="10">
        <f>IF($E56="","",IFERROR(VLOOKUP($E56,Machine_List!$B:$D,3,0),""))</f>
        <v>6</v>
      </c>
      <c r="I56" s="54"/>
      <c r="J56" s="55">
        <f ca="1">IF($A56="","",IF($I56&lt;&gt;"",$I56,MAX(VENT_Plan!$M56,IFERROR(LOOKUP(2,1/($E$3:INDIRECT("E"&amp;(ROW()-1))=$E56),$M$3:INDIRECT("M"&amp;(ROW()-1))),VENT_Plan!$M56))))</f>
        <v>46180.203042328067</v>
      </c>
      <c r="K56" s="10">
        <f>IF($A56="","",IFERROR(VLOOKUP(B56,CHOOSE(MATCH(C56,Settings!$L$4:$L$10,0),OPR_2P!$A$4:$I$18,SEG_6P!$A$4:$I$18,SOL_4P!$A$4:$I$18,RW_2P!$A$4:$I$18,RW2_4P!$A$4:$I$18,FLAP_4P!$A$4:$I$18,TUBE_4P!$A$4:$I$18),7,0),0))</f>
        <v>12</v>
      </c>
      <c r="L56" s="10">
        <f t="shared" si="0"/>
        <v>24</v>
      </c>
      <c r="M56" s="55">
        <f ca="1">IF($A56="","",IF(AND(ISNUMBER(G56),G56&gt;=J56,G56&lt;=(J56+(L56/(IF(F56="Contract Workman",Settings!$K$5,Settings!$K$4))))),J56+(L56/(IF(F56="Contract Workman",Settings!$K$5,Settings!$K$4)))+(H56/(IF(F56="Contract Workman",Settings!$K$5,Settings!$K$4))),J56+(L56/(IF(F56="Contract Workman",Settings!$K$5,Settings!$K$4)))))</f>
        <v>46181.274470899494</v>
      </c>
      <c r="N56" s="10" t="str">
        <f t="shared" ca="1" si="2"/>
        <v>Shift S2</v>
      </c>
      <c r="O56" s="51" t="str">
        <f>IF(B56="","", IF(IFERROR(ISNUMBER(SEARCH(B56, VLOOKUP(E56, Machine_List!$B:$J, 9, 0))), FALSE()), "✅ Machine OK", "❌ Sug: " &amp; IFERROR(INDEX(Machine_List!$B$4:$B$50, MATCH("*"&amp;B56&amp;"*", Machine_List!$J$4:$J$50, 0)), "Check Limits")))</f>
        <v>✅ Machine OK</v>
      </c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  <c r="AK56" s="52"/>
      <c r="AL56" s="52"/>
      <c r="AM56" s="52"/>
      <c r="AN56" s="52"/>
      <c r="AO56" s="52"/>
      <c r="AP56" s="52"/>
      <c r="AQ56" s="52"/>
      <c r="AR56" s="52"/>
      <c r="AS56" s="52"/>
      <c r="AT56" s="52"/>
      <c r="AU56" s="52"/>
      <c r="AV56" s="52"/>
      <c r="AW56" s="52"/>
      <c r="AX56" s="52"/>
      <c r="AY56" s="52"/>
      <c r="AZ56" s="52"/>
      <c r="BA56" s="52"/>
      <c r="BB56" s="52"/>
      <c r="BC56" s="52"/>
      <c r="BD56" s="52"/>
      <c r="BE56" s="52"/>
      <c r="BF56" s="52"/>
      <c r="BG56" s="52"/>
      <c r="BH56" s="52"/>
      <c r="BI56" s="52"/>
      <c r="BJ56" s="52"/>
      <c r="BK56" s="52"/>
      <c r="BL56" s="52"/>
      <c r="BM56" s="52"/>
    </row>
    <row r="57" spans="1:65" ht="28.8" customHeight="1" x14ac:dyDescent="0.3">
      <c r="A57" s="10" t="str">
        <f>IF(Job_Master!A57="","",Job_Master!A57)</f>
        <v>BJ-153</v>
      </c>
      <c r="B57" s="10">
        <f>IF($A57="","",Job_Master!B57)</f>
        <v>34</v>
      </c>
      <c r="C57" s="10" t="str">
        <f>IF($A57="","",Job_Master!C57)</f>
        <v>SEG</v>
      </c>
      <c r="D57" s="10">
        <f>IF($A57="","",Job_Master!D57)</f>
        <v>6</v>
      </c>
      <c r="E57" s="48" t="str">
        <f>IF($A57="","","FID-MC-02")</f>
        <v>FID-MC-02</v>
      </c>
      <c r="F57" s="106" t="str">
        <f>IF($E57="","",IFERROR(VLOOKUP($E57,Machine_List!$B:$G,6,0),""))</f>
        <v>Contract Workman</v>
      </c>
      <c r="G57" s="53">
        <f>IF($E57="","",IFERROR(VLOOKUP($E57,Machine_List!$B:$C,2,0),""))</f>
        <v>46142</v>
      </c>
      <c r="H57" s="10">
        <f>IF($E57="","",IFERROR(VLOOKUP($E57,Machine_List!$B:$D,3,0),""))</f>
        <v>6</v>
      </c>
      <c r="I57" s="54"/>
      <c r="J57" s="55">
        <f ca="1">IF($A57="","",IF($I57&lt;&gt;"",$I57,MAX(VENT_Plan!$M57,IFERROR(LOOKUP(2,1/($E$3:INDIRECT("E"&amp;(ROW()-1))=$E57),$M$3:INDIRECT("M"&amp;(ROW()-1))),VENT_Plan!$M57))))</f>
        <v>46238.159391534384</v>
      </c>
      <c r="K57" s="10">
        <f>IF($A57="","",IFERROR(VLOOKUP(B57,CHOOSE(MATCH(C57,Settings!$L$4:$L$10,0),OPR_2P!$A$4:$I$18,SEG_6P!$A$4:$I$18,SOL_4P!$A$4:$I$18,RW_2P!$A$4:$I$18,RW2_4P!$A$4:$I$18,FLAP_4P!$A$4:$I$18,TUBE_4P!$A$4:$I$18),7,0),0))</f>
        <v>33</v>
      </c>
      <c r="L57" s="10">
        <f t="shared" si="0"/>
        <v>198</v>
      </c>
      <c r="M57" s="55">
        <f ca="1">IF($A57="","",IF(AND(ISNUMBER(G57),G57&gt;=J57,G57&lt;=(J57+(L57/(IF(F57="Contract Workman",Settings!$K$5,Settings!$K$4))))),J57+(L57/(IF(F57="Contract Workman",Settings!$K$5,Settings!$K$4)))+(H57/(IF(F57="Contract Workman",Settings!$K$5,Settings!$K$4))),J57+(L57/(IF(F57="Contract Workman",Settings!$K$5,Settings!$K$4)))))</f>
        <v>46246.998677248666</v>
      </c>
      <c r="N57" s="10" t="str">
        <f t="shared" ca="1" si="2"/>
        <v>Shift S2</v>
      </c>
      <c r="O57" s="51" t="str">
        <f>IF(B57="","", IF(IFERROR(ISNUMBER(SEARCH(B57, VLOOKUP(E57, Machine_List!$B:$J, 9, 0))), FALSE()), "✅ Machine OK", "❌ Sug: " &amp; IFERROR(INDEX(Machine_List!$B$4:$B$50, MATCH("*"&amp;B57&amp;"*", Machine_List!$J$4:$J$50, 0)), "Check Limits")))</f>
        <v>✅ Machine OK</v>
      </c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  <c r="AK57" s="52"/>
      <c r="AL57" s="52"/>
      <c r="AM57" s="52"/>
      <c r="AN57" s="52"/>
      <c r="AO57" s="52"/>
      <c r="AP57" s="52"/>
      <c r="AQ57" s="52"/>
      <c r="AR57" s="52"/>
      <c r="AS57" s="52"/>
      <c r="AT57" s="52"/>
      <c r="AU57" s="52"/>
      <c r="AV57" s="52"/>
      <c r="AW57" s="52"/>
      <c r="AX57" s="52"/>
      <c r="AY57" s="52"/>
      <c r="AZ57" s="52"/>
      <c r="BA57" s="52"/>
      <c r="BB57" s="52"/>
      <c r="BC57" s="52"/>
      <c r="BD57" s="52"/>
      <c r="BE57" s="52"/>
      <c r="BF57" s="52"/>
      <c r="BG57" s="52"/>
      <c r="BH57" s="52"/>
      <c r="BI57" s="52"/>
      <c r="BJ57" s="52"/>
      <c r="BK57" s="52"/>
      <c r="BL57" s="52"/>
      <c r="BM57" s="52"/>
    </row>
    <row r="58" spans="1:65" ht="28.8" customHeight="1" x14ac:dyDescent="0.3">
      <c r="A58" s="10" t="str">
        <f>IF(Job_Master!A58="","",Job_Master!A58)</f>
        <v>BJ-160</v>
      </c>
      <c r="B58" s="10">
        <f>IF($A58="","",Job_Master!B58)</f>
        <v>34</v>
      </c>
      <c r="C58" s="10" t="str">
        <f>IF($A58="","",Job_Master!C58)</f>
        <v>2P</v>
      </c>
      <c r="D58" s="10">
        <f>IF($A58="","",Job_Master!D58)</f>
        <v>2</v>
      </c>
      <c r="E58" s="48" t="str">
        <f>IF($A58="","","FID-MC-07")</f>
        <v>FID-MC-07</v>
      </c>
      <c r="F58" s="106" t="str">
        <f>IF($E58="","",IFERROR(VLOOKUP($E58,Machine_List!$B:$G,6,0),""))</f>
        <v>Contract Workman</v>
      </c>
      <c r="G58" s="53">
        <f>IF($E58="","",IFERROR(VLOOKUP($E58,Machine_List!$B:$C,2,0),""))</f>
        <v>46402</v>
      </c>
      <c r="H58" s="10">
        <f>IF($E58="","",IFERROR(VLOOKUP($E58,Machine_List!$B:$D,3,0),""))</f>
        <v>6</v>
      </c>
      <c r="I58" s="54"/>
      <c r="J58" s="55">
        <f ca="1">IF($A58="","",IF($I58&lt;&gt;"",$I58,MAX(VENT_Plan!$M58,IFERROR(LOOKUP(2,1/($E$3:INDIRECT("E"&amp;(ROW()-1))=$E58),$M$3:INDIRECT("M"&amp;(ROW()-1))),VENT_Plan!$M58))))</f>
        <v>46202.646825396834</v>
      </c>
      <c r="K58" s="10">
        <f>IF($A58="","",IFERROR(VLOOKUP(B58,CHOOSE(MATCH(C58,Settings!$L$4:$L$10,0),OPR_2P!$A$4:$I$18,SEG_6P!$A$4:$I$18,SOL_4P!$A$4:$I$18,RW_2P!$A$4:$I$18,RW2_4P!$A$4:$I$18,FLAP_4P!$A$4:$I$18,TUBE_4P!$A$4:$I$18),7,0),0))</f>
        <v>37</v>
      </c>
      <c r="L58" s="10">
        <f t="shared" si="0"/>
        <v>74</v>
      </c>
      <c r="M58" s="55">
        <f ca="1">IF($A58="","",IF(AND(ISNUMBER(G58),G58&gt;=J58,G58&lt;=(J58+(L58/(IF(F58="Contract Workman",Settings!$K$5,Settings!$K$4))))),J58+(L58/(IF(F58="Contract Workman",Settings!$K$5,Settings!$K$4)))+(H58/(IF(F58="Contract Workman",Settings!$K$5,Settings!$K$4))),J58+(L58/(IF(F58="Contract Workman",Settings!$K$5,Settings!$K$4)))))</f>
        <v>46205.950396825407</v>
      </c>
      <c r="N58" s="10" t="str">
        <f t="shared" ca="1" si="2"/>
        <v>Shift S2</v>
      </c>
      <c r="O58" s="51" t="str">
        <f>IF(B58="","", IF(IFERROR(ISNUMBER(SEARCH(B58, VLOOKUP(E58, Machine_List!$B:$J, 9, 0))), FALSE()), "✅ Machine OK", "❌ Sug: " &amp; IFERROR(INDEX(Machine_List!$B$4:$B$50, MATCH("*"&amp;B58&amp;"*", Machine_List!$J$4:$J$50, 0)), "Check Limits")))</f>
        <v>✅ Machine OK</v>
      </c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52"/>
      <c r="AK58" s="52"/>
      <c r="AL58" s="52"/>
      <c r="AM58" s="52"/>
      <c r="AN58" s="52"/>
      <c r="AO58" s="52"/>
      <c r="AP58" s="52"/>
      <c r="AQ58" s="52"/>
      <c r="AR58" s="52"/>
      <c r="AS58" s="52"/>
      <c r="AT58" s="52"/>
      <c r="AU58" s="52"/>
      <c r="AV58" s="52"/>
      <c r="AW58" s="52"/>
      <c r="AX58" s="52"/>
      <c r="AY58" s="52"/>
      <c r="AZ58" s="52"/>
      <c r="BA58" s="52"/>
      <c r="BB58" s="52"/>
      <c r="BC58" s="52"/>
      <c r="BD58" s="52"/>
      <c r="BE58" s="52"/>
      <c r="BF58" s="52"/>
      <c r="BG58" s="52"/>
      <c r="BH58" s="52"/>
      <c r="BI58" s="52"/>
      <c r="BJ58" s="52"/>
      <c r="BK58" s="52"/>
      <c r="BL58" s="52"/>
      <c r="BM58" s="52"/>
    </row>
    <row r="59" spans="1:65" ht="28.8" customHeight="1" x14ac:dyDescent="0.3">
      <c r="A59" s="10" t="str">
        <f>IF(Job_Master!A59="","",Job_Master!A59)</f>
        <v>BJ-158</v>
      </c>
      <c r="B59" s="10">
        <f>IF($A59="","",Job_Master!B59)</f>
        <v>54</v>
      </c>
      <c r="C59" s="10" t="str">
        <f>IF($A59="","",Job_Master!C59)</f>
        <v>2P</v>
      </c>
      <c r="D59" s="10">
        <f>IF($A59="","",Job_Master!D59)</f>
        <v>2</v>
      </c>
      <c r="E59" s="48" t="str">
        <f>IF($A59="","","FID-MC-03")</f>
        <v>FID-MC-03</v>
      </c>
      <c r="F59" s="106" t="str">
        <f>IF($E59="","",IFERROR(VLOOKUP($E59,Machine_List!$B:$G,6,0),""))</f>
        <v>Contract Workman</v>
      </c>
      <c r="G59" s="53">
        <f>IF($E59="","",IFERROR(VLOOKUP($E59,Machine_List!$B:$C,2,0),""))</f>
        <v>46483</v>
      </c>
      <c r="H59" s="10">
        <f>IF($E59="","",IFERROR(VLOOKUP($E59,Machine_List!$B:$D,3,0),""))</f>
        <v>6</v>
      </c>
      <c r="I59" s="54"/>
      <c r="J59" s="55">
        <f ca="1">IF($A59="","",IF($I59&lt;&gt;"",$I59,MAX(VENT_Plan!$M59,IFERROR(LOOKUP(2,1/($E$3:INDIRECT("E"&amp;(ROW()-1))=$E59),$M$3:INDIRECT("M"&amp;(ROW()-1))),VENT_Plan!$M59))))</f>
        <v>46234.320105820101</v>
      </c>
      <c r="K59" s="10">
        <f>IF($A59="","",IFERROR(VLOOKUP(B59,CHOOSE(MATCH(C59,Settings!$L$4:$L$10,0),OPR_2P!$A$4:$I$18,SEG_6P!$A$4:$I$18,SOL_4P!$A$4:$I$18,RW_2P!$A$4:$I$18,RW2_4P!$A$4:$I$18,FLAP_4P!$A$4:$I$18,TUBE_4P!$A$4:$I$18),7,0),0))</f>
        <v>77</v>
      </c>
      <c r="L59" s="10">
        <f t="shared" si="0"/>
        <v>154</v>
      </c>
      <c r="M59" s="55">
        <f ca="1">IF($A59="","",IF(AND(ISNUMBER(G59),G59&gt;=J59,G59&lt;=(J59+(L59/(IF(F59="Contract Workman",Settings!$K$5,Settings!$K$4))))),J59+(L59/(IF(F59="Contract Workman",Settings!$K$5,Settings!$K$4)))+(H59/(IF(F59="Contract Workman",Settings!$K$5,Settings!$K$4))),J59+(L59/(IF(F59="Contract Workman",Settings!$K$5,Settings!$K$4)))))</f>
        <v>46241.195105820101</v>
      </c>
      <c r="N59" s="10" t="str">
        <f t="shared" ca="1" si="2"/>
        <v>Shift S2</v>
      </c>
      <c r="O59" s="51" t="str">
        <f>IF(B59="","", IF(IFERROR(ISNUMBER(SEARCH(B59, VLOOKUP(E59, Machine_List!$B:$J, 9, 0))), FALSE()), "✅ Machine OK", "❌ Sug: " &amp; IFERROR(INDEX(Machine_List!$B$4:$B$50, MATCH("*"&amp;B59&amp;"*", Machine_List!$J$4:$J$50, 0)), "Check Limits")))</f>
        <v>✅ Machine OK</v>
      </c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  <c r="AK59" s="52"/>
      <c r="AL59" s="52"/>
      <c r="AM59" s="52"/>
      <c r="AN59" s="52"/>
      <c r="AO59" s="52"/>
      <c r="AP59" s="52"/>
      <c r="AQ59" s="52"/>
      <c r="AR59" s="52"/>
      <c r="AS59" s="52"/>
      <c r="AT59" s="52"/>
      <c r="AU59" s="52"/>
      <c r="AV59" s="52"/>
      <c r="AW59" s="52"/>
      <c r="AX59" s="52"/>
      <c r="AY59" s="52"/>
      <c r="AZ59" s="52"/>
      <c r="BA59" s="52"/>
      <c r="BB59" s="52"/>
      <c r="BC59" s="52"/>
      <c r="BD59" s="52"/>
      <c r="BE59" s="52"/>
      <c r="BF59" s="52"/>
      <c r="BG59" s="52"/>
      <c r="BH59" s="52"/>
      <c r="BI59" s="52"/>
      <c r="BJ59" s="52"/>
      <c r="BK59" s="52"/>
      <c r="BL59" s="52"/>
      <c r="BM59" s="52"/>
    </row>
    <row r="60" spans="1:65" ht="28.8" customHeight="1" x14ac:dyDescent="0.3">
      <c r="A60" s="10" t="str">
        <f>IF(Job_Master!A60="","",Job_Master!A60)</f>
        <v>BJ-157</v>
      </c>
      <c r="B60" s="10">
        <f>IF($A60="","",Job_Master!B60)</f>
        <v>50</v>
      </c>
      <c r="C60" s="10" t="str">
        <f>IF($A60="","",Job_Master!C60)</f>
        <v>SEG</v>
      </c>
      <c r="D60" s="10">
        <f>IF($A60="","",Job_Master!D60)</f>
        <v>6</v>
      </c>
      <c r="E60" s="48" t="str">
        <f>IF($A60="","","FID-MC-01")</f>
        <v>FID-MC-01</v>
      </c>
      <c r="F60" s="106" t="str">
        <f>IF($E60="","",IFERROR(VLOOKUP($E60,Machine_List!$B:$G,6,0),""))</f>
        <v>Contract Workman</v>
      </c>
      <c r="G60" s="53">
        <f>IF($E60="","",IFERROR(VLOOKUP($E60,Machine_List!$B:$C,2,0),""))</f>
        <v>46106</v>
      </c>
      <c r="H60" s="10">
        <f>IF($E60="","",IFERROR(VLOOKUP($E60,Machine_List!$B:$D,3,0),""))</f>
        <v>6</v>
      </c>
      <c r="I60" s="54"/>
      <c r="J60" s="55">
        <f ca="1">IF($A60="","",IF($I60&lt;&gt;"",$I60,MAX(VENT_Plan!$M60,IFERROR(LOOKUP(2,1/($E$3:INDIRECT("E"&amp;(ROW()-1))=$E60),$M$3:INDIRECT("M"&amp;(ROW()-1))),VENT_Plan!$M60))))</f>
        <v>46290.636243386238</v>
      </c>
      <c r="K60" s="10">
        <f>IF($A60="","",IFERROR(VLOOKUP(B60,CHOOSE(MATCH(C60,Settings!$L$4:$L$10,0),OPR_2P!$A$4:$I$18,SEG_6P!$A$4:$I$18,SOL_4P!$A$4:$I$18,RW_2P!$A$4:$I$18,RW2_4P!$A$4:$I$18,FLAP_4P!$A$4:$I$18,TUBE_4P!$A$4:$I$18),7,0),0))</f>
        <v>59</v>
      </c>
      <c r="L60" s="10">
        <f t="shared" si="0"/>
        <v>354</v>
      </c>
      <c r="M60" s="55">
        <f ca="1">IF($A60="","",IF(AND(ISNUMBER(G60),G60&gt;=J60,G60&lt;=(J60+(L60/(IF(F60="Contract Workman",Settings!$K$5,Settings!$K$4))))),J60+(L60/(IF(F60="Contract Workman",Settings!$K$5,Settings!$K$4)))+(H60/(IF(F60="Contract Workman",Settings!$K$5,Settings!$K$4))),J60+(L60/(IF(F60="Contract Workman",Settings!$K$5,Settings!$K$4)))))</f>
        <v>46306.43981481481</v>
      </c>
      <c r="N60" s="10" t="str">
        <f t="shared" ca="1" si="2"/>
        <v>Shift S1</v>
      </c>
      <c r="O60" s="51" t="str">
        <f>IF(B60="","", IF(IFERROR(ISNUMBER(SEARCH(B60, VLOOKUP(E60, Machine_List!$B:$J, 9, 0))), FALSE()), "✅ Machine OK", "❌ Sug: " &amp; IFERROR(INDEX(Machine_List!$B$4:$B$50, MATCH("*"&amp;B60&amp;"*", Machine_List!$J$4:$J$50, 0)), "Check Limits")))</f>
        <v>✅ Machine OK</v>
      </c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52"/>
      <c r="AN60" s="52"/>
      <c r="AO60" s="52"/>
      <c r="AP60" s="52"/>
      <c r="AQ60" s="52"/>
      <c r="AR60" s="52"/>
      <c r="AS60" s="52"/>
      <c r="AT60" s="52"/>
      <c r="AU60" s="52"/>
      <c r="AV60" s="52"/>
      <c r="AW60" s="52"/>
      <c r="AX60" s="52"/>
      <c r="AY60" s="52"/>
      <c r="AZ60" s="52"/>
      <c r="BA60" s="52"/>
      <c r="BB60" s="52"/>
      <c r="BC60" s="52"/>
      <c r="BD60" s="52"/>
      <c r="BE60" s="52"/>
      <c r="BF60" s="52"/>
      <c r="BG60" s="52"/>
      <c r="BH60" s="52"/>
      <c r="BI60" s="52"/>
      <c r="BJ60" s="52"/>
      <c r="BK60" s="52"/>
      <c r="BL60" s="52"/>
      <c r="BM60" s="52"/>
    </row>
    <row r="61" spans="1:65" ht="28.8" customHeight="1" x14ac:dyDescent="0.3">
      <c r="A61" s="10" t="str">
        <f>IF(Job_Master!A61="","",Job_Master!A61)</f>
        <v>BJ-159</v>
      </c>
      <c r="B61" s="10">
        <f>IF($A61="","",Job_Master!B61)</f>
        <v>54</v>
      </c>
      <c r="C61" s="10" t="str">
        <f>IF($A61="","",Job_Master!C61)</f>
        <v>RW</v>
      </c>
      <c r="D61" s="10">
        <f>IF($A61="","",Job_Master!D61)</f>
        <v>2</v>
      </c>
      <c r="E61" s="48" t="str">
        <f>IF($A61="","","FID-MC-03")</f>
        <v>FID-MC-03</v>
      </c>
      <c r="F61" s="106" t="str">
        <f>IF($E61="","",IFERROR(VLOOKUP($E61,Machine_List!$B:$G,6,0),""))</f>
        <v>Contract Workman</v>
      </c>
      <c r="G61" s="53">
        <f>IF($E61="","",IFERROR(VLOOKUP($E61,Machine_List!$B:$C,2,0),""))</f>
        <v>46483</v>
      </c>
      <c r="H61" s="10">
        <f>IF($E61="","",IFERROR(VLOOKUP($E61,Machine_List!$B:$D,3,0),""))</f>
        <v>6</v>
      </c>
      <c r="I61" s="54"/>
      <c r="J61" s="55">
        <f ca="1">IF($A61="","",IF($I61&lt;&gt;"",$I61,MAX(VENT_Plan!$M61,IFERROR(LOOKUP(2,1/($E$3:INDIRECT("E"&amp;(ROW()-1))=$E61),$M$3:INDIRECT("M"&amp;(ROW()-1))),VENT_Plan!$M61))))</f>
        <v>46241.195105820101</v>
      </c>
      <c r="K61" s="10">
        <f>IF($A61="","",IFERROR(VLOOKUP(B61,CHOOSE(MATCH(C61,Settings!$L$4:$L$10,0),OPR_2P!$A$4:$I$18,SEG_6P!$A$4:$I$18,SOL_4P!$A$4:$I$18,RW_2P!$A$4:$I$18,RW2_4P!$A$4:$I$18,FLAP_4P!$A$4:$I$18,TUBE_4P!$A$4:$I$18),7,0),0))</f>
        <v>54</v>
      </c>
      <c r="L61" s="10">
        <f t="shared" si="0"/>
        <v>108</v>
      </c>
      <c r="M61" s="55">
        <f ca="1">IF($A61="","",IF(AND(ISNUMBER(G61),G61&gt;=J61,G61&lt;=(J61+(L61/(IF(F61="Contract Workman",Settings!$K$5,Settings!$K$4))))),J61+(L61/(IF(F61="Contract Workman",Settings!$K$5,Settings!$K$4)))+(H61/(IF(F61="Contract Workman",Settings!$K$5,Settings!$K$4))),J61+(L61/(IF(F61="Contract Workman",Settings!$K$5,Settings!$K$4)))))</f>
        <v>46246.016534391529</v>
      </c>
      <c r="N61" s="10" t="str">
        <f t="shared" ca="1" si="2"/>
        <v>Shift S2</v>
      </c>
      <c r="O61" s="51" t="str">
        <f>IF(B61="","", IF(IFERROR(ISNUMBER(SEARCH(B61, VLOOKUP(E61, Machine_List!$B:$J, 9, 0))), FALSE()), "✅ Machine OK", "❌ Sug: " &amp; IFERROR(INDEX(Machine_List!$B$4:$B$50, MATCH("*"&amp;B61&amp;"*", Machine_List!$J$4:$J$50, 0)), "Check Limits")))</f>
        <v>✅ Machine OK</v>
      </c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52"/>
      <c r="AG61" s="52"/>
      <c r="AH61" s="52"/>
      <c r="AI61" s="52"/>
      <c r="AJ61" s="52"/>
      <c r="AK61" s="52"/>
      <c r="AL61" s="52"/>
      <c r="AM61" s="52"/>
      <c r="AN61" s="52"/>
      <c r="AO61" s="52"/>
      <c r="AP61" s="52"/>
      <c r="AQ61" s="52"/>
      <c r="AR61" s="52"/>
      <c r="AS61" s="52"/>
      <c r="AT61" s="52"/>
      <c r="AU61" s="52"/>
      <c r="AV61" s="52"/>
      <c r="AW61" s="52"/>
      <c r="AX61" s="52"/>
      <c r="AY61" s="52"/>
      <c r="AZ61" s="52"/>
      <c r="BA61" s="52"/>
      <c r="BB61" s="52"/>
      <c r="BC61" s="52"/>
      <c r="BD61" s="52"/>
      <c r="BE61" s="52"/>
      <c r="BF61" s="52"/>
      <c r="BG61" s="52"/>
      <c r="BH61" s="52"/>
      <c r="BI61" s="52"/>
      <c r="BJ61" s="52"/>
      <c r="BK61" s="52"/>
      <c r="BL61" s="52"/>
      <c r="BM61" s="52"/>
    </row>
    <row r="62" spans="1:65" ht="28.8" customHeight="1" x14ac:dyDescent="0.3">
      <c r="A62" s="10" t="str">
        <f>IF(Job_Master!A62="","",Job_Master!A62)</f>
        <v>BJ-148</v>
      </c>
      <c r="B62" s="10">
        <f>IF($A62="","",Job_Master!B62)</f>
        <v>9</v>
      </c>
      <c r="C62" s="10" t="str">
        <f>IF($A62="","",Job_Master!C62)</f>
        <v>SEG</v>
      </c>
      <c r="D62" s="10">
        <f>IF($A62="","",Job_Master!D62)</f>
        <v>6</v>
      </c>
      <c r="E62" s="48" t="str">
        <f>IF($A62="","","FID-MC-09")</f>
        <v>FID-MC-09</v>
      </c>
      <c r="F62" s="106" t="str">
        <f>IF($E62="","",IFERROR(VLOOKUP($E62,Machine_List!$B:$G,6,0),""))</f>
        <v>Contract Workman</v>
      </c>
      <c r="G62" s="53">
        <f>IF($E62="","",IFERROR(VLOOKUP($E62,Machine_List!$B:$C,2,0),""))</f>
        <v>46165</v>
      </c>
      <c r="H62" s="10">
        <f>IF($E62="","",IFERROR(VLOOKUP($E62,Machine_List!$B:$D,3,0),""))</f>
        <v>6</v>
      </c>
      <c r="I62" s="54"/>
      <c r="J62" s="55">
        <f ca="1">IF($A62="","",IF($I62&lt;&gt;"",$I62,MAX(VENT_Plan!$M62,IFERROR(LOOKUP(2,1/($E$3:INDIRECT("E"&amp;(ROW()-1))=$E62),$M$3:INDIRECT("M"&amp;(ROW()-1))),VENT_Plan!$M62))))</f>
        <v>46183.612433862458</v>
      </c>
      <c r="K62" s="10">
        <f>IF($A62="","",IFERROR(VLOOKUP(B62,CHOOSE(MATCH(C62,Settings!$L$4:$L$10,0),OPR_2P!$A$4:$I$18,SEG_6P!$A$4:$I$18,SOL_4P!$A$4:$I$18,RW_2P!$A$4:$I$18,RW2_4P!$A$4:$I$18,FLAP_4P!$A$4:$I$18,TUBE_4P!$A$4:$I$18),7,0),0))</f>
        <v>2</v>
      </c>
      <c r="L62" s="10">
        <f t="shared" si="0"/>
        <v>12</v>
      </c>
      <c r="M62" s="55">
        <f ca="1">IF($A62="","",IF(AND(ISNUMBER(G62),G62&gt;=J62,G62&lt;=(J62+(L62/(IF(F62="Contract Workman",Settings!$K$5,Settings!$K$4))))),J62+(L62/(IF(F62="Contract Workman",Settings!$K$5,Settings!$K$4)))+(H62/(IF(F62="Contract Workman",Settings!$K$5,Settings!$K$4))),J62+(L62/(IF(F62="Contract Workman",Settings!$K$5,Settings!$K$4)))))</f>
        <v>46184.148148148175</v>
      </c>
      <c r="N62" s="10" t="str">
        <f t="shared" ca="1" si="2"/>
        <v>Shift S2</v>
      </c>
      <c r="O62" s="51" t="str">
        <f>IF(B62="","", IF(IFERROR(ISNUMBER(SEARCH(B62, VLOOKUP(E62, Machine_List!$B:$J, 9, 0))), FALSE()), "✅ Machine OK", "❌ Sug: " &amp; IFERROR(INDEX(Machine_List!$B$4:$B$50, MATCH("*"&amp;B62&amp;"*", Machine_List!$J$4:$J$50, 0)), "Check Limits")))</f>
        <v>✅ Machine OK</v>
      </c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52"/>
      <c r="AK62" s="52"/>
      <c r="AL62" s="52"/>
      <c r="AM62" s="52"/>
      <c r="AN62" s="52"/>
      <c r="AO62" s="52"/>
      <c r="AP62" s="52"/>
      <c r="AQ62" s="52"/>
      <c r="AR62" s="52"/>
      <c r="AS62" s="52"/>
      <c r="AT62" s="52"/>
      <c r="AU62" s="52"/>
      <c r="AV62" s="52"/>
      <c r="AW62" s="52"/>
      <c r="AX62" s="52"/>
      <c r="AY62" s="52"/>
      <c r="AZ62" s="52"/>
      <c r="BA62" s="52"/>
      <c r="BB62" s="52"/>
      <c r="BC62" s="52"/>
      <c r="BD62" s="52"/>
      <c r="BE62" s="52"/>
      <c r="BF62" s="52"/>
      <c r="BG62" s="52"/>
      <c r="BH62" s="52"/>
      <c r="BI62" s="52"/>
      <c r="BJ62" s="52"/>
      <c r="BK62" s="52"/>
      <c r="BL62" s="52"/>
      <c r="BM62" s="52"/>
    </row>
    <row r="63" spans="1:65" ht="28.8" customHeight="1" x14ac:dyDescent="0.3">
      <c r="A63" s="10" t="str">
        <f>IF(Job_Master!A63="","",Job_Master!A63)</f>
        <v>BJ-161</v>
      </c>
      <c r="B63" s="10">
        <f>IF($A63="","",Job_Master!B63)</f>
        <v>30</v>
      </c>
      <c r="C63" s="10" t="str">
        <f>IF($A63="","",Job_Master!C63)</f>
        <v>SEG</v>
      </c>
      <c r="D63" s="10">
        <f>IF($A63="","",Job_Master!D63)</f>
        <v>6</v>
      </c>
      <c r="E63" s="48" t="str">
        <f>IF($A63="","","FID-MC-04")</f>
        <v>FID-MC-04</v>
      </c>
      <c r="F63" s="106" t="str">
        <f>IF($E63="","",IFERROR(VLOOKUP($E63,Machine_List!$B:$G,6,0),""))</f>
        <v>Contract Workman</v>
      </c>
      <c r="G63" s="53">
        <f>IF($E63="","",IFERROR(VLOOKUP($E63,Machine_List!$B:$C,2,0),""))</f>
        <v>46318</v>
      </c>
      <c r="H63" s="10">
        <f>IF($E63="","",IFERROR(VLOOKUP($E63,Machine_List!$B:$D,3,0),""))</f>
        <v>6</v>
      </c>
      <c r="I63" s="54"/>
      <c r="J63" s="55">
        <f ca="1">IF($A63="","",IF($I63&lt;&gt;"",$I63,MAX(VENT_Plan!$M63,IFERROR(LOOKUP(2,1/($E$3:INDIRECT("E"&amp;(ROW()-1))=$E63),$M$3:INDIRECT("M"&amp;(ROW()-1))),VENT_Plan!$M63))))</f>
        <v>46227.015211640217</v>
      </c>
      <c r="K63" s="10">
        <f>IF($A63="","",IFERROR(VLOOKUP(B63,CHOOSE(MATCH(C63,Settings!$L$4:$L$10,0),OPR_2P!$A$4:$I$18,SEG_6P!$A$4:$I$18,SOL_4P!$A$4:$I$18,RW_2P!$A$4:$I$18,RW2_4P!$A$4:$I$18,FLAP_4P!$A$4:$I$18,TUBE_4P!$A$4:$I$18),7,0),0))</f>
        <v>27</v>
      </c>
      <c r="L63" s="10">
        <f t="shared" si="0"/>
        <v>162</v>
      </c>
      <c r="M63" s="55">
        <f ca="1">IF($A63="","",IF(AND(ISNUMBER(G63),G63&gt;=J63,G63&lt;=(J63+(L63/(IF(F63="Contract Workman",Settings!$K$5,Settings!$K$4))))),J63+(L63/(IF(F63="Contract Workman",Settings!$K$5,Settings!$K$4)))+(H63/(IF(F63="Contract Workman",Settings!$K$5,Settings!$K$4))),J63+(L63/(IF(F63="Contract Workman",Settings!$K$5,Settings!$K$4)))))</f>
        <v>46234.247354497362</v>
      </c>
      <c r="N63" s="10" t="str">
        <f t="shared" ca="1" si="2"/>
        <v>Shift S2</v>
      </c>
      <c r="O63" s="51" t="str">
        <f>IF(B63="","", IF(IFERROR(ISNUMBER(SEARCH(B63, VLOOKUP(E63, Machine_List!$B:$J, 9, 0))), FALSE()), "✅ Machine OK", "❌ Sug: " &amp; IFERROR(INDEX(Machine_List!$B$4:$B$50, MATCH("*"&amp;B63&amp;"*", Machine_List!$J$4:$J$50, 0)), "Check Limits")))</f>
        <v>✅ Machine OK</v>
      </c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52"/>
      <c r="AK63" s="52"/>
      <c r="AL63" s="52"/>
      <c r="AM63" s="52"/>
      <c r="AN63" s="52"/>
      <c r="AO63" s="52"/>
      <c r="AP63" s="52"/>
      <c r="AQ63" s="52"/>
      <c r="AR63" s="52"/>
      <c r="AS63" s="52"/>
      <c r="AT63" s="52"/>
      <c r="AU63" s="52"/>
      <c r="AV63" s="52"/>
      <c r="AW63" s="52"/>
      <c r="AX63" s="52"/>
      <c r="AY63" s="52"/>
      <c r="AZ63" s="52"/>
      <c r="BA63" s="52"/>
      <c r="BB63" s="52"/>
      <c r="BC63" s="52"/>
      <c r="BD63" s="52"/>
      <c r="BE63" s="52"/>
      <c r="BF63" s="52"/>
      <c r="BG63" s="52"/>
      <c r="BH63" s="52"/>
      <c r="BI63" s="52"/>
      <c r="BJ63" s="52"/>
      <c r="BK63" s="52"/>
      <c r="BL63" s="52"/>
      <c r="BM63" s="52"/>
    </row>
    <row r="64" spans="1:65" ht="28.8" customHeight="1" x14ac:dyDescent="0.3">
      <c r="A64" s="10" t="str">
        <f>IF(Job_Master!A64="","",Job_Master!A64)</f>
        <v>BJ-149</v>
      </c>
      <c r="B64" s="10">
        <f>IF($A64="","",Job_Master!B64)</f>
        <v>9</v>
      </c>
      <c r="C64" s="10" t="str">
        <f>IF($A64="","",Job_Master!C64)</f>
        <v>2P</v>
      </c>
      <c r="D64" s="10">
        <f>IF($A64="","",Job_Master!D64)</f>
        <v>2</v>
      </c>
      <c r="E64" s="48" t="str">
        <f>IF($A64="","","FID-MC-10")</f>
        <v>FID-MC-10</v>
      </c>
      <c r="F64" s="106" t="str">
        <f>IF($E64="","",IFERROR(VLOOKUP($E64,Machine_List!$B:$G,6,0),""))</f>
        <v>Contract Workman</v>
      </c>
      <c r="G64" s="53">
        <f>IF($E64="","",IFERROR(VLOOKUP($E64,Machine_List!$B:$C,2,0),""))</f>
        <v>46483</v>
      </c>
      <c r="H64" s="10">
        <f>IF($E64="","",IFERROR(VLOOKUP($E64,Machine_List!$B:$D,3,0),""))</f>
        <v>6</v>
      </c>
      <c r="I64" s="54"/>
      <c r="J64" s="55">
        <f ca="1">IF($A64="","",IF($I64&lt;&gt;"",$I64,MAX(VENT_Plan!$M64,IFERROR(LOOKUP(2,1/($E$3:INDIRECT("E"&amp;(ROW()-1))=$E64),$M$3:INDIRECT("M"&amp;(ROW()-1))),VENT_Plan!$M64))))</f>
        <v>46182.180555555562</v>
      </c>
      <c r="K64" s="10">
        <f>IF($A64="","",IFERROR(VLOOKUP(B64,CHOOSE(MATCH(C64,Settings!$L$4:$L$10,0),OPR_2P!$A$4:$I$18,SEG_6P!$A$4:$I$18,SOL_4P!$A$4:$I$18,RW_2P!$A$4:$I$18,RW2_4P!$A$4:$I$18,FLAP_4P!$A$4:$I$18,TUBE_4P!$A$4:$I$18),7,0),0))</f>
        <v>1</v>
      </c>
      <c r="L64" s="10">
        <f t="shared" si="0"/>
        <v>2</v>
      </c>
      <c r="M64" s="55">
        <f ca="1">IF($A64="","",IF(AND(ISNUMBER(G64),G64&gt;=J64,G64&lt;=(J64+(L64/(IF(F64="Contract Workman",Settings!$K$5,Settings!$K$4))))),J64+(L64/(IF(F64="Contract Workman",Settings!$K$5,Settings!$K$4)))+(H64/(IF(F64="Contract Workman",Settings!$K$5,Settings!$K$4))),J64+(L64/(IF(F64="Contract Workman",Settings!$K$5,Settings!$K$4)))))</f>
        <v>46182.269841269845</v>
      </c>
      <c r="N64" s="10" t="str">
        <f t="shared" ca="1" si="2"/>
        <v>Shift S2</v>
      </c>
      <c r="O64" s="51" t="str">
        <f>IF(B64="","", IF(IFERROR(ISNUMBER(SEARCH(B64, VLOOKUP(E64, Machine_List!$B:$J, 9, 0))), FALSE()), "✅ Machine OK", "❌ Sug: " &amp; IFERROR(INDEX(Machine_List!$B$4:$B$50, MATCH("*"&amp;B64&amp;"*", Machine_List!$J$4:$J$50, 0)), "Check Limits")))</f>
        <v>✅ Machine OK</v>
      </c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2"/>
      <c r="AJ64" s="52"/>
      <c r="AK64" s="52"/>
      <c r="AL64" s="52"/>
      <c r="AM64" s="52"/>
      <c r="AN64" s="52"/>
      <c r="AO64" s="52"/>
      <c r="AP64" s="52"/>
      <c r="AQ64" s="52"/>
      <c r="AR64" s="52"/>
      <c r="AS64" s="52"/>
      <c r="AT64" s="52"/>
      <c r="AU64" s="52"/>
      <c r="AV64" s="52"/>
      <c r="AW64" s="52"/>
      <c r="AX64" s="52"/>
      <c r="AY64" s="52"/>
      <c r="AZ64" s="52"/>
      <c r="BA64" s="52"/>
      <c r="BB64" s="52"/>
      <c r="BC64" s="52"/>
      <c r="BD64" s="52"/>
      <c r="BE64" s="52"/>
      <c r="BF64" s="52"/>
      <c r="BG64" s="52"/>
      <c r="BH64" s="52"/>
      <c r="BI64" s="52"/>
      <c r="BJ64" s="52"/>
      <c r="BK64" s="52"/>
      <c r="BL64" s="52"/>
      <c r="BM64" s="52"/>
    </row>
    <row r="65" spans="1:65" ht="28.8" customHeight="1" x14ac:dyDescent="0.3">
      <c r="A65" s="10" t="str">
        <f>IF(Job_Master!A65="","",Job_Master!A65)</f>
        <v>BJ-163</v>
      </c>
      <c r="B65" s="10">
        <f>IF($A65="","",Job_Master!B65)</f>
        <v>70</v>
      </c>
      <c r="C65" s="10" t="str">
        <f>IF($A65="","",Job_Master!C65)</f>
        <v>SOL</v>
      </c>
      <c r="D65" s="10">
        <f>IF($A65="","",Job_Master!D65)</f>
        <v>4</v>
      </c>
      <c r="E65" s="48" t="str">
        <f>IF($A65="","","FID-MC-01")</f>
        <v>FID-MC-01</v>
      </c>
      <c r="F65" s="106" t="str">
        <f>IF($E65="","",IFERROR(VLOOKUP($E65,Machine_List!$B:$G,6,0),""))</f>
        <v>Contract Workman</v>
      </c>
      <c r="G65" s="53">
        <f>IF($E65="","",IFERROR(VLOOKUP($E65,Machine_List!$B:$C,2,0),""))</f>
        <v>46106</v>
      </c>
      <c r="H65" s="10">
        <f>IF($E65="","",IFERROR(VLOOKUP($E65,Machine_List!$B:$D,3,0),""))</f>
        <v>6</v>
      </c>
      <c r="I65" s="54"/>
      <c r="J65" s="55">
        <f ca="1">IF($A65="","",IF($I65&lt;&gt;"",$I65,MAX(VENT_Plan!$M65,IFERROR(LOOKUP(2,1/($E$3:INDIRECT("E"&amp;(ROW()-1))=$E65),$M$3:INDIRECT("M"&amp;(ROW()-1))),VENT_Plan!$M65))))</f>
        <v>46306.43981481481</v>
      </c>
      <c r="K65" s="10">
        <f>IF($A65="","",IFERROR(VLOOKUP(B65,CHOOSE(MATCH(C65,Settings!$L$4:$L$10,0),OPR_2P!$A$4:$I$18,SEG_6P!$A$4:$I$18,SOL_4P!$A$4:$I$18,RW_2P!$A$4:$I$18,RW2_4P!$A$4:$I$18,FLAP_4P!$A$4:$I$18,TUBE_4P!$A$4:$I$18),7,0),0))</f>
        <v>84</v>
      </c>
      <c r="L65" s="10">
        <f t="shared" si="0"/>
        <v>336</v>
      </c>
      <c r="M65" s="55">
        <f ca="1">IF($A65="","",IF(AND(ISNUMBER(G65),G65&gt;=J65,G65&lt;=(J65+(L65/(IF(F65="Contract Workman",Settings!$K$5,Settings!$K$4))))),J65+(L65/(IF(F65="Contract Workman",Settings!$K$5,Settings!$K$4)))+(H65/(IF(F65="Contract Workman",Settings!$K$5,Settings!$K$4))),J65+(L65/(IF(F65="Contract Workman",Settings!$K$5,Settings!$K$4)))))</f>
        <v>46321.43981481481</v>
      </c>
      <c r="N65" s="10" t="str">
        <f t="shared" ca="1" si="2"/>
        <v>Shift S1</v>
      </c>
      <c r="O65" s="51" t="str">
        <f>IF(B65="","", IF(IFERROR(ISNUMBER(SEARCH(B65, VLOOKUP(E65, Machine_List!$B:$J, 9, 0))), FALSE()), "✅ Machine OK", "❌ Sug: " &amp; IFERROR(INDEX(Machine_List!$B$4:$B$50, MATCH("*"&amp;B65&amp;"*", Machine_List!$J$4:$J$50, 0)), "Check Limits")))</f>
        <v>✅ Machine OK</v>
      </c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52"/>
      <c r="AG65" s="52"/>
      <c r="AH65" s="52"/>
      <c r="AI65" s="52"/>
      <c r="AJ65" s="52"/>
      <c r="AK65" s="52"/>
      <c r="AL65" s="52"/>
      <c r="AM65" s="52"/>
      <c r="AN65" s="52"/>
      <c r="AO65" s="52"/>
      <c r="AP65" s="52"/>
      <c r="AQ65" s="52"/>
      <c r="AR65" s="52"/>
      <c r="AS65" s="52"/>
      <c r="AT65" s="52"/>
      <c r="AU65" s="52"/>
      <c r="AV65" s="52"/>
      <c r="AW65" s="52"/>
      <c r="AX65" s="52"/>
      <c r="AY65" s="52"/>
      <c r="AZ65" s="52"/>
      <c r="BA65" s="52"/>
      <c r="BB65" s="52"/>
      <c r="BC65" s="52"/>
      <c r="BD65" s="52"/>
      <c r="BE65" s="52"/>
      <c r="BF65" s="52"/>
      <c r="BG65" s="52"/>
      <c r="BH65" s="52"/>
      <c r="BI65" s="52"/>
      <c r="BJ65" s="52"/>
      <c r="BK65" s="52"/>
      <c r="BL65" s="52"/>
      <c r="BM65" s="52"/>
    </row>
    <row r="66" spans="1:65" ht="28.8" customHeight="1" x14ac:dyDescent="0.3">
      <c r="A66" s="10" t="str">
        <f>IF(Job_Master!A66="","",Job_Master!A66)</f>
        <v>BJ-164</v>
      </c>
      <c r="B66" s="10">
        <f>IF($A66="","",Job_Master!B66)</f>
        <v>42</v>
      </c>
      <c r="C66" s="10" t="str">
        <f>IF($A66="","",Job_Master!C66)</f>
        <v>SOL</v>
      </c>
      <c r="D66" s="10">
        <f>IF($A66="","",Job_Master!D66)</f>
        <v>4</v>
      </c>
      <c r="E66" s="48" t="str">
        <f>IF($A66="","","FID-MC-02")</f>
        <v>FID-MC-02</v>
      </c>
      <c r="F66" s="106" t="str">
        <f>IF($E66="","",IFERROR(VLOOKUP($E66,Machine_List!$B:$G,6,0),""))</f>
        <v>Contract Workman</v>
      </c>
      <c r="G66" s="53">
        <f>IF($E66="","",IFERROR(VLOOKUP($E66,Machine_List!$B:$C,2,0),""))</f>
        <v>46142</v>
      </c>
      <c r="H66" s="10">
        <f>IF($E66="","",IFERROR(VLOOKUP($E66,Machine_List!$B:$D,3,0),""))</f>
        <v>6</v>
      </c>
      <c r="I66" s="54"/>
      <c r="J66" s="55">
        <f ca="1">IF($A66="","",IF($I66&lt;&gt;"",$I66,MAX(VENT_Plan!$M66,IFERROR(LOOKUP(2,1/($E$3:INDIRECT("E"&amp;(ROW()-1))=$E66),$M$3:INDIRECT("M"&amp;(ROW()-1))),VENT_Plan!$M66))))</f>
        <v>46246.998677248666</v>
      </c>
      <c r="K66" s="10">
        <f>IF($A66="","",IFERROR(VLOOKUP(B66,CHOOSE(MATCH(C66,Settings!$L$4:$L$10,0),OPR_2P!$A$4:$I$18,SEG_6P!$A$4:$I$18,SOL_4P!$A$4:$I$18,RW_2P!$A$4:$I$18,RW2_4P!$A$4:$I$18,FLAP_4P!$A$4:$I$18,TUBE_4P!$A$4:$I$18),7,0),0))</f>
        <v>41</v>
      </c>
      <c r="L66" s="10">
        <f t="shared" si="0"/>
        <v>164</v>
      </c>
      <c r="M66" s="55">
        <f ca="1">IF($A66="","",IF(AND(ISNUMBER(G66),G66&gt;=J66,G66&lt;=(J66+(L66/(IF(F66="Contract Workman",Settings!$K$5,Settings!$K$4))))),J66+(L66/(IF(F66="Contract Workman",Settings!$K$5,Settings!$K$4)))+(H66/(IF(F66="Contract Workman",Settings!$K$5,Settings!$K$4))),J66+(L66/(IF(F66="Contract Workman",Settings!$K$5,Settings!$K$4)))))</f>
        <v>46254.320105820094</v>
      </c>
      <c r="N66" s="10" t="str">
        <f t="shared" ca="1" si="2"/>
        <v>Shift S2</v>
      </c>
      <c r="O66" s="51" t="str">
        <f>IF(B66="","", IF(IFERROR(ISNUMBER(SEARCH(B66, VLOOKUP(E66, Machine_List!$B:$J, 9, 0))), FALSE()), "✅ Machine OK", "❌ Sug: " &amp; IFERROR(INDEX(Machine_List!$B$4:$B$50, MATCH("*"&amp;B66&amp;"*", Machine_List!$J$4:$J$50, 0)), "Check Limits")))</f>
        <v>✅ Machine OK</v>
      </c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2"/>
      <c r="AJ66" s="52"/>
      <c r="AK66" s="52"/>
      <c r="AL66" s="52"/>
      <c r="AM66" s="52"/>
      <c r="AN66" s="52"/>
      <c r="AO66" s="52"/>
      <c r="AP66" s="52"/>
      <c r="AQ66" s="52"/>
      <c r="AR66" s="52"/>
      <c r="AS66" s="52"/>
      <c r="AT66" s="52"/>
      <c r="AU66" s="52"/>
      <c r="AV66" s="52"/>
      <c r="AW66" s="52"/>
      <c r="AX66" s="52"/>
      <c r="AY66" s="52"/>
      <c r="AZ66" s="52"/>
      <c r="BA66" s="52"/>
      <c r="BB66" s="52"/>
      <c r="BC66" s="52"/>
      <c r="BD66" s="52"/>
      <c r="BE66" s="52"/>
      <c r="BF66" s="52"/>
      <c r="BG66" s="52"/>
      <c r="BH66" s="52"/>
      <c r="BI66" s="52"/>
      <c r="BJ66" s="52"/>
      <c r="BK66" s="52"/>
      <c r="BL66" s="52"/>
      <c r="BM66" s="52"/>
    </row>
    <row r="67" spans="1:65" ht="28.8" customHeight="1" x14ac:dyDescent="0.3">
      <c r="A67" s="10" t="str">
        <f>IF(Job_Master!A67="","",Job_Master!A67)</f>
        <v>BJ-168</v>
      </c>
      <c r="B67" s="10">
        <f>IF($A67="","",Job_Master!B67)</f>
        <v>20</v>
      </c>
      <c r="C67" s="10" t="str">
        <f>IF($A67="","",Job_Master!C67)</f>
        <v>2P</v>
      </c>
      <c r="D67" s="10">
        <f>IF($A67="","",Job_Master!D67)</f>
        <v>2</v>
      </c>
      <c r="E67" s="48" t="str">
        <f>IF($A67="","","FID-MC-08")</f>
        <v>FID-MC-08</v>
      </c>
      <c r="F67" s="106" t="str">
        <f>IF($E67="","",IFERROR(VLOOKUP($E67,Machine_List!$B:$G,6,0),""))</f>
        <v>Contract Workman</v>
      </c>
      <c r="G67" s="53">
        <f>IF($E67="","",IFERROR(VLOOKUP($E67,Machine_List!$B:$C,2,0),""))</f>
        <v>46328</v>
      </c>
      <c r="H67" s="10">
        <f>IF($E67="","",IFERROR(VLOOKUP($E67,Machine_List!$B:$D,3,0),""))</f>
        <v>6</v>
      </c>
      <c r="I67" s="54"/>
      <c r="J67" s="55">
        <f ca="1">IF($A67="","",IF($I67&lt;&gt;"",$I67,MAX(VENT_Plan!$M67,IFERROR(LOOKUP(2,1/($E$3:INDIRECT("E"&amp;(ROW()-1))=$E67),$M$3:INDIRECT("M"&amp;(ROW()-1))),VENT_Plan!$M67))))</f>
        <v>46188.324735449765</v>
      </c>
      <c r="K67" s="10">
        <f>IF($A67="","",IFERROR(VLOOKUP(B67,CHOOSE(MATCH(C67,Settings!$L$4:$L$10,0),OPR_2P!$A$4:$I$18,SEG_6P!$A$4:$I$18,SOL_4P!$A$4:$I$18,RW_2P!$A$4:$I$18,RW2_4P!$A$4:$I$18,FLAP_4P!$A$4:$I$18,TUBE_4P!$A$4:$I$18),7,0),0))</f>
        <v>14</v>
      </c>
      <c r="L67" s="10">
        <f t="shared" si="0"/>
        <v>28</v>
      </c>
      <c r="M67" s="55">
        <f ca="1">IF($A67="","",IF(AND(ISNUMBER(G67),G67&gt;=J67,G67&lt;=(J67+(L67/(IF(F67="Contract Workman",Settings!$K$5,Settings!$K$4))))),J67+(L67/(IF(F67="Contract Workman",Settings!$K$5,Settings!$K$4)))+(H67/(IF(F67="Contract Workman",Settings!$K$5,Settings!$K$4))),J67+(L67/(IF(F67="Contract Workman",Settings!$K$5,Settings!$K$4)))))</f>
        <v>46189.574735449765</v>
      </c>
      <c r="N67" s="10" t="str">
        <f t="shared" ca="1" si="2"/>
        <v>Shift S1</v>
      </c>
      <c r="O67" s="51" t="str">
        <f>IF(B67="","", IF(IFERROR(ISNUMBER(SEARCH(B67, VLOOKUP(E67, Machine_List!$B:$J, 9, 0))), FALSE()), "✅ Machine OK", "❌ Sug: " &amp; IFERROR(INDEX(Machine_List!$B$4:$B$50, MATCH("*"&amp;B67&amp;"*", Machine_List!$J$4:$J$50, 0)), "Check Limits")))</f>
        <v>✅ Machine OK</v>
      </c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52"/>
      <c r="AG67" s="52"/>
      <c r="AH67" s="52"/>
      <c r="AI67" s="52"/>
      <c r="AJ67" s="52"/>
      <c r="AK67" s="52"/>
      <c r="AL67" s="52"/>
      <c r="AM67" s="52"/>
      <c r="AN67" s="52"/>
      <c r="AO67" s="52"/>
      <c r="AP67" s="52"/>
      <c r="AQ67" s="52"/>
      <c r="AR67" s="52"/>
      <c r="AS67" s="52"/>
      <c r="AT67" s="52"/>
      <c r="AU67" s="52"/>
      <c r="AV67" s="52"/>
      <c r="AW67" s="52"/>
      <c r="AX67" s="52"/>
      <c r="AY67" s="52"/>
      <c r="AZ67" s="52"/>
      <c r="BA67" s="52"/>
      <c r="BB67" s="52"/>
      <c r="BC67" s="52"/>
      <c r="BD67" s="52"/>
      <c r="BE67" s="52"/>
      <c r="BF67" s="52"/>
      <c r="BG67" s="52"/>
      <c r="BH67" s="52"/>
      <c r="BI67" s="52"/>
      <c r="BJ67" s="52"/>
      <c r="BK67" s="52"/>
      <c r="BL67" s="52"/>
      <c r="BM67" s="52"/>
    </row>
    <row r="68" spans="1:65" ht="28.8" customHeight="1" x14ac:dyDescent="0.3">
      <c r="A68" s="10" t="str">
        <f>IF(Job_Master!A68="","",Job_Master!A68)</f>
        <v>BJ-155</v>
      </c>
      <c r="B68" s="10">
        <f>IF($A68="","",Job_Master!B68)</f>
        <v>17</v>
      </c>
      <c r="C68" s="10" t="str">
        <f>IF($A68="","",Job_Master!C68)</f>
        <v>RW</v>
      </c>
      <c r="D68" s="10">
        <f>IF($A68="","",Job_Master!D68)</f>
        <v>2</v>
      </c>
      <c r="E68" s="48" t="str">
        <f>IF($A68="","","FID-MC-08")</f>
        <v>FID-MC-08</v>
      </c>
      <c r="F68" s="106" t="str">
        <f>IF($E68="","",IFERROR(VLOOKUP($E68,Machine_List!$B:$G,6,0),""))</f>
        <v>Contract Workman</v>
      </c>
      <c r="G68" s="53">
        <f>IF($E68="","",IFERROR(VLOOKUP($E68,Machine_List!$B:$C,2,0),""))</f>
        <v>46328</v>
      </c>
      <c r="H68" s="10">
        <f>IF($E68="","",IFERROR(VLOOKUP($E68,Machine_List!$B:$D,3,0),""))</f>
        <v>6</v>
      </c>
      <c r="I68" s="54"/>
      <c r="J68" s="55">
        <f ca="1">IF($A68="","",IF($I68&lt;&gt;"",$I68,MAX(VENT_Plan!$M68,IFERROR(LOOKUP(2,1/($E$3:INDIRECT("E"&amp;(ROW()-1))=$E68),$M$3:INDIRECT("M"&amp;(ROW()-1))),VENT_Plan!$M68))))</f>
        <v>46190.021164021193</v>
      </c>
      <c r="K68" s="10">
        <f>IF($A68="","",IFERROR(VLOOKUP(B68,CHOOSE(MATCH(C68,Settings!$L$4:$L$10,0),OPR_2P!$A$4:$I$18,SEG_6P!$A$4:$I$18,SOL_4P!$A$4:$I$18,RW_2P!$A$4:$I$18,RW2_4P!$A$4:$I$18,FLAP_4P!$A$4:$I$18,TUBE_4P!$A$4:$I$18),7,0),0))</f>
        <v>11</v>
      </c>
      <c r="L68" s="10">
        <f t="shared" ref="L68:L131" si="3">IF($A68="","",K68*D68)</f>
        <v>22</v>
      </c>
      <c r="M68" s="55">
        <f ca="1">IF($A68="","",IF(AND(ISNUMBER(G68),G68&gt;=J68,G68&lt;=(J68+(L68/(IF(F68="Contract Workman",Settings!$K$5,Settings!$K$4))))),J68+(L68/(IF(F68="Contract Workman",Settings!$K$5,Settings!$K$4)))+(H68/(IF(F68="Contract Workman",Settings!$K$5,Settings!$K$4))),J68+(L68/(IF(F68="Contract Workman",Settings!$K$5,Settings!$K$4)))))</f>
        <v>46191.003306878338</v>
      </c>
      <c r="N68" s="10" t="str">
        <f t="shared" ref="N68:N99" ca="1" si="4">IF($A68="","",IF(F68="Contract Workman",IF(AND(MOD(M68,1)&gt;=8/24,MOD(M68,1)&lt;20/24),"Shift S1","Shift S2"),IF(AND(MOD(M68,1)&gt;=7/24,MOD(M68,1)&lt;15/24),"Shift A",IF(AND(MOD(M68,1)&gt;=15/24,MOD(M68,1)&lt;23/24),"Shift B","Shift C"))))</f>
        <v>Shift S2</v>
      </c>
      <c r="O68" s="51" t="str">
        <f>IF(B68="","", IF(IFERROR(ISNUMBER(SEARCH(B68, VLOOKUP(E68, Machine_List!$B:$J, 9, 0))), FALSE()), "✅ Machine OK", "❌ Sug: " &amp; IFERROR(INDEX(Machine_List!$B$4:$B$50, MATCH("*"&amp;B68&amp;"*", Machine_List!$J$4:$J$50, 0)), "Check Limits")))</f>
        <v>✅ Machine OK</v>
      </c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2"/>
      <c r="AJ68" s="52"/>
      <c r="AK68" s="52"/>
      <c r="AL68" s="52"/>
      <c r="AM68" s="52"/>
      <c r="AN68" s="52"/>
      <c r="AO68" s="52"/>
      <c r="AP68" s="52"/>
      <c r="AQ68" s="52"/>
      <c r="AR68" s="52"/>
      <c r="AS68" s="52"/>
      <c r="AT68" s="52"/>
      <c r="AU68" s="52"/>
      <c r="AV68" s="52"/>
      <c r="AW68" s="52"/>
      <c r="AX68" s="52"/>
      <c r="AY68" s="52"/>
      <c r="AZ68" s="52"/>
      <c r="BA68" s="52"/>
      <c r="BB68" s="52"/>
      <c r="BC68" s="52"/>
      <c r="BD68" s="52"/>
      <c r="BE68" s="52"/>
      <c r="BF68" s="52"/>
      <c r="BG68" s="52"/>
      <c r="BH68" s="52"/>
      <c r="BI68" s="52"/>
      <c r="BJ68" s="52"/>
      <c r="BK68" s="52"/>
      <c r="BL68" s="52"/>
      <c r="BM68" s="52"/>
    </row>
    <row r="69" spans="1:65" ht="28.8" customHeight="1" x14ac:dyDescent="0.3">
      <c r="A69" s="10" t="str">
        <f>IF(Job_Master!A69="","",Job_Master!A69)</f>
        <v>BJ-167</v>
      </c>
      <c r="B69" s="10">
        <f>IF($A69="","",Job_Master!B69)</f>
        <v>54</v>
      </c>
      <c r="C69" s="10" t="str">
        <f>IF($A69="","",Job_Master!C69)</f>
        <v>2P</v>
      </c>
      <c r="D69" s="10">
        <f>IF($A69="","",Job_Master!D69)</f>
        <v>2</v>
      </c>
      <c r="E69" s="48" t="str">
        <f>IF($A69="","","FID-MC-02")</f>
        <v>FID-MC-02</v>
      </c>
      <c r="F69" s="106" t="str">
        <f>IF($E69="","",IFERROR(VLOOKUP($E69,Machine_List!$B:$G,6,0),""))</f>
        <v>Contract Workman</v>
      </c>
      <c r="G69" s="53">
        <f>IF($E69="","",IFERROR(VLOOKUP($E69,Machine_List!$B:$C,2,0),""))</f>
        <v>46142</v>
      </c>
      <c r="H69" s="10">
        <f>IF($E69="","",IFERROR(VLOOKUP($E69,Machine_List!$B:$D,3,0),""))</f>
        <v>6</v>
      </c>
      <c r="I69" s="54"/>
      <c r="J69" s="55">
        <f ca="1">IF($A69="","",IF($I69&lt;&gt;"",$I69,MAX(VENT_Plan!$M69,IFERROR(LOOKUP(2,1/($E$3:INDIRECT("E"&amp;(ROW()-1))=$E69),$M$3:INDIRECT("M"&amp;(ROW()-1))),VENT_Plan!$M69))))</f>
        <v>46254.320105820094</v>
      </c>
      <c r="K69" s="10">
        <f>IF($A69="","",IFERROR(VLOOKUP(B69,CHOOSE(MATCH(C69,Settings!$L$4:$L$10,0),OPR_2P!$A$4:$I$18,SEG_6P!$A$4:$I$18,SOL_4P!$A$4:$I$18,RW_2P!$A$4:$I$18,RW2_4P!$A$4:$I$18,FLAP_4P!$A$4:$I$18,TUBE_4P!$A$4:$I$18),7,0),0))</f>
        <v>77</v>
      </c>
      <c r="L69" s="10">
        <f t="shared" si="3"/>
        <v>154</v>
      </c>
      <c r="M69" s="55">
        <f ca="1">IF($A69="","",IF(AND(ISNUMBER(G69),G69&gt;=J69,G69&lt;=(J69+(L69/(IF(F69="Contract Workman",Settings!$K$5,Settings!$K$4))))),J69+(L69/(IF(F69="Contract Workman",Settings!$K$5,Settings!$K$4)))+(H69/(IF(F69="Contract Workman",Settings!$K$5,Settings!$K$4))),J69+(L69/(IF(F69="Contract Workman",Settings!$K$5,Settings!$K$4)))))</f>
        <v>46261.195105820094</v>
      </c>
      <c r="N69" s="10" t="str">
        <f t="shared" ca="1" si="4"/>
        <v>Shift S2</v>
      </c>
      <c r="O69" s="51" t="str">
        <f>IF(B69="","", IF(IFERROR(ISNUMBER(SEARCH(B69, VLOOKUP(E69, Machine_List!$B:$J, 9, 0))), FALSE()), "✅ Machine OK", "❌ Sug: " &amp; IFERROR(INDEX(Machine_List!$B$4:$B$50, MATCH("*"&amp;B69&amp;"*", Machine_List!$J$4:$J$50, 0)), "Check Limits")))</f>
        <v>✅ Machine OK</v>
      </c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  <c r="AK69" s="52"/>
      <c r="AL69" s="52"/>
      <c r="AM69" s="52"/>
      <c r="AN69" s="52"/>
      <c r="AO69" s="52"/>
      <c r="AP69" s="52"/>
      <c r="AQ69" s="52"/>
      <c r="AR69" s="52"/>
      <c r="AS69" s="52"/>
      <c r="AT69" s="52"/>
      <c r="AU69" s="52"/>
      <c r="AV69" s="52"/>
      <c r="AW69" s="52"/>
      <c r="AX69" s="52"/>
      <c r="AY69" s="52"/>
      <c r="AZ69" s="52"/>
      <c r="BA69" s="52"/>
      <c r="BB69" s="52"/>
      <c r="BC69" s="52"/>
      <c r="BD69" s="52"/>
      <c r="BE69" s="52"/>
      <c r="BF69" s="52"/>
      <c r="BG69" s="52"/>
      <c r="BH69" s="52"/>
      <c r="BI69" s="52"/>
      <c r="BJ69" s="52"/>
      <c r="BK69" s="52"/>
      <c r="BL69" s="52"/>
      <c r="BM69" s="52"/>
    </row>
    <row r="70" spans="1:65" ht="28.8" customHeight="1" x14ac:dyDescent="0.3">
      <c r="A70" s="10" t="str">
        <f>IF(Job_Master!A70="","",Job_Master!A70)</f>
        <v>BJ-166</v>
      </c>
      <c r="B70" s="10">
        <f>IF($A70="","",Job_Master!B70)</f>
        <v>50</v>
      </c>
      <c r="C70" s="10" t="str">
        <f>IF($A70="","",Job_Master!C70)</f>
        <v>SOL</v>
      </c>
      <c r="D70" s="10">
        <f>IF($A70="","",Job_Master!D70)</f>
        <v>4</v>
      </c>
      <c r="E70" s="48" t="str">
        <f>IF($A70="","","FID-MC-02")</f>
        <v>FID-MC-02</v>
      </c>
      <c r="F70" s="106" t="str">
        <f>IF($E70="","",IFERROR(VLOOKUP($E70,Machine_List!$B:$G,6,0),""))</f>
        <v>Contract Workman</v>
      </c>
      <c r="G70" s="53">
        <f>IF($E70="","",IFERROR(VLOOKUP($E70,Machine_List!$B:$C,2,0),""))</f>
        <v>46142</v>
      </c>
      <c r="H70" s="10">
        <f>IF($E70="","",IFERROR(VLOOKUP($E70,Machine_List!$B:$D,3,0),""))</f>
        <v>6</v>
      </c>
      <c r="I70" s="54"/>
      <c r="J70" s="55">
        <f ca="1">IF($A70="","",IF($I70&lt;&gt;"",$I70,MAX(VENT_Plan!$M70,IFERROR(LOOKUP(2,1/($E$3:INDIRECT("E"&amp;(ROW()-1))=$E70),$M$3:INDIRECT("M"&amp;(ROW()-1))),VENT_Plan!$M70))))</f>
        <v>46291.64484126983</v>
      </c>
      <c r="K70" s="10">
        <f>IF($A70="","",IFERROR(VLOOKUP(B70,CHOOSE(MATCH(C70,Settings!$L$4:$L$10,0),OPR_2P!$A$4:$I$18,SEG_6P!$A$4:$I$18,SOL_4P!$A$4:$I$18,RW_2P!$A$4:$I$18,RW2_4P!$A$4:$I$18,FLAP_4P!$A$4:$I$18,TUBE_4P!$A$4:$I$18),7,0),0))</f>
        <v>71</v>
      </c>
      <c r="L70" s="10">
        <f t="shared" si="3"/>
        <v>284</v>
      </c>
      <c r="M70" s="55">
        <f ca="1">IF($A70="","",IF(AND(ISNUMBER(G70),G70&gt;=J70,G70&lt;=(J70+(L70/(IF(F70="Contract Workman",Settings!$K$5,Settings!$K$4))))),J70+(L70/(IF(F70="Contract Workman",Settings!$K$5,Settings!$K$4)))+(H70/(IF(F70="Contract Workman",Settings!$K$5,Settings!$K$4))),J70+(L70/(IF(F70="Contract Workman",Settings!$K$5,Settings!$K$4)))))</f>
        <v>46304.323412698403</v>
      </c>
      <c r="N70" s="10" t="str">
        <f t="shared" ca="1" si="4"/>
        <v>Shift S2</v>
      </c>
      <c r="O70" s="51" t="str">
        <f>IF(B70="","", IF(IFERROR(ISNUMBER(SEARCH(B70, VLOOKUP(E70, Machine_List!$B:$J, 9, 0))), FALSE()), "✅ Machine OK", "❌ Sug: " &amp; IFERROR(INDEX(Machine_List!$B$4:$B$50, MATCH("*"&amp;B70&amp;"*", Machine_List!$J$4:$J$50, 0)), "Check Limits")))</f>
        <v>✅ Machine OK</v>
      </c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52"/>
      <c r="AJ70" s="52"/>
      <c r="AK70" s="52"/>
      <c r="AL70" s="52"/>
      <c r="AM70" s="52"/>
      <c r="AN70" s="52"/>
      <c r="AO70" s="52"/>
      <c r="AP70" s="52"/>
      <c r="AQ70" s="52"/>
      <c r="AR70" s="52"/>
      <c r="AS70" s="52"/>
      <c r="AT70" s="52"/>
      <c r="AU70" s="52"/>
      <c r="AV70" s="52"/>
      <c r="AW70" s="52"/>
      <c r="AX70" s="52"/>
      <c r="AY70" s="52"/>
      <c r="AZ70" s="52"/>
      <c r="BA70" s="52"/>
      <c r="BB70" s="52"/>
      <c r="BC70" s="52"/>
      <c r="BD70" s="52"/>
      <c r="BE70" s="52"/>
      <c r="BF70" s="52"/>
      <c r="BG70" s="52"/>
      <c r="BH70" s="52"/>
      <c r="BI70" s="52"/>
      <c r="BJ70" s="52"/>
      <c r="BK70" s="52"/>
      <c r="BL70" s="52"/>
      <c r="BM70" s="52"/>
    </row>
    <row r="71" spans="1:65" ht="28.8" customHeight="1" x14ac:dyDescent="0.3">
      <c r="A71" s="10" t="str">
        <f>IF(Job_Master!A71="","",Job_Master!A71)</f>
        <v>BJ-162</v>
      </c>
      <c r="B71" s="10">
        <f>IF($A71="","",Job_Master!B71)</f>
        <v>17</v>
      </c>
      <c r="C71" s="10" t="str">
        <f>IF($A71="","",Job_Master!C71)</f>
        <v>SOL</v>
      </c>
      <c r="D71" s="10">
        <f>IF($A71="","",Job_Master!D71)</f>
        <v>4</v>
      </c>
      <c r="E71" s="48" t="str">
        <f>IF($A71="","","FID-MC-08")</f>
        <v>FID-MC-08</v>
      </c>
      <c r="F71" s="106" t="str">
        <f>IF($E71="","",IFERROR(VLOOKUP($E71,Machine_List!$B:$G,6,0),""))</f>
        <v>Contract Workman</v>
      </c>
      <c r="G71" s="53">
        <f>IF($E71="","",IFERROR(VLOOKUP($E71,Machine_List!$B:$C,2,0),""))</f>
        <v>46328</v>
      </c>
      <c r="H71" s="10">
        <f>IF($E71="","",IFERROR(VLOOKUP($E71,Machine_List!$B:$D,3,0),""))</f>
        <v>6</v>
      </c>
      <c r="I71" s="54"/>
      <c r="J71" s="55">
        <f ca="1">IF($A71="","",IF($I71&lt;&gt;"",$I71,MAX(VENT_Plan!$M71,IFERROR(LOOKUP(2,1/($E$3:INDIRECT("E"&amp;(ROW()-1))=$E71),$M$3:INDIRECT("M"&amp;(ROW()-1))),VENT_Plan!$M71))))</f>
        <v>46195.13690476193</v>
      </c>
      <c r="K71" s="10">
        <f>IF($A71="","",IFERROR(VLOOKUP(B71,CHOOSE(MATCH(C71,Settings!$L$4:$L$10,0),OPR_2P!$A$4:$I$18,SEG_6P!$A$4:$I$18,SOL_4P!$A$4:$I$18,RW_2P!$A$4:$I$18,RW2_4P!$A$4:$I$18,FLAP_4P!$A$4:$I$18,TUBE_4P!$A$4:$I$18),7,0),0))</f>
        <v>11</v>
      </c>
      <c r="L71" s="10">
        <f t="shared" si="3"/>
        <v>44</v>
      </c>
      <c r="M71" s="55">
        <f ca="1">IF($A71="","",IF(AND(ISNUMBER(G71),G71&gt;=J71,G71&lt;=(J71+(L71/(IF(F71="Contract Workman",Settings!$K$5,Settings!$K$4))))),J71+(L71/(IF(F71="Contract Workman",Settings!$K$5,Settings!$K$4)))+(H71/(IF(F71="Contract Workman",Settings!$K$5,Settings!$K$4))),J71+(L71/(IF(F71="Contract Workman",Settings!$K$5,Settings!$K$4)))))</f>
        <v>46197.101190476213</v>
      </c>
      <c r="N71" s="10" t="str">
        <f t="shared" ca="1" si="4"/>
        <v>Shift S2</v>
      </c>
      <c r="O71" s="51" t="str">
        <f>IF(B71="","", IF(IFERROR(ISNUMBER(SEARCH(B71, VLOOKUP(E71, Machine_List!$B:$J, 9, 0))), FALSE()), "✅ Machine OK", "❌ Sug: " &amp; IFERROR(INDEX(Machine_List!$B$4:$B$50, MATCH("*"&amp;B71&amp;"*", Machine_List!$J$4:$J$50, 0)), "Check Limits")))</f>
        <v>✅ Machine OK</v>
      </c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  <c r="AH71" s="52"/>
      <c r="AI71" s="52"/>
      <c r="AJ71" s="52"/>
      <c r="AK71" s="52"/>
      <c r="AL71" s="52"/>
      <c r="AM71" s="52"/>
      <c r="AN71" s="52"/>
      <c r="AO71" s="52"/>
      <c r="AP71" s="52"/>
      <c r="AQ71" s="52"/>
      <c r="AR71" s="52"/>
      <c r="AS71" s="52"/>
      <c r="AT71" s="52"/>
      <c r="AU71" s="52"/>
      <c r="AV71" s="52"/>
      <c r="AW71" s="52"/>
      <c r="AX71" s="52"/>
      <c r="AY71" s="52"/>
      <c r="AZ71" s="52"/>
      <c r="BA71" s="52"/>
      <c r="BB71" s="52"/>
      <c r="BC71" s="52"/>
      <c r="BD71" s="52"/>
      <c r="BE71" s="52"/>
      <c r="BF71" s="52"/>
      <c r="BG71" s="52"/>
      <c r="BH71" s="52"/>
      <c r="BI71" s="52"/>
      <c r="BJ71" s="52"/>
      <c r="BK71" s="52"/>
      <c r="BL71" s="52"/>
      <c r="BM71" s="52"/>
    </row>
    <row r="72" spans="1:65" ht="28.8" customHeight="1" x14ac:dyDescent="0.3">
      <c r="A72" s="10" t="str">
        <f>IF(Job_Master!A72="","",Job_Master!A72)</f>
        <v>BJ-165</v>
      </c>
      <c r="B72" s="10">
        <f>IF($A72="","",Job_Master!B72)</f>
        <v>17</v>
      </c>
      <c r="C72" s="10" t="str">
        <f>IF($A72="","",Job_Master!C72)</f>
        <v>2P</v>
      </c>
      <c r="D72" s="10">
        <f>IF($A72="","",Job_Master!D72)</f>
        <v>2</v>
      </c>
      <c r="E72" s="48" t="str">
        <f>IF($A72="","","FID-MC-09")</f>
        <v>FID-MC-09</v>
      </c>
      <c r="F72" s="106" t="str">
        <f>IF($E72="","",IFERROR(VLOOKUP($E72,Machine_List!$B:$G,6,0),""))</f>
        <v>Contract Workman</v>
      </c>
      <c r="G72" s="53">
        <f>IF($E72="","",IFERROR(VLOOKUP($E72,Machine_List!$B:$C,2,0),""))</f>
        <v>46165</v>
      </c>
      <c r="H72" s="10">
        <f>IF($E72="","",IFERROR(VLOOKUP($E72,Machine_List!$B:$D,3,0),""))</f>
        <v>6</v>
      </c>
      <c r="I72" s="54"/>
      <c r="J72" s="55">
        <f ca="1">IF($A72="","",IF($I72&lt;&gt;"",$I72,MAX(VENT_Plan!$M72,IFERROR(LOOKUP(2,1/($E$3:INDIRECT("E"&amp;(ROW()-1))=$E72),$M$3:INDIRECT("M"&amp;(ROW()-1))),VENT_Plan!$M72))))</f>
        <v>46192.117724867749</v>
      </c>
      <c r="K72" s="10">
        <f>IF($A72="","",IFERROR(VLOOKUP(B72,CHOOSE(MATCH(C72,Settings!$L$4:$L$10,0),OPR_2P!$A$4:$I$18,SEG_6P!$A$4:$I$18,SOL_4P!$A$4:$I$18,RW_2P!$A$4:$I$18,RW2_4P!$A$4:$I$18,FLAP_4P!$A$4:$I$18,TUBE_4P!$A$4:$I$18),7,0),0))</f>
        <v>17</v>
      </c>
      <c r="L72" s="10">
        <f t="shared" si="3"/>
        <v>34</v>
      </c>
      <c r="M72" s="55">
        <f ca="1">IF($A72="","",IF(AND(ISNUMBER(G72),G72&gt;=J72,G72&lt;=(J72+(L72/(IF(F72="Contract Workman",Settings!$K$5,Settings!$K$4))))),J72+(L72/(IF(F72="Contract Workman",Settings!$K$5,Settings!$K$4)))+(H72/(IF(F72="Contract Workman",Settings!$K$5,Settings!$K$4))),J72+(L72/(IF(F72="Contract Workman",Settings!$K$5,Settings!$K$4)))))</f>
        <v>46193.635582010604</v>
      </c>
      <c r="N72" s="10" t="str">
        <f t="shared" ca="1" si="4"/>
        <v>Shift S1</v>
      </c>
      <c r="O72" s="51" t="str">
        <f>IF(B72="","", IF(IFERROR(ISNUMBER(SEARCH(B72, VLOOKUP(E72, Machine_List!$B:$J, 9, 0))), FALSE()), "✅ Machine OK", "❌ Sug: " &amp; IFERROR(INDEX(Machine_List!$B$4:$B$50, MATCH("*"&amp;B72&amp;"*", Machine_List!$J$4:$J$50, 0)), "Check Limits")))</f>
        <v>✅ Machine OK</v>
      </c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2"/>
      <c r="AJ72" s="52"/>
      <c r="AK72" s="52"/>
      <c r="AL72" s="52"/>
      <c r="AM72" s="52"/>
      <c r="AN72" s="52"/>
      <c r="AO72" s="52"/>
      <c r="AP72" s="52"/>
      <c r="AQ72" s="52"/>
      <c r="AR72" s="52"/>
      <c r="AS72" s="52"/>
      <c r="AT72" s="52"/>
      <c r="AU72" s="52"/>
      <c r="AV72" s="52"/>
      <c r="AW72" s="52"/>
      <c r="AX72" s="52"/>
      <c r="AY72" s="52"/>
      <c r="AZ72" s="52"/>
      <c r="BA72" s="52"/>
      <c r="BB72" s="52"/>
      <c r="BC72" s="52"/>
      <c r="BD72" s="52"/>
      <c r="BE72" s="52"/>
      <c r="BF72" s="52"/>
      <c r="BG72" s="52"/>
      <c r="BH72" s="52"/>
      <c r="BI72" s="52"/>
      <c r="BJ72" s="52"/>
      <c r="BK72" s="52"/>
      <c r="BL72" s="52"/>
      <c r="BM72" s="52"/>
    </row>
    <row r="73" spans="1:65" ht="28.8" customHeight="1" x14ac:dyDescent="0.3">
      <c r="A73" s="10" t="str">
        <f>IF(Job_Master!A73="","",Job_Master!A73)</f>
        <v>BJ-169</v>
      </c>
      <c r="B73" s="10">
        <f>IF($A73="","",Job_Master!B73)</f>
        <v>17</v>
      </c>
      <c r="C73" s="10" t="str">
        <f>IF($A73="","",Job_Master!C73)</f>
        <v>SEG</v>
      </c>
      <c r="D73" s="10">
        <f>IF($A73="","",Job_Master!D73)</f>
        <v>6</v>
      </c>
      <c r="E73" s="48" t="str">
        <f>IF($A73="","","FID-MC-08")</f>
        <v>FID-MC-08</v>
      </c>
      <c r="F73" s="106" t="str">
        <f>IF($E73="","",IFERROR(VLOOKUP($E73,Machine_List!$B:$G,6,0),""))</f>
        <v>Contract Workman</v>
      </c>
      <c r="G73" s="53">
        <f>IF($E73="","",IFERROR(VLOOKUP($E73,Machine_List!$B:$C,2,0),""))</f>
        <v>46328</v>
      </c>
      <c r="H73" s="10">
        <f>IF($E73="","",IFERROR(VLOOKUP($E73,Machine_List!$B:$D,3,0),""))</f>
        <v>6</v>
      </c>
      <c r="I73" s="54"/>
      <c r="J73" s="55">
        <f ca="1">IF($A73="","",IF($I73&lt;&gt;"",$I73,MAX(VENT_Plan!$M73,IFERROR(LOOKUP(2,1/($E$3:INDIRECT("E"&amp;(ROW()-1))=$E73),$M$3:INDIRECT("M"&amp;(ROW()-1))),VENT_Plan!$M73))))</f>
        <v>46209.677248677275</v>
      </c>
      <c r="K73" s="10">
        <f>IF($A73="","",IFERROR(VLOOKUP(B73,CHOOSE(MATCH(C73,Settings!$L$4:$L$10,0),OPR_2P!$A$4:$I$18,SEG_6P!$A$4:$I$18,SOL_4P!$A$4:$I$18,RW_2P!$A$4:$I$18,RW2_4P!$A$4:$I$18,FLAP_4P!$A$4:$I$18,TUBE_4P!$A$4:$I$18),7,0),0))</f>
        <v>17</v>
      </c>
      <c r="L73" s="10">
        <f t="shared" si="3"/>
        <v>102</v>
      </c>
      <c r="M73" s="55">
        <f ca="1">IF($A73="","",IF(AND(ISNUMBER(G73),G73&gt;=J73,G73&lt;=(J73+(L73/(IF(F73="Contract Workman",Settings!$K$5,Settings!$K$4))))),J73+(L73/(IF(F73="Contract Workman",Settings!$K$5,Settings!$K$4)))+(H73/(IF(F73="Contract Workman",Settings!$K$5,Settings!$K$4))),J73+(L73/(IF(F73="Contract Workman",Settings!$K$5,Settings!$K$4)))))</f>
        <v>46214.230820105848</v>
      </c>
      <c r="N73" s="10" t="str">
        <f t="shared" ca="1" si="4"/>
        <v>Shift S2</v>
      </c>
      <c r="O73" s="51" t="str">
        <f>IF(B73="","", IF(IFERROR(ISNUMBER(SEARCH(B73, VLOOKUP(E73, Machine_List!$B:$J, 9, 0))), FALSE()), "✅ Machine OK", "❌ Sug: " &amp; IFERROR(INDEX(Machine_List!$B$4:$B$50, MATCH("*"&amp;B73&amp;"*", Machine_List!$J$4:$J$50, 0)), "Check Limits")))</f>
        <v>✅ Machine OK</v>
      </c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  <c r="AE73" s="52"/>
      <c r="AF73" s="52"/>
      <c r="AG73" s="52"/>
      <c r="AH73" s="52"/>
      <c r="AI73" s="52"/>
      <c r="AJ73" s="52"/>
      <c r="AK73" s="52"/>
      <c r="AL73" s="52"/>
      <c r="AM73" s="52"/>
      <c r="AN73" s="52"/>
      <c r="AO73" s="52"/>
      <c r="AP73" s="52"/>
      <c r="AQ73" s="52"/>
      <c r="AR73" s="52"/>
      <c r="AS73" s="52"/>
      <c r="AT73" s="52"/>
      <c r="AU73" s="52"/>
      <c r="AV73" s="52"/>
      <c r="AW73" s="52"/>
      <c r="AX73" s="52"/>
      <c r="AY73" s="52"/>
      <c r="AZ73" s="52"/>
      <c r="BA73" s="52"/>
      <c r="BB73" s="52"/>
      <c r="BC73" s="52"/>
      <c r="BD73" s="52"/>
      <c r="BE73" s="52"/>
      <c r="BF73" s="52"/>
      <c r="BG73" s="52"/>
      <c r="BH73" s="52"/>
      <c r="BI73" s="52"/>
      <c r="BJ73" s="52"/>
      <c r="BK73" s="52"/>
      <c r="BL73" s="52"/>
      <c r="BM73" s="52"/>
    </row>
    <row r="74" spans="1:65" x14ac:dyDescent="0.3">
      <c r="A74" s="10" t="str">
        <f>IF(Job_Master!A74="","",Job_Master!A74)</f>
        <v>BJ-170</v>
      </c>
      <c r="B74" s="10">
        <f>IF($A74="","",Job_Master!B74)</f>
        <v>20</v>
      </c>
      <c r="C74" s="10" t="str">
        <f>IF($A74="","",Job_Master!C74)</f>
        <v>SOL</v>
      </c>
      <c r="D74" s="10">
        <f>IF($A74="","",Job_Master!D74)</f>
        <v>4</v>
      </c>
      <c r="E74" s="48" t="str">
        <f>IF($A74="","",IFERROR(INDEX(Machine_List!$B$72:$B$81,MATCH("*"&amp;$B74&amp;"*",Machine_List!$J$72:$J$81,0)),"NO COMPATIBLE MACHINE"))</f>
        <v>FID-MC-01</v>
      </c>
      <c r="F74" s="106" t="str">
        <f>IF($E74="","",IFERROR(VLOOKUP($E74,Machine_List!$B:$G,6,0),""))</f>
        <v>Contract Workman</v>
      </c>
      <c r="G74" s="53">
        <f>IF($E74="","",IFERROR(VLOOKUP($E74,Machine_List!$B:$C,2,0),""))</f>
        <v>46106</v>
      </c>
      <c r="H74" s="10">
        <f>IF($E74="","",IFERROR(VLOOKUP($E74,Machine_List!$B:$D,3,0),""))</f>
        <v>6</v>
      </c>
      <c r="I74" s="54"/>
      <c r="J74" s="55">
        <f ca="1">IF($A74="","",IF($I74&lt;&gt;"",$I74,MAX(VENT_Plan!$M74,IFERROR(LOOKUP(2,1/($E$3:INDIRECT("E"&amp;(ROW()-1))=$E74),$M$3:INDIRECT("M"&amp;(ROW()-1))),VENT_Plan!$M74))))</f>
        <v>46321.43981481481</v>
      </c>
      <c r="K74" s="10">
        <f>IF($A74="","",IFERROR(VLOOKUP(B74,CHOOSE(MATCH(C74,Settings!$L$4:$L$10,0),OPR_2P!$A$4:$I$18,SEG_6P!$A$4:$I$18,SOL_4P!$A$4:$I$18,RW_2P!$A$4:$I$18,RW2_4P!$A$4:$I$18,FLAP_4P!$A$4:$I$18,TUBE_4P!$A$4:$I$18),7,0),0))</f>
        <v>14</v>
      </c>
      <c r="L74" s="10">
        <f t="shared" si="3"/>
        <v>56</v>
      </c>
      <c r="M74" s="55">
        <f ca="1">IF($A74="","",IF(AND(ISNUMBER(G74),G74&gt;=J74,G74&lt;=(J74+(L74/(IF(F74="Contract Workman",Settings!$K$5,Settings!$K$4))))),J74+(L74/(IF(F74="Contract Workman",Settings!$K$5,Settings!$K$4)))+(H74/(IF(F74="Contract Workman",Settings!$K$5,Settings!$K$4))),J74+(L74/(IF(F74="Contract Workman",Settings!$K$5,Settings!$K$4)))))</f>
        <v>46323.93981481481</v>
      </c>
      <c r="N74" s="10" t="str">
        <f t="shared" ca="1" si="4"/>
        <v>Shift S2</v>
      </c>
      <c r="O74" s="51" t="str">
        <f>IF(B74="","", IF(IFERROR(ISNUMBER(SEARCH(B74, VLOOKUP(E74, Machine_List!$B:$J, 9, 0))), FALSE()), "✅ Machine OK", "❌ Sug: " &amp; IFERROR(INDEX(Machine_List!$B$4:$B$50, MATCH("*"&amp;B74&amp;"*", Machine_List!$J$4:$J$50, 0)), "Check Limits")))</f>
        <v>✅ Machine OK</v>
      </c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2"/>
      <c r="AF74" s="52"/>
      <c r="AG74" s="52"/>
      <c r="AH74" s="52"/>
      <c r="AI74" s="52"/>
      <c r="AJ74" s="52"/>
      <c r="AK74" s="52"/>
      <c r="AL74" s="52"/>
      <c r="AM74" s="52"/>
      <c r="AN74" s="52"/>
      <c r="AO74" s="52"/>
      <c r="AP74" s="52"/>
      <c r="AQ74" s="52"/>
      <c r="AR74" s="52"/>
      <c r="AS74" s="52"/>
      <c r="AT74" s="52"/>
      <c r="AU74" s="52"/>
      <c r="AV74" s="52"/>
      <c r="AW74" s="52"/>
      <c r="AX74" s="52"/>
      <c r="AY74" s="52"/>
      <c r="AZ74" s="52"/>
      <c r="BA74" s="52"/>
      <c r="BB74" s="52"/>
      <c r="BC74" s="52"/>
      <c r="BD74" s="52"/>
      <c r="BE74" s="52"/>
      <c r="BF74" s="52"/>
      <c r="BG74" s="52"/>
      <c r="BH74" s="52"/>
      <c r="BI74" s="52"/>
      <c r="BJ74" s="52"/>
      <c r="BK74" s="52"/>
      <c r="BL74" s="52"/>
      <c r="BM74" s="52"/>
    </row>
    <row r="75" spans="1:65" x14ac:dyDescent="0.3">
      <c r="A75" s="10" t="str">
        <f>IF(Job_Master!A75="","",Job_Master!A75)</f>
        <v/>
      </c>
      <c r="B75" s="10" t="str">
        <f>IF($A75="","",Job_Master!B75)</f>
        <v/>
      </c>
      <c r="C75" s="10" t="str">
        <f>IF($A75="","",Job_Master!C75)</f>
        <v/>
      </c>
      <c r="D75" s="10" t="str">
        <f>IF($A75="","",Job_Master!D75)</f>
        <v/>
      </c>
      <c r="E75" s="48" t="str">
        <f>IF($A75="","",IFERROR(INDEX(Machine_List!$B$72:$B$81,MATCH("*"&amp;$B75&amp;"*",Machine_List!$J$72:$J$81,0)),"NO COMPATIBLE MACHINE"))</f>
        <v/>
      </c>
      <c r="F75" s="106" t="str">
        <f>IF($E75="","",IFERROR(VLOOKUP($E75,Machine_List!$B:$G,6,0),""))</f>
        <v/>
      </c>
      <c r="G75" s="53" t="str">
        <f>IF($E75="","",IFERROR(VLOOKUP($E75,Machine_List!$B:$C,2,0),""))</f>
        <v/>
      </c>
      <c r="H75" s="10" t="str">
        <f>IF($E75="","",IFERROR(VLOOKUP($E75,Machine_List!$B:$D,3,0),""))</f>
        <v/>
      </c>
      <c r="I75" s="54"/>
      <c r="J75" s="55" t="str">
        <f ca="1">IF($A75="","",IF($I75&lt;&gt;"",$I75,MAX(VENT_Plan!$M75,IFERROR(LOOKUP(2,1/($E$3:INDIRECT("E"&amp;(ROW()-1))=$E75),$M$3:INDIRECT("M"&amp;(ROW()-1))),VENT_Plan!$M75))))</f>
        <v/>
      </c>
      <c r="K75" s="10" t="str">
        <f>IF($A75="","",IFERROR(VLOOKUP(B75,CHOOSE(MATCH(C75,Settings!$L$4:$L$10,0),OPR_2P!$A$4:$I$18,SEG_6P!$A$4:$I$18,SOL_4P!$A$4:$I$18,RW_2P!$A$4:$I$18,RW2_4P!$A$4:$I$18,FLAP_4P!$A$4:$I$18,TUBE_4P!$A$4:$I$18),7,0),0))</f>
        <v/>
      </c>
      <c r="L75" s="10" t="str">
        <f t="shared" si="3"/>
        <v/>
      </c>
      <c r="M75" s="55" t="str">
        <f>IF($A75="","",IF(AND(ISNUMBER(G75),G75&gt;=J75,G75&lt;=(J75+(L75/(IF(F75="Contract Workman",Settings!$K$5,Settings!$K$4))))),J75+(L75/(IF(F75="Contract Workman",Settings!$K$5,Settings!$K$4)))+(H75/(IF(F75="Contract Workman",Settings!$K$5,Settings!$K$4))),J75+(L75/(IF(F75="Contract Workman",Settings!$K$5,Settings!$K$4)))))</f>
        <v/>
      </c>
      <c r="N75" s="10" t="str">
        <f t="shared" si="4"/>
        <v/>
      </c>
      <c r="O75" s="51" t="str">
        <f>IF(B75="","", IF(IFERROR(ISNUMBER(SEARCH(B75, VLOOKUP(E75, Machine_List!$B:$J, 9, 0))), FALSE()), "✅ Machine OK", "❌ Sug: " &amp; IFERROR(INDEX(Machine_List!$B$4:$B$50, MATCH("*"&amp;B75&amp;"*", Machine_List!$J$4:$J$50, 0)), "Check Limits")))</f>
        <v/>
      </c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52"/>
      <c r="AJ75" s="52"/>
      <c r="AK75" s="52"/>
      <c r="AL75" s="52"/>
      <c r="AM75" s="52"/>
      <c r="AN75" s="52"/>
      <c r="AO75" s="52"/>
      <c r="AP75" s="52"/>
      <c r="AQ75" s="52"/>
      <c r="AR75" s="52"/>
      <c r="AS75" s="52"/>
      <c r="AT75" s="52"/>
      <c r="AU75" s="52"/>
      <c r="AV75" s="52"/>
      <c r="AW75" s="52"/>
      <c r="AX75" s="52"/>
      <c r="AY75" s="52"/>
      <c r="AZ75" s="52"/>
      <c r="BA75" s="52"/>
      <c r="BB75" s="52"/>
      <c r="BC75" s="52"/>
      <c r="BD75" s="52"/>
      <c r="BE75" s="52"/>
      <c r="BF75" s="52"/>
      <c r="BG75" s="52"/>
      <c r="BH75" s="52"/>
      <c r="BI75" s="52"/>
      <c r="BJ75" s="52"/>
      <c r="BK75" s="52"/>
      <c r="BL75" s="52"/>
      <c r="BM75" s="52"/>
    </row>
    <row r="76" spans="1:65" x14ac:dyDescent="0.3">
      <c r="A76" s="10" t="str">
        <f>IF(Job_Master!A76="","",Job_Master!A76)</f>
        <v/>
      </c>
      <c r="B76" s="10" t="str">
        <f>IF($A76="","",Job_Master!B76)</f>
        <v/>
      </c>
      <c r="C76" s="10" t="str">
        <f>IF($A76="","",Job_Master!C76)</f>
        <v/>
      </c>
      <c r="D76" s="10" t="str">
        <f>IF($A76="","",Job_Master!D76)</f>
        <v/>
      </c>
      <c r="E76" s="48" t="str">
        <f>IF($A76="","",IFERROR(INDEX(Machine_List!$B$72:$B$81,MATCH("*"&amp;$B76&amp;"*",Machine_List!$J$72:$J$81,0)),"NO COMPATIBLE MACHINE"))</f>
        <v/>
      </c>
      <c r="F76" s="106" t="str">
        <f>IF($E76="","",IFERROR(VLOOKUP($E76,Machine_List!$B:$G,6,0),""))</f>
        <v/>
      </c>
      <c r="G76" s="53" t="str">
        <f>IF($E76="","",IFERROR(VLOOKUP($E76,Machine_List!$B:$C,2,0),""))</f>
        <v/>
      </c>
      <c r="H76" s="10" t="str">
        <f>IF($E76="","",IFERROR(VLOOKUP($E76,Machine_List!$B:$D,3,0),""))</f>
        <v/>
      </c>
      <c r="I76" s="54"/>
      <c r="J76" s="55" t="str">
        <f ca="1">IF($A76="","",IF($I76&lt;&gt;"",$I76,MAX(VENT_Plan!$M76,IFERROR(LOOKUP(2,1/($E$3:INDIRECT("E"&amp;(ROW()-1))=$E76),$M$3:INDIRECT("M"&amp;(ROW()-1))),VENT_Plan!$M76))))</f>
        <v/>
      </c>
      <c r="K76" s="10" t="str">
        <f>IF($A76="","",IFERROR(VLOOKUP(B76,CHOOSE(MATCH(C76,Settings!$L$4:$L$10,0),OPR_2P!$A$4:$I$18,SEG_6P!$A$4:$I$18,SOL_4P!$A$4:$I$18,RW_2P!$A$4:$I$18,RW2_4P!$A$4:$I$18,FLAP_4P!$A$4:$I$18,TUBE_4P!$A$4:$I$18),7,0),0))</f>
        <v/>
      </c>
      <c r="L76" s="10" t="str">
        <f t="shared" si="3"/>
        <v/>
      </c>
      <c r="M76" s="55" t="str">
        <f>IF($A76="","",IF(AND(ISNUMBER(G76),G76&gt;=J76,G76&lt;=(J76+(L76/(IF(F76="Contract Workman",Settings!$K$5,Settings!$K$4))))),J76+(L76/(IF(F76="Contract Workman",Settings!$K$5,Settings!$K$4)))+(H76/(IF(F76="Contract Workman",Settings!$K$5,Settings!$K$4))),J76+(L76/(IF(F76="Contract Workman",Settings!$K$5,Settings!$K$4)))))</f>
        <v/>
      </c>
      <c r="N76" s="10" t="str">
        <f t="shared" si="4"/>
        <v/>
      </c>
      <c r="O76" s="51" t="str">
        <f>IF(B76="","", IF(IFERROR(ISNUMBER(SEARCH(B76, VLOOKUP(E76, Machine_List!$B:$J, 9, 0))), FALSE()), "✅ Machine OK", "❌ Sug: " &amp; IFERROR(INDEX(Machine_List!$B$4:$B$50, MATCH("*"&amp;B76&amp;"*", Machine_List!$J$4:$J$50, 0)), "Check Limits")))</f>
        <v/>
      </c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52"/>
      <c r="AK76" s="52"/>
      <c r="AL76" s="52"/>
      <c r="AM76" s="52"/>
      <c r="AN76" s="52"/>
      <c r="AO76" s="52"/>
      <c r="AP76" s="52"/>
      <c r="AQ76" s="52"/>
      <c r="AR76" s="52"/>
      <c r="AS76" s="52"/>
      <c r="AT76" s="52"/>
      <c r="AU76" s="52"/>
      <c r="AV76" s="52"/>
      <c r="AW76" s="52"/>
      <c r="AX76" s="52"/>
      <c r="AY76" s="52"/>
      <c r="AZ76" s="52"/>
      <c r="BA76" s="52"/>
      <c r="BB76" s="52"/>
      <c r="BC76" s="52"/>
      <c r="BD76" s="52"/>
      <c r="BE76" s="52"/>
      <c r="BF76" s="52"/>
      <c r="BG76" s="52"/>
      <c r="BH76" s="52"/>
      <c r="BI76" s="52"/>
      <c r="BJ76" s="52"/>
      <c r="BK76" s="52"/>
      <c r="BL76" s="52"/>
      <c r="BM76" s="52"/>
    </row>
    <row r="77" spans="1:65" x14ac:dyDescent="0.3">
      <c r="A77" s="10" t="str">
        <f>IF(Job_Master!A77="","",Job_Master!A77)</f>
        <v/>
      </c>
      <c r="B77" s="10" t="str">
        <f>IF($A77="","",Job_Master!B77)</f>
        <v/>
      </c>
      <c r="C77" s="10" t="str">
        <f>IF($A77="","",Job_Master!C77)</f>
        <v/>
      </c>
      <c r="D77" s="10" t="str">
        <f>IF($A77="","",Job_Master!D77)</f>
        <v/>
      </c>
      <c r="E77" s="48" t="str">
        <f>IF($A77="","",IFERROR(INDEX(Machine_List!$B$72:$B$81,MATCH("*"&amp;$B77&amp;"*",Machine_List!$J$72:$J$81,0)),"NO COMPATIBLE MACHINE"))</f>
        <v/>
      </c>
      <c r="F77" s="106" t="str">
        <f>IF($E77="","",IFERROR(VLOOKUP($E77,Machine_List!$B:$G,6,0),""))</f>
        <v/>
      </c>
      <c r="G77" s="53" t="str">
        <f>IF($E77="","",IFERROR(VLOOKUP($E77,Machine_List!$B:$C,2,0),""))</f>
        <v/>
      </c>
      <c r="H77" s="10" t="str">
        <f>IF($E77="","",IFERROR(VLOOKUP($E77,Machine_List!$B:$D,3,0),""))</f>
        <v/>
      </c>
      <c r="I77" s="54"/>
      <c r="J77" s="55" t="str">
        <f ca="1">IF($A77="","",IF($I77&lt;&gt;"",$I77,MAX(VENT_Plan!$M77,IFERROR(LOOKUP(2,1/($E$3:INDIRECT("E"&amp;(ROW()-1))=$E77),$M$3:INDIRECT("M"&amp;(ROW()-1))),VENT_Plan!$M77))))</f>
        <v/>
      </c>
      <c r="K77" s="10" t="str">
        <f>IF($A77="","",IFERROR(VLOOKUP(B77,CHOOSE(MATCH(C77,Settings!$L$4:$L$10,0),OPR_2P!$A$4:$I$18,SEG_6P!$A$4:$I$18,SOL_4P!$A$4:$I$18,RW_2P!$A$4:$I$18,RW2_4P!$A$4:$I$18,FLAP_4P!$A$4:$I$18,TUBE_4P!$A$4:$I$18),7,0),0))</f>
        <v/>
      </c>
      <c r="L77" s="10" t="str">
        <f t="shared" si="3"/>
        <v/>
      </c>
      <c r="M77" s="55" t="str">
        <f>IF($A77="","",IF(AND(ISNUMBER(G77),G77&gt;=J77,G77&lt;=(J77+(L77/(IF(F77="Contract Workman",Settings!$K$5,Settings!$K$4))))),J77+(L77/(IF(F77="Contract Workman",Settings!$K$5,Settings!$K$4)))+(H77/(IF(F77="Contract Workman",Settings!$K$5,Settings!$K$4))),J77+(L77/(IF(F77="Contract Workman",Settings!$K$5,Settings!$K$4)))))</f>
        <v/>
      </c>
      <c r="N77" s="10" t="str">
        <f t="shared" si="4"/>
        <v/>
      </c>
      <c r="O77" s="51" t="str">
        <f>IF(B77="","", IF(IFERROR(ISNUMBER(SEARCH(B77, VLOOKUP(E77, Machine_List!$B:$J, 9, 0))), FALSE()), "✅ Machine OK", "❌ Sug: " &amp; IFERROR(INDEX(Machine_List!$B$4:$B$50, MATCH("*"&amp;B77&amp;"*", Machine_List!$J$4:$J$50, 0)), "Check Limits")))</f>
        <v/>
      </c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  <c r="AE77" s="52"/>
      <c r="AF77" s="52"/>
      <c r="AG77" s="52"/>
      <c r="AH77" s="52"/>
      <c r="AI77" s="52"/>
      <c r="AJ77" s="52"/>
      <c r="AK77" s="52"/>
      <c r="AL77" s="52"/>
      <c r="AM77" s="52"/>
      <c r="AN77" s="52"/>
      <c r="AO77" s="52"/>
      <c r="AP77" s="52"/>
      <c r="AQ77" s="52"/>
      <c r="AR77" s="52"/>
      <c r="AS77" s="52"/>
      <c r="AT77" s="52"/>
      <c r="AU77" s="52"/>
      <c r="AV77" s="52"/>
      <c r="AW77" s="52"/>
      <c r="AX77" s="52"/>
      <c r="AY77" s="52"/>
      <c r="AZ77" s="52"/>
      <c r="BA77" s="52"/>
      <c r="BB77" s="52"/>
      <c r="BC77" s="52"/>
      <c r="BD77" s="52"/>
      <c r="BE77" s="52"/>
      <c r="BF77" s="52"/>
      <c r="BG77" s="52"/>
      <c r="BH77" s="52"/>
      <c r="BI77" s="52"/>
      <c r="BJ77" s="52"/>
      <c r="BK77" s="52"/>
      <c r="BL77" s="52"/>
      <c r="BM77" s="52"/>
    </row>
    <row r="78" spans="1:65" x14ac:dyDescent="0.3">
      <c r="A78" s="10" t="str">
        <f>IF(Job_Master!A78="","",Job_Master!A78)</f>
        <v/>
      </c>
      <c r="B78" s="10" t="str">
        <f>IF($A78="","",Job_Master!B78)</f>
        <v/>
      </c>
      <c r="C78" s="10" t="str">
        <f>IF($A78="","",Job_Master!C78)</f>
        <v/>
      </c>
      <c r="D78" s="10" t="str">
        <f>IF($A78="","",Job_Master!D78)</f>
        <v/>
      </c>
      <c r="E78" s="48" t="str">
        <f>IF($A78="","",IFERROR(INDEX(Machine_List!$B$72:$B$81,MATCH("*"&amp;$B78&amp;"*",Machine_List!$J$72:$J$81,0)),"NO COMPATIBLE MACHINE"))</f>
        <v/>
      </c>
      <c r="F78" s="106" t="str">
        <f>IF($E78="","",IFERROR(VLOOKUP($E78,Machine_List!$B:$G,6,0),""))</f>
        <v/>
      </c>
      <c r="G78" s="53" t="str">
        <f>IF($E78="","",IFERROR(VLOOKUP($E78,Machine_List!$B:$C,2,0),""))</f>
        <v/>
      </c>
      <c r="H78" s="10" t="str">
        <f>IF($E78="","",IFERROR(VLOOKUP($E78,Machine_List!$B:$D,3,0),""))</f>
        <v/>
      </c>
      <c r="I78" s="54"/>
      <c r="J78" s="55" t="str">
        <f ca="1">IF($A78="","",IF($I78&lt;&gt;"",$I78,MAX(VENT_Plan!$M78,IFERROR(LOOKUP(2,1/($E$3:INDIRECT("E"&amp;(ROW()-1))=$E78),$M$3:INDIRECT("M"&amp;(ROW()-1))),VENT_Plan!$M78))))</f>
        <v/>
      </c>
      <c r="K78" s="10" t="str">
        <f>IF($A78="","",IFERROR(VLOOKUP(B78,CHOOSE(MATCH(C78,Settings!$L$4:$L$10,0),OPR_2P!$A$4:$I$18,SEG_6P!$A$4:$I$18,SOL_4P!$A$4:$I$18,RW_2P!$A$4:$I$18,RW2_4P!$A$4:$I$18,FLAP_4P!$A$4:$I$18,TUBE_4P!$A$4:$I$18),7,0),0))</f>
        <v/>
      </c>
      <c r="L78" s="10" t="str">
        <f t="shared" si="3"/>
        <v/>
      </c>
      <c r="M78" s="55" t="str">
        <f>IF($A78="","",IF(AND(ISNUMBER(G78),G78&gt;=J78,G78&lt;=(J78+(L78/(IF(F78="Contract Workman",Settings!$K$5,Settings!$K$4))))),J78+(L78/(IF(F78="Contract Workman",Settings!$K$5,Settings!$K$4)))+(H78/(IF(F78="Contract Workman",Settings!$K$5,Settings!$K$4))),J78+(L78/(IF(F78="Contract Workman",Settings!$K$5,Settings!$K$4)))))</f>
        <v/>
      </c>
      <c r="N78" s="10" t="str">
        <f t="shared" si="4"/>
        <v/>
      </c>
      <c r="O78" s="51" t="str">
        <f>IF(B78="","", IF(IFERROR(ISNUMBER(SEARCH(B78, VLOOKUP(E78, Machine_List!$B:$J, 9, 0))), FALSE()), "✅ Machine OK", "❌ Sug: " &amp; IFERROR(INDEX(Machine_List!$B$4:$B$50, MATCH("*"&amp;B78&amp;"*", Machine_List!$J$4:$J$50, 0)), "Check Limits")))</f>
        <v/>
      </c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52"/>
      <c r="AG78" s="52"/>
      <c r="AH78" s="52"/>
      <c r="AI78" s="52"/>
      <c r="AJ78" s="52"/>
      <c r="AK78" s="52"/>
      <c r="AL78" s="52"/>
      <c r="AM78" s="52"/>
      <c r="AN78" s="52"/>
      <c r="AO78" s="52"/>
      <c r="AP78" s="52"/>
      <c r="AQ78" s="52"/>
      <c r="AR78" s="52"/>
      <c r="AS78" s="52"/>
      <c r="AT78" s="52"/>
      <c r="AU78" s="52"/>
      <c r="AV78" s="52"/>
      <c r="AW78" s="52"/>
      <c r="AX78" s="52"/>
      <c r="AY78" s="52"/>
      <c r="AZ78" s="52"/>
      <c r="BA78" s="52"/>
      <c r="BB78" s="52"/>
      <c r="BC78" s="52"/>
      <c r="BD78" s="52"/>
      <c r="BE78" s="52"/>
      <c r="BF78" s="52"/>
      <c r="BG78" s="52"/>
      <c r="BH78" s="52"/>
      <c r="BI78" s="52"/>
      <c r="BJ78" s="52"/>
      <c r="BK78" s="52"/>
      <c r="BL78" s="52"/>
      <c r="BM78" s="52"/>
    </row>
    <row r="79" spans="1:65" x14ac:dyDescent="0.3">
      <c r="A79" s="10" t="str">
        <f>IF(Job_Master!A79="","",Job_Master!A79)</f>
        <v/>
      </c>
      <c r="B79" s="10" t="str">
        <f>IF($A79="","",Job_Master!B79)</f>
        <v/>
      </c>
      <c r="C79" s="10" t="str">
        <f>IF($A79="","",Job_Master!C79)</f>
        <v/>
      </c>
      <c r="D79" s="10" t="str">
        <f>IF($A79="","",Job_Master!D79)</f>
        <v/>
      </c>
      <c r="E79" s="48" t="str">
        <f>IF($A79="","",IFERROR(INDEX(Machine_List!$B$72:$B$81,MATCH("*"&amp;$B79&amp;"*",Machine_List!$J$72:$J$81,0)),"NO COMPATIBLE MACHINE"))</f>
        <v/>
      </c>
      <c r="F79" s="106" t="str">
        <f>IF($E79="","",IFERROR(VLOOKUP($E79,Machine_List!$B:$G,6,0),""))</f>
        <v/>
      </c>
      <c r="G79" s="53" t="str">
        <f>IF($E79="","",IFERROR(VLOOKUP($E79,Machine_List!$B:$C,2,0),""))</f>
        <v/>
      </c>
      <c r="H79" s="10" t="str">
        <f>IF($E79="","",IFERROR(VLOOKUP($E79,Machine_List!$B:$D,3,0),""))</f>
        <v/>
      </c>
      <c r="I79" s="54"/>
      <c r="J79" s="55" t="str">
        <f ca="1">IF($A79="","",IF($I79&lt;&gt;"",$I79,MAX(VENT_Plan!$M79,IFERROR(LOOKUP(2,1/($E$3:INDIRECT("E"&amp;(ROW()-1))=$E79),$M$3:INDIRECT("M"&amp;(ROW()-1))),VENT_Plan!$M79))))</f>
        <v/>
      </c>
      <c r="K79" s="10" t="str">
        <f>IF($A79="","",IFERROR(VLOOKUP(B79,CHOOSE(MATCH(C79,Settings!$L$4:$L$10,0),OPR_2P!$A$4:$I$18,SEG_6P!$A$4:$I$18,SOL_4P!$A$4:$I$18,RW_2P!$A$4:$I$18,RW2_4P!$A$4:$I$18,FLAP_4P!$A$4:$I$18,TUBE_4P!$A$4:$I$18),7,0),0))</f>
        <v/>
      </c>
      <c r="L79" s="10" t="str">
        <f t="shared" si="3"/>
        <v/>
      </c>
      <c r="M79" s="55" t="str">
        <f>IF($A79="","",IF(AND(ISNUMBER(G79),G79&gt;=J79,G79&lt;=(J79+(L79/(IF(F79="Contract Workman",Settings!$K$5,Settings!$K$4))))),J79+(L79/(IF(F79="Contract Workman",Settings!$K$5,Settings!$K$4)))+(H79/(IF(F79="Contract Workman",Settings!$K$5,Settings!$K$4))),J79+(L79/(IF(F79="Contract Workman",Settings!$K$5,Settings!$K$4)))))</f>
        <v/>
      </c>
      <c r="N79" s="10" t="str">
        <f t="shared" si="4"/>
        <v/>
      </c>
      <c r="O79" s="51" t="str">
        <f>IF(B79="","", IF(IFERROR(ISNUMBER(SEARCH(B79, VLOOKUP(E79, Machine_List!$B:$J, 9, 0))), FALSE()), "✅ Machine OK", "❌ Sug: " &amp; IFERROR(INDEX(Machine_List!$B$4:$B$50, MATCH("*"&amp;B79&amp;"*", Machine_List!$J$4:$J$50, 0)), "Check Limits")))</f>
        <v/>
      </c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  <c r="AF79" s="52"/>
      <c r="AG79" s="52"/>
      <c r="AH79" s="52"/>
      <c r="AI79" s="52"/>
      <c r="AJ79" s="52"/>
      <c r="AK79" s="52"/>
      <c r="AL79" s="52"/>
      <c r="AM79" s="52"/>
      <c r="AN79" s="52"/>
      <c r="AO79" s="52"/>
      <c r="AP79" s="52"/>
      <c r="AQ79" s="52"/>
      <c r="AR79" s="52"/>
      <c r="AS79" s="52"/>
      <c r="AT79" s="52"/>
      <c r="AU79" s="52"/>
      <c r="AV79" s="52"/>
      <c r="AW79" s="52"/>
      <c r="AX79" s="52"/>
      <c r="AY79" s="52"/>
      <c r="AZ79" s="52"/>
      <c r="BA79" s="52"/>
      <c r="BB79" s="52"/>
      <c r="BC79" s="52"/>
      <c r="BD79" s="52"/>
      <c r="BE79" s="52"/>
      <c r="BF79" s="52"/>
      <c r="BG79" s="52"/>
      <c r="BH79" s="52"/>
      <c r="BI79" s="52"/>
      <c r="BJ79" s="52"/>
      <c r="BK79" s="52"/>
      <c r="BL79" s="52"/>
      <c r="BM79" s="52"/>
    </row>
    <row r="80" spans="1:65" x14ac:dyDescent="0.3">
      <c r="A80" s="10" t="str">
        <f>IF(Job_Master!A80="","",Job_Master!A80)</f>
        <v/>
      </c>
      <c r="B80" s="10" t="str">
        <f>IF($A80="","",Job_Master!B80)</f>
        <v/>
      </c>
      <c r="C80" s="10" t="str">
        <f>IF($A80="","",Job_Master!C80)</f>
        <v/>
      </c>
      <c r="D80" s="10" t="str">
        <f>IF($A80="","",Job_Master!D80)</f>
        <v/>
      </c>
      <c r="E80" s="48" t="str">
        <f>IF($A80="","",IFERROR(INDEX(Machine_List!$B$72:$B$81,MATCH("*"&amp;$B80&amp;"*",Machine_List!$J$72:$J$81,0)),"NO COMPATIBLE MACHINE"))</f>
        <v/>
      </c>
      <c r="F80" s="106" t="str">
        <f>IF($E80="","",IFERROR(VLOOKUP($E80,Machine_List!$B:$G,6,0),""))</f>
        <v/>
      </c>
      <c r="G80" s="53" t="str">
        <f>IF($E80="","",IFERROR(VLOOKUP($E80,Machine_List!$B:$C,2,0),""))</f>
        <v/>
      </c>
      <c r="H80" s="10" t="str">
        <f>IF($E80="","",IFERROR(VLOOKUP($E80,Machine_List!$B:$D,3,0),""))</f>
        <v/>
      </c>
      <c r="I80" s="54"/>
      <c r="J80" s="55" t="str">
        <f ca="1">IF($A80="","",IF($I80&lt;&gt;"",$I80,MAX(VENT_Plan!$M80,IFERROR(LOOKUP(2,1/($E$3:INDIRECT("E"&amp;(ROW()-1))=$E80),$M$3:INDIRECT("M"&amp;(ROW()-1))),VENT_Plan!$M80))))</f>
        <v/>
      </c>
      <c r="K80" s="10" t="str">
        <f>IF($A80="","",IFERROR(VLOOKUP(B80,CHOOSE(MATCH(C80,Settings!$L$4:$L$10,0),OPR_2P!$A$4:$I$18,SEG_6P!$A$4:$I$18,SOL_4P!$A$4:$I$18,RW_2P!$A$4:$I$18,RW2_4P!$A$4:$I$18,FLAP_4P!$A$4:$I$18,TUBE_4P!$A$4:$I$18),7,0),0))</f>
        <v/>
      </c>
      <c r="L80" s="10" t="str">
        <f t="shared" si="3"/>
        <v/>
      </c>
      <c r="M80" s="55" t="str">
        <f>IF($A80="","",IF(AND(ISNUMBER(G80),G80&gt;=J80,G80&lt;=(J80+(L80/(IF(F80="Contract Workman",Settings!$K$5,Settings!$K$4))))),J80+(L80/(IF(F80="Contract Workman",Settings!$K$5,Settings!$K$4)))+(H80/(IF(F80="Contract Workman",Settings!$K$5,Settings!$K$4))),J80+(L80/(IF(F80="Contract Workman",Settings!$K$5,Settings!$K$4)))))</f>
        <v/>
      </c>
      <c r="N80" s="10" t="str">
        <f t="shared" si="4"/>
        <v/>
      </c>
      <c r="O80" s="51" t="str">
        <f>IF(B80="","", IF(IFERROR(ISNUMBER(SEARCH(B80, VLOOKUP(E80, Machine_List!$B:$J, 9, 0))), FALSE()), "✅ Machine OK", "❌ Sug: " &amp; IFERROR(INDEX(Machine_List!$B$4:$B$50, MATCH("*"&amp;B80&amp;"*", Machine_List!$J$4:$J$50, 0)), "Check Limits")))</f>
        <v/>
      </c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  <c r="AE80" s="52"/>
      <c r="AF80" s="52"/>
      <c r="AG80" s="52"/>
      <c r="AH80" s="52"/>
      <c r="AI80" s="52"/>
      <c r="AJ80" s="52"/>
      <c r="AK80" s="52"/>
      <c r="AL80" s="52"/>
      <c r="AM80" s="52"/>
      <c r="AN80" s="52"/>
      <c r="AO80" s="52"/>
      <c r="AP80" s="52"/>
      <c r="AQ80" s="52"/>
      <c r="AR80" s="52"/>
      <c r="AS80" s="52"/>
      <c r="AT80" s="52"/>
      <c r="AU80" s="52"/>
      <c r="AV80" s="52"/>
      <c r="AW80" s="52"/>
      <c r="AX80" s="52"/>
      <c r="AY80" s="52"/>
      <c r="AZ80" s="52"/>
      <c r="BA80" s="52"/>
      <c r="BB80" s="52"/>
      <c r="BC80" s="52"/>
      <c r="BD80" s="52"/>
      <c r="BE80" s="52"/>
      <c r="BF80" s="52"/>
      <c r="BG80" s="52"/>
      <c r="BH80" s="52"/>
      <c r="BI80" s="52"/>
      <c r="BJ80" s="52"/>
      <c r="BK80" s="52"/>
      <c r="BL80" s="52"/>
      <c r="BM80" s="52"/>
    </row>
    <row r="81" spans="1:65" ht="15" customHeight="1" x14ac:dyDescent="0.3">
      <c r="A81" s="10" t="str">
        <f>IF(Job_Master!A81="","",Job_Master!A81)</f>
        <v/>
      </c>
      <c r="B81" s="10" t="str">
        <f>IF($A81="","",Job_Master!B81)</f>
        <v/>
      </c>
      <c r="C81" s="10" t="str">
        <f>IF($A81="","",Job_Master!C81)</f>
        <v/>
      </c>
      <c r="D81" s="10" t="str">
        <f>IF($A81="","",Job_Master!D81)</f>
        <v/>
      </c>
      <c r="E81" s="48" t="str">
        <f>IF($A81="","",IFERROR(INDEX(Machine_List!$B$72:$B$81,MATCH("*"&amp;$B81&amp;"*",Machine_List!$J$72:$J$81,0)),"NO COMPATIBLE MACHINE"))</f>
        <v/>
      </c>
      <c r="F81" s="106" t="str">
        <f>IF($E81="","",IFERROR(VLOOKUP($E81,Machine_List!$B:$G,6,0),""))</f>
        <v/>
      </c>
      <c r="G81" s="53" t="str">
        <f>IF($E81="","",IFERROR(VLOOKUP($E81,Machine_List!$B:$C,2,0),""))</f>
        <v/>
      </c>
      <c r="H81" s="10" t="str">
        <f>IF($E81="","",IFERROR(VLOOKUP($E81,Machine_List!$B:$D,3,0),""))</f>
        <v/>
      </c>
      <c r="I81" s="54"/>
      <c r="J81" s="55" t="str">
        <f ca="1">IF($A81="","",IF($I81&lt;&gt;"",$I81,MAX(VENT_Plan!$M81,IFERROR(LOOKUP(2,1/($E$3:INDIRECT("E"&amp;(ROW()-1))=$E81),$M$3:INDIRECT("M"&amp;(ROW()-1))),VENT_Plan!$M81))))</f>
        <v/>
      </c>
      <c r="K81" s="10" t="str">
        <f>IF($A81="","",IFERROR(VLOOKUP(B81,CHOOSE(MATCH(C81,Settings!$L$4:$L$10,0),OPR_2P!$A$4:$I$18,SEG_6P!$A$4:$I$18,SOL_4P!$A$4:$I$18,RW_2P!$A$4:$I$18,RW2_4P!$A$4:$I$18,FLAP_4P!$A$4:$I$18,TUBE_4P!$A$4:$I$18),7,0),0))</f>
        <v/>
      </c>
      <c r="L81" s="10" t="str">
        <f t="shared" si="3"/>
        <v/>
      </c>
      <c r="M81" s="55" t="str">
        <f>IF($A81="","",IF(AND(ISNUMBER(G81),G81&gt;=J81,G81&lt;=(J81+(L81/(IF(F81="Contract Workman",Settings!$K$5,Settings!$K$4))))),J81+(L81/(IF(F81="Contract Workman",Settings!$K$5,Settings!$K$4)))+(H81/(IF(F81="Contract Workman",Settings!$K$5,Settings!$K$4))),J81+(L81/(IF(F81="Contract Workman",Settings!$K$5,Settings!$K$4)))))</f>
        <v/>
      </c>
      <c r="N81" s="10" t="str">
        <f t="shared" si="4"/>
        <v/>
      </c>
      <c r="O81" s="51" t="str">
        <f>IF(B81="","", IF(IFERROR(ISNUMBER(SEARCH(B81, VLOOKUP(E81, Machine_List!$B:$J, 9, 0))), FALSE()), "✅ Machine OK", "❌ Sug: " &amp; IFERROR(INDEX(Machine_List!$B$4:$B$50, MATCH("*"&amp;B81&amp;"*", Machine_List!$J$4:$J$50, 0)), "Check Limits")))</f>
        <v/>
      </c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  <c r="AE81" s="52"/>
      <c r="AF81" s="52"/>
      <c r="AG81" s="52"/>
      <c r="AH81" s="52"/>
      <c r="AI81" s="52"/>
      <c r="AJ81" s="52"/>
      <c r="AK81" s="52"/>
      <c r="AL81" s="52"/>
      <c r="AM81" s="52"/>
      <c r="AN81" s="52"/>
      <c r="AO81" s="52"/>
      <c r="AP81" s="52"/>
      <c r="AQ81" s="52"/>
      <c r="AR81" s="52"/>
      <c r="AS81" s="52"/>
      <c r="AT81" s="52"/>
      <c r="AU81" s="52"/>
      <c r="AV81" s="52"/>
      <c r="AW81" s="52"/>
      <c r="AX81" s="52"/>
      <c r="AY81" s="52"/>
      <c r="AZ81" s="52"/>
      <c r="BA81" s="52"/>
      <c r="BB81" s="52"/>
      <c r="BC81" s="52"/>
      <c r="BD81" s="52"/>
      <c r="BE81" s="52"/>
      <c r="BF81" s="52"/>
      <c r="BG81" s="52"/>
      <c r="BH81" s="52"/>
      <c r="BI81" s="52"/>
      <c r="BJ81" s="52"/>
      <c r="BK81" s="52"/>
      <c r="BL81" s="52"/>
      <c r="BM81" s="52"/>
    </row>
    <row r="82" spans="1:65" ht="15" customHeight="1" x14ac:dyDescent="0.3">
      <c r="A82" s="10" t="str">
        <f>IF(Job_Master!A82="","",Job_Master!A82)</f>
        <v/>
      </c>
      <c r="B82" s="10" t="str">
        <f>IF($A82="","",Job_Master!B82)</f>
        <v/>
      </c>
      <c r="C82" s="10" t="str">
        <f>IF($A82="","",Job_Master!C82)</f>
        <v/>
      </c>
      <c r="D82" s="10" t="str">
        <f>IF($A82="","",Job_Master!D82)</f>
        <v/>
      </c>
      <c r="E82" s="48" t="str">
        <f>IF($A82="","",IFERROR(INDEX(Machine_List!$B$72:$B$81,MATCH("*"&amp;$B82&amp;"*",Machine_List!$J$72:$J$81,0)),"NO COMPATIBLE MACHINE"))</f>
        <v/>
      </c>
      <c r="F82" s="106" t="str">
        <f>IF($E82="","",IFERROR(VLOOKUP($E82,Machine_List!$B:$G,6,0),""))</f>
        <v/>
      </c>
      <c r="G82" s="53" t="str">
        <f>IF($E82="","",IFERROR(VLOOKUP($E82,Machine_List!$B:$C,2,0),""))</f>
        <v/>
      </c>
      <c r="H82" s="10" t="str">
        <f>IF($E82="","",IFERROR(VLOOKUP($E82,Machine_List!$B:$D,3,0),""))</f>
        <v/>
      </c>
      <c r="I82" s="54"/>
      <c r="J82" s="55" t="str">
        <f ca="1">IF($A82="","",IF($I82&lt;&gt;"",$I82,MAX(VENT_Plan!$M82,IFERROR(LOOKUP(2,1/($E$3:INDIRECT("E"&amp;(ROW()-1))=$E82),$M$3:INDIRECT("M"&amp;(ROW()-1))),VENT_Plan!$M82))))</f>
        <v/>
      </c>
      <c r="K82" s="10" t="str">
        <f>IF($A82="","",IFERROR(VLOOKUP(B82,CHOOSE(MATCH(C82,Settings!$L$4:$L$10,0),OPR_2P!$A$4:$I$18,SEG_6P!$A$4:$I$18,SOL_4P!$A$4:$I$18,RW_2P!$A$4:$I$18,RW2_4P!$A$4:$I$18,FLAP_4P!$A$4:$I$18,TUBE_4P!$A$4:$I$18),7,0),0))</f>
        <v/>
      </c>
      <c r="L82" s="10" t="str">
        <f t="shared" si="3"/>
        <v/>
      </c>
      <c r="M82" s="55" t="str">
        <f>IF($A82="","",IF(AND(ISNUMBER(G82),G82&gt;=J82,G82&lt;=(J82+(L82/(IF(F82="Contract Workman",Settings!$K$5,Settings!$K$4))))),J82+(L82/(IF(F82="Contract Workman",Settings!$K$5,Settings!$K$4)))+(H82/(IF(F82="Contract Workman",Settings!$K$5,Settings!$K$4))),J82+(L82/(IF(F82="Contract Workman",Settings!$K$5,Settings!$K$4)))))</f>
        <v/>
      </c>
      <c r="N82" s="10" t="str">
        <f t="shared" si="4"/>
        <v/>
      </c>
      <c r="O82" s="51" t="str">
        <f>IF(B82="","", IF(IFERROR(ISNUMBER(SEARCH(B82, VLOOKUP(E82, Machine_List!$B:$J, 9, 0))), FALSE()), "✅ Machine OK", "❌ Sug: " &amp; IFERROR(INDEX(Machine_List!$B$4:$B$50, MATCH("*"&amp;B82&amp;"*", Machine_List!$J$4:$J$50, 0)), "Check Limits")))</f>
        <v/>
      </c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  <c r="AE82" s="52"/>
      <c r="AF82" s="52"/>
      <c r="AG82" s="52"/>
      <c r="AH82" s="52"/>
      <c r="AI82" s="52"/>
      <c r="AJ82" s="52"/>
      <c r="AK82" s="52"/>
      <c r="AL82" s="52"/>
      <c r="AM82" s="52"/>
      <c r="AN82" s="52"/>
      <c r="AO82" s="52"/>
      <c r="AP82" s="52"/>
      <c r="AQ82" s="52"/>
      <c r="AR82" s="52"/>
      <c r="AS82" s="52"/>
      <c r="AT82" s="52"/>
      <c r="AU82" s="52"/>
      <c r="AV82" s="52"/>
      <c r="AW82" s="52"/>
      <c r="AX82" s="52"/>
      <c r="AY82" s="52"/>
      <c r="AZ82" s="52"/>
      <c r="BA82" s="52"/>
      <c r="BB82" s="52"/>
      <c r="BC82" s="52"/>
      <c r="BD82" s="52"/>
      <c r="BE82" s="52"/>
      <c r="BF82" s="52"/>
      <c r="BG82" s="52"/>
      <c r="BH82" s="52"/>
      <c r="BI82" s="52"/>
      <c r="BJ82" s="52"/>
      <c r="BK82" s="52"/>
      <c r="BL82" s="52"/>
      <c r="BM82" s="52"/>
    </row>
    <row r="83" spans="1:65" ht="15" customHeight="1" x14ac:dyDescent="0.3">
      <c r="A83" s="10" t="str">
        <f>IF(Job_Master!A83="","",Job_Master!A83)</f>
        <v/>
      </c>
      <c r="B83" s="10" t="str">
        <f>IF($A83="","",Job_Master!B83)</f>
        <v/>
      </c>
      <c r="C83" s="10" t="str">
        <f>IF($A83="","",Job_Master!C83)</f>
        <v/>
      </c>
      <c r="D83" s="10" t="str">
        <f>IF($A83="","",Job_Master!D83)</f>
        <v/>
      </c>
      <c r="E83" s="48" t="str">
        <f>IF($A83="","",IFERROR(INDEX(Machine_List!$B$72:$B$81,MATCH("*"&amp;$B83&amp;"*",Machine_List!$J$72:$J$81,0)),"NO COMPATIBLE MACHINE"))</f>
        <v/>
      </c>
      <c r="F83" s="106" t="str">
        <f>IF($E83="","",IFERROR(VLOOKUP($E83,Machine_List!$B:$G,6,0),""))</f>
        <v/>
      </c>
      <c r="G83" s="53" t="str">
        <f>IF($E83="","",IFERROR(VLOOKUP($E83,Machine_List!$B:$C,2,0),""))</f>
        <v/>
      </c>
      <c r="H83" s="10" t="str">
        <f>IF($E83="","",IFERROR(VLOOKUP($E83,Machine_List!$B:$D,3,0),""))</f>
        <v/>
      </c>
      <c r="I83" s="54"/>
      <c r="J83" s="55" t="str">
        <f ca="1">IF($A83="","",IF($I83&lt;&gt;"",$I83,MAX(VENT_Plan!$M83,IFERROR(LOOKUP(2,1/($E$3:INDIRECT("E"&amp;(ROW()-1))=$E83),$M$3:INDIRECT("M"&amp;(ROW()-1))),VENT_Plan!$M83))))</f>
        <v/>
      </c>
      <c r="K83" s="10" t="str">
        <f>IF($A83="","",IFERROR(VLOOKUP(B83,CHOOSE(MATCH(C83,Settings!$L$4:$L$10,0),OPR_2P!$A$4:$I$18,SEG_6P!$A$4:$I$18,SOL_4P!$A$4:$I$18,RW_2P!$A$4:$I$18,RW2_4P!$A$4:$I$18,FLAP_4P!$A$4:$I$18,TUBE_4P!$A$4:$I$18),7,0),0))</f>
        <v/>
      </c>
      <c r="L83" s="10" t="str">
        <f t="shared" si="3"/>
        <v/>
      </c>
      <c r="M83" s="55" t="str">
        <f>IF($A83="","",IF(AND(ISNUMBER(G83),G83&gt;=J83,G83&lt;=(J83+(L83/(IF(F83="Contract Workman",Settings!$K$5,Settings!$K$4))))),J83+(L83/(IF(F83="Contract Workman",Settings!$K$5,Settings!$K$4)))+(H83/(IF(F83="Contract Workman",Settings!$K$5,Settings!$K$4))),J83+(L83/(IF(F83="Contract Workman",Settings!$K$5,Settings!$K$4)))))</f>
        <v/>
      </c>
      <c r="N83" s="10" t="str">
        <f t="shared" si="4"/>
        <v/>
      </c>
      <c r="O83" s="51" t="str">
        <f>IF(B83="","", IF(IFERROR(ISNUMBER(SEARCH(B83, VLOOKUP(E83, Machine_List!$B:$J, 9, 0))), FALSE()), "✅ Machine OK", "❌ Sug: " &amp; IFERROR(INDEX(Machine_List!$B$4:$B$50, MATCH("*"&amp;B83&amp;"*", Machine_List!$J$4:$J$50, 0)), "Check Limits")))</f>
        <v/>
      </c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2"/>
      <c r="AE83" s="52"/>
      <c r="AF83" s="52"/>
      <c r="AG83" s="52"/>
      <c r="AH83" s="52"/>
      <c r="AI83" s="52"/>
      <c r="AJ83" s="52"/>
      <c r="AK83" s="52"/>
      <c r="AL83" s="52"/>
      <c r="AM83" s="52"/>
      <c r="AN83" s="52"/>
      <c r="AO83" s="52"/>
      <c r="AP83" s="52"/>
      <c r="AQ83" s="52"/>
      <c r="AR83" s="52"/>
      <c r="AS83" s="52"/>
      <c r="AT83" s="52"/>
      <c r="AU83" s="52"/>
      <c r="AV83" s="52"/>
      <c r="AW83" s="52"/>
      <c r="AX83" s="52"/>
      <c r="AY83" s="52"/>
      <c r="AZ83" s="52"/>
      <c r="BA83" s="52"/>
      <c r="BB83" s="52"/>
      <c r="BC83" s="52"/>
      <c r="BD83" s="52"/>
      <c r="BE83" s="52"/>
      <c r="BF83" s="52"/>
      <c r="BG83" s="52"/>
      <c r="BH83" s="52"/>
      <c r="BI83" s="52"/>
      <c r="BJ83" s="52"/>
      <c r="BK83" s="52"/>
      <c r="BL83" s="52"/>
      <c r="BM83" s="52"/>
    </row>
    <row r="84" spans="1:65" ht="15" customHeight="1" x14ac:dyDescent="0.3">
      <c r="A84" s="10" t="str">
        <f>IF(Job_Master!A84="","",Job_Master!A84)</f>
        <v/>
      </c>
      <c r="B84" s="10" t="str">
        <f>IF($A84="","",Job_Master!B84)</f>
        <v/>
      </c>
      <c r="C84" s="10" t="str">
        <f>IF($A84="","",Job_Master!C84)</f>
        <v/>
      </c>
      <c r="D84" s="10" t="str">
        <f>IF($A84="","",Job_Master!D84)</f>
        <v/>
      </c>
      <c r="E84" s="48" t="str">
        <f>IF($A84="","",IFERROR(INDEX(Machine_List!$B$72:$B$81,MATCH("*"&amp;$B84&amp;"*",Machine_List!$J$72:$J$81,0)),"NO COMPATIBLE MACHINE"))</f>
        <v/>
      </c>
      <c r="F84" s="106" t="str">
        <f>IF($E84="","",IFERROR(VLOOKUP($E84,Machine_List!$B:$G,6,0),""))</f>
        <v/>
      </c>
      <c r="G84" s="53" t="str">
        <f>IF($E84="","",IFERROR(VLOOKUP($E84,Machine_List!$B:$C,2,0),""))</f>
        <v/>
      </c>
      <c r="H84" s="10" t="str">
        <f>IF($E84="","",IFERROR(VLOOKUP($E84,Machine_List!$B:$D,3,0),""))</f>
        <v/>
      </c>
      <c r="I84" s="54"/>
      <c r="J84" s="55" t="str">
        <f ca="1">IF($A84="","",IF($I84&lt;&gt;"",$I84,MAX(VENT_Plan!$M84,IFERROR(LOOKUP(2,1/($E$3:INDIRECT("E"&amp;(ROW()-1))=$E84),$M$3:INDIRECT("M"&amp;(ROW()-1))),VENT_Plan!$M84))))</f>
        <v/>
      </c>
      <c r="K84" s="10" t="str">
        <f>IF($A84="","",IFERROR(VLOOKUP(B84,CHOOSE(MATCH(C84,Settings!$L$4:$L$10,0),OPR_2P!$A$4:$I$18,SEG_6P!$A$4:$I$18,SOL_4P!$A$4:$I$18,RW_2P!$A$4:$I$18,RW2_4P!$A$4:$I$18,FLAP_4P!$A$4:$I$18,TUBE_4P!$A$4:$I$18),7,0),0))</f>
        <v/>
      </c>
      <c r="L84" s="10" t="str">
        <f t="shared" si="3"/>
        <v/>
      </c>
      <c r="M84" s="55" t="str">
        <f>IF($A84="","",IF(AND(ISNUMBER(G84),G84&gt;=J84,G84&lt;=(J84+(L84/(IF(F84="Contract Workman",Settings!$K$5,Settings!$K$4))))),J84+(L84/(IF(F84="Contract Workman",Settings!$K$5,Settings!$K$4)))+(H84/(IF(F84="Contract Workman",Settings!$K$5,Settings!$K$4))),J84+(L84/(IF(F84="Contract Workman",Settings!$K$5,Settings!$K$4)))))</f>
        <v/>
      </c>
      <c r="N84" s="10" t="str">
        <f t="shared" si="4"/>
        <v/>
      </c>
      <c r="O84" s="51" t="str">
        <f>IF(B84="","", IF(IFERROR(ISNUMBER(SEARCH(B84, VLOOKUP(E84, Machine_List!$B:$J, 9, 0))), FALSE()), "✅ Machine OK", "❌ Sug: " &amp; IFERROR(INDEX(Machine_List!$B$4:$B$50, MATCH("*"&amp;B84&amp;"*", Machine_List!$J$4:$J$50, 0)), "Check Limits")))</f>
        <v/>
      </c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52"/>
      <c r="AJ84" s="52"/>
      <c r="AK84" s="52"/>
      <c r="AL84" s="52"/>
      <c r="AM84" s="52"/>
      <c r="AN84" s="52"/>
      <c r="AO84" s="52"/>
      <c r="AP84" s="52"/>
      <c r="AQ84" s="52"/>
      <c r="AR84" s="52"/>
      <c r="AS84" s="52"/>
      <c r="AT84" s="52"/>
      <c r="AU84" s="52"/>
      <c r="AV84" s="52"/>
      <c r="AW84" s="52"/>
      <c r="AX84" s="52"/>
      <c r="AY84" s="52"/>
      <c r="AZ84" s="52"/>
      <c r="BA84" s="52"/>
      <c r="BB84" s="52"/>
      <c r="BC84" s="52"/>
      <c r="BD84" s="52"/>
      <c r="BE84" s="52"/>
      <c r="BF84" s="52"/>
      <c r="BG84" s="52"/>
      <c r="BH84" s="52"/>
      <c r="BI84" s="52"/>
      <c r="BJ84" s="52"/>
      <c r="BK84" s="52"/>
      <c r="BL84" s="52"/>
      <c r="BM84" s="52"/>
    </row>
    <row r="85" spans="1:65" ht="15" customHeight="1" x14ac:dyDescent="0.3">
      <c r="A85" s="10" t="str">
        <f>IF(Job_Master!A85="","",Job_Master!A85)</f>
        <v/>
      </c>
      <c r="B85" s="10" t="str">
        <f>IF($A85="","",Job_Master!B85)</f>
        <v/>
      </c>
      <c r="C85" s="10" t="str">
        <f>IF($A85="","",Job_Master!C85)</f>
        <v/>
      </c>
      <c r="D85" s="10" t="str">
        <f>IF($A85="","",Job_Master!D85)</f>
        <v/>
      </c>
      <c r="E85" s="48" t="str">
        <f>IF($A85="","",IFERROR(INDEX(Machine_List!$B$72:$B$81,MATCH("*"&amp;$B85&amp;"*",Machine_List!$J$72:$J$81,0)),"NO COMPATIBLE MACHINE"))</f>
        <v/>
      </c>
      <c r="F85" s="106" t="str">
        <f>IF($E85="","",IFERROR(VLOOKUP($E85,Machine_List!$B:$G,6,0),""))</f>
        <v/>
      </c>
      <c r="G85" s="53" t="str">
        <f>IF($E85="","",IFERROR(VLOOKUP($E85,Machine_List!$B:$C,2,0),""))</f>
        <v/>
      </c>
      <c r="H85" s="10" t="str">
        <f>IF($E85="","",IFERROR(VLOOKUP($E85,Machine_List!$B:$D,3,0),""))</f>
        <v/>
      </c>
      <c r="I85" s="54"/>
      <c r="J85" s="55" t="str">
        <f ca="1">IF($A85="","",IF($I85&lt;&gt;"",$I85,MAX(VENT_Plan!$M85,IFERROR(LOOKUP(2,1/($E$3:INDIRECT("E"&amp;(ROW()-1))=$E85),$M$3:INDIRECT("M"&amp;(ROW()-1))),VENT_Plan!$M85))))</f>
        <v/>
      </c>
      <c r="K85" s="10" t="str">
        <f>IF($A85="","",IFERROR(VLOOKUP(B85,CHOOSE(MATCH(C85,Settings!$L$4:$L$10,0),OPR_2P!$A$4:$I$18,SEG_6P!$A$4:$I$18,SOL_4P!$A$4:$I$18,RW_2P!$A$4:$I$18,RW2_4P!$A$4:$I$18,FLAP_4P!$A$4:$I$18,TUBE_4P!$A$4:$I$18),7,0),0))</f>
        <v/>
      </c>
      <c r="L85" s="10" t="str">
        <f t="shared" si="3"/>
        <v/>
      </c>
      <c r="M85" s="55" t="str">
        <f>IF($A85="","",IF(AND(ISNUMBER(G85),G85&gt;=J85,G85&lt;=(J85+(L85/(IF(F85="Contract Workman",Settings!$K$5,Settings!$K$4))))),J85+(L85/(IF(F85="Contract Workman",Settings!$K$5,Settings!$K$4)))+(H85/(IF(F85="Contract Workman",Settings!$K$5,Settings!$K$4))),J85+(L85/(IF(F85="Contract Workman",Settings!$K$5,Settings!$K$4)))))</f>
        <v/>
      </c>
      <c r="N85" s="10" t="str">
        <f t="shared" si="4"/>
        <v/>
      </c>
      <c r="O85" s="51" t="str">
        <f>IF(B85="","", IF(IFERROR(ISNUMBER(SEARCH(B85, VLOOKUP(E85, Machine_List!$B:$J, 9, 0))), FALSE()), "✅ Machine OK", "❌ Sug: " &amp; IFERROR(INDEX(Machine_List!$B$4:$B$50, MATCH("*"&amp;B85&amp;"*", Machine_List!$J$4:$J$50, 0)), "Check Limits")))</f>
        <v/>
      </c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52"/>
      <c r="AG85" s="52"/>
      <c r="AH85" s="52"/>
      <c r="AI85" s="52"/>
      <c r="AJ85" s="52"/>
      <c r="AK85" s="52"/>
      <c r="AL85" s="52"/>
      <c r="AM85" s="52"/>
      <c r="AN85" s="52"/>
      <c r="AO85" s="52"/>
      <c r="AP85" s="52"/>
      <c r="AQ85" s="52"/>
      <c r="AR85" s="52"/>
      <c r="AS85" s="52"/>
      <c r="AT85" s="52"/>
      <c r="AU85" s="52"/>
      <c r="AV85" s="52"/>
      <c r="AW85" s="52"/>
      <c r="AX85" s="52"/>
      <c r="AY85" s="52"/>
      <c r="AZ85" s="52"/>
      <c r="BA85" s="52"/>
      <c r="BB85" s="52"/>
      <c r="BC85" s="52"/>
      <c r="BD85" s="52"/>
      <c r="BE85" s="52"/>
      <c r="BF85" s="52"/>
      <c r="BG85" s="52"/>
      <c r="BH85" s="52"/>
      <c r="BI85" s="52"/>
      <c r="BJ85" s="52"/>
      <c r="BK85" s="52"/>
      <c r="BL85" s="52"/>
      <c r="BM85" s="52"/>
    </row>
    <row r="86" spans="1:65" ht="15" customHeight="1" x14ac:dyDescent="0.3">
      <c r="A86" s="10" t="str">
        <f>IF(Job_Master!A86="","",Job_Master!A86)</f>
        <v/>
      </c>
      <c r="B86" s="10" t="str">
        <f>IF($A86="","",Job_Master!B86)</f>
        <v/>
      </c>
      <c r="C86" s="10" t="str">
        <f>IF($A86="","",Job_Master!C86)</f>
        <v/>
      </c>
      <c r="D86" s="10" t="str">
        <f>IF($A86="","",Job_Master!D86)</f>
        <v/>
      </c>
      <c r="E86" s="48" t="str">
        <f>IF($A86="","",IFERROR(INDEX(Machine_List!$B$72:$B$81,MATCH("*"&amp;$B86&amp;"*",Machine_List!$J$72:$J$81,0)),"NO COMPATIBLE MACHINE"))</f>
        <v/>
      </c>
      <c r="F86" s="106" t="str">
        <f>IF($E86="","",IFERROR(VLOOKUP($E86,Machine_List!$B:$G,6,0),""))</f>
        <v/>
      </c>
      <c r="G86" s="53" t="str">
        <f>IF($E86="","",IFERROR(VLOOKUP($E86,Machine_List!$B:$C,2,0),""))</f>
        <v/>
      </c>
      <c r="H86" s="10" t="str">
        <f>IF($E86="","",IFERROR(VLOOKUP($E86,Machine_List!$B:$D,3,0),""))</f>
        <v/>
      </c>
      <c r="I86" s="54"/>
      <c r="J86" s="55" t="str">
        <f ca="1">IF($A86="","",IF($I86&lt;&gt;"",$I86,MAX(VENT_Plan!$M86,IFERROR(LOOKUP(2,1/($E$3:INDIRECT("E"&amp;(ROW()-1))=$E86),$M$3:INDIRECT("M"&amp;(ROW()-1))),VENT_Plan!$M86))))</f>
        <v/>
      </c>
      <c r="K86" s="10" t="str">
        <f>IF($A86="","",IFERROR(VLOOKUP(B86,CHOOSE(MATCH(C86,Settings!$L$4:$L$10,0),OPR_2P!$A$4:$I$18,SEG_6P!$A$4:$I$18,SOL_4P!$A$4:$I$18,RW_2P!$A$4:$I$18,RW2_4P!$A$4:$I$18,FLAP_4P!$A$4:$I$18,TUBE_4P!$A$4:$I$18),7,0),0))</f>
        <v/>
      </c>
      <c r="L86" s="10" t="str">
        <f t="shared" si="3"/>
        <v/>
      </c>
      <c r="M86" s="55" t="str">
        <f>IF($A86="","",IF(AND(ISNUMBER(G86),G86&gt;=J86,G86&lt;=(J86+(L86/(IF(F86="Contract Workman",Settings!$K$5,Settings!$K$4))))),J86+(L86/(IF(F86="Contract Workman",Settings!$K$5,Settings!$K$4)))+(H86/(IF(F86="Contract Workman",Settings!$K$5,Settings!$K$4))),J86+(L86/(IF(F86="Contract Workman",Settings!$K$5,Settings!$K$4)))))</f>
        <v/>
      </c>
      <c r="N86" s="10" t="str">
        <f t="shared" si="4"/>
        <v/>
      </c>
      <c r="O86" s="51" t="str">
        <f>IF(B86="","", IF(IFERROR(ISNUMBER(SEARCH(B86, VLOOKUP(E86, Machine_List!$B:$J, 9, 0))), FALSE()), "✅ Machine OK", "❌ Sug: " &amp; IFERROR(INDEX(Machine_List!$B$4:$B$50, MATCH("*"&amp;B86&amp;"*", Machine_List!$J$4:$J$50, 0)), "Check Limits")))</f>
        <v/>
      </c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2"/>
      <c r="AD86" s="52"/>
      <c r="AE86" s="52"/>
      <c r="AF86" s="52"/>
      <c r="AG86" s="52"/>
      <c r="AH86" s="52"/>
      <c r="AI86" s="52"/>
      <c r="AJ86" s="52"/>
      <c r="AK86" s="52"/>
      <c r="AL86" s="52"/>
      <c r="AM86" s="52"/>
      <c r="AN86" s="52"/>
      <c r="AO86" s="52"/>
      <c r="AP86" s="52"/>
      <c r="AQ86" s="52"/>
      <c r="AR86" s="52"/>
      <c r="AS86" s="52"/>
      <c r="AT86" s="52"/>
      <c r="AU86" s="52"/>
      <c r="AV86" s="52"/>
      <c r="AW86" s="52"/>
      <c r="AX86" s="52"/>
      <c r="AY86" s="52"/>
      <c r="AZ86" s="52"/>
      <c r="BA86" s="52"/>
      <c r="BB86" s="52"/>
      <c r="BC86" s="52"/>
      <c r="BD86" s="52"/>
      <c r="BE86" s="52"/>
      <c r="BF86" s="52"/>
      <c r="BG86" s="52"/>
      <c r="BH86" s="52"/>
      <c r="BI86" s="52"/>
      <c r="BJ86" s="52"/>
      <c r="BK86" s="52"/>
      <c r="BL86" s="52"/>
      <c r="BM86" s="52"/>
    </row>
    <row r="87" spans="1:65" ht="15" customHeight="1" x14ac:dyDescent="0.3">
      <c r="A87" s="10" t="str">
        <f>IF(Job_Master!A87="","",Job_Master!A87)</f>
        <v/>
      </c>
      <c r="B87" s="10" t="str">
        <f>IF($A87="","",Job_Master!B87)</f>
        <v/>
      </c>
      <c r="C87" s="10" t="str">
        <f>IF($A87="","",Job_Master!C87)</f>
        <v/>
      </c>
      <c r="D87" s="10" t="str">
        <f>IF($A87="","",Job_Master!D87)</f>
        <v/>
      </c>
      <c r="E87" s="48" t="str">
        <f>IF($A87="","",IFERROR(INDEX(Machine_List!$B$72:$B$81,MATCH("*"&amp;$B87&amp;"*",Machine_List!$J$72:$J$81,0)),"NO COMPATIBLE MACHINE"))</f>
        <v/>
      </c>
      <c r="F87" s="106" t="str">
        <f>IF($E87="","",IFERROR(VLOOKUP($E87,Machine_List!$B:$G,6,0),""))</f>
        <v/>
      </c>
      <c r="G87" s="53" t="str">
        <f>IF($E87="","",IFERROR(VLOOKUP($E87,Machine_List!$B:$C,2,0),""))</f>
        <v/>
      </c>
      <c r="H87" s="10" t="str">
        <f>IF($E87="","",IFERROR(VLOOKUP($E87,Machine_List!$B:$D,3,0),""))</f>
        <v/>
      </c>
      <c r="I87" s="54"/>
      <c r="J87" s="55" t="str">
        <f ca="1">IF($A87="","",IF($I87&lt;&gt;"",$I87,MAX(VENT_Plan!$M87,IFERROR(LOOKUP(2,1/($E$3:INDIRECT("E"&amp;(ROW()-1))=$E87),$M$3:INDIRECT("M"&amp;(ROW()-1))),VENT_Plan!$M87))))</f>
        <v/>
      </c>
      <c r="K87" s="10" t="str">
        <f>IF($A87="","",IFERROR(VLOOKUP(B87,CHOOSE(MATCH(C87,Settings!$L$4:$L$10,0),OPR_2P!$A$4:$I$18,SEG_6P!$A$4:$I$18,SOL_4P!$A$4:$I$18,RW_2P!$A$4:$I$18,RW2_4P!$A$4:$I$18,FLAP_4P!$A$4:$I$18,TUBE_4P!$A$4:$I$18),7,0),0))</f>
        <v/>
      </c>
      <c r="L87" s="10" t="str">
        <f t="shared" si="3"/>
        <v/>
      </c>
      <c r="M87" s="55" t="str">
        <f>IF($A87="","",IF(AND(ISNUMBER(G87),G87&gt;=J87,G87&lt;=(J87+(L87/(IF(F87="Contract Workman",Settings!$K$5,Settings!$K$4))))),J87+(L87/(IF(F87="Contract Workman",Settings!$K$5,Settings!$K$4)))+(H87/(IF(F87="Contract Workman",Settings!$K$5,Settings!$K$4))),J87+(L87/(IF(F87="Contract Workman",Settings!$K$5,Settings!$K$4)))))</f>
        <v/>
      </c>
      <c r="N87" s="10" t="str">
        <f t="shared" si="4"/>
        <v/>
      </c>
      <c r="O87" s="51" t="str">
        <f>IF(B87="","", IF(IFERROR(ISNUMBER(SEARCH(B87, VLOOKUP(E87, Machine_List!$B:$J, 9, 0))), FALSE()), "✅ Machine OK", "❌ Sug: " &amp; IFERROR(INDEX(Machine_List!$B$4:$B$50, MATCH("*"&amp;B87&amp;"*", Machine_List!$J$4:$J$50, 0)), "Check Limits")))</f>
        <v/>
      </c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  <c r="AE87" s="52"/>
      <c r="AF87" s="52"/>
      <c r="AG87" s="52"/>
      <c r="AH87" s="52"/>
      <c r="AI87" s="52"/>
      <c r="AJ87" s="52"/>
      <c r="AK87" s="52"/>
      <c r="AL87" s="52"/>
      <c r="AM87" s="52"/>
      <c r="AN87" s="52"/>
      <c r="AO87" s="52"/>
      <c r="AP87" s="52"/>
      <c r="AQ87" s="52"/>
      <c r="AR87" s="52"/>
      <c r="AS87" s="52"/>
      <c r="AT87" s="52"/>
      <c r="AU87" s="52"/>
      <c r="AV87" s="52"/>
      <c r="AW87" s="52"/>
      <c r="AX87" s="52"/>
      <c r="AY87" s="52"/>
      <c r="AZ87" s="52"/>
      <c r="BA87" s="52"/>
      <c r="BB87" s="52"/>
      <c r="BC87" s="52"/>
      <c r="BD87" s="52"/>
      <c r="BE87" s="52"/>
      <c r="BF87" s="52"/>
      <c r="BG87" s="52"/>
      <c r="BH87" s="52"/>
      <c r="BI87" s="52"/>
      <c r="BJ87" s="52"/>
      <c r="BK87" s="52"/>
      <c r="BL87" s="52"/>
      <c r="BM87" s="52"/>
    </row>
    <row r="88" spans="1:65" ht="15" customHeight="1" x14ac:dyDescent="0.3">
      <c r="A88" s="10" t="str">
        <f>IF(Job_Master!A88="","",Job_Master!A88)</f>
        <v/>
      </c>
      <c r="B88" s="10" t="str">
        <f>IF($A88="","",Job_Master!B88)</f>
        <v/>
      </c>
      <c r="C88" s="10" t="str">
        <f>IF($A88="","",Job_Master!C88)</f>
        <v/>
      </c>
      <c r="D88" s="10" t="str">
        <f>IF($A88="","",Job_Master!D88)</f>
        <v/>
      </c>
      <c r="E88" s="48" t="str">
        <f>IF($A88="","",IFERROR(INDEX(Machine_List!$B$72:$B$81,MATCH("*"&amp;$B88&amp;"*",Machine_List!$J$72:$J$81,0)),"NO COMPATIBLE MACHINE"))</f>
        <v/>
      </c>
      <c r="F88" s="106" t="str">
        <f>IF($E88="","",IFERROR(VLOOKUP($E88,Machine_List!$B:$G,6,0),""))</f>
        <v/>
      </c>
      <c r="G88" s="53" t="str">
        <f>IF($E88="","",IFERROR(VLOOKUP($E88,Machine_List!$B:$C,2,0),""))</f>
        <v/>
      </c>
      <c r="H88" s="10" t="str">
        <f>IF($E88="","",IFERROR(VLOOKUP($E88,Machine_List!$B:$D,3,0),""))</f>
        <v/>
      </c>
      <c r="I88" s="54"/>
      <c r="J88" s="55" t="str">
        <f ca="1">IF($A88="","",IF($I88&lt;&gt;"",$I88,MAX(VENT_Plan!$M88,IFERROR(LOOKUP(2,1/($E$3:INDIRECT("E"&amp;(ROW()-1))=$E88),$M$3:INDIRECT("M"&amp;(ROW()-1))),VENT_Plan!$M88))))</f>
        <v/>
      </c>
      <c r="K88" s="10" t="str">
        <f>IF($A88="","",IFERROR(VLOOKUP(B88,CHOOSE(MATCH(C88,Settings!$L$4:$L$10,0),OPR_2P!$A$4:$I$18,SEG_6P!$A$4:$I$18,SOL_4P!$A$4:$I$18,RW_2P!$A$4:$I$18,RW2_4P!$A$4:$I$18,FLAP_4P!$A$4:$I$18,TUBE_4P!$A$4:$I$18),7,0),0))</f>
        <v/>
      </c>
      <c r="L88" s="10" t="str">
        <f t="shared" si="3"/>
        <v/>
      </c>
      <c r="M88" s="55" t="str">
        <f>IF($A88="","",IF(AND(ISNUMBER(G88),G88&gt;=J88,G88&lt;=(J88+(L88/(IF(F88="Contract Workman",Settings!$K$5,Settings!$K$4))))),J88+(L88/(IF(F88="Contract Workman",Settings!$K$5,Settings!$K$4)))+(H88/(IF(F88="Contract Workman",Settings!$K$5,Settings!$K$4))),J88+(L88/(IF(F88="Contract Workman",Settings!$K$5,Settings!$K$4)))))</f>
        <v/>
      </c>
      <c r="N88" s="10" t="str">
        <f t="shared" si="4"/>
        <v/>
      </c>
      <c r="O88" s="51" t="str">
        <f>IF(B88="","", IF(IFERROR(ISNUMBER(SEARCH(B88, VLOOKUP(E88, Machine_List!$B:$J, 9, 0))), FALSE()), "✅ Machine OK", "❌ Sug: " &amp; IFERROR(INDEX(Machine_List!$B$4:$B$50, MATCH("*"&amp;B88&amp;"*", Machine_List!$J$4:$J$50, 0)), "Check Limits")))</f>
        <v/>
      </c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2"/>
      <c r="AD88" s="52"/>
      <c r="AE88" s="52"/>
      <c r="AF88" s="52"/>
      <c r="AG88" s="52"/>
      <c r="AH88" s="52"/>
      <c r="AI88" s="52"/>
      <c r="AJ88" s="52"/>
      <c r="AK88" s="52"/>
      <c r="AL88" s="52"/>
      <c r="AM88" s="52"/>
      <c r="AN88" s="52"/>
      <c r="AO88" s="52"/>
      <c r="AP88" s="52"/>
      <c r="AQ88" s="52"/>
      <c r="AR88" s="52"/>
      <c r="AS88" s="52"/>
      <c r="AT88" s="52"/>
      <c r="AU88" s="52"/>
      <c r="AV88" s="52"/>
      <c r="AW88" s="52"/>
      <c r="AX88" s="52"/>
      <c r="AY88" s="52"/>
      <c r="AZ88" s="52"/>
      <c r="BA88" s="52"/>
      <c r="BB88" s="52"/>
      <c r="BC88" s="52"/>
      <c r="BD88" s="52"/>
      <c r="BE88" s="52"/>
      <c r="BF88" s="52"/>
      <c r="BG88" s="52"/>
      <c r="BH88" s="52"/>
      <c r="BI88" s="52"/>
      <c r="BJ88" s="52"/>
      <c r="BK88" s="52"/>
      <c r="BL88" s="52"/>
      <c r="BM88" s="52"/>
    </row>
    <row r="89" spans="1:65" ht="15" customHeight="1" x14ac:dyDescent="0.3">
      <c r="A89" s="10" t="str">
        <f>IF(Job_Master!A89="","",Job_Master!A89)</f>
        <v/>
      </c>
      <c r="B89" s="10" t="str">
        <f>IF($A89="","",Job_Master!B89)</f>
        <v/>
      </c>
      <c r="C89" s="10" t="str">
        <f>IF($A89="","",Job_Master!C89)</f>
        <v/>
      </c>
      <c r="D89" s="10" t="str">
        <f>IF($A89="","",Job_Master!D89)</f>
        <v/>
      </c>
      <c r="E89" s="48" t="str">
        <f>IF($A89="","",IFERROR(INDEX(Machine_List!$B$72:$B$81,MATCH("*"&amp;$B89&amp;"*",Machine_List!$J$72:$J$81,0)),"NO COMPATIBLE MACHINE"))</f>
        <v/>
      </c>
      <c r="F89" s="106" t="str">
        <f>IF($E89="","",IFERROR(VLOOKUP($E89,Machine_List!$B:$G,6,0),""))</f>
        <v/>
      </c>
      <c r="G89" s="53" t="str">
        <f>IF($E89="","",IFERROR(VLOOKUP($E89,Machine_List!$B:$C,2,0),""))</f>
        <v/>
      </c>
      <c r="H89" s="10" t="str">
        <f>IF($E89="","",IFERROR(VLOOKUP($E89,Machine_List!$B:$D,3,0),""))</f>
        <v/>
      </c>
      <c r="I89" s="54"/>
      <c r="J89" s="55" t="str">
        <f ca="1">IF($A89="","",IF($I89&lt;&gt;"",$I89,MAX(VENT_Plan!$M89,IFERROR(LOOKUP(2,1/($E$3:INDIRECT("E"&amp;(ROW()-1))=$E89),$M$3:INDIRECT("M"&amp;(ROW()-1))),VENT_Plan!$M89))))</f>
        <v/>
      </c>
      <c r="K89" s="10" t="str">
        <f>IF($A89="","",IFERROR(VLOOKUP(B89,CHOOSE(MATCH(C89,Settings!$L$4:$L$10,0),OPR_2P!$A$4:$I$18,SEG_6P!$A$4:$I$18,SOL_4P!$A$4:$I$18,RW_2P!$A$4:$I$18,RW2_4P!$A$4:$I$18,FLAP_4P!$A$4:$I$18,TUBE_4P!$A$4:$I$18),7,0),0))</f>
        <v/>
      </c>
      <c r="L89" s="10" t="str">
        <f t="shared" si="3"/>
        <v/>
      </c>
      <c r="M89" s="55" t="str">
        <f>IF($A89="","",IF(AND(ISNUMBER(G89),G89&gt;=J89,G89&lt;=(J89+(L89/(IF(F89="Contract Workman",Settings!$K$5,Settings!$K$4))))),J89+(L89/(IF(F89="Contract Workman",Settings!$K$5,Settings!$K$4)))+(H89/(IF(F89="Contract Workman",Settings!$K$5,Settings!$K$4))),J89+(L89/(IF(F89="Contract Workman",Settings!$K$5,Settings!$K$4)))))</f>
        <v/>
      </c>
      <c r="N89" s="10" t="str">
        <f t="shared" si="4"/>
        <v/>
      </c>
      <c r="O89" s="51" t="str">
        <f>IF(B89="","", IF(IFERROR(ISNUMBER(SEARCH(B89, VLOOKUP(E89, Machine_List!$B:$J, 9, 0))), FALSE()), "✅ Machine OK", "❌ Sug: " &amp; IFERROR(INDEX(Machine_List!$B$4:$B$50, MATCH("*"&amp;B89&amp;"*", Machine_List!$J$4:$J$50, 0)), "Check Limits")))</f>
        <v/>
      </c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  <c r="AE89" s="52"/>
      <c r="AF89" s="52"/>
      <c r="AG89" s="52"/>
      <c r="AH89" s="52"/>
      <c r="AI89" s="52"/>
      <c r="AJ89" s="52"/>
      <c r="AK89" s="52"/>
      <c r="AL89" s="52"/>
      <c r="AM89" s="52"/>
      <c r="AN89" s="52"/>
      <c r="AO89" s="52"/>
      <c r="AP89" s="52"/>
      <c r="AQ89" s="52"/>
      <c r="AR89" s="52"/>
      <c r="AS89" s="52"/>
      <c r="AT89" s="52"/>
      <c r="AU89" s="52"/>
      <c r="AV89" s="52"/>
      <c r="AW89" s="52"/>
      <c r="AX89" s="52"/>
      <c r="AY89" s="52"/>
      <c r="AZ89" s="52"/>
      <c r="BA89" s="52"/>
      <c r="BB89" s="52"/>
      <c r="BC89" s="52"/>
      <c r="BD89" s="52"/>
      <c r="BE89" s="52"/>
      <c r="BF89" s="52"/>
      <c r="BG89" s="52"/>
      <c r="BH89" s="52"/>
      <c r="BI89" s="52"/>
      <c r="BJ89" s="52"/>
      <c r="BK89" s="52"/>
      <c r="BL89" s="52"/>
      <c r="BM89" s="52"/>
    </row>
    <row r="90" spans="1:65" ht="15" customHeight="1" x14ac:dyDescent="0.3">
      <c r="A90" s="10" t="str">
        <f>IF(Job_Master!A90="","",Job_Master!A90)</f>
        <v/>
      </c>
      <c r="B90" s="10" t="str">
        <f>IF($A90="","",Job_Master!B90)</f>
        <v/>
      </c>
      <c r="C90" s="10" t="str">
        <f>IF($A90="","",Job_Master!C90)</f>
        <v/>
      </c>
      <c r="D90" s="10" t="str">
        <f>IF($A90="","",Job_Master!D90)</f>
        <v/>
      </c>
      <c r="E90" s="48" t="str">
        <f>IF($A90="","",IFERROR(INDEX(Machine_List!$B$72:$B$81,MATCH("*"&amp;$B90&amp;"*",Machine_List!$J$72:$J$81,0)),"NO COMPATIBLE MACHINE"))</f>
        <v/>
      </c>
      <c r="F90" s="106" t="str">
        <f>IF($E90="","",IFERROR(VLOOKUP($E90,Machine_List!$B:$G,6,0),""))</f>
        <v/>
      </c>
      <c r="G90" s="53" t="str">
        <f>IF($E90="","",IFERROR(VLOOKUP($E90,Machine_List!$B:$C,2,0),""))</f>
        <v/>
      </c>
      <c r="H90" s="10" t="str">
        <f>IF($E90="","",IFERROR(VLOOKUP($E90,Machine_List!$B:$D,3,0),""))</f>
        <v/>
      </c>
      <c r="I90" s="54"/>
      <c r="J90" s="55" t="str">
        <f ca="1">IF($A90="","",IF($I90&lt;&gt;"",$I90,MAX(VENT_Plan!$M90,IFERROR(LOOKUP(2,1/($E$3:INDIRECT("E"&amp;(ROW()-1))=$E90),$M$3:INDIRECT("M"&amp;(ROW()-1))),VENT_Plan!$M90))))</f>
        <v/>
      </c>
      <c r="K90" s="10" t="str">
        <f>IF($A90="","",IFERROR(VLOOKUP(B90,CHOOSE(MATCH(C90,Settings!$L$4:$L$10,0),OPR_2P!$A$4:$I$18,SEG_6P!$A$4:$I$18,SOL_4P!$A$4:$I$18,RW_2P!$A$4:$I$18,RW2_4P!$A$4:$I$18,FLAP_4P!$A$4:$I$18,TUBE_4P!$A$4:$I$18),7,0),0))</f>
        <v/>
      </c>
      <c r="L90" s="10" t="str">
        <f t="shared" si="3"/>
        <v/>
      </c>
      <c r="M90" s="55" t="str">
        <f>IF($A90="","",IF(AND(ISNUMBER(G90),G90&gt;=J90,G90&lt;=(J90+(L90/(IF(F90="Contract Workman",Settings!$K$5,Settings!$K$4))))),J90+(L90/(IF(F90="Contract Workman",Settings!$K$5,Settings!$K$4)))+(H90/(IF(F90="Contract Workman",Settings!$K$5,Settings!$K$4))),J90+(L90/(IF(F90="Contract Workman",Settings!$K$5,Settings!$K$4)))))</f>
        <v/>
      </c>
      <c r="N90" s="10" t="str">
        <f t="shared" si="4"/>
        <v/>
      </c>
      <c r="O90" s="51" t="str">
        <f>IF(B90="","", IF(IFERROR(ISNUMBER(SEARCH(B90, VLOOKUP(E90, Machine_List!$B:$J, 9, 0))), FALSE()), "✅ Machine OK", "❌ Sug: " &amp; IFERROR(INDEX(Machine_List!$B$4:$B$50, MATCH("*"&amp;B90&amp;"*", Machine_List!$J$4:$J$50, 0)), "Check Limits")))</f>
        <v/>
      </c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  <c r="AE90" s="52"/>
      <c r="AF90" s="52"/>
      <c r="AG90" s="52"/>
      <c r="AH90" s="52"/>
      <c r="AI90" s="52"/>
      <c r="AJ90" s="52"/>
      <c r="AK90" s="52"/>
      <c r="AL90" s="52"/>
      <c r="AM90" s="52"/>
      <c r="AN90" s="52"/>
      <c r="AO90" s="52"/>
      <c r="AP90" s="52"/>
      <c r="AQ90" s="52"/>
      <c r="AR90" s="52"/>
      <c r="AS90" s="52"/>
      <c r="AT90" s="52"/>
      <c r="AU90" s="52"/>
      <c r="AV90" s="52"/>
      <c r="AW90" s="52"/>
      <c r="AX90" s="52"/>
      <c r="AY90" s="52"/>
      <c r="AZ90" s="52"/>
      <c r="BA90" s="52"/>
      <c r="BB90" s="52"/>
      <c r="BC90" s="52"/>
      <c r="BD90" s="52"/>
      <c r="BE90" s="52"/>
      <c r="BF90" s="52"/>
      <c r="BG90" s="52"/>
      <c r="BH90" s="52"/>
      <c r="BI90" s="52"/>
      <c r="BJ90" s="52"/>
      <c r="BK90" s="52"/>
      <c r="BL90" s="52"/>
      <c r="BM90" s="52"/>
    </row>
    <row r="91" spans="1:65" ht="15" customHeight="1" x14ac:dyDescent="0.3">
      <c r="A91" s="10" t="str">
        <f>IF(Job_Master!A91="","",Job_Master!A91)</f>
        <v/>
      </c>
      <c r="B91" s="10" t="str">
        <f>IF($A91="","",Job_Master!B91)</f>
        <v/>
      </c>
      <c r="C91" s="10" t="str">
        <f>IF($A91="","",Job_Master!C91)</f>
        <v/>
      </c>
      <c r="D91" s="10" t="str">
        <f>IF($A91="","",Job_Master!D91)</f>
        <v/>
      </c>
      <c r="E91" s="48" t="str">
        <f>IF($A91="","",IFERROR(INDEX(Machine_List!$B$72:$B$81,MATCH("*"&amp;$B91&amp;"*",Machine_List!$J$72:$J$81,0)),"NO COMPATIBLE MACHINE"))</f>
        <v/>
      </c>
      <c r="F91" s="106" t="str">
        <f>IF($E91="","",IFERROR(VLOOKUP($E91,Machine_List!$B:$G,6,0),""))</f>
        <v/>
      </c>
      <c r="G91" s="53" t="str">
        <f>IF($E91="","",IFERROR(VLOOKUP($E91,Machine_List!$B:$C,2,0),""))</f>
        <v/>
      </c>
      <c r="H91" s="10" t="str">
        <f>IF($E91="","",IFERROR(VLOOKUP($E91,Machine_List!$B:$D,3,0),""))</f>
        <v/>
      </c>
      <c r="I91" s="54"/>
      <c r="J91" s="55" t="str">
        <f ca="1">IF($A91="","",IF($I91&lt;&gt;"",$I91,MAX(VENT_Plan!$M91,IFERROR(LOOKUP(2,1/($E$3:INDIRECT("E"&amp;(ROW()-1))=$E91),$M$3:INDIRECT("M"&amp;(ROW()-1))),VENT_Plan!$M91))))</f>
        <v/>
      </c>
      <c r="K91" s="10" t="str">
        <f>IF($A91="","",IFERROR(VLOOKUP(B91,CHOOSE(MATCH(C91,Settings!$L$4:$L$10,0),OPR_2P!$A$4:$I$18,SEG_6P!$A$4:$I$18,SOL_4P!$A$4:$I$18,RW_2P!$A$4:$I$18,RW2_4P!$A$4:$I$18,FLAP_4P!$A$4:$I$18,TUBE_4P!$A$4:$I$18),7,0),0))</f>
        <v/>
      </c>
      <c r="L91" s="10" t="str">
        <f t="shared" si="3"/>
        <v/>
      </c>
      <c r="M91" s="55" t="str">
        <f>IF($A91="","",IF(AND(ISNUMBER(G91),G91&gt;=J91,G91&lt;=(J91+(L91/(IF(F91="Contract Workman",Settings!$K$5,Settings!$K$4))))),J91+(L91/(IF(F91="Contract Workman",Settings!$K$5,Settings!$K$4)))+(H91/(IF(F91="Contract Workman",Settings!$K$5,Settings!$K$4))),J91+(L91/(IF(F91="Contract Workman",Settings!$K$5,Settings!$K$4)))))</f>
        <v/>
      </c>
      <c r="N91" s="10" t="str">
        <f t="shared" si="4"/>
        <v/>
      </c>
      <c r="O91" s="51" t="str">
        <f>IF(B91="","", IF(IFERROR(ISNUMBER(SEARCH(B91, VLOOKUP(E91, Machine_List!$B:$J, 9, 0))), FALSE()), "✅ Machine OK", "❌ Sug: " &amp; IFERROR(INDEX(Machine_List!$B$4:$B$50, MATCH("*"&amp;B91&amp;"*", Machine_List!$J$4:$J$50, 0)), "Check Limits")))</f>
        <v/>
      </c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  <c r="AX91" s="52"/>
      <c r="AY91" s="52"/>
      <c r="AZ91" s="52"/>
      <c r="BA91" s="52"/>
      <c r="BB91" s="52"/>
      <c r="BC91" s="52"/>
      <c r="BD91" s="52"/>
      <c r="BE91" s="52"/>
      <c r="BF91" s="52"/>
      <c r="BG91" s="52"/>
      <c r="BH91" s="52"/>
      <c r="BI91" s="52"/>
      <c r="BJ91" s="52"/>
      <c r="BK91" s="52"/>
      <c r="BL91" s="52"/>
      <c r="BM91" s="52"/>
    </row>
    <row r="92" spans="1:65" ht="15" customHeight="1" x14ac:dyDescent="0.3">
      <c r="A92" s="10" t="str">
        <f>IF(Job_Master!A92="","",Job_Master!A92)</f>
        <v/>
      </c>
      <c r="B92" s="10" t="str">
        <f>IF($A92="","",Job_Master!B92)</f>
        <v/>
      </c>
      <c r="C92" s="10" t="str">
        <f>IF($A92="","",Job_Master!C92)</f>
        <v/>
      </c>
      <c r="D92" s="10" t="str">
        <f>IF($A92="","",Job_Master!D92)</f>
        <v/>
      </c>
      <c r="E92" s="48" t="str">
        <f>IF($A92="","",IFERROR(INDEX(Machine_List!$B$72:$B$81,MATCH("*"&amp;$B92&amp;"*",Machine_List!$J$72:$J$81,0)),"NO COMPATIBLE MACHINE"))</f>
        <v/>
      </c>
      <c r="F92" s="106" t="str">
        <f>IF($E92="","",IFERROR(VLOOKUP($E92,Machine_List!$B:$G,6,0),""))</f>
        <v/>
      </c>
      <c r="G92" s="53" t="str">
        <f>IF($E92="","",IFERROR(VLOOKUP($E92,Machine_List!$B:$C,2,0),""))</f>
        <v/>
      </c>
      <c r="H92" s="10" t="str">
        <f>IF($E92="","",IFERROR(VLOOKUP($E92,Machine_List!$B:$D,3,0),""))</f>
        <v/>
      </c>
      <c r="I92" s="54"/>
      <c r="J92" s="55" t="str">
        <f ca="1">IF($A92="","",IF($I92&lt;&gt;"",$I92,MAX(VENT_Plan!$M92,IFERROR(LOOKUP(2,1/($E$3:INDIRECT("E"&amp;(ROW()-1))=$E92),$M$3:INDIRECT("M"&amp;(ROW()-1))),VENT_Plan!$M92))))</f>
        <v/>
      </c>
      <c r="K92" s="10" t="str">
        <f>IF($A92="","",IFERROR(VLOOKUP(B92,CHOOSE(MATCH(C92,Settings!$L$4:$L$10,0),OPR_2P!$A$4:$I$18,SEG_6P!$A$4:$I$18,SOL_4P!$A$4:$I$18,RW_2P!$A$4:$I$18,RW2_4P!$A$4:$I$18,FLAP_4P!$A$4:$I$18,TUBE_4P!$A$4:$I$18),7,0),0))</f>
        <v/>
      </c>
      <c r="L92" s="10" t="str">
        <f t="shared" si="3"/>
        <v/>
      </c>
      <c r="M92" s="55" t="str">
        <f>IF($A92="","",IF(AND(ISNUMBER(G92),G92&gt;=J92,G92&lt;=(J92+(L92/(IF(F92="Contract Workman",Settings!$K$5,Settings!$K$4))))),J92+(L92/(IF(F92="Contract Workman",Settings!$K$5,Settings!$K$4)))+(H92/(IF(F92="Contract Workman",Settings!$K$5,Settings!$K$4))),J92+(L92/(IF(F92="Contract Workman",Settings!$K$5,Settings!$K$4)))))</f>
        <v/>
      </c>
      <c r="N92" s="10" t="str">
        <f t="shared" si="4"/>
        <v/>
      </c>
      <c r="O92" s="51" t="str">
        <f>IF(B92="","", IF(IFERROR(ISNUMBER(SEARCH(B92, VLOOKUP(E92, Machine_List!$B:$J, 9, 0))), FALSE()), "✅ Machine OK", "❌ Sug: " &amp; IFERROR(INDEX(Machine_List!$B$4:$B$50, MATCH("*"&amp;B92&amp;"*", Machine_List!$J$4:$J$50, 0)), "Check Limits")))</f>
        <v/>
      </c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  <c r="AX92" s="52"/>
      <c r="AY92" s="52"/>
      <c r="AZ92" s="52"/>
      <c r="BA92" s="52"/>
      <c r="BB92" s="52"/>
      <c r="BC92" s="52"/>
      <c r="BD92" s="52"/>
      <c r="BE92" s="52"/>
      <c r="BF92" s="52"/>
      <c r="BG92" s="52"/>
      <c r="BH92" s="52"/>
      <c r="BI92" s="52"/>
      <c r="BJ92" s="52"/>
      <c r="BK92" s="52"/>
      <c r="BL92" s="52"/>
      <c r="BM92" s="52"/>
    </row>
    <row r="93" spans="1:65" ht="15" customHeight="1" x14ac:dyDescent="0.3">
      <c r="A93" s="10" t="str">
        <f>IF(Job_Master!A93="","",Job_Master!A93)</f>
        <v/>
      </c>
      <c r="B93" s="10" t="str">
        <f>IF($A93="","",Job_Master!B93)</f>
        <v/>
      </c>
      <c r="C93" s="10" t="str">
        <f>IF($A93="","",Job_Master!C93)</f>
        <v/>
      </c>
      <c r="D93" s="10" t="str">
        <f>IF($A93="","",Job_Master!D93)</f>
        <v/>
      </c>
      <c r="E93" s="48" t="str">
        <f>IF($A93="","",IFERROR(INDEX(Machine_List!$B$72:$B$81,MATCH("*"&amp;$B93&amp;"*",Machine_List!$J$72:$J$81,0)),"NO COMPATIBLE MACHINE"))</f>
        <v/>
      </c>
      <c r="F93" s="106" t="str">
        <f>IF($E93="","",IFERROR(VLOOKUP($E93,Machine_List!$B:$G,6,0),""))</f>
        <v/>
      </c>
      <c r="G93" s="53" t="str">
        <f>IF($E93="","",IFERROR(VLOOKUP($E93,Machine_List!$B:$C,2,0),""))</f>
        <v/>
      </c>
      <c r="H93" s="10" t="str">
        <f>IF($E93="","",IFERROR(VLOOKUP($E93,Machine_List!$B:$D,3,0),""))</f>
        <v/>
      </c>
      <c r="I93" s="54"/>
      <c r="J93" s="55" t="str">
        <f ca="1">IF($A93="","",IF($I93&lt;&gt;"",$I93,MAX(VENT_Plan!$M93,IFERROR(LOOKUP(2,1/($E$3:INDIRECT("E"&amp;(ROW()-1))=$E93),$M$3:INDIRECT("M"&amp;(ROW()-1))),VENT_Plan!$M93))))</f>
        <v/>
      </c>
      <c r="K93" s="10" t="str">
        <f>IF($A93="","",IFERROR(VLOOKUP(B93,CHOOSE(MATCH(C93,Settings!$L$4:$L$10,0),OPR_2P!$A$4:$I$18,SEG_6P!$A$4:$I$18,SOL_4P!$A$4:$I$18,RW_2P!$A$4:$I$18,RW2_4P!$A$4:$I$18,FLAP_4P!$A$4:$I$18,TUBE_4P!$A$4:$I$18),7,0),0))</f>
        <v/>
      </c>
      <c r="L93" s="10" t="str">
        <f t="shared" si="3"/>
        <v/>
      </c>
      <c r="M93" s="55" t="str">
        <f>IF($A93="","",IF(AND(ISNUMBER(G93),G93&gt;=J93,G93&lt;=(J93+(L93/(IF(F93="Contract Workman",Settings!$K$5,Settings!$K$4))))),J93+(L93/(IF(F93="Contract Workman",Settings!$K$5,Settings!$K$4)))+(H93/(IF(F93="Contract Workman",Settings!$K$5,Settings!$K$4))),J93+(L93/(IF(F93="Contract Workman",Settings!$K$5,Settings!$K$4)))))</f>
        <v/>
      </c>
      <c r="N93" s="10" t="str">
        <f t="shared" si="4"/>
        <v/>
      </c>
      <c r="O93" s="51" t="str">
        <f>IF(B93="","", IF(IFERROR(ISNUMBER(SEARCH(B93, VLOOKUP(E93, Machine_List!$B:$J, 9, 0))), FALSE()), "✅ Machine OK", "❌ Sug: " &amp; IFERROR(INDEX(Machine_List!$B$4:$B$50, MATCH("*"&amp;B93&amp;"*", Machine_List!$J$4:$J$50, 0)), "Check Limits")))</f>
        <v/>
      </c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  <c r="AC93" s="52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  <c r="AX93" s="52"/>
      <c r="AY93" s="52"/>
      <c r="AZ93" s="52"/>
      <c r="BA93" s="52"/>
      <c r="BB93" s="52"/>
      <c r="BC93" s="52"/>
      <c r="BD93" s="52"/>
      <c r="BE93" s="52"/>
      <c r="BF93" s="52"/>
      <c r="BG93" s="52"/>
      <c r="BH93" s="52"/>
      <c r="BI93" s="52"/>
      <c r="BJ93" s="52"/>
      <c r="BK93" s="52"/>
      <c r="BL93" s="52"/>
      <c r="BM93" s="52"/>
    </row>
    <row r="94" spans="1:65" ht="15" customHeight="1" x14ac:dyDescent="0.3">
      <c r="A94" s="10" t="str">
        <f>IF(Job_Master!A94="","",Job_Master!A94)</f>
        <v/>
      </c>
      <c r="B94" s="10" t="str">
        <f>IF($A94="","",Job_Master!B94)</f>
        <v/>
      </c>
      <c r="C94" s="10" t="str">
        <f>IF($A94="","",Job_Master!C94)</f>
        <v/>
      </c>
      <c r="D94" s="10" t="str">
        <f>IF($A94="","",Job_Master!D94)</f>
        <v/>
      </c>
      <c r="E94" s="48" t="str">
        <f>IF($A94="","",IFERROR(INDEX(Machine_List!$B$72:$B$81,MATCH("*"&amp;$B94&amp;"*",Machine_List!$J$72:$J$81,0)),"NO COMPATIBLE MACHINE"))</f>
        <v/>
      </c>
      <c r="F94" s="106" t="str">
        <f>IF($E94="","",IFERROR(VLOOKUP($E94,Machine_List!$B:$G,6,0),""))</f>
        <v/>
      </c>
      <c r="G94" s="53" t="str">
        <f>IF($E94="","",IFERROR(VLOOKUP($E94,Machine_List!$B:$C,2,0),""))</f>
        <v/>
      </c>
      <c r="H94" s="10" t="str">
        <f>IF($E94="","",IFERROR(VLOOKUP($E94,Machine_List!$B:$D,3,0),""))</f>
        <v/>
      </c>
      <c r="I94" s="54"/>
      <c r="J94" s="55" t="str">
        <f ca="1">IF($A94="","",IF($I94&lt;&gt;"",$I94,MAX(VENT_Plan!$M94,IFERROR(LOOKUP(2,1/($E$3:INDIRECT("E"&amp;(ROW()-1))=$E94),$M$3:INDIRECT("M"&amp;(ROW()-1))),VENT_Plan!$M94))))</f>
        <v/>
      </c>
      <c r="K94" s="10" t="str">
        <f>IF($A94="","",IFERROR(VLOOKUP(B94,CHOOSE(MATCH(C94,Settings!$L$4:$L$10,0),OPR_2P!$A$4:$I$18,SEG_6P!$A$4:$I$18,SOL_4P!$A$4:$I$18,RW_2P!$A$4:$I$18,RW2_4P!$A$4:$I$18,FLAP_4P!$A$4:$I$18,TUBE_4P!$A$4:$I$18),7,0),0))</f>
        <v/>
      </c>
      <c r="L94" s="10" t="str">
        <f t="shared" si="3"/>
        <v/>
      </c>
      <c r="M94" s="55" t="str">
        <f>IF($A94="","",IF(AND(ISNUMBER(G94),G94&gt;=J94,G94&lt;=(J94+(L94/(IF(F94="Contract Workman",Settings!$K$5,Settings!$K$4))))),J94+(L94/(IF(F94="Contract Workman",Settings!$K$5,Settings!$K$4)))+(H94/(IF(F94="Contract Workman",Settings!$K$5,Settings!$K$4))),J94+(L94/(IF(F94="Contract Workman",Settings!$K$5,Settings!$K$4)))))</f>
        <v/>
      </c>
      <c r="N94" s="10" t="str">
        <f t="shared" si="4"/>
        <v/>
      </c>
      <c r="O94" s="51" t="str">
        <f>IF(B94="","", IF(IFERROR(ISNUMBER(SEARCH(B94, VLOOKUP(E94, Machine_List!$B:$J, 9, 0))), FALSE()), "✅ Machine OK", "❌ Sug: " &amp; IFERROR(INDEX(Machine_List!$B$4:$B$50, MATCH("*"&amp;B94&amp;"*", Machine_List!$J$4:$J$50, 0)), "Check Limits")))</f>
        <v/>
      </c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2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  <c r="AX94" s="52"/>
      <c r="AY94" s="52"/>
      <c r="AZ94" s="52"/>
      <c r="BA94" s="52"/>
      <c r="BB94" s="52"/>
      <c r="BC94" s="52"/>
      <c r="BD94" s="52"/>
      <c r="BE94" s="52"/>
      <c r="BF94" s="52"/>
      <c r="BG94" s="52"/>
      <c r="BH94" s="52"/>
      <c r="BI94" s="52"/>
      <c r="BJ94" s="52"/>
      <c r="BK94" s="52"/>
      <c r="BL94" s="52"/>
      <c r="BM94" s="52"/>
    </row>
    <row r="95" spans="1:65" ht="15" customHeight="1" x14ac:dyDescent="0.3">
      <c r="A95" s="10" t="str">
        <f>IF(Job_Master!A95="","",Job_Master!A95)</f>
        <v/>
      </c>
      <c r="B95" s="10" t="str">
        <f>IF($A95="","",Job_Master!B95)</f>
        <v/>
      </c>
      <c r="C95" s="10" t="str">
        <f>IF($A95="","",Job_Master!C95)</f>
        <v/>
      </c>
      <c r="D95" s="10" t="str">
        <f>IF($A95="","",Job_Master!D95)</f>
        <v/>
      </c>
      <c r="E95" s="48" t="str">
        <f>IF($A95="","",IFERROR(INDEX(Machine_List!$B$72:$B$81,MATCH("*"&amp;$B95&amp;"*",Machine_List!$J$72:$J$81,0)),"NO COMPATIBLE MACHINE"))</f>
        <v/>
      </c>
      <c r="F95" s="106" t="str">
        <f>IF($E95="","",IFERROR(VLOOKUP($E95,Machine_List!$B:$G,6,0),""))</f>
        <v/>
      </c>
      <c r="G95" s="53" t="str">
        <f>IF($E95="","",IFERROR(VLOOKUP($E95,Machine_List!$B:$C,2,0),""))</f>
        <v/>
      </c>
      <c r="H95" s="10" t="str">
        <f>IF($E95="","",IFERROR(VLOOKUP($E95,Machine_List!$B:$D,3,0),""))</f>
        <v/>
      </c>
      <c r="I95" s="54"/>
      <c r="J95" s="55" t="str">
        <f ca="1">IF($A95="","",IF($I95&lt;&gt;"",$I95,MAX(VENT_Plan!$M95,IFERROR(LOOKUP(2,1/($E$3:INDIRECT("E"&amp;(ROW()-1))=$E95),$M$3:INDIRECT("M"&amp;(ROW()-1))),VENT_Plan!$M95))))</f>
        <v/>
      </c>
      <c r="K95" s="10" t="str">
        <f>IF($A95="","",IFERROR(VLOOKUP(B95,CHOOSE(MATCH(C95,Settings!$L$4:$L$10,0),OPR_2P!$A$4:$I$18,SEG_6P!$A$4:$I$18,SOL_4P!$A$4:$I$18,RW_2P!$A$4:$I$18,RW2_4P!$A$4:$I$18,FLAP_4P!$A$4:$I$18,TUBE_4P!$A$4:$I$18),7,0),0))</f>
        <v/>
      </c>
      <c r="L95" s="10" t="str">
        <f t="shared" si="3"/>
        <v/>
      </c>
      <c r="M95" s="55" t="str">
        <f>IF($A95="","",IF(AND(ISNUMBER(G95),G95&gt;=J95,G95&lt;=(J95+(L95/(IF(F95="Contract Workman",Settings!$K$5,Settings!$K$4))))),J95+(L95/(IF(F95="Contract Workman",Settings!$K$5,Settings!$K$4)))+(H95/(IF(F95="Contract Workman",Settings!$K$5,Settings!$K$4))),J95+(L95/(IF(F95="Contract Workman",Settings!$K$5,Settings!$K$4)))))</f>
        <v/>
      </c>
      <c r="N95" s="10" t="str">
        <f t="shared" si="4"/>
        <v/>
      </c>
      <c r="O95" s="51" t="str">
        <f>IF(B95="","", IF(IFERROR(ISNUMBER(SEARCH(B95, VLOOKUP(E95, Machine_List!$B:$J, 9, 0))), FALSE()), "✅ Machine OK", "❌ Sug: " &amp; IFERROR(INDEX(Machine_List!$B$4:$B$50, MATCH("*"&amp;B95&amp;"*", Machine_List!$J$4:$J$50, 0)), "Check Limits")))</f>
        <v/>
      </c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  <c r="AC95" s="52"/>
      <c r="AD95" s="52"/>
      <c r="AE95" s="52"/>
      <c r="AF95" s="52"/>
      <c r="AG95" s="52"/>
      <c r="AH95" s="52"/>
      <c r="AI95" s="52"/>
      <c r="AJ95" s="52"/>
      <c r="AK95" s="52"/>
      <c r="AL95" s="52"/>
      <c r="AM95" s="52"/>
      <c r="AN95" s="52"/>
      <c r="AO95" s="52"/>
      <c r="AP95" s="52"/>
      <c r="AQ95" s="52"/>
      <c r="AR95" s="52"/>
      <c r="AS95" s="52"/>
      <c r="AT95" s="52"/>
      <c r="AU95" s="52"/>
      <c r="AV95" s="52"/>
      <c r="AW95" s="52"/>
      <c r="AX95" s="52"/>
      <c r="AY95" s="52"/>
      <c r="AZ95" s="52"/>
      <c r="BA95" s="52"/>
      <c r="BB95" s="52"/>
      <c r="BC95" s="52"/>
      <c r="BD95" s="52"/>
      <c r="BE95" s="52"/>
      <c r="BF95" s="52"/>
      <c r="BG95" s="52"/>
      <c r="BH95" s="52"/>
      <c r="BI95" s="52"/>
      <c r="BJ95" s="52"/>
      <c r="BK95" s="52"/>
      <c r="BL95" s="52"/>
      <c r="BM95" s="52"/>
    </row>
    <row r="96" spans="1:65" ht="15" customHeight="1" x14ac:dyDescent="0.3">
      <c r="A96" s="10" t="str">
        <f>IF(Job_Master!A96="","",Job_Master!A96)</f>
        <v/>
      </c>
      <c r="B96" s="10" t="str">
        <f>IF($A96="","",Job_Master!B96)</f>
        <v/>
      </c>
      <c r="C96" s="10" t="str">
        <f>IF($A96="","",Job_Master!C96)</f>
        <v/>
      </c>
      <c r="D96" s="10" t="str">
        <f>IF($A96="","",Job_Master!D96)</f>
        <v/>
      </c>
      <c r="E96" s="48" t="str">
        <f>IF($A96="","",IFERROR(INDEX(Machine_List!$B$72:$B$81,MATCH("*"&amp;$B96&amp;"*",Machine_List!$J$72:$J$81,0)),"NO COMPATIBLE MACHINE"))</f>
        <v/>
      </c>
      <c r="F96" s="106" t="str">
        <f>IF($E96="","",IFERROR(VLOOKUP($E96,Machine_List!$B:$G,6,0),""))</f>
        <v/>
      </c>
      <c r="G96" s="53" t="str">
        <f>IF($E96="","",IFERROR(VLOOKUP($E96,Machine_List!$B:$C,2,0),""))</f>
        <v/>
      </c>
      <c r="H96" s="10" t="str">
        <f>IF($E96="","",IFERROR(VLOOKUP($E96,Machine_List!$B:$D,3,0),""))</f>
        <v/>
      </c>
      <c r="I96" s="54"/>
      <c r="J96" s="55" t="str">
        <f ca="1">IF($A96="","",IF($I96&lt;&gt;"",$I96,MAX(VENT_Plan!$M96,IFERROR(LOOKUP(2,1/($E$3:INDIRECT("E"&amp;(ROW()-1))=$E96),$M$3:INDIRECT("M"&amp;(ROW()-1))),VENT_Plan!$M96))))</f>
        <v/>
      </c>
      <c r="K96" s="10" t="str">
        <f>IF($A96="","",IFERROR(VLOOKUP(B96,CHOOSE(MATCH(C96,Settings!$L$4:$L$10,0),OPR_2P!$A$4:$I$18,SEG_6P!$A$4:$I$18,SOL_4P!$A$4:$I$18,RW_2P!$A$4:$I$18,RW2_4P!$A$4:$I$18,FLAP_4P!$A$4:$I$18,TUBE_4P!$A$4:$I$18),7,0),0))</f>
        <v/>
      </c>
      <c r="L96" s="10" t="str">
        <f t="shared" si="3"/>
        <v/>
      </c>
      <c r="M96" s="55" t="str">
        <f>IF($A96="","",IF(AND(ISNUMBER(G96),G96&gt;=J96,G96&lt;=(J96+(L96/(IF(F96="Contract Workman",Settings!$K$5,Settings!$K$4))))),J96+(L96/(IF(F96="Contract Workman",Settings!$K$5,Settings!$K$4)))+(H96/(IF(F96="Contract Workman",Settings!$K$5,Settings!$K$4))),J96+(L96/(IF(F96="Contract Workman",Settings!$K$5,Settings!$K$4)))))</f>
        <v/>
      </c>
      <c r="N96" s="10" t="str">
        <f t="shared" si="4"/>
        <v/>
      </c>
      <c r="O96" s="51" t="str">
        <f>IF(B96="","", IF(IFERROR(ISNUMBER(SEARCH(B96, VLOOKUP(E96, Machine_List!$B:$J, 9, 0))), FALSE()), "✅ Machine OK", "❌ Sug: " &amp; IFERROR(INDEX(Machine_List!$B$4:$B$50, MATCH("*"&amp;B96&amp;"*", Machine_List!$J$4:$J$50, 0)), "Check Limits")))</f>
        <v/>
      </c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  <c r="AC96" s="52"/>
      <c r="AD96" s="52"/>
      <c r="AE96" s="52"/>
      <c r="AF96" s="52"/>
      <c r="AG96" s="52"/>
      <c r="AH96" s="52"/>
      <c r="AI96" s="52"/>
      <c r="AJ96" s="52"/>
      <c r="AK96" s="52"/>
      <c r="AL96" s="52"/>
      <c r="AM96" s="52"/>
      <c r="AN96" s="52"/>
      <c r="AO96" s="52"/>
      <c r="AP96" s="52"/>
      <c r="AQ96" s="52"/>
      <c r="AR96" s="52"/>
      <c r="AS96" s="52"/>
      <c r="AT96" s="52"/>
      <c r="AU96" s="52"/>
      <c r="AV96" s="52"/>
      <c r="AW96" s="52"/>
      <c r="AX96" s="52"/>
      <c r="AY96" s="52"/>
      <c r="AZ96" s="52"/>
      <c r="BA96" s="52"/>
      <c r="BB96" s="52"/>
      <c r="BC96" s="52"/>
      <c r="BD96" s="52"/>
      <c r="BE96" s="52"/>
      <c r="BF96" s="52"/>
      <c r="BG96" s="52"/>
      <c r="BH96" s="52"/>
      <c r="BI96" s="52"/>
      <c r="BJ96" s="52"/>
      <c r="BK96" s="52"/>
      <c r="BL96" s="52"/>
      <c r="BM96" s="52"/>
    </row>
    <row r="97" spans="1:65" ht="15" customHeight="1" x14ac:dyDescent="0.3">
      <c r="A97" s="10" t="str">
        <f>IF(Job_Master!A97="","",Job_Master!A97)</f>
        <v/>
      </c>
      <c r="B97" s="10" t="str">
        <f>IF($A97="","",Job_Master!B97)</f>
        <v/>
      </c>
      <c r="C97" s="10" t="str">
        <f>IF($A97="","",Job_Master!C97)</f>
        <v/>
      </c>
      <c r="D97" s="10" t="str">
        <f>IF($A97="","",Job_Master!D97)</f>
        <v/>
      </c>
      <c r="E97" s="48" t="str">
        <f>IF($A97="","",IFERROR(INDEX(Machine_List!$B$72:$B$81,MATCH("*"&amp;$B97&amp;"*",Machine_List!$J$72:$J$81,0)),"NO COMPATIBLE MACHINE"))</f>
        <v/>
      </c>
      <c r="F97" s="106" t="str">
        <f>IF($E97="","",IFERROR(VLOOKUP($E97,Machine_List!$B:$G,6,0),""))</f>
        <v/>
      </c>
      <c r="G97" s="53" t="str">
        <f>IF($E97="","",IFERROR(VLOOKUP($E97,Machine_List!$B:$C,2,0),""))</f>
        <v/>
      </c>
      <c r="H97" s="10" t="str">
        <f>IF($E97="","",IFERROR(VLOOKUP($E97,Machine_List!$B:$D,3,0),""))</f>
        <v/>
      </c>
      <c r="I97" s="54"/>
      <c r="J97" s="55" t="str">
        <f ca="1">IF($A97="","",IF($I97&lt;&gt;"",$I97,MAX(VENT_Plan!$M97,IFERROR(LOOKUP(2,1/($E$3:INDIRECT("E"&amp;(ROW()-1))=$E97),$M$3:INDIRECT("M"&amp;(ROW()-1))),VENT_Plan!$M97))))</f>
        <v/>
      </c>
      <c r="K97" s="10" t="str">
        <f>IF($A97="","",IFERROR(VLOOKUP(B97,CHOOSE(MATCH(C97,Settings!$L$4:$L$10,0),OPR_2P!$A$4:$I$18,SEG_6P!$A$4:$I$18,SOL_4P!$A$4:$I$18,RW_2P!$A$4:$I$18,RW2_4P!$A$4:$I$18,FLAP_4P!$A$4:$I$18,TUBE_4P!$A$4:$I$18),7,0),0))</f>
        <v/>
      </c>
      <c r="L97" s="10" t="str">
        <f t="shared" si="3"/>
        <v/>
      </c>
      <c r="M97" s="55" t="str">
        <f>IF($A97="","",IF(AND(ISNUMBER(G97),G97&gt;=J97,G97&lt;=(J97+(L97/(IF(F97="Contract Workman",Settings!$K$5,Settings!$K$4))))),J97+(L97/(IF(F97="Contract Workman",Settings!$K$5,Settings!$K$4)))+(H97/(IF(F97="Contract Workman",Settings!$K$5,Settings!$K$4))),J97+(L97/(IF(F97="Contract Workman",Settings!$K$5,Settings!$K$4)))))</f>
        <v/>
      </c>
      <c r="N97" s="10" t="str">
        <f t="shared" si="4"/>
        <v/>
      </c>
      <c r="O97" s="51" t="str">
        <f>IF(B97="","", IF(IFERROR(ISNUMBER(SEARCH(B97, VLOOKUP(E97, Machine_List!$B:$J, 9, 0))), FALSE()), "✅ Machine OK", "❌ Sug: " &amp; IFERROR(INDEX(Machine_List!$B$4:$B$50, MATCH("*"&amp;B97&amp;"*", Machine_List!$J$4:$J$50, 0)), "Check Limits")))</f>
        <v/>
      </c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  <c r="AE97" s="52"/>
      <c r="AF97" s="52"/>
      <c r="AG97" s="52"/>
      <c r="AH97" s="52"/>
      <c r="AI97" s="52"/>
      <c r="AJ97" s="52"/>
      <c r="AK97" s="52"/>
      <c r="AL97" s="52"/>
      <c r="AM97" s="52"/>
      <c r="AN97" s="52"/>
      <c r="AO97" s="52"/>
      <c r="AP97" s="52"/>
      <c r="AQ97" s="52"/>
      <c r="AR97" s="52"/>
      <c r="AS97" s="52"/>
      <c r="AT97" s="52"/>
      <c r="AU97" s="52"/>
      <c r="AV97" s="52"/>
      <c r="AW97" s="52"/>
      <c r="AX97" s="52"/>
      <c r="AY97" s="52"/>
      <c r="AZ97" s="52"/>
      <c r="BA97" s="52"/>
      <c r="BB97" s="52"/>
      <c r="BC97" s="52"/>
      <c r="BD97" s="52"/>
      <c r="BE97" s="52"/>
      <c r="BF97" s="52"/>
      <c r="BG97" s="52"/>
      <c r="BH97" s="52"/>
      <c r="BI97" s="52"/>
      <c r="BJ97" s="52"/>
      <c r="BK97" s="52"/>
      <c r="BL97" s="52"/>
      <c r="BM97" s="52"/>
    </row>
    <row r="98" spans="1:65" ht="15" customHeight="1" x14ac:dyDescent="0.3">
      <c r="A98" s="10" t="str">
        <f>IF(Job_Master!A98="","",Job_Master!A98)</f>
        <v/>
      </c>
      <c r="B98" s="10" t="str">
        <f>IF($A98="","",Job_Master!B98)</f>
        <v/>
      </c>
      <c r="C98" s="10" t="str">
        <f>IF($A98="","",Job_Master!C98)</f>
        <v/>
      </c>
      <c r="D98" s="10" t="str">
        <f>IF($A98="","",Job_Master!D98)</f>
        <v/>
      </c>
      <c r="E98" s="48" t="str">
        <f>IF($A98="","",IFERROR(INDEX(Machine_List!$B$72:$B$81,MATCH("*"&amp;$B98&amp;"*",Machine_List!$J$72:$J$81,0)),"NO COMPATIBLE MACHINE"))</f>
        <v/>
      </c>
      <c r="F98" s="106" t="str">
        <f>IF($E98="","",IFERROR(VLOOKUP($E98,Machine_List!$B:$G,6,0),""))</f>
        <v/>
      </c>
      <c r="G98" s="53" t="str">
        <f>IF($E98="","",IFERROR(VLOOKUP($E98,Machine_List!$B:$C,2,0),""))</f>
        <v/>
      </c>
      <c r="H98" s="10" t="str">
        <f>IF($E98="","",IFERROR(VLOOKUP($E98,Machine_List!$B:$D,3,0),""))</f>
        <v/>
      </c>
      <c r="I98" s="54"/>
      <c r="J98" s="55" t="str">
        <f ca="1">IF($A98="","",IF($I98&lt;&gt;"",$I98,MAX(VENT_Plan!$M98,IFERROR(LOOKUP(2,1/($E$3:INDIRECT("E"&amp;(ROW()-1))=$E98),$M$3:INDIRECT("M"&amp;(ROW()-1))),VENT_Plan!$M98))))</f>
        <v/>
      </c>
      <c r="K98" s="10" t="str">
        <f>IF($A98="","",IFERROR(VLOOKUP(B98,CHOOSE(MATCH(C98,Settings!$L$4:$L$10,0),OPR_2P!$A$4:$I$18,SEG_6P!$A$4:$I$18,SOL_4P!$A$4:$I$18,RW_2P!$A$4:$I$18,RW2_4P!$A$4:$I$18,FLAP_4P!$A$4:$I$18,TUBE_4P!$A$4:$I$18),7,0),0))</f>
        <v/>
      </c>
      <c r="L98" s="10" t="str">
        <f t="shared" si="3"/>
        <v/>
      </c>
      <c r="M98" s="55" t="str">
        <f>IF($A98="","",IF(AND(ISNUMBER(G98),G98&gt;=J98,G98&lt;=(J98+(L98/(IF(F98="Contract Workman",Settings!$K$5,Settings!$K$4))))),J98+(L98/(IF(F98="Contract Workman",Settings!$K$5,Settings!$K$4)))+(H98/(IF(F98="Contract Workman",Settings!$K$5,Settings!$K$4))),J98+(L98/(IF(F98="Contract Workman",Settings!$K$5,Settings!$K$4)))))</f>
        <v/>
      </c>
      <c r="N98" s="10" t="str">
        <f t="shared" si="4"/>
        <v/>
      </c>
      <c r="O98" s="51" t="str">
        <f>IF(B98="","", IF(IFERROR(ISNUMBER(SEARCH(B98, VLOOKUP(E98, Machine_List!$B:$J, 9, 0))), FALSE()), "✅ Machine OK", "❌ Sug: " &amp; IFERROR(INDEX(Machine_List!$B$4:$B$50, MATCH("*"&amp;B98&amp;"*", Machine_List!$J$4:$J$50, 0)), "Check Limits")))</f>
        <v/>
      </c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52"/>
      <c r="AN98" s="52"/>
      <c r="AO98" s="52"/>
      <c r="AP98" s="52"/>
      <c r="AQ98" s="52"/>
      <c r="AR98" s="52"/>
      <c r="AS98" s="52"/>
      <c r="AT98" s="52"/>
      <c r="AU98" s="52"/>
      <c r="AV98" s="52"/>
      <c r="AW98" s="52"/>
      <c r="AX98" s="52"/>
      <c r="AY98" s="52"/>
      <c r="AZ98" s="52"/>
      <c r="BA98" s="52"/>
      <c r="BB98" s="52"/>
      <c r="BC98" s="52"/>
      <c r="BD98" s="52"/>
      <c r="BE98" s="52"/>
      <c r="BF98" s="52"/>
      <c r="BG98" s="52"/>
      <c r="BH98" s="52"/>
      <c r="BI98" s="52"/>
      <c r="BJ98" s="52"/>
      <c r="BK98" s="52"/>
      <c r="BL98" s="52"/>
      <c r="BM98" s="52"/>
    </row>
    <row r="99" spans="1:65" ht="15" customHeight="1" x14ac:dyDescent="0.3">
      <c r="A99" s="10" t="str">
        <f>IF(Job_Master!A99="","",Job_Master!A99)</f>
        <v/>
      </c>
      <c r="B99" s="10" t="str">
        <f>IF($A99="","",Job_Master!B99)</f>
        <v/>
      </c>
      <c r="C99" s="10" t="str">
        <f>IF($A99="","",Job_Master!C99)</f>
        <v/>
      </c>
      <c r="D99" s="10" t="str">
        <f>IF($A99="","",Job_Master!D99)</f>
        <v/>
      </c>
      <c r="E99" s="48" t="str">
        <f>IF($A99="","",IFERROR(INDEX(Machine_List!$B$72:$B$81,MATCH("*"&amp;$B99&amp;"*",Machine_List!$J$72:$J$81,0)),"NO COMPATIBLE MACHINE"))</f>
        <v/>
      </c>
      <c r="F99" s="106" t="str">
        <f>IF($E99="","",IFERROR(VLOOKUP($E99,Machine_List!$B:$G,6,0),""))</f>
        <v/>
      </c>
      <c r="G99" s="53" t="str">
        <f>IF($E99="","",IFERROR(VLOOKUP($E99,Machine_List!$B:$C,2,0),""))</f>
        <v/>
      </c>
      <c r="H99" s="10" t="str">
        <f>IF($E99="","",IFERROR(VLOOKUP($E99,Machine_List!$B:$D,3,0),""))</f>
        <v/>
      </c>
      <c r="I99" s="54"/>
      <c r="J99" s="55" t="str">
        <f ca="1">IF($A99="","",IF($I99&lt;&gt;"",$I99,MAX(VENT_Plan!$M99,IFERROR(LOOKUP(2,1/($E$3:INDIRECT("E"&amp;(ROW()-1))=$E99),$M$3:INDIRECT("M"&amp;(ROW()-1))),VENT_Plan!$M99))))</f>
        <v/>
      </c>
      <c r="K99" s="10" t="str">
        <f>IF($A99="","",IFERROR(VLOOKUP(B99,CHOOSE(MATCH(C99,Settings!$L$4:$L$10,0),OPR_2P!$A$4:$I$18,SEG_6P!$A$4:$I$18,SOL_4P!$A$4:$I$18,RW_2P!$A$4:$I$18,RW2_4P!$A$4:$I$18,FLAP_4P!$A$4:$I$18,TUBE_4P!$A$4:$I$18),7,0),0))</f>
        <v/>
      </c>
      <c r="L99" s="10" t="str">
        <f t="shared" si="3"/>
        <v/>
      </c>
      <c r="M99" s="55" t="str">
        <f>IF($A99="","",IF(AND(ISNUMBER(G99),G99&gt;=J99,G99&lt;=(J99+(L99/(IF(F99="Contract Workman",Settings!$K$5,Settings!$K$4))))),J99+(L99/(IF(F99="Contract Workman",Settings!$K$5,Settings!$K$4)))+(H99/(IF(F99="Contract Workman",Settings!$K$5,Settings!$K$4))),J99+(L99/(IF(F99="Contract Workman",Settings!$K$5,Settings!$K$4)))))</f>
        <v/>
      </c>
      <c r="N99" s="10" t="str">
        <f t="shared" si="4"/>
        <v/>
      </c>
      <c r="O99" s="51" t="str">
        <f>IF(B99="","", IF(IFERROR(ISNUMBER(SEARCH(B99, VLOOKUP(E99, Machine_List!$B:$J, 9, 0))), FALSE()), "✅ Machine OK", "❌ Sug: " &amp; IFERROR(INDEX(Machine_List!$B$4:$B$50, MATCH("*"&amp;B99&amp;"*", Machine_List!$J$4:$J$50, 0)), "Check Limits")))</f>
        <v/>
      </c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  <c r="AE99" s="52"/>
      <c r="AF99" s="52"/>
      <c r="AG99" s="52"/>
      <c r="AH99" s="52"/>
      <c r="AI99" s="52"/>
      <c r="AJ99" s="52"/>
      <c r="AK99" s="52"/>
      <c r="AL99" s="52"/>
      <c r="AM99" s="52"/>
      <c r="AN99" s="52"/>
      <c r="AO99" s="52"/>
      <c r="AP99" s="52"/>
      <c r="AQ99" s="52"/>
      <c r="AR99" s="52"/>
      <c r="AS99" s="52"/>
      <c r="AT99" s="52"/>
      <c r="AU99" s="52"/>
      <c r="AV99" s="52"/>
      <c r="AW99" s="52"/>
      <c r="AX99" s="52"/>
      <c r="AY99" s="52"/>
      <c r="AZ99" s="52"/>
      <c r="BA99" s="52"/>
      <c r="BB99" s="52"/>
      <c r="BC99" s="52"/>
      <c r="BD99" s="52"/>
      <c r="BE99" s="52"/>
      <c r="BF99" s="52"/>
      <c r="BG99" s="52"/>
      <c r="BH99" s="52"/>
      <c r="BI99" s="52"/>
      <c r="BJ99" s="52"/>
      <c r="BK99" s="52"/>
      <c r="BL99" s="52"/>
      <c r="BM99" s="52"/>
    </row>
    <row r="100" spans="1:65" ht="15" customHeight="1" x14ac:dyDescent="0.3">
      <c r="A100" s="10" t="str">
        <f>IF(Job_Master!A100="","",Job_Master!A100)</f>
        <v/>
      </c>
      <c r="B100" s="10" t="str">
        <f>IF($A100="","",Job_Master!B100)</f>
        <v/>
      </c>
      <c r="C100" s="10" t="str">
        <f>IF($A100="","",Job_Master!C100)</f>
        <v/>
      </c>
      <c r="D100" s="10" t="str">
        <f>IF($A100="","",Job_Master!D100)</f>
        <v/>
      </c>
      <c r="E100" s="48" t="str">
        <f>IF($A100="","",IFERROR(INDEX(Machine_List!$B$72:$B$81,MATCH("*"&amp;$B100&amp;"*",Machine_List!$J$72:$J$81,0)),"NO COMPATIBLE MACHINE"))</f>
        <v/>
      </c>
      <c r="F100" s="106" t="str">
        <f>IF($E100="","",IFERROR(VLOOKUP($E100,Machine_List!$B:$G,6,0),""))</f>
        <v/>
      </c>
      <c r="G100" s="53" t="str">
        <f>IF($E100="","",IFERROR(VLOOKUP($E100,Machine_List!$B:$C,2,0),""))</f>
        <v/>
      </c>
      <c r="H100" s="10" t="str">
        <f>IF($E100="","",IFERROR(VLOOKUP($E100,Machine_List!$B:$D,3,0),""))</f>
        <v/>
      </c>
      <c r="I100" s="58"/>
      <c r="J100" s="55" t="str">
        <f ca="1">IF($A100="","",IF($I100&lt;&gt;"",$I100,MAX(VENT_Plan!$M100,IFERROR(LOOKUP(2,1/($E$3:INDIRECT("E"&amp;(ROW()-1))=$E100),$M$3:INDIRECT("M"&amp;(ROW()-1))),VENT_Plan!$M100))))</f>
        <v/>
      </c>
      <c r="K100" s="10" t="str">
        <f>IF($A100="","",IFERROR(VLOOKUP(B100,CHOOSE(MATCH(C100,Settings!$L$4:$L$10,0),OPR_2P!$A$4:$I$18,SEG_6P!$A$4:$I$18,SOL_4P!$A$4:$I$18,RW_2P!$A$4:$I$18,RW2_4P!$A$4:$I$18,FLAP_4P!$A$4:$I$18,TUBE_4P!$A$4:$I$18),7,0),0))</f>
        <v/>
      </c>
      <c r="L100" s="10" t="str">
        <f t="shared" si="3"/>
        <v/>
      </c>
      <c r="M100" s="55" t="str">
        <f>IF($A100="","",IF(AND(ISNUMBER(G100),G100&gt;=J100,G100&lt;=(J100+(L100/(IF(F100="Contract Workman",Settings!$K$5,Settings!$K$4))))),J100+(L100/(IF(F100="Contract Workman",Settings!$K$5,Settings!$K$4)))+(H100/(IF(F100="Contract Workman",Settings!$K$5,Settings!$K$4))),J100+(L100/(IF(F100="Contract Workman",Settings!$K$5,Settings!$K$4)))))</f>
        <v/>
      </c>
      <c r="N100" s="10" t="str">
        <f t="shared" ref="N100:N131" si="5">IF($A100="","",IF(F100="Contract Workman",IF(AND(MOD(M100,1)&gt;=8/24,MOD(M100,1)&lt;20/24),"Shift S1","Shift S2"),IF(AND(MOD(M100,1)&gt;=7/24,MOD(M100,1)&lt;15/24),"Shift A",IF(AND(MOD(M100,1)&gt;=15/24,MOD(M100,1)&lt;23/24),"Shift B","Shift C"))))</f>
        <v/>
      </c>
      <c r="O100" s="51" t="str">
        <f>IF(B100="","", IF(IFERROR(ISNUMBER(SEARCH(B100, VLOOKUP(E100, Machine_List!$B:$J, 9, 0))), FALSE()), "✅ Machine OK", "❌ Sug: " &amp; IFERROR(INDEX(Machine_List!$B$4:$B$50, MATCH("*"&amp;B100&amp;"*", Machine_List!$J$4:$J$50, 0)), "Check Limits")))</f>
        <v/>
      </c>
    </row>
    <row r="101" spans="1:65" ht="15" customHeight="1" x14ac:dyDescent="0.3">
      <c r="A101" s="10" t="str">
        <f>IF(Job_Master!A101="","",Job_Master!A101)</f>
        <v/>
      </c>
      <c r="B101" s="10" t="str">
        <f>IF($A101="","",Job_Master!B101)</f>
        <v/>
      </c>
      <c r="C101" s="10" t="str">
        <f>IF($A101="","",Job_Master!C101)</f>
        <v/>
      </c>
      <c r="D101" s="10" t="str">
        <f>IF($A101="","",Job_Master!D101)</f>
        <v/>
      </c>
      <c r="E101" s="48" t="str">
        <f>IF($A101="","",IFERROR(INDEX(Machine_List!$B$72:$B$81,MATCH("*"&amp;$B101&amp;"*",Machine_List!$J$72:$J$81,0)),"NO COMPATIBLE MACHINE"))</f>
        <v/>
      </c>
      <c r="F101" s="106" t="str">
        <f>IF($E101="","",IFERROR(VLOOKUP($E101,Machine_List!$B:$G,6,0),""))</f>
        <v/>
      </c>
      <c r="G101" s="53" t="str">
        <f>IF($E101="","",IFERROR(VLOOKUP($E101,Machine_List!$B:$C,2,0),""))</f>
        <v/>
      </c>
      <c r="H101" s="10" t="str">
        <f>IF($E101="","",IFERROR(VLOOKUP($E101,Machine_List!$B:$D,3,0),""))</f>
        <v/>
      </c>
      <c r="J101" s="55" t="str">
        <f ca="1">IF($A101="","",IF($I101&lt;&gt;"",$I101,MAX(VENT_Plan!$M101,IFERROR(LOOKUP(2,1/($E$3:INDIRECT("E"&amp;(ROW()-1))=$E101),$M$3:INDIRECT("M"&amp;(ROW()-1))),VENT_Plan!$M101))))</f>
        <v/>
      </c>
      <c r="K101" s="10" t="str">
        <f>IF($A101="","",IFERROR(VLOOKUP(B101,CHOOSE(MATCH(C101,Settings!$L$4:$L$10,0),OPR_2P!$A$4:$I$18,SEG_6P!$A$4:$I$18,SOL_4P!$A$4:$I$18,RW_2P!$A$4:$I$18,RW2_4P!$A$4:$I$18,FLAP_4P!$A$4:$I$18,TUBE_4P!$A$4:$I$18),7,0),0))</f>
        <v/>
      </c>
      <c r="L101" s="10" t="str">
        <f t="shared" si="3"/>
        <v/>
      </c>
      <c r="M101" s="55" t="str">
        <f>IF($A101="","",IF(AND(ISNUMBER(G101),G101&gt;=J101,G101&lt;=(J101+(L101/(IF(F101="Contract Workman",Settings!$K$5,Settings!$K$4))))),J101+(L101/(IF(F101="Contract Workman",Settings!$K$5,Settings!$K$4)))+(H101/(IF(F101="Contract Workman",Settings!$K$5,Settings!$K$4))),J101+(L101/(IF(F101="Contract Workman",Settings!$K$5,Settings!$K$4)))))</f>
        <v/>
      </c>
      <c r="N101" s="10" t="str">
        <f t="shared" si="5"/>
        <v/>
      </c>
      <c r="O101" s="51"/>
    </row>
    <row r="102" spans="1:65" ht="15" customHeight="1" x14ac:dyDescent="0.3">
      <c r="A102" s="10" t="str">
        <f>IF(Job_Master!A102="","",Job_Master!A102)</f>
        <v/>
      </c>
      <c r="B102" s="10" t="str">
        <f>IF($A102="","",Job_Master!B102)</f>
        <v/>
      </c>
      <c r="C102" s="10" t="str">
        <f>IF($A102="","",Job_Master!C102)</f>
        <v/>
      </c>
      <c r="D102" s="10" t="str">
        <f>IF($A102="","",Job_Master!D102)</f>
        <v/>
      </c>
      <c r="E102" s="48" t="str">
        <f>IF($A102="","",IFERROR(INDEX(Machine_List!$B$72:$B$81,MATCH("*"&amp;$B102&amp;"*",Machine_List!$J$72:$J$81,0)),"NO COMPATIBLE MACHINE"))</f>
        <v/>
      </c>
      <c r="F102" s="106" t="str">
        <f>IF($E102="","",IFERROR(VLOOKUP($E102,Machine_List!$B:$G,6,0),""))</f>
        <v/>
      </c>
      <c r="G102" s="53" t="str">
        <f>IF($E102="","",IFERROR(VLOOKUP($E102,Machine_List!$B:$C,2,0),""))</f>
        <v/>
      </c>
      <c r="H102" s="10" t="str">
        <f>IF($E102="","",IFERROR(VLOOKUP($E102,Machine_List!$B:$D,3,0),""))</f>
        <v/>
      </c>
      <c r="J102" s="55" t="str">
        <f ca="1">IF($A102="","",IF($I102&lt;&gt;"",$I102,MAX(VENT_Plan!$M102,IFERROR(LOOKUP(2,1/($E$3:INDIRECT("E"&amp;(ROW()-1))=$E102),$M$3:INDIRECT("M"&amp;(ROW()-1))),VENT_Plan!$M102))))</f>
        <v/>
      </c>
      <c r="K102" s="10" t="str">
        <f>IF($A102="","",IFERROR(VLOOKUP(B102,CHOOSE(MATCH(C102,Settings!$L$4:$L$10,0),OPR_2P!$A$4:$I$18,SEG_6P!$A$4:$I$18,SOL_4P!$A$4:$I$18,RW_2P!$A$4:$I$18,RW2_4P!$A$4:$I$18,FLAP_4P!$A$4:$I$18,TUBE_4P!$A$4:$I$18),7,0),0))</f>
        <v/>
      </c>
      <c r="L102" s="10" t="str">
        <f t="shared" si="3"/>
        <v/>
      </c>
      <c r="M102" s="55" t="str">
        <f>IF($A102="","",IF(AND(ISNUMBER(G102),G102&gt;=J102,G102&lt;=(J102+(L102/(IF(F102="Contract Workman",Settings!$K$5,Settings!$K$4))))),J102+(L102/(IF(F102="Contract Workman",Settings!$K$5,Settings!$K$4)))+(H102/(IF(F102="Contract Workman",Settings!$K$5,Settings!$K$4))),J102+(L102/(IF(F102="Contract Workman",Settings!$K$5,Settings!$K$4)))))</f>
        <v/>
      </c>
      <c r="N102" s="10" t="str">
        <f t="shared" si="5"/>
        <v/>
      </c>
      <c r="O102" s="51"/>
    </row>
    <row r="103" spans="1:65" ht="15" customHeight="1" x14ac:dyDescent="0.3">
      <c r="A103" s="10" t="str">
        <f>IF(Job_Master!A103="","",Job_Master!A103)</f>
        <v/>
      </c>
      <c r="B103" s="10" t="str">
        <f>IF($A103="","",Job_Master!B103)</f>
        <v/>
      </c>
      <c r="C103" s="10" t="str">
        <f>IF($A103="","",Job_Master!C103)</f>
        <v/>
      </c>
      <c r="D103" s="10" t="str">
        <f>IF($A103="","",Job_Master!D103)</f>
        <v/>
      </c>
      <c r="E103" s="48" t="str">
        <f>IF($A103="","",IFERROR(INDEX(Machine_List!$B$72:$B$81,MATCH("*"&amp;$B103&amp;"*",Machine_List!$J$72:$J$81,0)),"NO COMPATIBLE MACHINE"))</f>
        <v/>
      </c>
      <c r="F103" s="106" t="str">
        <f>IF($E103="","",IFERROR(VLOOKUP($E103,Machine_List!$B:$G,6,0),""))</f>
        <v/>
      </c>
      <c r="G103" s="53" t="str">
        <f>IF($E103="","",IFERROR(VLOOKUP($E103,Machine_List!$B:$C,2,0),""))</f>
        <v/>
      </c>
      <c r="H103" s="10" t="str">
        <f>IF($E103="","",IFERROR(VLOOKUP($E103,Machine_List!$B:$D,3,0),""))</f>
        <v/>
      </c>
      <c r="J103" s="55" t="str">
        <f ca="1">IF($A103="","",IF($I103&lt;&gt;"",$I103,MAX(VENT_Plan!$M103,IFERROR(LOOKUP(2,1/($E$3:INDIRECT("E"&amp;(ROW()-1))=$E103),$M$3:INDIRECT("M"&amp;(ROW()-1))),VENT_Plan!$M103))))</f>
        <v/>
      </c>
      <c r="K103" s="10" t="str">
        <f>IF($A103="","",IFERROR(VLOOKUP(B103,CHOOSE(MATCH(C103,Settings!$L$4:$L$10,0),OPR_2P!$A$4:$I$18,SEG_6P!$A$4:$I$18,SOL_4P!$A$4:$I$18,RW_2P!$A$4:$I$18,RW2_4P!$A$4:$I$18,FLAP_4P!$A$4:$I$18,TUBE_4P!$A$4:$I$18),7,0),0))</f>
        <v/>
      </c>
      <c r="L103" s="10" t="str">
        <f t="shared" si="3"/>
        <v/>
      </c>
      <c r="M103" s="55" t="str">
        <f>IF($A103="","",IF(AND(ISNUMBER(G103),G103&gt;=J103,G103&lt;=(J103+(L103/(IF(F103="Contract Workman",Settings!$K$5,Settings!$K$4))))),J103+(L103/(IF(F103="Contract Workman",Settings!$K$5,Settings!$K$4)))+(H103/(IF(F103="Contract Workman",Settings!$K$5,Settings!$K$4))),J103+(L103/(IF(F103="Contract Workman",Settings!$K$5,Settings!$K$4)))))</f>
        <v/>
      </c>
      <c r="N103" s="10" t="str">
        <f t="shared" si="5"/>
        <v/>
      </c>
      <c r="O103" s="51"/>
    </row>
    <row r="104" spans="1:65" ht="15" customHeight="1" x14ac:dyDescent="0.3">
      <c r="J104" t="str">
        <f>IF($A104="","",IF($I104&lt;&gt;"", $I104, VENT_Plan!$M104))</f>
        <v/>
      </c>
      <c r="L104" t="str">
        <f t="shared" si="3"/>
        <v/>
      </c>
      <c r="O104" s="51"/>
    </row>
    <row r="105" spans="1:65" ht="15" customHeight="1" x14ac:dyDescent="0.3">
      <c r="J105" t="str">
        <f>IF($A105="","",IF($I105&lt;&gt;"", $I105, VENT_Plan!$M105))</f>
        <v/>
      </c>
      <c r="L105" t="str">
        <f t="shared" si="3"/>
        <v/>
      </c>
      <c r="O105" s="51"/>
    </row>
    <row r="106" spans="1:65" ht="15" customHeight="1" x14ac:dyDescent="0.3">
      <c r="J106" t="str">
        <f>IF($A106="","",IF($I106&lt;&gt;"", $I106, VENT_Plan!$M106))</f>
        <v/>
      </c>
      <c r="L106" t="str">
        <f t="shared" si="3"/>
        <v/>
      </c>
      <c r="O106" s="51"/>
    </row>
    <row r="107" spans="1:65" ht="15" customHeight="1" x14ac:dyDescent="0.3">
      <c r="J107" t="str">
        <f>IF($A107="","",IF($I107&lt;&gt;"", $I107, VENT_Plan!$M107))</f>
        <v/>
      </c>
      <c r="L107" t="str">
        <f t="shared" si="3"/>
        <v/>
      </c>
      <c r="O107" s="51"/>
    </row>
    <row r="108" spans="1:65" ht="15" customHeight="1" x14ac:dyDescent="0.3">
      <c r="J108" t="str">
        <f>IF($A108="","",IF($I108&lt;&gt;"", $I108, VENT_Plan!$M108))</f>
        <v/>
      </c>
      <c r="L108" t="str">
        <f t="shared" si="3"/>
        <v/>
      </c>
      <c r="O108" s="51"/>
    </row>
    <row r="109" spans="1:65" ht="15" customHeight="1" x14ac:dyDescent="0.3">
      <c r="J109" t="str">
        <f>IF($A109="","",IF($I109&lt;&gt;"", $I109, VENT_Plan!$M109))</f>
        <v/>
      </c>
      <c r="L109" t="str">
        <f t="shared" si="3"/>
        <v/>
      </c>
      <c r="O109" s="51"/>
    </row>
    <row r="110" spans="1:65" ht="15" customHeight="1" x14ac:dyDescent="0.3">
      <c r="J110" t="str">
        <f>IF($A110="","",IF($I110&lt;&gt;"", $I110, VENT_Plan!$M110))</f>
        <v/>
      </c>
      <c r="L110" t="str">
        <f t="shared" si="3"/>
        <v/>
      </c>
      <c r="O110" s="51"/>
    </row>
    <row r="111" spans="1:65" ht="15" customHeight="1" x14ac:dyDescent="0.3">
      <c r="J111" t="str">
        <f>IF($A111="","",IF($I111&lt;&gt;"", $I111, VENT_Plan!$M111))</f>
        <v/>
      </c>
      <c r="L111" t="str">
        <f t="shared" si="3"/>
        <v/>
      </c>
      <c r="O111" s="51"/>
    </row>
    <row r="112" spans="1:65" ht="15" customHeight="1" x14ac:dyDescent="0.3">
      <c r="J112" t="str">
        <f>IF($A112="","",IF($I112&lt;&gt;"", $I112, VENT_Plan!$M112))</f>
        <v/>
      </c>
      <c r="L112" t="str">
        <f t="shared" si="3"/>
        <v/>
      </c>
      <c r="O112" s="51"/>
    </row>
    <row r="113" spans="10:15" ht="15" customHeight="1" x14ac:dyDescent="0.3">
      <c r="J113" t="str">
        <f>IF($A113="","",IF($I113&lt;&gt;"", $I113, VENT_Plan!$M113))</f>
        <v/>
      </c>
      <c r="L113" t="str">
        <f t="shared" si="3"/>
        <v/>
      </c>
      <c r="O113" s="51"/>
    </row>
    <row r="114" spans="10:15" ht="15" customHeight="1" x14ac:dyDescent="0.3">
      <c r="J114" t="str">
        <f>IF($A114="","",IF($I114&lt;&gt;"", $I114, VENT_Plan!$M114))</f>
        <v/>
      </c>
      <c r="L114" t="str">
        <f t="shared" si="3"/>
        <v/>
      </c>
      <c r="O114" s="51"/>
    </row>
    <row r="115" spans="10:15" ht="15" customHeight="1" x14ac:dyDescent="0.3">
      <c r="J115" t="str">
        <f>IF($A115="","",IF($I115&lt;&gt;"", $I115, VENT_Plan!$M115))</f>
        <v/>
      </c>
      <c r="L115" t="str">
        <f t="shared" si="3"/>
        <v/>
      </c>
      <c r="O115" s="51"/>
    </row>
    <row r="116" spans="10:15" ht="15" customHeight="1" x14ac:dyDescent="0.3">
      <c r="J116" t="str">
        <f>IF($A116="","",IF($I116&lt;&gt;"", $I116, VENT_Plan!$M116))</f>
        <v/>
      </c>
      <c r="L116" t="str">
        <f t="shared" si="3"/>
        <v/>
      </c>
      <c r="O116" s="51"/>
    </row>
    <row r="117" spans="10:15" ht="15" customHeight="1" x14ac:dyDescent="0.3">
      <c r="J117" t="str">
        <f>IF($A117="","",IF($I117&lt;&gt;"", $I117, VENT_Plan!$M117))</f>
        <v/>
      </c>
      <c r="L117" t="str">
        <f t="shared" si="3"/>
        <v/>
      </c>
      <c r="O117" s="51"/>
    </row>
    <row r="118" spans="10:15" ht="15" customHeight="1" x14ac:dyDescent="0.3">
      <c r="J118" t="str">
        <f>IF($A118="","",IF($I118&lt;&gt;"", $I118, VENT_Plan!$M118))</f>
        <v/>
      </c>
      <c r="L118" t="str">
        <f t="shared" si="3"/>
        <v/>
      </c>
      <c r="O118" s="51"/>
    </row>
    <row r="119" spans="10:15" ht="15" customHeight="1" x14ac:dyDescent="0.3">
      <c r="J119" t="str">
        <f>IF($A119="","",IF($I119&lt;&gt;"", $I119, VENT_Plan!$M119))</f>
        <v/>
      </c>
      <c r="L119" t="str">
        <f t="shared" si="3"/>
        <v/>
      </c>
      <c r="O119" s="51"/>
    </row>
    <row r="120" spans="10:15" ht="15" customHeight="1" x14ac:dyDescent="0.3">
      <c r="J120" t="str">
        <f>IF($A120="","",IF($I120&lt;&gt;"", $I120, VENT_Plan!$M120))</f>
        <v/>
      </c>
      <c r="L120" t="str">
        <f t="shared" si="3"/>
        <v/>
      </c>
      <c r="O120" s="51"/>
    </row>
    <row r="121" spans="10:15" ht="15" customHeight="1" x14ac:dyDescent="0.3">
      <c r="J121" t="str">
        <f>IF($A121="","",IF($I121&lt;&gt;"", $I121, VENT_Plan!$M121))</f>
        <v/>
      </c>
      <c r="L121" t="str">
        <f t="shared" si="3"/>
        <v/>
      </c>
      <c r="O121" s="51"/>
    </row>
    <row r="122" spans="10:15" ht="15" customHeight="1" x14ac:dyDescent="0.3">
      <c r="J122" t="str">
        <f>IF($A122="","",IF($I122&lt;&gt;"", $I122, VENT_Plan!$M122))</f>
        <v/>
      </c>
      <c r="L122" t="str">
        <f t="shared" si="3"/>
        <v/>
      </c>
      <c r="O122" s="51"/>
    </row>
    <row r="123" spans="10:15" ht="15" customHeight="1" x14ac:dyDescent="0.3">
      <c r="J123" t="str">
        <f>IF($A123="","",IF($I123&lt;&gt;"", $I123, VENT_Plan!$M123))</f>
        <v/>
      </c>
      <c r="L123" t="str">
        <f t="shared" si="3"/>
        <v/>
      </c>
      <c r="O123" s="51"/>
    </row>
    <row r="124" spans="10:15" ht="15" customHeight="1" x14ac:dyDescent="0.3">
      <c r="J124" t="str">
        <f>IF($A124="","",IF($I124&lt;&gt;"", $I124, VENT_Plan!$M124))</f>
        <v/>
      </c>
      <c r="L124" t="str">
        <f t="shared" si="3"/>
        <v/>
      </c>
      <c r="O124" s="51"/>
    </row>
    <row r="125" spans="10:15" ht="15" customHeight="1" x14ac:dyDescent="0.3">
      <c r="J125" t="str">
        <f>IF($A125="","",IF($I125&lt;&gt;"", $I125, VENT_Plan!$M125))</f>
        <v/>
      </c>
      <c r="L125" t="str">
        <f t="shared" si="3"/>
        <v/>
      </c>
      <c r="O125" s="51"/>
    </row>
    <row r="126" spans="10:15" ht="15" customHeight="1" x14ac:dyDescent="0.3">
      <c r="J126" t="str">
        <f>IF($A126="","",IF($I126&lt;&gt;"", $I126, VENT_Plan!$M126))</f>
        <v/>
      </c>
      <c r="L126" t="str">
        <f t="shared" si="3"/>
        <v/>
      </c>
      <c r="O126" s="51"/>
    </row>
    <row r="127" spans="10:15" ht="15" customHeight="1" x14ac:dyDescent="0.3">
      <c r="J127" t="str">
        <f>IF($A127="","",IF($I127&lt;&gt;"", $I127, VENT_Plan!$M127))</f>
        <v/>
      </c>
      <c r="L127" t="str">
        <f t="shared" si="3"/>
        <v/>
      </c>
      <c r="O127" s="51"/>
    </row>
    <row r="128" spans="10:15" ht="15" customHeight="1" x14ac:dyDescent="0.3">
      <c r="J128" t="str">
        <f>IF($A128="","",IF($I128&lt;&gt;"", $I128, VENT_Plan!$M128))</f>
        <v/>
      </c>
      <c r="L128" t="str">
        <f t="shared" si="3"/>
        <v/>
      </c>
      <c r="O128" s="51"/>
    </row>
    <row r="129" spans="10:15" ht="15" customHeight="1" x14ac:dyDescent="0.3">
      <c r="J129" t="str">
        <f>IF($A129="","",IF($I129&lt;&gt;"", $I129, VENT_Plan!$M129))</f>
        <v/>
      </c>
      <c r="L129" t="str">
        <f t="shared" si="3"/>
        <v/>
      </c>
      <c r="O129" s="51"/>
    </row>
    <row r="130" spans="10:15" ht="15" customHeight="1" x14ac:dyDescent="0.3">
      <c r="J130" t="str">
        <f>IF($A130="","",IF($I130&lt;&gt;"", $I130, VENT_Plan!$M130))</f>
        <v/>
      </c>
      <c r="L130" t="str">
        <f t="shared" si="3"/>
        <v/>
      </c>
      <c r="O130" s="51"/>
    </row>
    <row r="131" spans="10:15" ht="15" customHeight="1" x14ac:dyDescent="0.3">
      <c r="J131" t="str">
        <f>IF($A131="","",IF($I131&lt;&gt;"", $I131, VENT_Plan!$M131))</f>
        <v/>
      </c>
      <c r="L131" t="str">
        <f t="shared" si="3"/>
        <v/>
      </c>
      <c r="O131" s="51"/>
    </row>
    <row r="132" spans="10:15" ht="15" customHeight="1" x14ac:dyDescent="0.3">
      <c r="J132" t="str">
        <f>IF($A132="","",IF($I132&lt;&gt;"", $I132, VENT_Plan!$M132))</f>
        <v/>
      </c>
      <c r="L132" t="str">
        <f t="shared" ref="L132:L195" si="6">IF($A132="","",K132*D132)</f>
        <v/>
      </c>
      <c r="O132" s="51"/>
    </row>
    <row r="133" spans="10:15" ht="15" customHeight="1" x14ac:dyDescent="0.3">
      <c r="J133" t="str">
        <f>IF($A133="","",IF($I133&lt;&gt;"", $I133, VENT_Plan!$M133))</f>
        <v/>
      </c>
      <c r="L133" t="str">
        <f t="shared" si="6"/>
        <v/>
      </c>
      <c r="O133" s="51"/>
    </row>
    <row r="134" spans="10:15" ht="15" customHeight="1" x14ac:dyDescent="0.3">
      <c r="J134" t="str">
        <f>IF($A134="","",IF($I134&lt;&gt;"", $I134, VENT_Plan!$M134))</f>
        <v/>
      </c>
      <c r="L134" t="str">
        <f t="shared" si="6"/>
        <v/>
      </c>
      <c r="O134" s="51"/>
    </row>
    <row r="135" spans="10:15" ht="15" customHeight="1" x14ac:dyDescent="0.3">
      <c r="J135" t="str">
        <f>IF($A135="","",IF($I135&lt;&gt;"", $I135, VENT_Plan!$M135))</f>
        <v/>
      </c>
      <c r="L135" t="str">
        <f t="shared" si="6"/>
        <v/>
      </c>
      <c r="O135" s="51"/>
    </row>
    <row r="136" spans="10:15" ht="15" customHeight="1" x14ac:dyDescent="0.3">
      <c r="J136" t="str">
        <f>IF($A136="","",IF($I136&lt;&gt;"", $I136, VENT_Plan!$M136))</f>
        <v/>
      </c>
      <c r="L136" t="str">
        <f t="shared" si="6"/>
        <v/>
      </c>
      <c r="O136" s="51"/>
    </row>
    <row r="137" spans="10:15" ht="15" customHeight="1" x14ac:dyDescent="0.3">
      <c r="J137" t="str">
        <f>IF($A137="","",IF($I137&lt;&gt;"", $I137, VENT_Plan!$M137))</f>
        <v/>
      </c>
      <c r="L137" t="str">
        <f t="shared" si="6"/>
        <v/>
      </c>
      <c r="O137" s="51"/>
    </row>
    <row r="138" spans="10:15" ht="15" customHeight="1" x14ac:dyDescent="0.3">
      <c r="J138" t="str">
        <f>IF($A138="","",IF($I138&lt;&gt;"", $I138, VENT_Plan!$M138))</f>
        <v/>
      </c>
      <c r="L138" t="str">
        <f t="shared" si="6"/>
        <v/>
      </c>
      <c r="O138" s="51"/>
    </row>
    <row r="139" spans="10:15" ht="15" customHeight="1" x14ac:dyDescent="0.3">
      <c r="J139" t="str">
        <f>IF($A139="","",IF($I139&lt;&gt;"", $I139, VENT_Plan!$M139))</f>
        <v/>
      </c>
      <c r="L139" t="str">
        <f t="shared" si="6"/>
        <v/>
      </c>
      <c r="O139" s="51"/>
    </row>
    <row r="140" spans="10:15" ht="15" customHeight="1" x14ac:dyDescent="0.3">
      <c r="J140" t="str">
        <f>IF($A140="","",IF($I140&lt;&gt;"", $I140, VENT_Plan!$M140))</f>
        <v/>
      </c>
      <c r="L140" t="str">
        <f t="shared" si="6"/>
        <v/>
      </c>
      <c r="O140" s="51"/>
    </row>
    <row r="141" spans="10:15" ht="15" customHeight="1" x14ac:dyDescent="0.3">
      <c r="J141" t="str">
        <f>IF($A141="","",IF($I141&lt;&gt;"", $I141, VENT_Plan!$M141))</f>
        <v/>
      </c>
      <c r="L141" t="str">
        <f t="shared" si="6"/>
        <v/>
      </c>
      <c r="O141" s="51"/>
    </row>
    <row r="142" spans="10:15" ht="15" customHeight="1" x14ac:dyDescent="0.3">
      <c r="J142" t="str">
        <f>IF($A142="","",IF($I142&lt;&gt;"", $I142, VENT_Plan!$M142))</f>
        <v/>
      </c>
      <c r="L142" t="str">
        <f t="shared" si="6"/>
        <v/>
      </c>
      <c r="O142" s="51"/>
    </row>
    <row r="143" spans="10:15" ht="15" customHeight="1" x14ac:dyDescent="0.3">
      <c r="J143" t="str">
        <f>IF($A143="","",IF($I143&lt;&gt;"", $I143, VENT_Plan!$M143))</f>
        <v/>
      </c>
      <c r="L143" t="str">
        <f t="shared" si="6"/>
        <v/>
      </c>
      <c r="O143" s="51"/>
    </row>
    <row r="144" spans="10:15" ht="15" customHeight="1" x14ac:dyDescent="0.3">
      <c r="J144" t="str">
        <f>IF($A144="","",IF($I144&lt;&gt;"", $I144, VENT_Plan!$M144))</f>
        <v/>
      </c>
      <c r="L144" t="str">
        <f t="shared" si="6"/>
        <v/>
      </c>
      <c r="O144" s="51"/>
    </row>
    <row r="145" spans="10:15" ht="15" customHeight="1" x14ac:dyDescent="0.3">
      <c r="J145" t="str">
        <f>IF($A145="","",IF($I145&lt;&gt;"", $I145, VENT_Plan!$M145))</f>
        <v/>
      </c>
      <c r="L145" t="str">
        <f t="shared" si="6"/>
        <v/>
      </c>
      <c r="O145" s="51"/>
    </row>
    <row r="146" spans="10:15" ht="15" customHeight="1" x14ac:dyDescent="0.3">
      <c r="J146" t="str">
        <f>IF($A146="","",IF($I146&lt;&gt;"", $I146, VENT_Plan!$M146))</f>
        <v/>
      </c>
      <c r="L146" t="str">
        <f t="shared" si="6"/>
        <v/>
      </c>
      <c r="O146" s="51"/>
    </row>
    <row r="147" spans="10:15" ht="15" customHeight="1" x14ac:dyDescent="0.3">
      <c r="J147" t="str">
        <f>IF($A147="","",IF($I147&lt;&gt;"", $I147, VENT_Plan!$M147))</f>
        <v/>
      </c>
      <c r="L147" t="str">
        <f t="shared" si="6"/>
        <v/>
      </c>
      <c r="O147" s="51"/>
    </row>
    <row r="148" spans="10:15" ht="15" customHeight="1" x14ac:dyDescent="0.3">
      <c r="J148" t="str">
        <f>IF($A148="","",IF($I148&lt;&gt;"", $I148, VENT_Plan!$M148))</f>
        <v/>
      </c>
      <c r="L148" t="str">
        <f t="shared" si="6"/>
        <v/>
      </c>
      <c r="O148" s="51"/>
    </row>
    <row r="149" spans="10:15" ht="15" customHeight="1" x14ac:dyDescent="0.3">
      <c r="J149" t="str">
        <f>IF($A149="","",IF($I149&lt;&gt;"", $I149, VENT_Plan!$M149))</f>
        <v/>
      </c>
      <c r="L149" t="str">
        <f t="shared" si="6"/>
        <v/>
      </c>
      <c r="O149" s="51"/>
    </row>
    <row r="150" spans="10:15" ht="15" customHeight="1" x14ac:dyDescent="0.3">
      <c r="J150" t="str">
        <f>IF($A150="","",IF($I150&lt;&gt;"", $I150, VENT_Plan!$M150))</f>
        <v/>
      </c>
      <c r="L150" t="str">
        <f t="shared" si="6"/>
        <v/>
      </c>
      <c r="O150" s="51"/>
    </row>
    <row r="151" spans="10:15" ht="15" customHeight="1" x14ac:dyDescent="0.3">
      <c r="J151" t="str">
        <f>IF($A151="","",IF($I151&lt;&gt;"", $I151, VENT_Plan!$M151))</f>
        <v/>
      </c>
      <c r="L151" t="str">
        <f t="shared" si="6"/>
        <v/>
      </c>
      <c r="O151" s="51"/>
    </row>
    <row r="152" spans="10:15" ht="15" customHeight="1" x14ac:dyDescent="0.3">
      <c r="J152" t="str">
        <f>IF($A152="","",IF($I152&lt;&gt;"", $I152, VENT_Plan!$M152))</f>
        <v/>
      </c>
      <c r="L152" t="str">
        <f t="shared" si="6"/>
        <v/>
      </c>
      <c r="O152" s="51"/>
    </row>
    <row r="153" spans="10:15" ht="15" customHeight="1" x14ac:dyDescent="0.3">
      <c r="J153" t="str">
        <f>IF($A153="","",IF($I153&lt;&gt;"", $I153, VENT_Plan!$M153))</f>
        <v/>
      </c>
      <c r="L153" t="str">
        <f t="shared" si="6"/>
        <v/>
      </c>
      <c r="O153" s="51"/>
    </row>
    <row r="154" spans="10:15" ht="15" customHeight="1" x14ac:dyDescent="0.3">
      <c r="J154" t="str">
        <f>IF($A154="","",IF($I154&lt;&gt;"", $I154, VENT_Plan!$M154))</f>
        <v/>
      </c>
      <c r="L154" t="str">
        <f t="shared" si="6"/>
        <v/>
      </c>
      <c r="O154" s="51"/>
    </row>
    <row r="155" spans="10:15" ht="15" customHeight="1" x14ac:dyDescent="0.3">
      <c r="J155" t="str">
        <f>IF($A155="","",IF($I155&lt;&gt;"", $I155, VENT_Plan!$M155))</f>
        <v/>
      </c>
      <c r="L155" t="str">
        <f t="shared" si="6"/>
        <v/>
      </c>
      <c r="O155" s="51"/>
    </row>
    <row r="156" spans="10:15" ht="15" customHeight="1" x14ac:dyDescent="0.3">
      <c r="J156" t="str">
        <f>IF($A156="","",IF($I156&lt;&gt;"", $I156, VENT_Plan!$M156))</f>
        <v/>
      </c>
      <c r="L156" t="str">
        <f t="shared" si="6"/>
        <v/>
      </c>
      <c r="O156" s="51"/>
    </row>
    <row r="157" spans="10:15" ht="15" customHeight="1" x14ac:dyDescent="0.3">
      <c r="J157" t="str">
        <f>IF($A157="","",IF($I157&lt;&gt;"", $I157, VENT_Plan!$M157))</f>
        <v/>
      </c>
      <c r="L157" t="str">
        <f t="shared" si="6"/>
        <v/>
      </c>
      <c r="O157" s="51"/>
    </row>
    <row r="158" spans="10:15" ht="15" customHeight="1" x14ac:dyDescent="0.3">
      <c r="J158" t="str">
        <f>IF($A158="","",IF($I158&lt;&gt;"", $I158, VENT_Plan!$M158))</f>
        <v/>
      </c>
      <c r="L158" t="str">
        <f t="shared" si="6"/>
        <v/>
      </c>
      <c r="O158" s="51"/>
    </row>
    <row r="159" spans="10:15" ht="15" customHeight="1" x14ac:dyDescent="0.3">
      <c r="J159" t="str">
        <f>IF($A159="","",IF($I159&lt;&gt;"", $I159, VENT_Plan!$M159))</f>
        <v/>
      </c>
      <c r="L159" t="str">
        <f t="shared" si="6"/>
        <v/>
      </c>
      <c r="O159" s="51"/>
    </row>
    <row r="160" spans="10:15" ht="15" customHeight="1" x14ac:dyDescent="0.3">
      <c r="J160" t="str">
        <f>IF($A160="","",IF($I160&lt;&gt;"", $I160, VENT_Plan!$M160))</f>
        <v/>
      </c>
      <c r="L160" t="str">
        <f t="shared" si="6"/>
        <v/>
      </c>
      <c r="O160" s="51"/>
    </row>
    <row r="161" spans="10:15" ht="15" customHeight="1" x14ac:dyDescent="0.3">
      <c r="J161" t="str">
        <f>IF($A161="","",IF($I161&lt;&gt;"", $I161, VENT_Plan!$M161))</f>
        <v/>
      </c>
      <c r="L161" t="str">
        <f t="shared" si="6"/>
        <v/>
      </c>
      <c r="O161" s="51"/>
    </row>
    <row r="162" spans="10:15" ht="15" customHeight="1" x14ac:dyDescent="0.3">
      <c r="J162" t="str">
        <f>IF($A162="","",IF($I162&lt;&gt;"", $I162, VENT_Plan!$M162))</f>
        <v/>
      </c>
      <c r="L162" t="str">
        <f t="shared" si="6"/>
        <v/>
      </c>
      <c r="O162" s="51"/>
    </row>
    <row r="163" spans="10:15" ht="15" customHeight="1" x14ac:dyDescent="0.3">
      <c r="J163" t="str">
        <f>IF($A163="","",IF($I163&lt;&gt;"", $I163, VENT_Plan!$M163))</f>
        <v/>
      </c>
      <c r="L163" t="str">
        <f t="shared" si="6"/>
        <v/>
      </c>
      <c r="O163" s="51"/>
    </row>
    <row r="164" spans="10:15" ht="15" customHeight="1" x14ac:dyDescent="0.3">
      <c r="J164" t="str">
        <f>IF($A164="","",IF($I164&lt;&gt;"", $I164, VENT_Plan!$M164))</f>
        <v/>
      </c>
      <c r="L164" t="str">
        <f t="shared" si="6"/>
        <v/>
      </c>
      <c r="O164" s="51"/>
    </row>
    <row r="165" spans="10:15" ht="15" customHeight="1" x14ac:dyDescent="0.3">
      <c r="J165" t="str">
        <f>IF($A165="","",IF($I165&lt;&gt;"", $I165, VENT_Plan!$M165))</f>
        <v/>
      </c>
      <c r="L165" t="str">
        <f t="shared" si="6"/>
        <v/>
      </c>
      <c r="O165" s="51"/>
    </row>
    <row r="166" spans="10:15" ht="15" customHeight="1" x14ac:dyDescent="0.3">
      <c r="J166" t="str">
        <f>IF($A166="","",IF($I166&lt;&gt;"", $I166, VENT_Plan!$M166))</f>
        <v/>
      </c>
      <c r="L166" t="str">
        <f t="shared" si="6"/>
        <v/>
      </c>
      <c r="O166" s="51"/>
    </row>
    <row r="167" spans="10:15" ht="15" customHeight="1" x14ac:dyDescent="0.3">
      <c r="J167" t="str">
        <f>IF($A167="","",IF($I167&lt;&gt;"", $I167, VENT_Plan!$M167))</f>
        <v/>
      </c>
      <c r="L167" t="str">
        <f t="shared" si="6"/>
        <v/>
      </c>
      <c r="O167" s="51"/>
    </row>
    <row r="168" spans="10:15" ht="15" customHeight="1" x14ac:dyDescent="0.3">
      <c r="J168" t="str">
        <f>IF($A168="","",IF($I168&lt;&gt;"", $I168, VENT_Plan!$M168))</f>
        <v/>
      </c>
      <c r="L168" t="str">
        <f t="shared" si="6"/>
        <v/>
      </c>
      <c r="O168" s="51"/>
    </row>
    <row r="169" spans="10:15" ht="15" customHeight="1" x14ac:dyDescent="0.3">
      <c r="J169" t="str">
        <f>IF($A169="","",IF($I169&lt;&gt;"", $I169, VENT_Plan!$M169))</f>
        <v/>
      </c>
      <c r="L169" t="str">
        <f t="shared" si="6"/>
        <v/>
      </c>
      <c r="O169" s="51"/>
    </row>
    <row r="170" spans="10:15" ht="15" customHeight="1" x14ac:dyDescent="0.3">
      <c r="J170" t="str">
        <f>IF($A170="","",IF($I170&lt;&gt;"", $I170, VENT_Plan!$M170))</f>
        <v/>
      </c>
      <c r="L170" t="str">
        <f t="shared" si="6"/>
        <v/>
      </c>
      <c r="O170" s="51"/>
    </row>
    <row r="171" spans="10:15" ht="15" customHeight="1" x14ac:dyDescent="0.3">
      <c r="J171" t="str">
        <f>IF($A171="","",IF($I171&lt;&gt;"", $I171, VENT_Plan!$M171))</f>
        <v/>
      </c>
      <c r="L171" t="str">
        <f t="shared" si="6"/>
        <v/>
      </c>
      <c r="O171" s="51"/>
    </row>
    <row r="172" spans="10:15" ht="15" customHeight="1" x14ac:dyDescent="0.3">
      <c r="J172" t="str">
        <f>IF($A172="","",IF($I172&lt;&gt;"", $I172, VENT_Plan!$M172))</f>
        <v/>
      </c>
      <c r="L172" t="str">
        <f t="shared" si="6"/>
        <v/>
      </c>
      <c r="O172" s="51"/>
    </row>
    <row r="173" spans="10:15" ht="15" customHeight="1" x14ac:dyDescent="0.3">
      <c r="J173" t="str">
        <f>IF($A173="","",IF($I173&lt;&gt;"", $I173, VENT_Plan!$M173))</f>
        <v/>
      </c>
      <c r="L173" t="str">
        <f t="shared" si="6"/>
        <v/>
      </c>
      <c r="O173" s="51"/>
    </row>
    <row r="174" spans="10:15" ht="15" customHeight="1" x14ac:dyDescent="0.3">
      <c r="J174" t="str">
        <f>IF($A174="","",IF($I174&lt;&gt;"", $I174, VENT_Plan!$M174))</f>
        <v/>
      </c>
      <c r="L174" t="str">
        <f t="shared" si="6"/>
        <v/>
      </c>
      <c r="O174" s="51"/>
    </row>
    <row r="175" spans="10:15" ht="15" customHeight="1" x14ac:dyDescent="0.3">
      <c r="J175" t="str">
        <f>IF($A175="","",IF($I175&lt;&gt;"", $I175, VENT_Plan!$M175))</f>
        <v/>
      </c>
      <c r="L175" t="str">
        <f t="shared" si="6"/>
        <v/>
      </c>
      <c r="O175" s="51"/>
    </row>
    <row r="176" spans="10:15" ht="15" customHeight="1" x14ac:dyDescent="0.3">
      <c r="J176" t="str">
        <f>IF($A176="","",IF($I176&lt;&gt;"", $I176, VENT_Plan!$M176))</f>
        <v/>
      </c>
      <c r="L176" t="str">
        <f t="shared" si="6"/>
        <v/>
      </c>
      <c r="O176" s="51"/>
    </row>
    <row r="177" spans="10:15" ht="15" customHeight="1" x14ac:dyDescent="0.3">
      <c r="J177" t="str">
        <f>IF($A177="","",IF($I177&lt;&gt;"", $I177, VENT_Plan!$M177))</f>
        <v/>
      </c>
      <c r="L177" t="str">
        <f t="shared" si="6"/>
        <v/>
      </c>
      <c r="O177" s="51"/>
    </row>
    <row r="178" spans="10:15" ht="15" customHeight="1" x14ac:dyDescent="0.3">
      <c r="J178" t="str">
        <f>IF($A178="","",IF($I178&lt;&gt;"", $I178, VENT_Plan!$M178))</f>
        <v/>
      </c>
      <c r="L178" t="str">
        <f t="shared" si="6"/>
        <v/>
      </c>
      <c r="O178" s="51"/>
    </row>
    <row r="179" spans="10:15" ht="15" customHeight="1" x14ac:dyDescent="0.3">
      <c r="J179" t="str">
        <f>IF($A179="","",IF($I179&lt;&gt;"", $I179, VENT_Plan!$M179))</f>
        <v/>
      </c>
      <c r="L179" t="str">
        <f t="shared" si="6"/>
        <v/>
      </c>
      <c r="O179" s="51"/>
    </row>
    <row r="180" spans="10:15" ht="15" customHeight="1" x14ac:dyDescent="0.3">
      <c r="J180" t="str">
        <f>IF($A180="","",IF($I180&lt;&gt;"", $I180, VENT_Plan!$M180))</f>
        <v/>
      </c>
      <c r="L180" t="str">
        <f t="shared" si="6"/>
        <v/>
      </c>
      <c r="O180" s="51"/>
    </row>
    <row r="181" spans="10:15" ht="15" customHeight="1" x14ac:dyDescent="0.3">
      <c r="J181" t="str">
        <f>IF($A181="","",IF($I181&lt;&gt;"", $I181, VENT_Plan!$M181))</f>
        <v/>
      </c>
      <c r="L181" t="str">
        <f t="shared" si="6"/>
        <v/>
      </c>
      <c r="O181" s="51"/>
    </row>
    <row r="182" spans="10:15" ht="15" customHeight="1" x14ac:dyDescent="0.3">
      <c r="J182" t="str">
        <f>IF($A182="","",IF($I182&lt;&gt;"", $I182, VENT_Plan!$M182))</f>
        <v/>
      </c>
      <c r="L182" t="str">
        <f t="shared" si="6"/>
        <v/>
      </c>
      <c r="O182" s="51"/>
    </row>
    <row r="183" spans="10:15" ht="15" customHeight="1" x14ac:dyDescent="0.3">
      <c r="J183" t="str">
        <f>IF($A183="","",IF($I183&lt;&gt;"", $I183, VENT_Plan!$M183))</f>
        <v/>
      </c>
      <c r="L183" t="str">
        <f t="shared" si="6"/>
        <v/>
      </c>
      <c r="O183" s="51"/>
    </row>
    <row r="184" spans="10:15" ht="15" customHeight="1" x14ac:dyDescent="0.3">
      <c r="J184" t="str">
        <f>IF($A184="","",IF($I184&lt;&gt;"", $I184, VENT_Plan!$M184))</f>
        <v/>
      </c>
      <c r="L184" t="str">
        <f t="shared" si="6"/>
        <v/>
      </c>
      <c r="O184" s="51"/>
    </row>
    <row r="185" spans="10:15" ht="15" customHeight="1" x14ac:dyDescent="0.3">
      <c r="J185" t="str">
        <f>IF($A185="","",IF($I185&lt;&gt;"", $I185, VENT_Plan!$M185))</f>
        <v/>
      </c>
      <c r="L185" t="str">
        <f t="shared" si="6"/>
        <v/>
      </c>
      <c r="O185" s="51"/>
    </row>
    <row r="186" spans="10:15" ht="15" customHeight="1" x14ac:dyDescent="0.3">
      <c r="J186" t="str">
        <f>IF($A186="","",IF($I186&lt;&gt;"", $I186, VENT_Plan!$M186))</f>
        <v/>
      </c>
      <c r="L186" t="str">
        <f t="shared" si="6"/>
        <v/>
      </c>
      <c r="O186" s="51"/>
    </row>
    <row r="187" spans="10:15" ht="15" customHeight="1" x14ac:dyDescent="0.3">
      <c r="J187" t="str">
        <f>IF($A187="","",IF($I187&lt;&gt;"", $I187, VENT_Plan!$M187))</f>
        <v/>
      </c>
      <c r="L187" t="str">
        <f t="shared" si="6"/>
        <v/>
      </c>
      <c r="O187" s="51"/>
    </row>
    <row r="188" spans="10:15" ht="15" customHeight="1" x14ac:dyDescent="0.3">
      <c r="J188" t="str">
        <f>IF($A188="","",IF($I188&lt;&gt;"", $I188, VENT_Plan!$M188))</f>
        <v/>
      </c>
      <c r="L188" t="str">
        <f t="shared" si="6"/>
        <v/>
      </c>
      <c r="O188" s="51"/>
    </row>
    <row r="189" spans="10:15" ht="15" customHeight="1" x14ac:dyDescent="0.3">
      <c r="J189" t="str">
        <f>IF($A189="","",IF($I189&lt;&gt;"", $I189, VENT_Plan!$M189))</f>
        <v/>
      </c>
      <c r="L189" t="str">
        <f t="shared" si="6"/>
        <v/>
      </c>
      <c r="O189" s="51"/>
    </row>
    <row r="190" spans="10:15" ht="15" customHeight="1" x14ac:dyDescent="0.3">
      <c r="J190" t="str">
        <f>IF($A190="","",IF($I190&lt;&gt;"", $I190, VENT_Plan!$M190))</f>
        <v/>
      </c>
      <c r="L190" t="str">
        <f t="shared" si="6"/>
        <v/>
      </c>
      <c r="O190" s="51"/>
    </row>
    <row r="191" spans="10:15" ht="15" customHeight="1" x14ac:dyDescent="0.3">
      <c r="J191" t="str">
        <f>IF($A191="","",IF($I191&lt;&gt;"", $I191, VENT_Plan!$M191))</f>
        <v/>
      </c>
      <c r="L191" t="str">
        <f t="shared" si="6"/>
        <v/>
      </c>
      <c r="O191" s="51"/>
    </row>
    <row r="192" spans="10:15" ht="15" customHeight="1" x14ac:dyDescent="0.3">
      <c r="J192" t="str">
        <f>IF($A192="","",IF($I192&lt;&gt;"", $I192, VENT_Plan!$M192))</f>
        <v/>
      </c>
      <c r="L192" t="str">
        <f t="shared" si="6"/>
        <v/>
      </c>
      <c r="O192" s="51"/>
    </row>
    <row r="193" spans="10:15" ht="15" customHeight="1" x14ac:dyDescent="0.3">
      <c r="J193" t="str">
        <f>IF($A193="","",IF($I193&lt;&gt;"", $I193, VENT_Plan!$M193))</f>
        <v/>
      </c>
      <c r="L193" t="str">
        <f t="shared" si="6"/>
        <v/>
      </c>
      <c r="O193" s="51"/>
    </row>
    <row r="194" spans="10:15" ht="15" customHeight="1" x14ac:dyDescent="0.3">
      <c r="J194" t="str">
        <f>IF($A194="","",IF($I194&lt;&gt;"", $I194, VENT_Plan!$M194))</f>
        <v/>
      </c>
      <c r="L194" t="str">
        <f t="shared" si="6"/>
        <v/>
      </c>
      <c r="O194" s="51"/>
    </row>
    <row r="195" spans="10:15" ht="15" customHeight="1" x14ac:dyDescent="0.3">
      <c r="J195" t="str">
        <f>IF($A195="","",IF($I195&lt;&gt;"", $I195, VENT_Plan!$M195))</f>
        <v/>
      </c>
      <c r="L195" t="str">
        <f t="shared" si="6"/>
        <v/>
      </c>
      <c r="O195" s="51"/>
    </row>
    <row r="196" spans="10:15" ht="15" customHeight="1" x14ac:dyDescent="0.3">
      <c r="J196" t="str">
        <f>IF($A196="","",IF($I196&lt;&gt;"", $I196, VENT_Plan!$M196))</f>
        <v/>
      </c>
      <c r="L196" t="str">
        <f t="shared" ref="L196:L259" si="7">IF($A196="","",K196*D196)</f>
        <v/>
      </c>
      <c r="O196" s="51"/>
    </row>
    <row r="197" spans="10:15" ht="15" customHeight="1" x14ac:dyDescent="0.3">
      <c r="J197" t="str">
        <f>IF($A197="","",IF($I197&lt;&gt;"", $I197, VENT_Plan!$M197))</f>
        <v/>
      </c>
      <c r="L197" t="str">
        <f t="shared" si="7"/>
        <v/>
      </c>
      <c r="O197" s="51"/>
    </row>
    <row r="198" spans="10:15" ht="15" customHeight="1" x14ac:dyDescent="0.3">
      <c r="J198" t="str">
        <f>IF($A198="","",IF($I198&lt;&gt;"", $I198, VENT_Plan!$M198))</f>
        <v/>
      </c>
      <c r="L198" t="str">
        <f t="shared" si="7"/>
        <v/>
      </c>
      <c r="O198" s="51"/>
    </row>
    <row r="199" spans="10:15" ht="15" customHeight="1" x14ac:dyDescent="0.3">
      <c r="J199" t="str">
        <f>IF($A199="","",IF($I199&lt;&gt;"", $I199, VENT_Plan!$M199))</f>
        <v/>
      </c>
      <c r="L199" t="str">
        <f t="shared" si="7"/>
        <v/>
      </c>
      <c r="O199" s="51"/>
    </row>
    <row r="200" spans="10:15" ht="15" customHeight="1" x14ac:dyDescent="0.3">
      <c r="J200" t="str">
        <f>IF($A200="","",IF($I200&lt;&gt;"", $I200, VENT_Plan!$M200))</f>
        <v/>
      </c>
      <c r="L200" t="str">
        <f t="shared" si="7"/>
        <v/>
      </c>
      <c r="O200" s="51"/>
    </row>
    <row r="201" spans="10:15" ht="15" customHeight="1" x14ac:dyDescent="0.3">
      <c r="J201" t="str">
        <f>IF($A201="","",IF($I201&lt;&gt;"", $I201, VENT_Plan!$M201))</f>
        <v/>
      </c>
      <c r="L201" t="str">
        <f t="shared" si="7"/>
        <v/>
      </c>
      <c r="O201" s="51"/>
    </row>
    <row r="202" spans="10:15" ht="15" customHeight="1" x14ac:dyDescent="0.3">
      <c r="J202" t="str">
        <f>IF($A202="","",IF($I202&lt;&gt;"", $I202, VENT_Plan!$M202))</f>
        <v/>
      </c>
      <c r="L202" t="str">
        <f t="shared" si="7"/>
        <v/>
      </c>
      <c r="O202" s="51"/>
    </row>
    <row r="203" spans="10:15" ht="15" customHeight="1" x14ac:dyDescent="0.3">
      <c r="J203" t="str">
        <f>IF($A203="","",IF($I203&lt;&gt;"", $I203, VENT_Plan!$M203))</f>
        <v/>
      </c>
      <c r="L203" t="str">
        <f t="shared" si="7"/>
        <v/>
      </c>
      <c r="O203" s="51"/>
    </row>
    <row r="204" spans="10:15" ht="15" customHeight="1" x14ac:dyDescent="0.3">
      <c r="J204" t="str">
        <f>IF($A204="","",IF($I204&lt;&gt;"", $I204, VENT_Plan!$M204))</f>
        <v/>
      </c>
      <c r="L204" t="str">
        <f t="shared" si="7"/>
        <v/>
      </c>
      <c r="O204" s="51"/>
    </row>
    <row r="205" spans="10:15" ht="15" customHeight="1" x14ac:dyDescent="0.3">
      <c r="J205" t="str">
        <f>IF($A205="","",IF($I205&lt;&gt;"", $I205, VENT_Plan!$M205))</f>
        <v/>
      </c>
      <c r="L205" t="str">
        <f t="shared" si="7"/>
        <v/>
      </c>
      <c r="O205" s="51"/>
    </row>
    <row r="206" spans="10:15" ht="15" customHeight="1" x14ac:dyDescent="0.3">
      <c r="J206" t="str">
        <f>IF($A206="","",IF($I206&lt;&gt;"", $I206, VENT_Plan!$M206))</f>
        <v/>
      </c>
      <c r="L206" t="str">
        <f t="shared" si="7"/>
        <v/>
      </c>
      <c r="O206" s="51"/>
    </row>
    <row r="207" spans="10:15" ht="15" customHeight="1" x14ac:dyDescent="0.3">
      <c r="J207" t="str">
        <f>IF($A207="","",IF($I207&lt;&gt;"", $I207, VENT_Plan!$M207))</f>
        <v/>
      </c>
      <c r="L207" t="str">
        <f t="shared" si="7"/>
        <v/>
      </c>
      <c r="O207" s="51"/>
    </row>
    <row r="208" spans="10:15" ht="15" customHeight="1" x14ac:dyDescent="0.3">
      <c r="J208" t="str">
        <f>IF($A208="","",IF($I208&lt;&gt;"", $I208, VENT_Plan!$M208))</f>
        <v/>
      </c>
      <c r="L208" t="str">
        <f t="shared" si="7"/>
        <v/>
      </c>
      <c r="O208" s="51"/>
    </row>
    <row r="209" spans="10:15" ht="15" customHeight="1" x14ac:dyDescent="0.3">
      <c r="J209" t="str">
        <f>IF($A209="","",IF($I209&lt;&gt;"", $I209, VENT_Plan!$M209))</f>
        <v/>
      </c>
      <c r="L209" t="str">
        <f t="shared" si="7"/>
        <v/>
      </c>
      <c r="O209" s="51"/>
    </row>
    <row r="210" spans="10:15" ht="15" customHeight="1" x14ac:dyDescent="0.3">
      <c r="J210" t="str">
        <f>IF($A210="","",IF($I210&lt;&gt;"", $I210, VENT_Plan!$M210))</f>
        <v/>
      </c>
      <c r="L210" t="str">
        <f t="shared" si="7"/>
        <v/>
      </c>
      <c r="O210" s="51"/>
    </row>
    <row r="211" spans="10:15" ht="15" customHeight="1" x14ac:dyDescent="0.3">
      <c r="J211" t="str">
        <f>IF($A211="","",IF($I211&lt;&gt;"", $I211, VENT_Plan!$M211))</f>
        <v/>
      </c>
      <c r="L211" t="str">
        <f t="shared" si="7"/>
        <v/>
      </c>
      <c r="O211" s="51"/>
    </row>
    <row r="212" spans="10:15" ht="15" customHeight="1" x14ac:dyDescent="0.3">
      <c r="J212" t="str">
        <f>IF($A212="","",IF($I212&lt;&gt;"", $I212, VENT_Plan!$M212))</f>
        <v/>
      </c>
      <c r="L212" t="str">
        <f t="shared" si="7"/>
        <v/>
      </c>
      <c r="O212" s="51"/>
    </row>
    <row r="213" spans="10:15" ht="15" customHeight="1" x14ac:dyDescent="0.3">
      <c r="J213" t="str">
        <f>IF($A213="","",IF($I213&lt;&gt;"", $I213, VENT_Plan!$M213))</f>
        <v/>
      </c>
      <c r="L213" t="str">
        <f t="shared" si="7"/>
        <v/>
      </c>
      <c r="O213" s="51"/>
    </row>
    <row r="214" spans="10:15" ht="15" customHeight="1" x14ac:dyDescent="0.3">
      <c r="J214" t="str">
        <f>IF($A214="","",IF($I214&lt;&gt;"", $I214, VENT_Plan!$M214))</f>
        <v/>
      </c>
      <c r="L214" t="str">
        <f t="shared" si="7"/>
        <v/>
      </c>
      <c r="O214" s="51"/>
    </row>
    <row r="215" spans="10:15" ht="15" customHeight="1" x14ac:dyDescent="0.3">
      <c r="J215" t="str">
        <f>IF($A215="","",IF($I215&lt;&gt;"", $I215, VENT_Plan!$M215))</f>
        <v/>
      </c>
      <c r="L215" t="str">
        <f t="shared" si="7"/>
        <v/>
      </c>
      <c r="O215" s="51"/>
    </row>
    <row r="216" spans="10:15" ht="15" customHeight="1" x14ac:dyDescent="0.3">
      <c r="J216" t="str">
        <f>IF($A216="","",IF($I216&lt;&gt;"", $I216, VENT_Plan!$M216))</f>
        <v/>
      </c>
      <c r="L216" t="str">
        <f t="shared" si="7"/>
        <v/>
      </c>
      <c r="O216" s="51"/>
    </row>
    <row r="217" spans="10:15" ht="15" customHeight="1" x14ac:dyDescent="0.3">
      <c r="J217" t="str">
        <f>IF($A217="","",IF($I217&lt;&gt;"", $I217, VENT_Plan!$M217))</f>
        <v/>
      </c>
      <c r="L217" t="str">
        <f t="shared" si="7"/>
        <v/>
      </c>
      <c r="O217" s="51"/>
    </row>
    <row r="218" spans="10:15" ht="15" customHeight="1" x14ac:dyDescent="0.3">
      <c r="J218" t="str">
        <f>IF($A218="","",IF($I218&lt;&gt;"", $I218, VENT_Plan!$M218))</f>
        <v/>
      </c>
      <c r="L218" t="str">
        <f t="shared" si="7"/>
        <v/>
      </c>
      <c r="O218" s="51"/>
    </row>
    <row r="219" spans="10:15" ht="15" customHeight="1" x14ac:dyDescent="0.3">
      <c r="J219" t="str">
        <f>IF($A219="","",IF($I219&lt;&gt;"", $I219, VENT_Plan!$M219))</f>
        <v/>
      </c>
      <c r="L219" t="str">
        <f t="shared" si="7"/>
        <v/>
      </c>
      <c r="O219" s="51"/>
    </row>
    <row r="220" spans="10:15" ht="15" customHeight="1" x14ac:dyDescent="0.3">
      <c r="J220" t="str">
        <f>IF($A220="","",IF($I220&lt;&gt;"", $I220, VENT_Plan!$M220))</f>
        <v/>
      </c>
      <c r="L220" t="str">
        <f t="shared" si="7"/>
        <v/>
      </c>
      <c r="O220" s="51"/>
    </row>
    <row r="221" spans="10:15" ht="15" customHeight="1" x14ac:dyDescent="0.3">
      <c r="J221" t="str">
        <f>IF($A221="","",IF($I221&lt;&gt;"", $I221, VENT_Plan!$M221))</f>
        <v/>
      </c>
      <c r="L221" t="str">
        <f t="shared" si="7"/>
        <v/>
      </c>
      <c r="O221" s="51"/>
    </row>
    <row r="222" spans="10:15" ht="15" customHeight="1" x14ac:dyDescent="0.3">
      <c r="J222" t="str">
        <f>IF($A222="","",IF($I222&lt;&gt;"", $I222, VENT_Plan!$M222))</f>
        <v/>
      </c>
      <c r="L222" t="str">
        <f t="shared" si="7"/>
        <v/>
      </c>
      <c r="O222" s="51"/>
    </row>
    <row r="223" spans="10:15" ht="15" customHeight="1" x14ac:dyDescent="0.3">
      <c r="J223" t="str">
        <f>IF($A223="","",IF($I223&lt;&gt;"", $I223, VENT_Plan!$M223))</f>
        <v/>
      </c>
      <c r="L223" t="str">
        <f t="shared" si="7"/>
        <v/>
      </c>
      <c r="O223" s="51"/>
    </row>
    <row r="224" spans="10:15" ht="15" customHeight="1" x14ac:dyDescent="0.3">
      <c r="J224" t="str">
        <f>IF($A224="","",IF($I224&lt;&gt;"", $I224, VENT_Plan!$M224))</f>
        <v/>
      </c>
      <c r="L224" t="str">
        <f t="shared" si="7"/>
        <v/>
      </c>
      <c r="O224" s="51"/>
    </row>
    <row r="225" spans="10:15" ht="15" customHeight="1" x14ac:dyDescent="0.3">
      <c r="J225" t="str">
        <f>IF($A225="","",IF($I225&lt;&gt;"", $I225, VENT_Plan!$M225))</f>
        <v/>
      </c>
      <c r="L225" t="str">
        <f t="shared" si="7"/>
        <v/>
      </c>
      <c r="O225" s="51"/>
    </row>
    <row r="226" spans="10:15" ht="15" customHeight="1" x14ac:dyDescent="0.3">
      <c r="J226" t="str">
        <f>IF($A226="","",IF($I226&lt;&gt;"", $I226, VENT_Plan!$M226))</f>
        <v/>
      </c>
      <c r="L226" t="str">
        <f t="shared" si="7"/>
        <v/>
      </c>
      <c r="O226" s="51"/>
    </row>
    <row r="227" spans="10:15" ht="15" customHeight="1" x14ac:dyDescent="0.3">
      <c r="J227" t="str">
        <f>IF($A227="","",IF($I227&lt;&gt;"", $I227, VENT_Plan!$M227))</f>
        <v/>
      </c>
      <c r="L227" t="str">
        <f t="shared" si="7"/>
        <v/>
      </c>
      <c r="O227" s="51"/>
    </row>
    <row r="228" spans="10:15" ht="15" customHeight="1" x14ac:dyDescent="0.3">
      <c r="J228" t="str">
        <f>IF($A228="","",IF($I228&lt;&gt;"", $I228, VENT_Plan!$M228))</f>
        <v/>
      </c>
      <c r="L228" t="str">
        <f t="shared" si="7"/>
        <v/>
      </c>
      <c r="O228" s="51"/>
    </row>
    <row r="229" spans="10:15" ht="15" customHeight="1" x14ac:dyDescent="0.3">
      <c r="J229" t="str">
        <f>IF($A229="","",IF($I229&lt;&gt;"", $I229, VENT_Plan!$M229))</f>
        <v/>
      </c>
      <c r="L229" t="str">
        <f t="shared" si="7"/>
        <v/>
      </c>
      <c r="O229" s="51"/>
    </row>
    <row r="230" spans="10:15" ht="15" customHeight="1" x14ac:dyDescent="0.3">
      <c r="J230" t="str">
        <f>IF($A230="","",IF($I230&lt;&gt;"", $I230, VENT_Plan!$M230))</f>
        <v/>
      </c>
      <c r="L230" t="str">
        <f t="shared" si="7"/>
        <v/>
      </c>
      <c r="O230" s="51"/>
    </row>
    <row r="231" spans="10:15" ht="15" customHeight="1" x14ac:dyDescent="0.3">
      <c r="J231" t="str">
        <f>IF($A231="","",IF($I231&lt;&gt;"", $I231, VENT_Plan!$M231))</f>
        <v/>
      </c>
      <c r="L231" t="str">
        <f t="shared" si="7"/>
        <v/>
      </c>
      <c r="O231" s="51"/>
    </row>
    <row r="232" spans="10:15" ht="15" customHeight="1" x14ac:dyDescent="0.3">
      <c r="J232" t="str">
        <f>IF($A232="","",IF($I232&lt;&gt;"", $I232, VENT_Plan!$M232))</f>
        <v/>
      </c>
      <c r="L232" t="str">
        <f t="shared" si="7"/>
        <v/>
      </c>
      <c r="O232" s="51"/>
    </row>
    <row r="233" spans="10:15" ht="15" customHeight="1" x14ac:dyDescent="0.3">
      <c r="J233" t="str">
        <f>IF($A233="","",IF($I233&lt;&gt;"", $I233, VENT_Plan!$M233))</f>
        <v/>
      </c>
      <c r="L233" t="str">
        <f t="shared" si="7"/>
        <v/>
      </c>
      <c r="O233" s="51"/>
    </row>
    <row r="234" spans="10:15" ht="15" customHeight="1" x14ac:dyDescent="0.3">
      <c r="J234" t="str">
        <f>IF($A234="","",IF($I234&lt;&gt;"", $I234, VENT_Plan!$M234))</f>
        <v/>
      </c>
      <c r="L234" t="str">
        <f t="shared" si="7"/>
        <v/>
      </c>
      <c r="O234" s="51"/>
    </row>
    <row r="235" spans="10:15" ht="15" customHeight="1" x14ac:dyDescent="0.3">
      <c r="J235" t="str">
        <f>IF($A235="","",IF($I235&lt;&gt;"", $I235, VENT_Plan!$M235))</f>
        <v/>
      </c>
      <c r="L235" t="str">
        <f t="shared" si="7"/>
        <v/>
      </c>
      <c r="O235" s="51"/>
    </row>
    <row r="236" spans="10:15" ht="15" customHeight="1" x14ac:dyDescent="0.3">
      <c r="J236" t="str">
        <f>IF($A236="","",IF($I236&lt;&gt;"", $I236, VENT_Plan!$M236))</f>
        <v/>
      </c>
      <c r="L236" t="str">
        <f t="shared" si="7"/>
        <v/>
      </c>
      <c r="O236" s="51"/>
    </row>
    <row r="237" spans="10:15" ht="15" customHeight="1" x14ac:dyDescent="0.3">
      <c r="J237" t="str">
        <f>IF($A237="","",IF($I237&lt;&gt;"", $I237, VENT_Plan!$M237))</f>
        <v/>
      </c>
      <c r="L237" t="str">
        <f t="shared" si="7"/>
        <v/>
      </c>
      <c r="O237" s="51"/>
    </row>
    <row r="238" spans="10:15" ht="15" customHeight="1" x14ac:dyDescent="0.3">
      <c r="J238" t="str">
        <f>IF($A238="","",IF($I238&lt;&gt;"", $I238, VENT_Plan!$M238))</f>
        <v/>
      </c>
      <c r="L238" t="str">
        <f t="shared" si="7"/>
        <v/>
      </c>
      <c r="O238" s="51"/>
    </row>
    <row r="239" spans="10:15" ht="15" customHeight="1" x14ac:dyDescent="0.3">
      <c r="J239" t="str">
        <f>IF($A239="","",IF($I239&lt;&gt;"", $I239, VENT_Plan!$M239))</f>
        <v/>
      </c>
      <c r="L239" t="str">
        <f t="shared" si="7"/>
        <v/>
      </c>
      <c r="O239" s="51"/>
    </row>
    <row r="240" spans="10:15" ht="15" customHeight="1" x14ac:dyDescent="0.3">
      <c r="J240" t="str">
        <f>IF($A240="","",IF($I240&lt;&gt;"", $I240, VENT_Plan!$M240))</f>
        <v/>
      </c>
      <c r="L240" t="str">
        <f t="shared" si="7"/>
        <v/>
      </c>
      <c r="O240" s="51"/>
    </row>
    <row r="241" spans="10:15" ht="15" customHeight="1" x14ac:dyDescent="0.3">
      <c r="J241" t="str">
        <f>IF($A241="","",IF($I241&lt;&gt;"", $I241, VENT_Plan!$M241))</f>
        <v/>
      </c>
      <c r="L241" t="str">
        <f t="shared" si="7"/>
        <v/>
      </c>
      <c r="O241" s="51"/>
    </row>
    <row r="242" spans="10:15" ht="15" customHeight="1" x14ac:dyDescent="0.3">
      <c r="J242" t="str">
        <f>IF($A242="","",IF($I242&lt;&gt;"", $I242, VENT_Plan!$M242))</f>
        <v/>
      </c>
      <c r="L242" t="str">
        <f t="shared" si="7"/>
        <v/>
      </c>
      <c r="O242" s="51"/>
    </row>
    <row r="243" spans="10:15" ht="15" customHeight="1" x14ac:dyDescent="0.3">
      <c r="J243" t="str">
        <f>IF($A243="","",IF($I243&lt;&gt;"", $I243, VENT_Plan!$M243))</f>
        <v/>
      </c>
      <c r="L243" t="str">
        <f t="shared" si="7"/>
        <v/>
      </c>
      <c r="O243" s="51"/>
    </row>
    <row r="244" spans="10:15" ht="15" customHeight="1" x14ac:dyDescent="0.3">
      <c r="J244" t="str">
        <f>IF($A244="","",IF($I244&lt;&gt;"", $I244, VENT_Plan!$M244))</f>
        <v/>
      </c>
      <c r="L244" t="str">
        <f t="shared" si="7"/>
        <v/>
      </c>
      <c r="O244" s="51"/>
    </row>
    <row r="245" spans="10:15" ht="15" customHeight="1" x14ac:dyDescent="0.3">
      <c r="J245" t="str">
        <f>IF($A245="","",IF($I245&lt;&gt;"", $I245, VENT_Plan!$M245))</f>
        <v/>
      </c>
      <c r="L245" t="str">
        <f t="shared" si="7"/>
        <v/>
      </c>
      <c r="O245" s="51"/>
    </row>
    <row r="246" spans="10:15" ht="15" customHeight="1" x14ac:dyDescent="0.3">
      <c r="J246" t="str">
        <f>IF($A246="","",IF($I246&lt;&gt;"", $I246, VENT_Plan!$M246))</f>
        <v/>
      </c>
      <c r="L246" t="str">
        <f t="shared" si="7"/>
        <v/>
      </c>
      <c r="O246" s="51"/>
    </row>
    <row r="247" spans="10:15" ht="15" customHeight="1" x14ac:dyDescent="0.3">
      <c r="J247" t="str">
        <f>IF($A247="","",IF($I247&lt;&gt;"", $I247, VENT_Plan!$M247))</f>
        <v/>
      </c>
      <c r="L247" t="str">
        <f t="shared" si="7"/>
        <v/>
      </c>
      <c r="O247" s="51"/>
    </row>
    <row r="248" spans="10:15" ht="15" customHeight="1" x14ac:dyDescent="0.3">
      <c r="J248" t="str">
        <f>IF($A248="","",IF($I248&lt;&gt;"", $I248, VENT_Plan!$M248))</f>
        <v/>
      </c>
      <c r="L248" t="str">
        <f t="shared" si="7"/>
        <v/>
      </c>
      <c r="O248" s="51"/>
    </row>
    <row r="249" spans="10:15" ht="15" customHeight="1" x14ac:dyDescent="0.3">
      <c r="J249" t="str">
        <f>IF($A249="","",IF($I249&lt;&gt;"", $I249, VENT_Plan!$M249))</f>
        <v/>
      </c>
      <c r="L249" t="str">
        <f t="shared" si="7"/>
        <v/>
      </c>
      <c r="O249" s="51"/>
    </row>
    <row r="250" spans="10:15" ht="15" customHeight="1" x14ac:dyDescent="0.3">
      <c r="J250" t="str">
        <f>IF($A250="","",IF($I250&lt;&gt;"", $I250, VENT_Plan!$M250))</f>
        <v/>
      </c>
      <c r="L250" t="str">
        <f t="shared" si="7"/>
        <v/>
      </c>
      <c r="O250" s="51"/>
    </row>
    <row r="251" spans="10:15" ht="15" customHeight="1" x14ac:dyDescent="0.3">
      <c r="J251" t="str">
        <f>IF($A251="","",IF($I251&lt;&gt;"", $I251, VENT_Plan!$M251))</f>
        <v/>
      </c>
      <c r="L251" t="str">
        <f t="shared" si="7"/>
        <v/>
      </c>
      <c r="O251" s="51"/>
    </row>
    <row r="252" spans="10:15" ht="15" customHeight="1" x14ac:dyDescent="0.3">
      <c r="J252" t="str">
        <f>IF($A252="","",IF($I252&lt;&gt;"", $I252, VENT_Plan!$M252))</f>
        <v/>
      </c>
      <c r="L252" t="str">
        <f t="shared" si="7"/>
        <v/>
      </c>
      <c r="O252" s="51"/>
    </row>
    <row r="253" spans="10:15" ht="15" customHeight="1" x14ac:dyDescent="0.3">
      <c r="J253" t="str">
        <f>IF($A253="","",IF($I253&lt;&gt;"", $I253, VENT_Plan!$M253))</f>
        <v/>
      </c>
      <c r="L253" t="str">
        <f t="shared" si="7"/>
        <v/>
      </c>
      <c r="O253" s="51"/>
    </row>
    <row r="254" spans="10:15" ht="15" customHeight="1" x14ac:dyDescent="0.3">
      <c r="J254" t="str">
        <f>IF($A254="","",IF($I254&lt;&gt;"", $I254, VENT_Plan!$M254))</f>
        <v/>
      </c>
      <c r="L254" t="str">
        <f t="shared" si="7"/>
        <v/>
      </c>
      <c r="O254" s="51"/>
    </row>
    <row r="255" spans="10:15" ht="15" customHeight="1" x14ac:dyDescent="0.3">
      <c r="J255" t="str">
        <f>IF($A255="","",IF($I255&lt;&gt;"", $I255, VENT_Plan!$M255))</f>
        <v/>
      </c>
      <c r="L255" t="str">
        <f t="shared" si="7"/>
        <v/>
      </c>
      <c r="O255" s="51"/>
    </row>
    <row r="256" spans="10:15" ht="15" customHeight="1" x14ac:dyDescent="0.3">
      <c r="J256" t="str">
        <f>IF($A256="","",IF($I256&lt;&gt;"", $I256, VENT_Plan!$M256))</f>
        <v/>
      </c>
      <c r="L256" t="str">
        <f t="shared" si="7"/>
        <v/>
      </c>
      <c r="O256" s="51"/>
    </row>
    <row r="257" spans="10:15" ht="15" customHeight="1" x14ac:dyDescent="0.3">
      <c r="J257" t="str">
        <f>IF($A257="","",IF($I257&lt;&gt;"", $I257, VENT_Plan!$M257))</f>
        <v/>
      </c>
      <c r="L257" t="str">
        <f t="shared" si="7"/>
        <v/>
      </c>
      <c r="O257" s="51"/>
    </row>
    <row r="258" spans="10:15" ht="15" customHeight="1" x14ac:dyDescent="0.3">
      <c r="J258" t="str">
        <f>IF($A258="","",IF($I258&lt;&gt;"", $I258, VENT_Plan!$M258))</f>
        <v/>
      </c>
      <c r="L258" t="str">
        <f t="shared" si="7"/>
        <v/>
      </c>
      <c r="O258" s="51"/>
    </row>
    <row r="259" spans="10:15" ht="15" customHeight="1" x14ac:dyDescent="0.3">
      <c r="J259" t="str">
        <f>IF($A259="","",IF($I259&lt;&gt;"", $I259, VENT_Plan!$M259))</f>
        <v/>
      </c>
      <c r="L259" t="str">
        <f t="shared" si="7"/>
        <v/>
      </c>
      <c r="O259" s="51"/>
    </row>
    <row r="260" spans="10:15" ht="15" customHeight="1" x14ac:dyDescent="0.3">
      <c r="J260" t="str">
        <f>IF($A260="","",IF($I260&lt;&gt;"", $I260, VENT_Plan!$M260))</f>
        <v/>
      </c>
      <c r="L260" t="str">
        <f t="shared" ref="L260:L323" si="8">IF($A260="","",K260*D260)</f>
        <v/>
      </c>
      <c r="O260" s="51"/>
    </row>
    <row r="261" spans="10:15" ht="15" customHeight="1" x14ac:dyDescent="0.3">
      <c r="J261" t="str">
        <f>IF($A261="","",IF($I261&lt;&gt;"", $I261, VENT_Plan!$M261))</f>
        <v/>
      </c>
      <c r="L261" t="str">
        <f t="shared" si="8"/>
        <v/>
      </c>
      <c r="O261" s="51"/>
    </row>
    <row r="262" spans="10:15" ht="15" customHeight="1" x14ac:dyDescent="0.3">
      <c r="J262" t="str">
        <f>IF($A262="","",IF($I262&lt;&gt;"", $I262, VENT_Plan!$M262))</f>
        <v/>
      </c>
      <c r="L262" t="str">
        <f t="shared" si="8"/>
        <v/>
      </c>
      <c r="O262" s="51"/>
    </row>
    <row r="263" spans="10:15" ht="15" customHeight="1" x14ac:dyDescent="0.3">
      <c r="J263" t="str">
        <f>IF($A263="","",IF($I263&lt;&gt;"", $I263, VENT_Plan!$M263))</f>
        <v/>
      </c>
      <c r="L263" t="str">
        <f t="shared" si="8"/>
        <v/>
      </c>
      <c r="O263" s="51"/>
    </row>
    <row r="264" spans="10:15" ht="15" customHeight="1" x14ac:dyDescent="0.3">
      <c r="J264" t="str">
        <f>IF($A264="","",IF($I264&lt;&gt;"", $I264, VENT_Plan!$M264))</f>
        <v/>
      </c>
      <c r="L264" t="str">
        <f t="shared" si="8"/>
        <v/>
      </c>
      <c r="O264" s="51"/>
    </row>
    <row r="265" spans="10:15" ht="15" customHeight="1" x14ac:dyDescent="0.3">
      <c r="J265" t="str">
        <f>IF($A265="","",IF($I265&lt;&gt;"", $I265, VENT_Plan!$M265))</f>
        <v/>
      </c>
      <c r="L265" t="str">
        <f t="shared" si="8"/>
        <v/>
      </c>
      <c r="O265" s="51"/>
    </row>
    <row r="266" spans="10:15" ht="15" customHeight="1" x14ac:dyDescent="0.3">
      <c r="J266" t="str">
        <f>IF($A266="","",IF($I266&lt;&gt;"", $I266, VENT_Plan!$M266))</f>
        <v/>
      </c>
      <c r="L266" t="str">
        <f t="shared" si="8"/>
        <v/>
      </c>
      <c r="O266" s="51"/>
    </row>
    <row r="267" spans="10:15" ht="15" customHeight="1" x14ac:dyDescent="0.3">
      <c r="J267" t="str">
        <f>IF($A267="","",IF($I267&lt;&gt;"", $I267, VENT_Plan!$M267))</f>
        <v/>
      </c>
      <c r="L267" t="str">
        <f t="shared" si="8"/>
        <v/>
      </c>
      <c r="O267" s="51"/>
    </row>
    <row r="268" spans="10:15" ht="15" customHeight="1" x14ac:dyDescent="0.3">
      <c r="J268" t="str">
        <f>IF($A268="","",IF($I268&lt;&gt;"", $I268, VENT_Plan!$M268))</f>
        <v/>
      </c>
      <c r="L268" t="str">
        <f t="shared" si="8"/>
        <v/>
      </c>
      <c r="O268" s="51"/>
    </row>
    <row r="269" spans="10:15" ht="15" customHeight="1" x14ac:dyDescent="0.3">
      <c r="J269" t="str">
        <f>IF($A269="","",IF($I269&lt;&gt;"", $I269, VENT_Plan!$M269))</f>
        <v/>
      </c>
      <c r="L269" t="str">
        <f t="shared" si="8"/>
        <v/>
      </c>
      <c r="O269" s="51"/>
    </row>
    <row r="270" spans="10:15" ht="15" customHeight="1" x14ac:dyDescent="0.3">
      <c r="J270" t="str">
        <f>IF($A270="","",IF($I270&lt;&gt;"", $I270, VENT_Plan!$M270))</f>
        <v/>
      </c>
      <c r="L270" t="str">
        <f t="shared" si="8"/>
        <v/>
      </c>
      <c r="O270" s="51"/>
    </row>
    <row r="271" spans="10:15" ht="15" customHeight="1" x14ac:dyDescent="0.3">
      <c r="J271" t="str">
        <f>IF($A271="","",IF($I271&lt;&gt;"", $I271, VENT_Plan!$M271))</f>
        <v/>
      </c>
      <c r="L271" t="str">
        <f t="shared" si="8"/>
        <v/>
      </c>
      <c r="O271" s="51"/>
    </row>
    <row r="272" spans="10:15" ht="15" customHeight="1" x14ac:dyDescent="0.3">
      <c r="J272" t="str">
        <f>IF($A272="","",IF($I272&lt;&gt;"", $I272, VENT_Plan!$M272))</f>
        <v/>
      </c>
      <c r="L272" t="str">
        <f t="shared" si="8"/>
        <v/>
      </c>
      <c r="O272" s="51"/>
    </row>
    <row r="273" spans="10:15" ht="15" customHeight="1" x14ac:dyDescent="0.3">
      <c r="J273" t="str">
        <f>IF($A273="","",IF($I273&lt;&gt;"", $I273, VENT_Plan!$M273))</f>
        <v/>
      </c>
      <c r="L273" t="str">
        <f t="shared" si="8"/>
        <v/>
      </c>
      <c r="O273" s="51"/>
    </row>
    <row r="274" spans="10:15" ht="15" customHeight="1" x14ac:dyDescent="0.3">
      <c r="J274" t="str">
        <f>IF($A274="","",IF($I274&lt;&gt;"", $I274, VENT_Plan!$M274))</f>
        <v/>
      </c>
      <c r="L274" t="str">
        <f t="shared" si="8"/>
        <v/>
      </c>
      <c r="O274" s="51"/>
    </row>
    <row r="275" spans="10:15" ht="15" customHeight="1" x14ac:dyDescent="0.3">
      <c r="J275" t="str">
        <f>IF($A275="","",IF($I275&lt;&gt;"", $I275, VENT_Plan!$M275))</f>
        <v/>
      </c>
      <c r="L275" t="str">
        <f t="shared" si="8"/>
        <v/>
      </c>
      <c r="O275" s="51"/>
    </row>
    <row r="276" spans="10:15" ht="15" customHeight="1" x14ac:dyDescent="0.3">
      <c r="J276" t="str">
        <f>IF($A276="","",IF($I276&lt;&gt;"", $I276, VENT_Plan!$M276))</f>
        <v/>
      </c>
      <c r="L276" t="str">
        <f t="shared" si="8"/>
        <v/>
      </c>
      <c r="O276" s="51"/>
    </row>
    <row r="277" spans="10:15" ht="15" customHeight="1" x14ac:dyDescent="0.3">
      <c r="J277" t="str">
        <f>IF($A277="","",IF($I277&lt;&gt;"", $I277, VENT_Plan!$M277))</f>
        <v/>
      </c>
      <c r="L277" t="str">
        <f t="shared" si="8"/>
        <v/>
      </c>
      <c r="O277" s="51"/>
    </row>
    <row r="278" spans="10:15" ht="15" customHeight="1" x14ac:dyDescent="0.3">
      <c r="J278" t="str">
        <f>IF($A278="","",IF($I278&lt;&gt;"", $I278, VENT_Plan!$M278))</f>
        <v/>
      </c>
      <c r="L278" t="str">
        <f t="shared" si="8"/>
        <v/>
      </c>
      <c r="O278" s="51"/>
    </row>
    <row r="279" spans="10:15" ht="15" customHeight="1" x14ac:dyDescent="0.3">
      <c r="J279" t="str">
        <f>IF($A279="","",IF($I279&lt;&gt;"", $I279, VENT_Plan!$M279))</f>
        <v/>
      </c>
      <c r="L279" t="str">
        <f t="shared" si="8"/>
        <v/>
      </c>
      <c r="O279" s="51"/>
    </row>
    <row r="280" spans="10:15" ht="15" customHeight="1" x14ac:dyDescent="0.3">
      <c r="J280" t="str">
        <f>IF($A280="","",IF($I280&lt;&gt;"", $I280, VENT_Plan!$M280))</f>
        <v/>
      </c>
      <c r="L280" t="str">
        <f t="shared" si="8"/>
        <v/>
      </c>
      <c r="O280" s="51"/>
    </row>
    <row r="281" spans="10:15" ht="15" customHeight="1" x14ac:dyDescent="0.3">
      <c r="J281" t="str">
        <f>IF($A281="","",IF($I281&lt;&gt;"", $I281, VENT_Plan!$M281))</f>
        <v/>
      </c>
      <c r="L281" t="str">
        <f t="shared" si="8"/>
        <v/>
      </c>
      <c r="O281" s="51"/>
    </row>
    <row r="282" spans="10:15" ht="15" customHeight="1" x14ac:dyDescent="0.3">
      <c r="J282" t="str">
        <f>IF($A282="","",IF($I282&lt;&gt;"", $I282, VENT_Plan!$M282))</f>
        <v/>
      </c>
      <c r="L282" t="str">
        <f t="shared" si="8"/>
        <v/>
      </c>
      <c r="O282" s="51"/>
    </row>
    <row r="283" spans="10:15" ht="15" customHeight="1" x14ac:dyDescent="0.3">
      <c r="J283" t="str">
        <f>IF($A283="","",IF($I283&lt;&gt;"", $I283, VENT_Plan!$M283))</f>
        <v/>
      </c>
      <c r="L283" t="str">
        <f t="shared" si="8"/>
        <v/>
      </c>
      <c r="O283" s="51"/>
    </row>
    <row r="284" spans="10:15" ht="15" customHeight="1" x14ac:dyDescent="0.3">
      <c r="J284" t="str">
        <f>IF($A284="","",IF($I284&lt;&gt;"", $I284, VENT_Plan!$M284))</f>
        <v/>
      </c>
      <c r="L284" t="str">
        <f t="shared" si="8"/>
        <v/>
      </c>
      <c r="O284" s="51"/>
    </row>
    <row r="285" spans="10:15" ht="15" customHeight="1" x14ac:dyDescent="0.3">
      <c r="J285" t="str">
        <f>IF($A285="","",IF($I285&lt;&gt;"", $I285, VENT_Plan!$M285))</f>
        <v/>
      </c>
      <c r="L285" t="str">
        <f t="shared" si="8"/>
        <v/>
      </c>
      <c r="O285" s="51"/>
    </row>
    <row r="286" spans="10:15" ht="15" customHeight="1" x14ac:dyDescent="0.3">
      <c r="J286" t="str">
        <f>IF($A286="","",IF($I286&lt;&gt;"", $I286, VENT_Plan!$M286))</f>
        <v/>
      </c>
      <c r="L286" t="str">
        <f t="shared" si="8"/>
        <v/>
      </c>
      <c r="O286" s="51"/>
    </row>
    <row r="287" spans="10:15" ht="15" customHeight="1" x14ac:dyDescent="0.3">
      <c r="J287" t="str">
        <f>IF($A287="","",IF($I287&lt;&gt;"", $I287, VENT_Plan!$M287))</f>
        <v/>
      </c>
      <c r="L287" t="str">
        <f t="shared" si="8"/>
        <v/>
      </c>
      <c r="O287" s="51"/>
    </row>
    <row r="288" spans="10:15" ht="15" customHeight="1" x14ac:dyDescent="0.3">
      <c r="J288" t="str">
        <f>IF($A288="","",IF($I288&lt;&gt;"", $I288, VENT_Plan!$M288))</f>
        <v/>
      </c>
      <c r="L288" t="str">
        <f t="shared" si="8"/>
        <v/>
      </c>
      <c r="O288" s="51"/>
    </row>
    <row r="289" spans="10:15" ht="15" customHeight="1" x14ac:dyDescent="0.3">
      <c r="J289" t="str">
        <f>IF($A289="","",IF($I289&lt;&gt;"", $I289, VENT_Plan!$M289))</f>
        <v/>
      </c>
      <c r="L289" t="str">
        <f t="shared" si="8"/>
        <v/>
      </c>
      <c r="O289" s="51"/>
    </row>
    <row r="290" spans="10:15" ht="15" customHeight="1" x14ac:dyDescent="0.3">
      <c r="J290" t="str">
        <f>IF($A290="","",IF($I290&lt;&gt;"", $I290, VENT_Plan!$M290))</f>
        <v/>
      </c>
      <c r="L290" t="str">
        <f t="shared" si="8"/>
        <v/>
      </c>
      <c r="O290" s="51"/>
    </row>
    <row r="291" spans="10:15" ht="15" customHeight="1" x14ac:dyDescent="0.3">
      <c r="J291" t="str">
        <f>IF($A291="","",IF($I291&lt;&gt;"", $I291, VENT_Plan!$M291))</f>
        <v/>
      </c>
      <c r="L291" t="str">
        <f t="shared" si="8"/>
        <v/>
      </c>
      <c r="O291" s="51"/>
    </row>
    <row r="292" spans="10:15" ht="15" customHeight="1" x14ac:dyDescent="0.3">
      <c r="J292" t="str">
        <f>IF($A292="","",IF($I292&lt;&gt;"", $I292, VENT_Plan!$M292))</f>
        <v/>
      </c>
      <c r="L292" t="str">
        <f t="shared" si="8"/>
        <v/>
      </c>
      <c r="O292" s="51"/>
    </row>
    <row r="293" spans="10:15" ht="15" customHeight="1" x14ac:dyDescent="0.3">
      <c r="J293" t="str">
        <f>IF($A293="","",IF($I293&lt;&gt;"", $I293, VENT_Plan!$M293))</f>
        <v/>
      </c>
      <c r="L293" t="str">
        <f t="shared" si="8"/>
        <v/>
      </c>
      <c r="O293" s="51"/>
    </row>
    <row r="294" spans="10:15" ht="15" customHeight="1" x14ac:dyDescent="0.3">
      <c r="J294" t="str">
        <f>IF($A294="","",IF($I294&lt;&gt;"", $I294, VENT_Plan!$M294))</f>
        <v/>
      </c>
      <c r="L294" t="str">
        <f t="shared" si="8"/>
        <v/>
      </c>
      <c r="O294" s="51"/>
    </row>
    <row r="295" spans="10:15" ht="15" customHeight="1" x14ac:dyDescent="0.3">
      <c r="J295" t="str">
        <f>IF($A295="","",IF($I295&lt;&gt;"", $I295, VENT_Plan!$M295))</f>
        <v/>
      </c>
      <c r="L295" t="str">
        <f t="shared" si="8"/>
        <v/>
      </c>
      <c r="O295" s="51"/>
    </row>
    <row r="296" spans="10:15" ht="15" customHeight="1" x14ac:dyDescent="0.3">
      <c r="J296" t="str">
        <f>IF($A296="","",IF($I296&lt;&gt;"", $I296, VENT_Plan!$M296))</f>
        <v/>
      </c>
      <c r="L296" t="str">
        <f t="shared" si="8"/>
        <v/>
      </c>
      <c r="O296" s="51"/>
    </row>
    <row r="297" spans="10:15" ht="15" customHeight="1" x14ac:dyDescent="0.3">
      <c r="J297" t="str">
        <f>IF($A297="","",IF($I297&lt;&gt;"", $I297, VENT_Plan!$M297))</f>
        <v/>
      </c>
      <c r="L297" t="str">
        <f t="shared" si="8"/>
        <v/>
      </c>
      <c r="O297" s="51"/>
    </row>
    <row r="298" spans="10:15" ht="15" customHeight="1" x14ac:dyDescent="0.3">
      <c r="J298" t="str">
        <f>IF($A298="","",IF($I298&lt;&gt;"", $I298, VENT_Plan!$M298))</f>
        <v/>
      </c>
      <c r="L298" t="str">
        <f t="shared" si="8"/>
        <v/>
      </c>
      <c r="O298" s="51"/>
    </row>
    <row r="299" spans="10:15" ht="15" customHeight="1" x14ac:dyDescent="0.3">
      <c r="J299" t="str">
        <f>IF($A299="","",IF($I299&lt;&gt;"", $I299, VENT_Plan!$M299))</f>
        <v/>
      </c>
      <c r="L299" t="str">
        <f t="shared" si="8"/>
        <v/>
      </c>
      <c r="O299" s="51"/>
    </row>
    <row r="300" spans="10:15" ht="15" customHeight="1" x14ac:dyDescent="0.3">
      <c r="J300" t="str">
        <f>IF($A300="","",IF($I300&lt;&gt;"", $I300, VENT_Plan!$M300))</f>
        <v/>
      </c>
      <c r="L300" t="str">
        <f t="shared" si="8"/>
        <v/>
      </c>
      <c r="O300" s="51"/>
    </row>
    <row r="301" spans="10:15" ht="15" customHeight="1" x14ac:dyDescent="0.3">
      <c r="J301" t="str">
        <f>IF($A301="","",IF($I301&lt;&gt;"", $I301, VENT_Plan!$M301))</f>
        <v/>
      </c>
      <c r="L301" t="str">
        <f t="shared" si="8"/>
        <v/>
      </c>
      <c r="O301" s="51"/>
    </row>
    <row r="302" spans="10:15" ht="15" customHeight="1" x14ac:dyDescent="0.3">
      <c r="J302" t="str">
        <f>IF($A302="","",IF($I302&lt;&gt;"", $I302, VENT_Plan!$M302))</f>
        <v/>
      </c>
      <c r="L302" t="str">
        <f t="shared" si="8"/>
        <v/>
      </c>
      <c r="O302" s="51"/>
    </row>
    <row r="303" spans="10:15" ht="15" customHeight="1" x14ac:dyDescent="0.3">
      <c r="J303" t="str">
        <f>IF($A303="","",IF($I303&lt;&gt;"", $I303, VENT_Plan!$M303))</f>
        <v/>
      </c>
      <c r="L303" t="str">
        <f t="shared" si="8"/>
        <v/>
      </c>
      <c r="O303" s="51"/>
    </row>
    <row r="304" spans="10:15" ht="15" customHeight="1" x14ac:dyDescent="0.3">
      <c r="J304" t="str">
        <f>IF($A304="","",IF($I304&lt;&gt;"", $I304, VENT_Plan!$M304))</f>
        <v/>
      </c>
      <c r="L304" t="str">
        <f t="shared" si="8"/>
        <v/>
      </c>
      <c r="O304" s="51"/>
    </row>
    <row r="305" spans="10:15" ht="15" customHeight="1" x14ac:dyDescent="0.3">
      <c r="J305" t="str">
        <f>IF($A305="","",IF($I305&lt;&gt;"", $I305, VENT_Plan!$M305))</f>
        <v/>
      </c>
      <c r="L305" t="str">
        <f t="shared" si="8"/>
        <v/>
      </c>
      <c r="O305" s="51"/>
    </row>
    <row r="306" spans="10:15" ht="15" customHeight="1" x14ac:dyDescent="0.3">
      <c r="J306" t="str">
        <f>IF($A306="","",IF($I306&lt;&gt;"", $I306, VENT_Plan!$M306))</f>
        <v/>
      </c>
      <c r="L306" t="str">
        <f t="shared" si="8"/>
        <v/>
      </c>
      <c r="O306" s="51"/>
    </row>
    <row r="307" spans="10:15" ht="15" customHeight="1" x14ac:dyDescent="0.3">
      <c r="J307" t="str">
        <f>IF($A307="","",IF($I307&lt;&gt;"", $I307, VENT_Plan!$M307))</f>
        <v/>
      </c>
      <c r="L307" t="str">
        <f t="shared" si="8"/>
        <v/>
      </c>
      <c r="O307" s="51"/>
    </row>
    <row r="308" spans="10:15" ht="15" customHeight="1" x14ac:dyDescent="0.3">
      <c r="J308" t="str">
        <f>IF($A308="","",IF($I308&lt;&gt;"", $I308, VENT_Plan!$M308))</f>
        <v/>
      </c>
      <c r="L308" t="str">
        <f t="shared" si="8"/>
        <v/>
      </c>
      <c r="O308" s="51"/>
    </row>
    <row r="309" spans="10:15" ht="15" customHeight="1" x14ac:dyDescent="0.3">
      <c r="J309" t="str">
        <f>IF($A309="","",IF($I309&lt;&gt;"", $I309, VENT_Plan!$M309))</f>
        <v/>
      </c>
      <c r="L309" t="str">
        <f t="shared" si="8"/>
        <v/>
      </c>
      <c r="O309" s="51"/>
    </row>
    <row r="310" spans="10:15" ht="15" customHeight="1" x14ac:dyDescent="0.3">
      <c r="J310" t="str">
        <f>IF($A310="","",IF($I310&lt;&gt;"", $I310, VENT_Plan!$M310))</f>
        <v/>
      </c>
      <c r="L310" t="str">
        <f t="shared" si="8"/>
        <v/>
      </c>
      <c r="O310" s="51"/>
    </row>
    <row r="311" spans="10:15" ht="15" customHeight="1" x14ac:dyDescent="0.3">
      <c r="J311" t="str">
        <f>IF($A311="","",IF($I311&lt;&gt;"", $I311, VENT_Plan!$M311))</f>
        <v/>
      </c>
      <c r="L311" t="str">
        <f t="shared" si="8"/>
        <v/>
      </c>
      <c r="O311" s="51"/>
    </row>
    <row r="312" spans="10:15" ht="15" customHeight="1" x14ac:dyDescent="0.3">
      <c r="J312" t="str">
        <f>IF($A312="","",IF($I312&lt;&gt;"", $I312, VENT_Plan!$M312))</f>
        <v/>
      </c>
      <c r="L312" t="str">
        <f t="shared" si="8"/>
        <v/>
      </c>
      <c r="O312" s="51"/>
    </row>
    <row r="313" spans="10:15" ht="15" customHeight="1" x14ac:dyDescent="0.3">
      <c r="J313" t="str">
        <f>IF($A313="","",IF($I313&lt;&gt;"", $I313, VENT_Plan!$M313))</f>
        <v/>
      </c>
      <c r="L313" t="str">
        <f t="shared" si="8"/>
        <v/>
      </c>
      <c r="O313" s="51"/>
    </row>
    <row r="314" spans="10:15" ht="15" customHeight="1" x14ac:dyDescent="0.3">
      <c r="J314" t="str">
        <f>IF($A314="","",IF($I314&lt;&gt;"", $I314, VENT_Plan!$M314))</f>
        <v/>
      </c>
      <c r="L314" t="str">
        <f t="shared" si="8"/>
        <v/>
      </c>
      <c r="O314" s="51"/>
    </row>
    <row r="315" spans="10:15" ht="15" customHeight="1" x14ac:dyDescent="0.3">
      <c r="J315" t="str">
        <f>IF($A315="","",IF($I315&lt;&gt;"", $I315, VENT_Plan!$M315))</f>
        <v/>
      </c>
      <c r="L315" t="str">
        <f t="shared" si="8"/>
        <v/>
      </c>
      <c r="O315" s="51"/>
    </row>
    <row r="316" spans="10:15" ht="15" customHeight="1" x14ac:dyDescent="0.3">
      <c r="J316" t="str">
        <f>IF($A316="","",IF($I316&lt;&gt;"", $I316, VENT_Plan!$M316))</f>
        <v/>
      </c>
      <c r="L316" t="str">
        <f t="shared" si="8"/>
        <v/>
      </c>
      <c r="O316" s="51"/>
    </row>
    <row r="317" spans="10:15" ht="15" customHeight="1" x14ac:dyDescent="0.3">
      <c r="J317" t="str">
        <f>IF($A317="","",IF($I317&lt;&gt;"", $I317, VENT_Plan!$M317))</f>
        <v/>
      </c>
      <c r="L317" t="str">
        <f t="shared" si="8"/>
        <v/>
      </c>
      <c r="O317" s="51"/>
    </row>
    <row r="318" spans="10:15" ht="15" customHeight="1" x14ac:dyDescent="0.3">
      <c r="J318" t="str">
        <f>IF($A318="","",IF($I318&lt;&gt;"", $I318, VENT_Plan!$M318))</f>
        <v/>
      </c>
      <c r="L318" t="str">
        <f t="shared" si="8"/>
        <v/>
      </c>
      <c r="O318" s="51"/>
    </row>
    <row r="319" spans="10:15" ht="15" customHeight="1" x14ac:dyDescent="0.3">
      <c r="J319" t="str">
        <f>IF($A319="","",IF($I319&lt;&gt;"", $I319, VENT_Plan!$M319))</f>
        <v/>
      </c>
      <c r="L319" t="str">
        <f t="shared" si="8"/>
        <v/>
      </c>
      <c r="O319" s="51"/>
    </row>
    <row r="320" spans="10:15" ht="15" customHeight="1" x14ac:dyDescent="0.3">
      <c r="J320" t="str">
        <f>IF($A320="","",IF($I320&lt;&gt;"", $I320, VENT_Plan!$M320))</f>
        <v/>
      </c>
      <c r="L320" t="str">
        <f t="shared" si="8"/>
        <v/>
      </c>
      <c r="O320" s="51"/>
    </row>
    <row r="321" spans="10:15" ht="15" customHeight="1" x14ac:dyDescent="0.3">
      <c r="J321" t="str">
        <f>IF($A321="","",IF($I321&lt;&gt;"", $I321, VENT_Plan!$M321))</f>
        <v/>
      </c>
      <c r="L321" t="str">
        <f t="shared" si="8"/>
        <v/>
      </c>
      <c r="O321" s="51"/>
    </row>
    <row r="322" spans="10:15" ht="15" customHeight="1" x14ac:dyDescent="0.3">
      <c r="J322" t="str">
        <f>IF($A322="","",IF($I322&lt;&gt;"", $I322, VENT_Plan!$M322))</f>
        <v/>
      </c>
      <c r="L322" t="str">
        <f t="shared" si="8"/>
        <v/>
      </c>
      <c r="O322" s="51"/>
    </row>
    <row r="323" spans="10:15" ht="15" customHeight="1" x14ac:dyDescent="0.3">
      <c r="J323" t="str">
        <f>IF($A323="","",IF($I323&lt;&gt;"", $I323, VENT_Plan!$M323))</f>
        <v/>
      </c>
      <c r="L323" t="str">
        <f t="shared" si="8"/>
        <v/>
      </c>
      <c r="O323" s="51"/>
    </row>
    <row r="324" spans="10:15" ht="15" customHeight="1" x14ac:dyDescent="0.3">
      <c r="J324" t="str">
        <f>IF($A324="","",IF($I324&lt;&gt;"", $I324, VENT_Plan!$M324))</f>
        <v/>
      </c>
      <c r="L324" t="str">
        <f t="shared" ref="L324:L387" si="9">IF($A324="","",K324*D324)</f>
        <v/>
      </c>
      <c r="O324" s="51"/>
    </row>
    <row r="325" spans="10:15" ht="15" customHeight="1" x14ac:dyDescent="0.3">
      <c r="J325" t="str">
        <f>IF($A325="","",IF($I325&lt;&gt;"", $I325, VENT_Plan!$M325))</f>
        <v/>
      </c>
      <c r="L325" t="str">
        <f t="shared" si="9"/>
        <v/>
      </c>
      <c r="O325" s="51"/>
    </row>
    <row r="326" spans="10:15" ht="15" customHeight="1" x14ac:dyDescent="0.3">
      <c r="J326" t="str">
        <f>IF($A326="","",IF($I326&lt;&gt;"", $I326, VENT_Plan!$M326))</f>
        <v/>
      </c>
      <c r="L326" t="str">
        <f t="shared" si="9"/>
        <v/>
      </c>
      <c r="O326" s="51"/>
    </row>
    <row r="327" spans="10:15" ht="15" customHeight="1" x14ac:dyDescent="0.3">
      <c r="J327" t="str">
        <f>IF($A327="","",IF($I327&lt;&gt;"", $I327, VENT_Plan!$M327))</f>
        <v/>
      </c>
      <c r="L327" t="str">
        <f t="shared" si="9"/>
        <v/>
      </c>
      <c r="O327" s="51"/>
    </row>
    <row r="328" spans="10:15" ht="15" customHeight="1" x14ac:dyDescent="0.3">
      <c r="J328" t="str">
        <f>IF($A328="","",IF($I328&lt;&gt;"", $I328, VENT_Plan!$M328))</f>
        <v/>
      </c>
      <c r="L328" t="str">
        <f t="shared" si="9"/>
        <v/>
      </c>
      <c r="O328" s="51"/>
    </row>
    <row r="329" spans="10:15" ht="15" customHeight="1" x14ac:dyDescent="0.3">
      <c r="J329" t="str">
        <f>IF($A329="","",IF($I329&lt;&gt;"", $I329, VENT_Plan!$M329))</f>
        <v/>
      </c>
      <c r="L329" t="str">
        <f t="shared" si="9"/>
        <v/>
      </c>
      <c r="O329" s="51"/>
    </row>
    <row r="330" spans="10:15" ht="15" customHeight="1" x14ac:dyDescent="0.3">
      <c r="J330" t="str">
        <f>IF($A330="","",IF($I330&lt;&gt;"", $I330, VENT_Plan!$M330))</f>
        <v/>
      </c>
      <c r="L330" t="str">
        <f t="shared" si="9"/>
        <v/>
      </c>
      <c r="O330" s="51"/>
    </row>
    <row r="331" spans="10:15" ht="15" customHeight="1" x14ac:dyDescent="0.3">
      <c r="J331" t="str">
        <f>IF($A331="","",IF($I331&lt;&gt;"", $I331, VENT_Plan!$M331))</f>
        <v/>
      </c>
      <c r="L331" t="str">
        <f t="shared" si="9"/>
        <v/>
      </c>
      <c r="O331" s="51"/>
    </row>
    <row r="332" spans="10:15" ht="15" customHeight="1" x14ac:dyDescent="0.3">
      <c r="J332" t="str">
        <f>IF($A332="","",IF($I332&lt;&gt;"", $I332, VENT_Plan!$M332))</f>
        <v/>
      </c>
      <c r="L332" t="str">
        <f t="shared" si="9"/>
        <v/>
      </c>
      <c r="O332" s="51"/>
    </row>
    <row r="333" spans="10:15" ht="15" customHeight="1" x14ac:dyDescent="0.3">
      <c r="J333" t="str">
        <f>IF($A333="","",IF($I333&lt;&gt;"", $I333, VENT_Plan!$M333))</f>
        <v/>
      </c>
      <c r="L333" t="str">
        <f t="shared" si="9"/>
        <v/>
      </c>
      <c r="O333" s="51"/>
    </row>
    <row r="334" spans="10:15" ht="15" customHeight="1" x14ac:dyDescent="0.3">
      <c r="J334" t="str">
        <f>IF($A334="","",IF($I334&lt;&gt;"", $I334, VENT_Plan!$M334))</f>
        <v/>
      </c>
      <c r="L334" t="str">
        <f t="shared" si="9"/>
        <v/>
      </c>
      <c r="O334" s="51"/>
    </row>
    <row r="335" spans="10:15" ht="15" customHeight="1" x14ac:dyDescent="0.3">
      <c r="J335" t="str">
        <f>IF($A335="","",IF($I335&lt;&gt;"", $I335, VENT_Plan!$M335))</f>
        <v/>
      </c>
      <c r="L335" t="str">
        <f t="shared" si="9"/>
        <v/>
      </c>
      <c r="O335" s="51"/>
    </row>
    <row r="336" spans="10:15" ht="15" customHeight="1" x14ac:dyDescent="0.3">
      <c r="J336" t="str">
        <f>IF($A336="","",IF($I336&lt;&gt;"", $I336, VENT_Plan!$M336))</f>
        <v/>
      </c>
      <c r="L336" t="str">
        <f t="shared" si="9"/>
        <v/>
      </c>
      <c r="O336" s="51"/>
    </row>
    <row r="337" spans="10:15" ht="15" customHeight="1" x14ac:dyDescent="0.3">
      <c r="J337" t="str">
        <f>IF($A337="","",IF($I337&lt;&gt;"", $I337, VENT_Plan!$M337))</f>
        <v/>
      </c>
      <c r="L337" t="str">
        <f t="shared" si="9"/>
        <v/>
      </c>
      <c r="O337" s="51"/>
    </row>
    <row r="338" spans="10:15" ht="15" customHeight="1" x14ac:dyDescent="0.3">
      <c r="J338" t="str">
        <f>IF($A338="","",IF($I338&lt;&gt;"", $I338, VENT_Plan!$M338))</f>
        <v/>
      </c>
      <c r="L338" t="str">
        <f t="shared" si="9"/>
        <v/>
      </c>
      <c r="O338" s="51"/>
    </row>
    <row r="339" spans="10:15" ht="15" customHeight="1" x14ac:dyDescent="0.3">
      <c r="J339" t="str">
        <f>IF($A339="","",IF($I339&lt;&gt;"", $I339, VENT_Plan!$M339))</f>
        <v/>
      </c>
      <c r="L339" t="str">
        <f t="shared" si="9"/>
        <v/>
      </c>
      <c r="O339" s="51"/>
    </row>
    <row r="340" spans="10:15" ht="15" customHeight="1" x14ac:dyDescent="0.3">
      <c r="J340" t="str">
        <f>IF($A340="","",IF($I340&lt;&gt;"", $I340, VENT_Plan!$M340))</f>
        <v/>
      </c>
      <c r="L340" t="str">
        <f t="shared" si="9"/>
        <v/>
      </c>
      <c r="O340" s="51"/>
    </row>
    <row r="341" spans="10:15" ht="15" customHeight="1" x14ac:dyDescent="0.3">
      <c r="J341" t="str">
        <f>IF($A341="","",IF($I341&lt;&gt;"", $I341, VENT_Plan!$M341))</f>
        <v/>
      </c>
      <c r="L341" t="str">
        <f t="shared" si="9"/>
        <v/>
      </c>
      <c r="O341" s="51"/>
    </row>
    <row r="342" spans="10:15" ht="15" customHeight="1" x14ac:dyDescent="0.3">
      <c r="J342" t="str">
        <f>IF($A342="","",IF($I342&lt;&gt;"", $I342, VENT_Plan!$M342))</f>
        <v/>
      </c>
      <c r="L342" t="str">
        <f t="shared" si="9"/>
        <v/>
      </c>
      <c r="O342" s="51"/>
    </row>
    <row r="343" spans="10:15" ht="15" customHeight="1" x14ac:dyDescent="0.3">
      <c r="J343" t="str">
        <f>IF($A343="","",IF($I343&lt;&gt;"", $I343, VENT_Plan!$M343))</f>
        <v/>
      </c>
      <c r="L343" t="str">
        <f t="shared" si="9"/>
        <v/>
      </c>
      <c r="O343" s="51"/>
    </row>
    <row r="344" spans="10:15" ht="15" customHeight="1" x14ac:dyDescent="0.3">
      <c r="J344" t="str">
        <f>IF($A344="","",IF($I344&lt;&gt;"", $I344, VENT_Plan!$M344))</f>
        <v/>
      </c>
      <c r="L344" t="str">
        <f t="shared" si="9"/>
        <v/>
      </c>
      <c r="O344" s="51"/>
    </row>
    <row r="345" spans="10:15" ht="15" customHeight="1" x14ac:dyDescent="0.3">
      <c r="J345" t="str">
        <f>IF($A345="","",IF($I345&lt;&gt;"", $I345, VENT_Plan!$M345))</f>
        <v/>
      </c>
      <c r="L345" t="str">
        <f t="shared" si="9"/>
        <v/>
      </c>
      <c r="O345" s="51"/>
    </row>
    <row r="346" spans="10:15" ht="15" customHeight="1" x14ac:dyDescent="0.3">
      <c r="J346" t="str">
        <f>IF($A346="","",IF($I346&lt;&gt;"", $I346, VENT_Plan!$M346))</f>
        <v/>
      </c>
      <c r="L346" t="str">
        <f t="shared" si="9"/>
        <v/>
      </c>
      <c r="O346" s="51"/>
    </row>
    <row r="347" spans="10:15" ht="15" customHeight="1" x14ac:dyDescent="0.3">
      <c r="J347" t="str">
        <f>IF($A347="","",IF($I347&lt;&gt;"", $I347, VENT_Plan!$M347))</f>
        <v/>
      </c>
      <c r="L347" t="str">
        <f t="shared" si="9"/>
        <v/>
      </c>
      <c r="O347" s="51"/>
    </row>
    <row r="348" spans="10:15" ht="15" customHeight="1" x14ac:dyDescent="0.3">
      <c r="J348" t="str">
        <f>IF($A348="","",IF($I348&lt;&gt;"", $I348, VENT_Plan!$M348))</f>
        <v/>
      </c>
      <c r="L348" t="str">
        <f t="shared" si="9"/>
        <v/>
      </c>
      <c r="O348" s="51"/>
    </row>
    <row r="349" spans="10:15" ht="15" customHeight="1" x14ac:dyDescent="0.3">
      <c r="J349" t="str">
        <f>IF($A349="","",IF($I349&lt;&gt;"", $I349, VENT_Plan!$M349))</f>
        <v/>
      </c>
      <c r="L349" t="str">
        <f t="shared" si="9"/>
        <v/>
      </c>
      <c r="O349" s="51"/>
    </row>
    <row r="350" spans="10:15" ht="15" customHeight="1" x14ac:dyDescent="0.3">
      <c r="J350" t="str">
        <f>IF($A350="","",IF($I350&lt;&gt;"", $I350, VENT_Plan!$M350))</f>
        <v/>
      </c>
      <c r="L350" t="str">
        <f t="shared" si="9"/>
        <v/>
      </c>
      <c r="O350" s="51"/>
    </row>
    <row r="351" spans="10:15" ht="15" customHeight="1" x14ac:dyDescent="0.3">
      <c r="J351" t="str">
        <f>IF($A351="","",IF($I351&lt;&gt;"", $I351, VENT_Plan!$M351))</f>
        <v/>
      </c>
      <c r="L351" t="str">
        <f t="shared" si="9"/>
        <v/>
      </c>
      <c r="O351" s="51"/>
    </row>
    <row r="352" spans="10:15" ht="15" customHeight="1" x14ac:dyDescent="0.3">
      <c r="J352" t="str">
        <f>IF($A352="","",IF($I352&lt;&gt;"", $I352, VENT_Plan!$M352))</f>
        <v/>
      </c>
      <c r="L352" t="str">
        <f t="shared" si="9"/>
        <v/>
      </c>
      <c r="O352" s="51"/>
    </row>
    <row r="353" spans="10:15" ht="15" customHeight="1" x14ac:dyDescent="0.3">
      <c r="J353" t="str">
        <f>IF($A353="","",IF($I353&lt;&gt;"", $I353, VENT_Plan!$M353))</f>
        <v/>
      </c>
      <c r="L353" t="str">
        <f t="shared" si="9"/>
        <v/>
      </c>
      <c r="O353" s="51"/>
    </row>
    <row r="354" spans="10:15" ht="15" customHeight="1" x14ac:dyDescent="0.3">
      <c r="J354" t="str">
        <f>IF($A354="","",IF($I354&lt;&gt;"", $I354, VENT_Plan!$M354))</f>
        <v/>
      </c>
      <c r="L354" t="str">
        <f t="shared" si="9"/>
        <v/>
      </c>
      <c r="O354" s="51"/>
    </row>
    <row r="355" spans="10:15" ht="15" customHeight="1" x14ac:dyDescent="0.3">
      <c r="J355" t="str">
        <f>IF($A355="","",IF($I355&lt;&gt;"", $I355, VENT_Plan!$M355))</f>
        <v/>
      </c>
      <c r="L355" t="str">
        <f t="shared" si="9"/>
        <v/>
      </c>
      <c r="O355" s="51"/>
    </row>
    <row r="356" spans="10:15" ht="15" customHeight="1" x14ac:dyDescent="0.3">
      <c r="J356" t="str">
        <f>IF($A356="","",IF($I356&lt;&gt;"", $I356, VENT_Plan!$M356))</f>
        <v/>
      </c>
      <c r="L356" t="str">
        <f t="shared" si="9"/>
        <v/>
      </c>
      <c r="O356" s="51"/>
    </row>
    <row r="357" spans="10:15" ht="15" customHeight="1" x14ac:dyDescent="0.3">
      <c r="J357" t="str">
        <f>IF($A357="","",IF($I357&lt;&gt;"", $I357, VENT_Plan!$M357))</f>
        <v/>
      </c>
      <c r="L357" t="str">
        <f t="shared" si="9"/>
        <v/>
      </c>
      <c r="O357" s="51"/>
    </row>
    <row r="358" spans="10:15" ht="15" customHeight="1" x14ac:dyDescent="0.3">
      <c r="J358" t="str">
        <f>IF($A358="","",IF($I358&lt;&gt;"", $I358, VENT_Plan!$M358))</f>
        <v/>
      </c>
      <c r="L358" t="str">
        <f t="shared" si="9"/>
        <v/>
      </c>
      <c r="O358" s="51"/>
    </row>
    <row r="359" spans="10:15" ht="15" customHeight="1" x14ac:dyDescent="0.3">
      <c r="J359" t="str">
        <f>IF($A359="","",IF($I359&lt;&gt;"", $I359, VENT_Plan!$M359))</f>
        <v/>
      </c>
      <c r="L359" t="str">
        <f t="shared" si="9"/>
        <v/>
      </c>
      <c r="O359" s="51"/>
    </row>
    <row r="360" spans="10:15" ht="15" customHeight="1" x14ac:dyDescent="0.3">
      <c r="J360" t="str">
        <f>IF($A360="","",IF($I360&lt;&gt;"", $I360, VENT_Plan!$M360))</f>
        <v/>
      </c>
      <c r="L360" t="str">
        <f t="shared" si="9"/>
        <v/>
      </c>
      <c r="O360" s="51"/>
    </row>
    <row r="361" spans="10:15" ht="15" customHeight="1" x14ac:dyDescent="0.3">
      <c r="J361" t="str">
        <f>IF($A361="","",IF($I361&lt;&gt;"", $I361, VENT_Plan!$M361))</f>
        <v/>
      </c>
      <c r="L361" t="str">
        <f t="shared" si="9"/>
        <v/>
      </c>
      <c r="O361" s="51"/>
    </row>
    <row r="362" spans="10:15" ht="15" customHeight="1" x14ac:dyDescent="0.3">
      <c r="J362" t="str">
        <f>IF($A362="","",IF($I362&lt;&gt;"", $I362, VENT_Plan!$M362))</f>
        <v/>
      </c>
      <c r="L362" t="str">
        <f t="shared" si="9"/>
        <v/>
      </c>
      <c r="O362" s="51"/>
    </row>
    <row r="363" spans="10:15" ht="15" customHeight="1" x14ac:dyDescent="0.3">
      <c r="J363" t="str">
        <f>IF($A363="","",IF($I363&lt;&gt;"", $I363, VENT_Plan!$M363))</f>
        <v/>
      </c>
      <c r="L363" t="str">
        <f t="shared" si="9"/>
        <v/>
      </c>
      <c r="O363" s="51"/>
    </row>
    <row r="364" spans="10:15" ht="15" customHeight="1" x14ac:dyDescent="0.3">
      <c r="J364" t="str">
        <f>IF($A364="","",IF($I364&lt;&gt;"", $I364, VENT_Plan!$M364))</f>
        <v/>
      </c>
      <c r="L364" t="str">
        <f t="shared" si="9"/>
        <v/>
      </c>
      <c r="O364" s="51"/>
    </row>
    <row r="365" spans="10:15" ht="15" customHeight="1" x14ac:dyDescent="0.3">
      <c r="J365" t="str">
        <f>IF($A365="","",IF($I365&lt;&gt;"", $I365, VENT_Plan!$M365))</f>
        <v/>
      </c>
      <c r="L365" t="str">
        <f t="shared" si="9"/>
        <v/>
      </c>
      <c r="O365" s="51"/>
    </row>
    <row r="366" spans="10:15" ht="15" customHeight="1" x14ac:dyDescent="0.3">
      <c r="J366" t="str">
        <f>IF($A366="","",IF($I366&lt;&gt;"", $I366, VENT_Plan!$M366))</f>
        <v/>
      </c>
      <c r="L366" t="str">
        <f t="shared" si="9"/>
        <v/>
      </c>
      <c r="O366" s="51"/>
    </row>
    <row r="367" spans="10:15" ht="15" customHeight="1" x14ac:dyDescent="0.3">
      <c r="J367" t="str">
        <f>IF($A367="","",IF($I367&lt;&gt;"", $I367, VENT_Plan!$M367))</f>
        <v/>
      </c>
      <c r="L367" t="str">
        <f t="shared" si="9"/>
        <v/>
      </c>
      <c r="O367" s="51"/>
    </row>
    <row r="368" spans="10:15" ht="15" customHeight="1" x14ac:dyDescent="0.3">
      <c r="J368" t="str">
        <f>IF($A368="","",IF($I368&lt;&gt;"", $I368, VENT_Plan!$M368))</f>
        <v/>
      </c>
      <c r="L368" t="str">
        <f t="shared" si="9"/>
        <v/>
      </c>
      <c r="O368" s="51"/>
    </row>
    <row r="369" spans="10:15" ht="15" customHeight="1" x14ac:dyDescent="0.3">
      <c r="J369" t="str">
        <f>IF($A369="","",IF($I369&lt;&gt;"", $I369, VENT_Plan!$M369))</f>
        <v/>
      </c>
      <c r="L369" t="str">
        <f t="shared" si="9"/>
        <v/>
      </c>
      <c r="O369" s="51"/>
    </row>
    <row r="370" spans="10:15" ht="15" customHeight="1" x14ac:dyDescent="0.3">
      <c r="J370" t="str">
        <f>IF($A370="","",IF($I370&lt;&gt;"", $I370, VENT_Plan!$M370))</f>
        <v/>
      </c>
      <c r="L370" t="str">
        <f t="shared" si="9"/>
        <v/>
      </c>
      <c r="O370" s="51"/>
    </row>
    <row r="371" spans="10:15" ht="15" customHeight="1" x14ac:dyDescent="0.3">
      <c r="J371" t="str">
        <f>IF($A371="","",IF($I371&lt;&gt;"", $I371, VENT_Plan!$M371))</f>
        <v/>
      </c>
      <c r="L371" t="str">
        <f t="shared" si="9"/>
        <v/>
      </c>
      <c r="O371" s="51"/>
    </row>
    <row r="372" spans="10:15" ht="15" customHeight="1" x14ac:dyDescent="0.3">
      <c r="J372" t="str">
        <f>IF($A372="","",IF($I372&lt;&gt;"", $I372, VENT_Plan!$M372))</f>
        <v/>
      </c>
      <c r="L372" t="str">
        <f t="shared" si="9"/>
        <v/>
      </c>
      <c r="O372" s="51"/>
    </row>
    <row r="373" spans="10:15" ht="15" customHeight="1" x14ac:dyDescent="0.3">
      <c r="J373" t="str">
        <f>IF($A373="","",IF($I373&lt;&gt;"", $I373, VENT_Plan!$M373))</f>
        <v/>
      </c>
      <c r="L373" t="str">
        <f t="shared" si="9"/>
        <v/>
      </c>
      <c r="O373" s="51"/>
    </row>
    <row r="374" spans="10:15" ht="15" customHeight="1" x14ac:dyDescent="0.3">
      <c r="J374" t="str">
        <f>IF($A374="","",IF($I374&lt;&gt;"", $I374, VENT_Plan!$M374))</f>
        <v/>
      </c>
      <c r="L374" t="str">
        <f t="shared" si="9"/>
        <v/>
      </c>
      <c r="O374" s="51"/>
    </row>
    <row r="375" spans="10:15" ht="15" customHeight="1" x14ac:dyDescent="0.3">
      <c r="J375" t="str">
        <f>IF($A375="","",IF($I375&lt;&gt;"", $I375, VENT_Plan!$M375))</f>
        <v/>
      </c>
      <c r="L375" t="str">
        <f t="shared" si="9"/>
        <v/>
      </c>
      <c r="O375" s="51"/>
    </row>
    <row r="376" spans="10:15" ht="15" customHeight="1" x14ac:dyDescent="0.3">
      <c r="J376" t="str">
        <f>IF($A376="","",IF($I376&lt;&gt;"", $I376, VENT_Plan!$M376))</f>
        <v/>
      </c>
      <c r="L376" t="str">
        <f t="shared" si="9"/>
        <v/>
      </c>
      <c r="O376" s="51"/>
    </row>
    <row r="377" spans="10:15" ht="15" customHeight="1" x14ac:dyDescent="0.3">
      <c r="J377" t="str">
        <f>IF($A377="","",IF($I377&lt;&gt;"", $I377, VENT_Plan!$M377))</f>
        <v/>
      </c>
      <c r="L377" t="str">
        <f t="shared" si="9"/>
        <v/>
      </c>
      <c r="O377" s="51"/>
    </row>
    <row r="378" spans="10:15" ht="15" customHeight="1" x14ac:dyDescent="0.3">
      <c r="J378" t="str">
        <f>IF($A378="","",IF($I378&lt;&gt;"", $I378, VENT_Plan!$M378))</f>
        <v/>
      </c>
      <c r="L378" t="str">
        <f t="shared" si="9"/>
        <v/>
      </c>
      <c r="O378" s="51"/>
    </row>
    <row r="379" spans="10:15" ht="15" customHeight="1" x14ac:dyDescent="0.3">
      <c r="J379" t="str">
        <f>IF($A379="","",IF($I379&lt;&gt;"", $I379, VENT_Plan!$M379))</f>
        <v/>
      </c>
      <c r="L379" t="str">
        <f t="shared" si="9"/>
        <v/>
      </c>
      <c r="O379" s="51"/>
    </row>
    <row r="380" spans="10:15" ht="15" customHeight="1" x14ac:dyDescent="0.3">
      <c r="J380" t="str">
        <f>IF($A380="","",IF($I380&lt;&gt;"", $I380, VENT_Plan!$M380))</f>
        <v/>
      </c>
      <c r="L380" t="str">
        <f t="shared" si="9"/>
        <v/>
      </c>
      <c r="O380" s="51"/>
    </row>
    <row r="381" spans="10:15" ht="15" customHeight="1" x14ac:dyDescent="0.3">
      <c r="J381" t="str">
        <f>IF($A381="","",IF($I381&lt;&gt;"", $I381, VENT_Plan!$M381))</f>
        <v/>
      </c>
      <c r="L381" t="str">
        <f t="shared" si="9"/>
        <v/>
      </c>
      <c r="O381" s="51"/>
    </row>
    <row r="382" spans="10:15" ht="15" customHeight="1" x14ac:dyDescent="0.3">
      <c r="J382" t="str">
        <f>IF($A382="","",IF($I382&lt;&gt;"", $I382, VENT_Plan!$M382))</f>
        <v/>
      </c>
      <c r="L382" t="str">
        <f t="shared" si="9"/>
        <v/>
      </c>
      <c r="O382" s="51"/>
    </row>
    <row r="383" spans="10:15" ht="15" customHeight="1" x14ac:dyDescent="0.3">
      <c r="J383" t="str">
        <f>IF($A383="","",IF($I383&lt;&gt;"", $I383, VENT_Plan!$M383))</f>
        <v/>
      </c>
      <c r="L383" t="str">
        <f t="shared" si="9"/>
        <v/>
      </c>
      <c r="O383" s="51"/>
    </row>
    <row r="384" spans="10:15" ht="15" customHeight="1" x14ac:dyDescent="0.3">
      <c r="J384" t="str">
        <f>IF($A384="","",IF($I384&lt;&gt;"", $I384, VENT_Plan!$M384))</f>
        <v/>
      </c>
      <c r="L384" t="str">
        <f t="shared" si="9"/>
        <v/>
      </c>
      <c r="O384" s="51"/>
    </row>
    <row r="385" spans="10:15" ht="15" customHeight="1" x14ac:dyDescent="0.3">
      <c r="J385" t="str">
        <f>IF($A385="","",IF($I385&lt;&gt;"", $I385, VENT_Plan!$M385))</f>
        <v/>
      </c>
      <c r="L385" t="str">
        <f t="shared" si="9"/>
        <v/>
      </c>
      <c r="O385" s="51"/>
    </row>
    <row r="386" spans="10:15" ht="15" customHeight="1" x14ac:dyDescent="0.3">
      <c r="J386" t="str">
        <f>IF($A386="","",IF($I386&lt;&gt;"", $I386, VENT_Plan!$M386))</f>
        <v/>
      </c>
      <c r="L386" t="str">
        <f t="shared" si="9"/>
        <v/>
      </c>
      <c r="O386" s="51"/>
    </row>
    <row r="387" spans="10:15" ht="15" customHeight="1" x14ac:dyDescent="0.3">
      <c r="J387" t="str">
        <f>IF($A387="","",IF($I387&lt;&gt;"", $I387, VENT_Plan!$M387))</f>
        <v/>
      </c>
      <c r="L387" t="str">
        <f t="shared" si="9"/>
        <v/>
      </c>
      <c r="O387" s="51"/>
    </row>
    <row r="388" spans="10:15" ht="15" customHeight="1" x14ac:dyDescent="0.3">
      <c r="J388" t="str">
        <f>IF($A388="","",IF($I388&lt;&gt;"", $I388, VENT_Plan!$M388))</f>
        <v/>
      </c>
      <c r="L388" t="str">
        <f t="shared" ref="L388:L451" si="10">IF($A388="","",K388*D388)</f>
        <v/>
      </c>
      <c r="O388" s="51"/>
    </row>
    <row r="389" spans="10:15" ht="15" customHeight="1" x14ac:dyDescent="0.3">
      <c r="J389" t="str">
        <f>IF($A389="","",IF($I389&lt;&gt;"", $I389, VENT_Plan!$M389))</f>
        <v/>
      </c>
      <c r="L389" t="str">
        <f t="shared" si="10"/>
        <v/>
      </c>
      <c r="O389" s="51"/>
    </row>
    <row r="390" spans="10:15" ht="15" customHeight="1" x14ac:dyDescent="0.3">
      <c r="J390" t="str">
        <f>IF($A390="","",IF($I390&lt;&gt;"", $I390, VENT_Plan!$M390))</f>
        <v/>
      </c>
      <c r="L390" t="str">
        <f t="shared" si="10"/>
        <v/>
      </c>
      <c r="O390" s="51"/>
    </row>
    <row r="391" spans="10:15" ht="15" customHeight="1" x14ac:dyDescent="0.3">
      <c r="J391" t="str">
        <f>IF($A391="","",IF($I391&lt;&gt;"", $I391, VENT_Plan!$M391))</f>
        <v/>
      </c>
      <c r="L391" t="str">
        <f t="shared" si="10"/>
        <v/>
      </c>
      <c r="O391" s="51"/>
    </row>
    <row r="392" spans="10:15" ht="15" customHeight="1" x14ac:dyDescent="0.3">
      <c r="J392" t="str">
        <f>IF($A392="","",IF($I392&lt;&gt;"", $I392, VENT_Plan!$M392))</f>
        <v/>
      </c>
      <c r="L392" t="str">
        <f t="shared" si="10"/>
        <v/>
      </c>
      <c r="O392" s="51"/>
    </row>
    <row r="393" spans="10:15" ht="15" customHeight="1" x14ac:dyDescent="0.3">
      <c r="J393" t="str">
        <f>IF($A393="","",IF($I393&lt;&gt;"", $I393, VENT_Plan!$M393))</f>
        <v/>
      </c>
      <c r="L393" t="str">
        <f t="shared" si="10"/>
        <v/>
      </c>
      <c r="O393" s="51"/>
    </row>
    <row r="394" spans="10:15" ht="15" customHeight="1" x14ac:dyDescent="0.3">
      <c r="J394" t="str">
        <f>IF($A394="","",IF($I394&lt;&gt;"", $I394, VENT_Plan!$M394))</f>
        <v/>
      </c>
      <c r="L394" t="str">
        <f t="shared" si="10"/>
        <v/>
      </c>
      <c r="O394" s="51"/>
    </row>
    <row r="395" spans="10:15" ht="15" customHeight="1" x14ac:dyDescent="0.3">
      <c r="J395" t="str">
        <f>IF($A395="","",IF($I395&lt;&gt;"", $I395, VENT_Plan!$M395))</f>
        <v/>
      </c>
      <c r="L395" t="str">
        <f t="shared" si="10"/>
        <v/>
      </c>
      <c r="O395" s="51"/>
    </row>
    <row r="396" spans="10:15" ht="15" customHeight="1" x14ac:dyDescent="0.3">
      <c r="J396" t="str">
        <f>IF($A396="","",IF($I396&lt;&gt;"", $I396, VENT_Plan!$M396))</f>
        <v/>
      </c>
      <c r="L396" t="str">
        <f t="shared" si="10"/>
        <v/>
      </c>
      <c r="O396" s="51"/>
    </row>
    <row r="397" spans="10:15" ht="15" customHeight="1" x14ac:dyDescent="0.3">
      <c r="J397" t="str">
        <f>IF($A397="","",IF($I397&lt;&gt;"", $I397, VENT_Plan!$M397))</f>
        <v/>
      </c>
      <c r="L397" t="str">
        <f t="shared" si="10"/>
        <v/>
      </c>
      <c r="O397" s="51"/>
    </row>
    <row r="398" spans="10:15" ht="15" customHeight="1" x14ac:dyDescent="0.3">
      <c r="J398" t="str">
        <f>IF($A398="","",IF($I398&lt;&gt;"", $I398, VENT_Plan!$M398))</f>
        <v/>
      </c>
      <c r="L398" t="str">
        <f t="shared" si="10"/>
        <v/>
      </c>
      <c r="O398" s="51"/>
    </row>
    <row r="399" spans="10:15" ht="15" customHeight="1" x14ac:dyDescent="0.3">
      <c r="J399" t="str">
        <f>IF($A399="","",IF($I399&lt;&gt;"", $I399, VENT_Plan!$M399))</f>
        <v/>
      </c>
      <c r="L399" t="str">
        <f t="shared" si="10"/>
        <v/>
      </c>
      <c r="O399" s="51"/>
    </row>
    <row r="400" spans="10:15" ht="15" customHeight="1" x14ac:dyDescent="0.3">
      <c r="J400" t="str">
        <f>IF($A400="","",IF($I400&lt;&gt;"", $I400, VENT_Plan!$M400))</f>
        <v/>
      </c>
      <c r="L400" t="str">
        <f t="shared" si="10"/>
        <v/>
      </c>
      <c r="O400" s="51"/>
    </row>
    <row r="401" spans="10:15" ht="15" customHeight="1" x14ac:dyDescent="0.3">
      <c r="J401" t="str">
        <f>IF($A401="","",IF($I401&lt;&gt;"", $I401, VENT_Plan!$M401))</f>
        <v/>
      </c>
      <c r="L401" t="str">
        <f t="shared" si="10"/>
        <v/>
      </c>
      <c r="O401" s="51"/>
    </row>
    <row r="402" spans="10:15" ht="15" customHeight="1" x14ac:dyDescent="0.3">
      <c r="J402" t="str">
        <f>IF($A402="","",IF($I402&lt;&gt;"", $I402, VENT_Plan!$M402))</f>
        <v/>
      </c>
      <c r="L402" t="str">
        <f t="shared" si="10"/>
        <v/>
      </c>
      <c r="O402" s="51"/>
    </row>
    <row r="403" spans="10:15" ht="15" customHeight="1" x14ac:dyDescent="0.3">
      <c r="J403" t="str">
        <f>IF($A403="","",IF($I403&lt;&gt;"", $I403, VENT_Plan!$M403))</f>
        <v/>
      </c>
      <c r="L403" t="str">
        <f t="shared" si="10"/>
        <v/>
      </c>
      <c r="O403" s="51"/>
    </row>
    <row r="404" spans="10:15" ht="15" customHeight="1" x14ac:dyDescent="0.3">
      <c r="J404" t="str">
        <f>IF($A404="","",IF($I404&lt;&gt;"", $I404, VENT_Plan!$M404))</f>
        <v/>
      </c>
      <c r="L404" t="str">
        <f t="shared" si="10"/>
        <v/>
      </c>
      <c r="O404" s="51"/>
    </row>
    <row r="405" spans="10:15" ht="15" customHeight="1" x14ac:dyDescent="0.3">
      <c r="J405" t="str">
        <f>IF($A405="","",IF($I405&lt;&gt;"", $I405, VENT_Plan!$M405))</f>
        <v/>
      </c>
      <c r="L405" t="str">
        <f t="shared" si="10"/>
        <v/>
      </c>
      <c r="O405" s="51"/>
    </row>
    <row r="406" spans="10:15" ht="15" customHeight="1" x14ac:dyDescent="0.3">
      <c r="J406" t="str">
        <f>IF($A406="","",IF($I406&lt;&gt;"", $I406, VENT_Plan!$M406))</f>
        <v/>
      </c>
      <c r="L406" t="str">
        <f t="shared" si="10"/>
        <v/>
      </c>
      <c r="O406" s="51"/>
    </row>
    <row r="407" spans="10:15" ht="15" customHeight="1" x14ac:dyDescent="0.3">
      <c r="J407" t="str">
        <f>IF($A407="","",IF($I407&lt;&gt;"", $I407, VENT_Plan!$M407))</f>
        <v/>
      </c>
      <c r="L407" t="str">
        <f t="shared" si="10"/>
        <v/>
      </c>
      <c r="O407" s="51"/>
    </row>
    <row r="408" spans="10:15" ht="15" customHeight="1" x14ac:dyDescent="0.3">
      <c r="J408" t="str">
        <f>IF($A408="","",IF($I408&lt;&gt;"", $I408, VENT_Plan!$M408))</f>
        <v/>
      </c>
      <c r="L408" t="str">
        <f t="shared" si="10"/>
        <v/>
      </c>
      <c r="O408" s="51"/>
    </row>
    <row r="409" spans="10:15" ht="15" customHeight="1" x14ac:dyDescent="0.3">
      <c r="J409" t="str">
        <f>IF($A409="","",IF($I409&lt;&gt;"", $I409, VENT_Plan!$M409))</f>
        <v/>
      </c>
      <c r="L409" t="str">
        <f t="shared" si="10"/>
        <v/>
      </c>
      <c r="O409" s="51"/>
    </row>
    <row r="410" spans="10:15" ht="15" customHeight="1" x14ac:dyDescent="0.3">
      <c r="J410" t="str">
        <f>IF($A410="","",IF($I410&lt;&gt;"", $I410, VENT_Plan!$M410))</f>
        <v/>
      </c>
      <c r="L410" t="str">
        <f t="shared" si="10"/>
        <v/>
      </c>
      <c r="O410" s="51"/>
    </row>
    <row r="411" spans="10:15" ht="15" customHeight="1" x14ac:dyDescent="0.3">
      <c r="J411" t="str">
        <f>IF($A411="","",IF($I411&lt;&gt;"", $I411, VENT_Plan!$M411))</f>
        <v/>
      </c>
      <c r="L411" t="str">
        <f t="shared" si="10"/>
        <v/>
      </c>
      <c r="O411" s="51"/>
    </row>
    <row r="412" spans="10:15" ht="15" customHeight="1" x14ac:dyDescent="0.3">
      <c r="J412" t="str">
        <f>IF($A412="","",IF($I412&lt;&gt;"", $I412, VENT_Plan!$M412))</f>
        <v/>
      </c>
      <c r="L412" t="str">
        <f t="shared" si="10"/>
        <v/>
      </c>
      <c r="O412" s="51"/>
    </row>
    <row r="413" spans="10:15" ht="15" customHeight="1" x14ac:dyDescent="0.3">
      <c r="J413" t="str">
        <f>IF($A413="","",IF($I413&lt;&gt;"", $I413, VENT_Plan!$M413))</f>
        <v/>
      </c>
      <c r="L413" t="str">
        <f t="shared" si="10"/>
        <v/>
      </c>
      <c r="O413" s="51"/>
    </row>
    <row r="414" spans="10:15" ht="15" customHeight="1" x14ac:dyDescent="0.3">
      <c r="J414" t="str">
        <f>IF($A414="","",IF($I414&lt;&gt;"", $I414, VENT_Plan!$M414))</f>
        <v/>
      </c>
      <c r="L414" t="str">
        <f t="shared" si="10"/>
        <v/>
      </c>
      <c r="O414" s="51"/>
    </row>
    <row r="415" spans="10:15" ht="15" customHeight="1" x14ac:dyDescent="0.3">
      <c r="J415" t="str">
        <f>IF($A415="","",IF($I415&lt;&gt;"", $I415, VENT_Plan!$M415))</f>
        <v/>
      </c>
      <c r="L415" t="str">
        <f t="shared" si="10"/>
        <v/>
      </c>
      <c r="O415" s="51"/>
    </row>
    <row r="416" spans="10:15" ht="15" customHeight="1" x14ac:dyDescent="0.3">
      <c r="J416" t="str">
        <f>IF($A416="","",IF($I416&lt;&gt;"", $I416, VENT_Plan!$M416))</f>
        <v/>
      </c>
      <c r="L416" t="str">
        <f t="shared" si="10"/>
        <v/>
      </c>
      <c r="O416" s="51"/>
    </row>
    <row r="417" spans="10:15" ht="15" customHeight="1" x14ac:dyDescent="0.3">
      <c r="J417" t="str">
        <f>IF($A417="","",IF($I417&lt;&gt;"", $I417, VENT_Plan!$M417))</f>
        <v/>
      </c>
      <c r="L417" t="str">
        <f t="shared" si="10"/>
        <v/>
      </c>
      <c r="O417" s="51"/>
    </row>
    <row r="418" spans="10:15" ht="15" customHeight="1" x14ac:dyDescent="0.3">
      <c r="J418" t="str">
        <f>IF($A418="","",IF($I418&lt;&gt;"", $I418, VENT_Plan!$M418))</f>
        <v/>
      </c>
      <c r="L418" t="str">
        <f t="shared" si="10"/>
        <v/>
      </c>
      <c r="O418" s="51"/>
    </row>
    <row r="419" spans="10:15" ht="15" customHeight="1" x14ac:dyDescent="0.3">
      <c r="J419" t="str">
        <f>IF($A419="","",IF($I419&lt;&gt;"", $I419, VENT_Plan!$M419))</f>
        <v/>
      </c>
      <c r="L419" t="str">
        <f t="shared" si="10"/>
        <v/>
      </c>
      <c r="O419" s="51"/>
    </row>
    <row r="420" spans="10:15" ht="15" customHeight="1" x14ac:dyDescent="0.3">
      <c r="J420" t="str">
        <f>IF($A420="","",IF($I420&lt;&gt;"", $I420, VENT_Plan!$M420))</f>
        <v/>
      </c>
      <c r="L420" t="str">
        <f t="shared" si="10"/>
        <v/>
      </c>
      <c r="O420" s="51"/>
    </row>
    <row r="421" spans="10:15" ht="15" customHeight="1" x14ac:dyDescent="0.3">
      <c r="J421" t="str">
        <f>IF($A421="","",IF($I421&lt;&gt;"", $I421, VENT_Plan!$M421))</f>
        <v/>
      </c>
      <c r="L421" t="str">
        <f t="shared" si="10"/>
        <v/>
      </c>
      <c r="O421" s="51"/>
    </row>
    <row r="422" spans="10:15" ht="15" customHeight="1" x14ac:dyDescent="0.3">
      <c r="J422" t="str">
        <f>IF($A422="","",IF($I422&lt;&gt;"", $I422, VENT_Plan!$M422))</f>
        <v/>
      </c>
      <c r="L422" t="str">
        <f t="shared" si="10"/>
        <v/>
      </c>
      <c r="O422" s="51"/>
    </row>
    <row r="423" spans="10:15" ht="15" customHeight="1" x14ac:dyDescent="0.3">
      <c r="J423" t="str">
        <f>IF($A423="","",IF($I423&lt;&gt;"", $I423, VENT_Plan!$M423))</f>
        <v/>
      </c>
      <c r="L423" t="str">
        <f t="shared" si="10"/>
        <v/>
      </c>
      <c r="O423" s="51"/>
    </row>
    <row r="424" spans="10:15" ht="15" customHeight="1" x14ac:dyDescent="0.3">
      <c r="J424" t="str">
        <f>IF($A424="","",IF($I424&lt;&gt;"", $I424, VENT_Plan!$M424))</f>
        <v/>
      </c>
      <c r="L424" t="str">
        <f t="shared" si="10"/>
        <v/>
      </c>
      <c r="O424" s="51"/>
    </row>
    <row r="425" spans="10:15" ht="15" customHeight="1" x14ac:dyDescent="0.3">
      <c r="J425" t="str">
        <f>IF($A425="","",IF($I425&lt;&gt;"", $I425, VENT_Plan!$M425))</f>
        <v/>
      </c>
      <c r="L425" t="str">
        <f t="shared" si="10"/>
        <v/>
      </c>
      <c r="O425" s="51"/>
    </row>
    <row r="426" spans="10:15" ht="15" customHeight="1" x14ac:dyDescent="0.3">
      <c r="J426" t="str">
        <f>IF($A426="","",IF($I426&lt;&gt;"", $I426, VENT_Plan!$M426))</f>
        <v/>
      </c>
      <c r="L426" t="str">
        <f t="shared" si="10"/>
        <v/>
      </c>
      <c r="O426" s="51"/>
    </row>
    <row r="427" spans="10:15" ht="15" customHeight="1" x14ac:dyDescent="0.3">
      <c r="J427" t="str">
        <f>IF($A427="","",IF($I427&lt;&gt;"", $I427, VENT_Plan!$M427))</f>
        <v/>
      </c>
      <c r="L427" t="str">
        <f t="shared" si="10"/>
        <v/>
      </c>
      <c r="O427" s="51"/>
    </row>
    <row r="428" spans="10:15" ht="15" customHeight="1" x14ac:dyDescent="0.3">
      <c r="J428" t="str">
        <f>IF($A428="","",IF($I428&lt;&gt;"", $I428, VENT_Plan!$M428))</f>
        <v/>
      </c>
      <c r="L428" t="str">
        <f t="shared" si="10"/>
        <v/>
      </c>
      <c r="O428" s="51"/>
    </row>
    <row r="429" spans="10:15" ht="15" customHeight="1" x14ac:dyDescent="0.3">
      <c r="J429" t="str">
        <f>IF($A429="","",IF($I429&lt;&gt;"", $I429, VENT_Plan!$M429))</f>
        <v/>
      </c>
      <c r="L429" t="str">
        <f t="shared" si="10"/>
        <v/>
      </c>
      <c r="O429" s="51"/>
    </row>
    <row r="430" spans="10:15" ht="15" customHeight="1" x14ac:dyDescent="0.3">
      <c r="J430" t="str">
        <f>IF($A430="","",IF($I430&lt;&gt;"", $I430, VENT_Plan!$M430))</f>
        <v/>
      </c>
      <c r="L430" t="str">
        <f t="shared" si="10"/>
        <v/>
      </c>
      <c r="O430" s="51"/>
    </row>
    <row r="431" spans="10:15" ht="15" customHeight="1" x14ac:dyDescent="0.3">
      <c r="J431" t="str">
        <f>IF($A431="","",IF($I431&lt;&gt;"", $I431, VENT_Plan!$M431))</f>
        <v/>
      </c>
      <c r="L431" t="str">
        <f t="shared" si="10"/>
        <v/>
      </c>
      <c r="O431" s="51"/>
    </row>
    <row r="432" spans="10:15" ht="15" customHeight="1" x14ac:dyDescent="0.3">
      <c r="J432" t="str">
        <f>IF($A432="","",IF($I432&lt;&gt;"", $I432, VENT_Plan!$M432))</f>
        <v/>
      </c>
      <c r="L432" t="str">
        <f t="shared" si="10"/>
        <v/>
      </c>
      <c r="O432" s="51"/>
    </row>
    <row r="433" spans="10:15" ht="15" customHeight="1" x14ac:dyDescent="0.3">
      <c r="J433" t="str">
        <f>IF($A433="","",IF($I433&lt;&gt;"", $I433, VENT_Plan!$M433))</f>
        <v/>
      </c>
      <c r="L433" t="str">
        <f t="shared" si="10"/>
        <v/>
      </c>
      <c r="O433" s="51"/>
    </row>
    <row r="434" spans="10:15" ht="15" customHeight="1" x14ac:dyDescent="0.3">
      <c r="J434" t="str">
        <f>IF($A434="","",IF($I434&lt;&gt;"", $I434, VENT_Plan!$M434))</f>
        <v/>
      </c>
      <c r="L434" t="str">
        <f t="shared" si="10"/>
        <v/>
      </c>
      <c r="O434" s="51"/>
    </row>
    <row r="435" spans="10:15" ht="15" customHeight="1" x14ac:dyDescent="0.3">
      <c r="J435" t="str">
        <f>IF($A435="","",IF($I435&lt;&gt;"", $I435, VENT_Plan!$M435))</f>
        <v/>
      </c>
      <c r="L435" t="str">
        <f t="shared" si="10"/>
        <v/>
      </c>
      <c r="O435" s="51"/>
    </row>
    <row r="436" spans="10:15" ht="15" customHeight="1" x14ac:dyDescent="0.3">
      <c r="J436" t="str">
        <f>IF($A436="","",IF($I436&lt;&gt;"", $I436, VENT_Plan!$M436))</f>
        <v/>
      </c>
      <c r="L436" t="str">
        <f t="shared" si="10"/>
        <v/>
      </c>
      <c r="O436" s="51"/>
    </row>
    <row r="437" spans="10:15" ht="15" customHeight="1" x14ac:dyDescent="0.3">
      <c r="J437" t="str">
        <f>IF($A437="","",IF($I437&lt;&gt;"", $I437, VENT_Plan!$M437))</f>
        <v/>
      </c>
      <c r="L437" t="str">
        <f t="shared" si="10"/>
        <v/>
      </c>
      <c r="O437" s="51"/>
    </row>
    <row r="438" spans="10:15" ht="15" customHeight="1" x14ac:dyDescent="0.3">
      <c r="J438" t="str">
        <f>IF($A438="","",IF($I438&lt;&gt;"", $I438, VENT_Plan!$M438))</f>
        <v/>
      </c>
      <c r="L438" t="str">
        <f t="shared" si="10"/>
        <v/>
      </c>
      <c r="O438" s="51"/>
    </row>
    <row r="439" spans="10:15" ht="15" customHeight="1" x14ac:dyDescent="0.3">
      <c r="J439" t="str">
        <f>IF($A439="","",IF($I439&lt;&gt;"", $I439, VENT_Plan!$M439))</f>
        <v/>
      </c>
      <c r="L439" t="str">
        <f t="shared" si="10"/>
        <v/>
      </c>
      <c r="O439" s="51"/>
    </row>
    <row r="440" spans="10:15" ht="15" customHeight="1" x14ac:dyDescent="0.3">
      <c r="J440" t="str">
        <f>IF($A440="","",IF($I440&lt;&gt;"", $I440, VENT_Plan!$M440))</f>
        <v/>
      </c>
      <c r="L440" t="str">
        <f t="shared" si="10"/>
        <v/>
      </c>
      <c r="O440" s="51"/>
    </row>
    <row r="441" spans="10:15" ht="15" customHeight="1" x14ac:dyDescent="0.3">
      <c r="J441" t="str">
        <f>IF($A441="","",IF($I441&lt;&gt;"", $I441, VENT_Plan!$M441))</f>
        <v/>
      </c>
      <c r="L441" t="str">
        <f t="shared" si="10"/>
        <v/>
      </c>
      <c r="O441" s="51"/>
    </row>
    <row r="442" spans="10:15" ht="15" customHeight="1" x14ac:dyDescent="0.3">
      <c r="J442" t="str">
        <f>IF($A442="","",IF($I442&lt;&gt;"", $I442, VENT_Plan!$M442))</f>
        <v/>
      </c>
      <c r="L442" t="str">
        <f t="shared" si="10"/>
        <v/>
      </c>
      <c r="O442" s="51"/>
    </row>
    <row r="443" spans="10:15" ht="15" customHeight="1" x14ac:dyDescent="0.3">
      <c r="J443" t="str">
        <f>IF($A443="","",IF($I443&lt;&gt;"", $I443, VENT_Plan!$M443))</f>
        <v/>
      </c>
      <c r="L443" t="str">
        <f t="shared" si="10"/>
        <v/>
      </c>
      <c r="O443" s="51"/>
    </row>
    <row r="444" spans="10:15" ht="15" customHeight="1" x14ac:dyDescent="0.3">
      <c r="J444" t="str">
        <f>IF($A444="","",IF($I444&lt;&gt;"", $I444, VENT_Plan!$M444))</f>
        <v/>
      </c>
      <c r="L444" t="str">
        <f t="shared" si="10"/>
        <v/>
      </c>
      <c r="O444" s="51"/>
    </row>
    <row r="445" spans="10:15" ht="15" customHeight="1" x14ac:dyDescent="0.3">
      <c r="J445" t="str">
        <f>IF($A445="","",IF($I445&lt;&gt;"", $I445, VENT_Plan!$M445))</f>
        <v/>
      </c>
      <c r="L445" t="str">
        <f t="shared" si="10"/>
        <v/>
      </c>
      <c r="O445" s="51"/>
    </row>
    <row r="446" spans="10:15" ht="15" customHeight="1" x14ac:dyDescent="0.3">
      <c r="J446" t="str">
        <f>IF($A446="","",IF($I446&lt;&gt;"", $I446, VENT_Plan!$M446))</f>
        <v/>
      </c>
      <c r="L446" t="str">
        <f t="shared" si="10"/>
        <v/>
      </c>
      <c r="O446" s="51"/>
    </row>
    <row r="447" spans="10:15" ht="15" customHeight="1" x14ac:dyDescent="0.3">
      <c r="J447" t="str">
        <f>IF($A447="","",IF($I447&lt;&gt;"", $I447, VENT_Plan!$M447))</f>
        <v/>
      </c>
      <c r="L447" t="str">
        <f t="shared" si="10"/>
        <v/>
      </c>
      <c r="O447" s="51"/>
    </row>
    <row r="448" spans="10:15" ht="15" customHeight="1" x14ac:dyDescent="0.3">
      <c r="J448" t="str">
        <f>IF($A448="","",IF($I448&lt;&gt;"", $I448, VENT_Plan!$M448))</f>
        <v/>
      </c>
      <c r="L448" t="str">
        <f t="shared" si="10"/>
        <v/>
      </c>
      <c r="O448" s="51"/>
    </row>
    <row r="449" spans="10:15" ht="15" customHeight="1" x14ac:dyDescent="0.3">
      <c r="J449" t="str">
        <f>IF($A449="","",IF($I449&lt;&gt;"", $I449, VENT_Plan!$M449))</f>
        <v/>
      </c>
      <c r="L449" t="str">
        <f t="shared" si="10"/>
        <v/>
      </c>
      <c r="O449" s="51"/>
    </row>
    <row r="450" spans="10:15" ht="15" customHeight="1" x14ac:dyDescent="0.3">
      <c r="J450" t="str">
        <f>IF($A450="","",IF($I450&lt;&gt;"", $I450, VENT_Plan!$M450))</f>
        <v/>
      </c>
      <c r="L450" t="str">
        <f t="shared" si="10"/>
        <v/>
      </c>
      <c r="O450" s="51"/>
    </row>
    <row r="451" spans="10:15" ht="15" customHeight="1" x14ac:dyDescent="0.3">
      <c r="J451" t="str">
        <f>IF($A451="","",IF($I451&lt;&gt;"", $I451, VENT_Plan!$M451))</f>
        <v/>
      </c>
      <c r="L451" t="str">
        <f t="shared" si="10"/>
        <v/>
      </c>
      <c r="O451" s="51"/>
    </row>
    <row r="452" spans="10:15" ht="15" customHeight="1" x14ac:dyDescent="0.3">
      <c r="J452" t="str">
        <f>IF($A452="","",IF($I452&lt;&gt;"", $I452, VENT_Plan!$M452))</f>
        <v/>
      </c>
      <c r="L452" t="str">
        <f t="shared" ref="L452:L515" si="11">IF($A452="","",K452*D452)</f>
        <v/>
      </c>
      <c r="O452" s="51"/>
    </row>
    <row r="453" spans="10:15" ht="15" customHeight="1" x14ac:dyDescent="0.3">
      <c r="J453" t="str">
        <f>IF($A453="","",IF($I453&lt;&gt;"", $I453, VENT_Plan!$M453))</f>
        <v/>
      </c>
      <c r="L453" t="str">
        <f t="shared" si="11"/>
        <v/>
      </c>
      <c r="O453" s="51"/>
    </row>
    <row r="454" spans="10:15" ht="15" customHeight="1" x14ac:dyDescent="0.3">
      <c r="J454" t="str">
        <f>IF($A454="","",IF($I454&lt;&gt;"", $I454, VENT_Plan!$M454))</f>
        <v/>
      </c>
      <c r="L454" t="str">
        <f t="shared" si="11"/>
        <v/>
      </c>
      <c r="O454" s="51"/>
    </row>
    <row r="455" spans="10:15" ht="15" customHeight="1" x14ac:dyDescent="0.3">
      <c r="J455" t="str">
        <f>IF($A455="","",IF($I455&lt;&gt;"", $I455, VENT_Plan!$M455))</f>
        <v/>
      </c>
      <c r="L455" t="str">
        <f t="shared" si="11"/>
        <v/>
      </c>
      <c r="O455" s="51"/>
    </row>
    <row r="456" spans="10:15" ht="15" customHeight="1" x14ac:dyDescent="0.3">
      <c r="J456" t="str">
        <f>IF($A456="","",IF($I456&lt;&gt;"", $I456, VENT_Plan!$M456))</f>
        <v/>
      </c>
      <c r="L456" t="str">
        <f t="shared" si="11"/>
        <v/>
      </c>
      <c r="O456" s="51"/>
    </row>
    <row r="457" spans="10:15" ht="15" customHeight="1" x14ac:dyDescent="0.3">
      <c r="J457" t="str">
        <f>IF($A457="","",IF($I457&lt;&gt;"", $I457, VENT_Plan!$M457))</f>
        <v/>
      </c>
      <c r="L457" t="str">
        <f t="shared" si="11"/>
        <v/>
      </c>
      <c r="O457" s="51"/>
    </row>
    <row r="458" spans="10:15" ht="15" customHeight="1" x14ac:dyDescent="0.3">
      <c r="J458" t="str">
        <f>IF($A458="","",IF($I458&lt;&gt;"", $I458, VENT_Plan!$M458))</f>
        <v/>
      </c>
      <c r="L458" t="str">
        <f t="shared" si="11"/>
        <v/>
      </c>
      <c r="O458" s="51"/>
    </row>
    <row r="459" spans="10:15" ht="15" customHeight="1" x14ac:dyDescent="0.3">
      <c r="J459" t="str">
        <f>IF($A459="","",IF($I459&lt;&gt;"", $I459, VENT_Plan!$M459))</f>
        <v/>
      </c>
      <c r="L459" t="str">
        <f t="shared" si="11"/>
        <v/>
      </c>
      <c r="O459" s="51"/>
    </row>
    <row r="460" spans="10:15" ht="15" customHeight="1" x14ac:dyDescent="0.3">
      <c r="J460" t="str">
        <f>IF($A460="","",IF($I460&lt;&gt;"", $I460, VENT_Plan!$M460))</f>
        <v/>
      </c>
      <c r="L460" t="str">
        <f t="shared" si="11"/>
        <v/>
      </c>
      <c r="O460" s="51"/>
    </row>
    <row r="461" spans="10:15" ht="15" customHeight="1" x14ac:dyDescent="0.3">
      <c r="J461" t="str">
        <f>IF($A461="","",IF($I461&lt;&gt;"", $I461, VENT_Plan!$M461))</f>
        <v/>
      </c>
      <c r="L461" t="str">
        <f t="shared" si="11"/>
        <v/>
      </c>
      <c r="O461" s="51"/>
    </row>
    <row r="462" spans="10:15" ht="15" customHeight="1" x14ac:dyDescent="0.3">
      <c r="J462" t="str">
        <f>IF($A462="","",IF($I462&lt;&gt;"", $I462, VENT_Plan!$M462))</f>
        <v/>
      </c>
      <c r="L462" t="str">
        <f t="shared" si="11"/>
        <v/>
      </c>
      <c r="O462" s="51"/>
    </row>
    <row r="463" spans="10:15" ht="15" customHeight="1" x14ac:dyDescent="0.3">
      <c r="J463" t="str">
        <f>IF($A463="","",IF($I463&lt;&gt;"", $I463, VENT_Plan!$M463))</f>
        <v/>
      </c>
      <c r="L463" t="str">
        <f t="shared" si="11"/>
        <v/>
      </c>
      <c r="O463" s="51"/>
    </row>
    <row r="464" spans="10:15" ht="15" customHeight="1" x14ac:dyDescent="0.3">
      <c r="J464" t="str">
        <f>IF($A464="","",IF($I464&lt;&gt;"", $I464, VENT_Plan!$M464))</f>
        <v/>
      </c>
      <c r="L464" t="str">
        <f t="shared" si="11"/>
        <v/>
      </c>
      <c r="O464" s="51"/>
    </row>
    <row r="465" spans="10:15" ht="15" customHeight="1" x14ac:dyDescent="0.3">
      <c r="J465" t="str">
        <f>IF($A465="","",IF($I465&lt;&gt;"", $I465, VENT_Plan!$M465))</f>
        <v/>
      </c>
      <c r="L465" t="str">
        <f t="shared" si="11"/>
        <v/>
      </c>
      <c r="O465" s="51"/>
    </row>
    <row r="466" spans="10:15" ht="15" customHeight="1" x14ac:dyDescent="0.3">
      <c r="J466" t="str">
        <f>IF($A466="","",IF($I466&lt;&gt;"", $I466, VENT_Plan!$M466))</f>
        <v/>
      </c>
      <c r="L466" t="str">
        <f t="shared" si="11"/>
        <v/>
      </c>
      <c r="O466" s="51"/>
    </row>
    <row r="467" spans="10:15" ht="15" customHeight="1" x14ac:dyDescent="0.3">
      <c r="J467" t="str">
        <f>IF($A467="","",IF($I467&lt;&gt;"", $I467, VENT_Plan!$M467))</f>
        <v/>
      </c>
      <c r="L467" t="str">
        <f t="shared" si="11"/>
        <v/>
      </c>
      <c r="O467" s="51"/>
    </row>
    <row r="468" spans="10:15" ht="15" customHeight="1" x14ac:dyDescent="0.3">
      <c r="J468" t="str">
        <f>IF($A468="","",IF($I468&lt;&gt;"", $I468, VENT_Plan!$M468))</f>
        <v/>
      </c>
      <c r="L468" t="str">
        <f t="shared" si="11"/>
        <v/>
      </c>
      <c r="O468" s="51"/>
    </row>
    <row r="469" spans="10:15" ht="15" customHeight="1" x14ac:dyDescent="0.3">
      <c r="J469" t="str">
        <f>IF($A469="","",IF($I469&lt;&gt;"", $I469, VENT_Plan!$M469))</f>
        <v/>
      </c>
      <c r="L469" t="str">
        <f t="shared" si="11"/>
        <v/>
      </c>
      <c r="O469" s="51"/>
    </row>
    <row r="470" spans="10:15" ht="15" customHeight="1" x14ac:dyDescent="0.3">
      <c r="J470" t="str">
        <f>IF($A470="","",IF($I470&lt;&gt;"", $I470, VENT_Plan!$M470))</f>
        <v/>
      </c>
      <c r="L470" t="str">
        <f t="shared" si="11"/>
        <v/>
      </c>
      <c r="O470" s="51"/>
    </row>
    <row r="471" spans="10:15" ht="15" customHeight="1" x14ac:dyDescent="0.3">
      <c r="J471" t="str">
        <f>IF($A471="","",IF($I471&lt;&gt;"", $I471, VENT_Plan!$M471))</f>
        <v/>
      </c>
      <c r="L471" t="str">
        <f t="shared" si="11"/>
        <v/>
      </c>
      <c r="O471" s="51"/>
    </row>
    <row r="472" spans="10:15" ht="15" customHeight="1" x14ac:dyDescent="0.3">
      <c r="J472" t="str">
        <f>IF($A472="","",IF($I472&lt;&gt;"", $I472, VENT_Plan!$M472))</f>
        <v/>
      </c>
      <c r="L472" t="str">
        <f t="shared" si="11"/>
        <v/>
      </c>
      <c r="O472" s="51"/>
    </row>
    <row r="473" spans="10:15" ht="15" customHeight="1" x14ac:dyDescent="0.3">
      <c r="J473" t="str">
        <f>IF($A473="","",IF($I473&lt;&gt;"", $I473, VENT_Plan!$M473))</f>
        <v/>
      </c>
      <c r="L473" t="str">
        <f t="shared" si="11"/>
        <v/>
      </c>
      <c r="O473" s="51"/>
    </row>
    <row r="474" spans="10:15" ht="15" customHeight="1" x14ac:dyDescent="0.3">
      <c r="J474" t="str">
        <f>IF($A474="","",IF($I474&lt;&gt;"", $I474, VENT_Plan!$M474))</f>
        <v/>
      </c>
      <c r="L474" t="str">
        <f t="shared" si="11"/>
        <v/>
      </c>
      <c r="O474" s="51"/>
    </row>
    <row r="475" spans="10:15" ht="15" customHeight="1" x14ac:dyDescent="0.3">
      <c r="J475" t="str">
        <f>IF($A475="","",IF($I475&lt;&gt;"", $I475, VENT_Plan!$M475))</f>
        <v/>
      </c>
      <c r="L475" t="str">
        <f t="shared" si="11"/>
        <v/>
      </c>
      <c r="O475" s="51"/>
    </row>
    <row r="476" spans="10:15" ht="15" customHeight="1" x14ac:dyDescent="0.3">
      <c r="J476" t="str">
        <f>IF($A476="","",IF($I476&lt;&gt;"", $I476, VENT_Plan!$M476))</f>
        <v/>
      </c>
      <c r="L476" t="str">
        <f t="shared" si="11"/>
        <v/>
      </c>
      <c r="O476" s="51"/>
    </row>
    <row r="477" spans="10:15" ht="15" customHeight="1" x14ac:dyDescent="0.3">
      <c r="J477" t="str">
        <f>IF($A477="","",IF($I477&lt;&gt;"", $I477, VENT_Plan!$M477))</f>
        <v/>
      </c>
      <c r="L477" t="str">
        <f t="shared" si="11"/>
        <v/>
      </c>
      <c r="O477" s="51"/>
    </row>
    <row r="478" spans="10:15" ht="15" customHeight="1" x14ac:dyDescent="0.3">
      <c r="J478" t="str">
        <f>IF($A478="","",IF($I478&lt;&gt;"", $I478, VENT_Plan!$M478))</f>
        <v/>
      </c>
      <c r="L478" t="str">
        <f t="shared" si="11"/>
        <v/>
      </c>
      <c r="O478" s="51"/>
    </row>
    <row r="479" spans="10:15" ht="15" customHeight="1" x14ac:dyDescent="0.3">
      <c r="J479" t="str">
        <f>IF($A479="","",IF($I479&lt;&gt;"", $I479, VENT_Plan!$M479))</f>
        <v/>
      </c>
      <c r="L479" t="str">
        <f t="shared" si="11"/>
        <v/>
      </c>
      <c r="O479" s="51"/>
    </row>
    <row r="480" spans="10:15" ht="15" customHeight="1" x14ac:dyDescent="0.3">
      <c r="J480" t="str">
        <f>IF($A480="","",IF($I480&lt;&gt;"", $I480, VENT_Plan!$M480))</f>
        <v/>
      </c>
      <c r="L480" t="str">
        <f t="shared" si="11"/>
        <v/>
      </c>
      <c r="O480" s="51"/>
    </row>
    <row r="481" spans="10:15" ht="15" customHeight="1" x14ac:dyDescent="0.3">
      <c r="J481" t="str">
        <f>IF($A481="","",IF($I481&lt;&gt;"", $I481, VENT_Plan!$M481))</f>
        <v/>
      </c>
      <c r="L481" t="str">
        <f t="shared" si="11"/>
        <v/>
      </c>
      <c r="O481" s="51"/>
    </row>
    <row r="482" spans="10:15" ht="15" customHeight="1" x14ac:dyDescent="0.3">
      <c r="J482" t="str">
        <f>IF($A482="","",IF($I482&lt;&gt;"", $I482, VENT_Plan!$M482))</f>
        <v/>
      </c>
      <c r="L482" t="str">
        <f t="shared" si="11"/>
        <v/>
      </c>
      <c r="O482" s="51"/>
    </row>
    <row r="483" spans="10:15" ht="15" customHeight="1" x14ac:dyDescent="0.3">
      <c r="J483" t="str">
        <f>IF($A483="","",IF($I483&lt;&gt;"", $I483, VENT_Plan!$M483))</f>
        <v/>
      </c>
      <c r="L483" t="str">
        <f t="shared" si="11"/>
        <v/>
      </c>
      <c r="O483" s="51"/>
    </row>
    <row r="484" spans="10:15" ht="15" customHeight="1" x14ac:dyDescent="0.3">
      <c r="J484" t="str">
        <f>IF($A484="","",IF($I484&lt;&gt;"", $I484, VENT_Plan!$M484))</f>
        <v/>
      </c>
      <c r="L484" t="str">
        <f t="shared" si="11"/>
        <v/>
      </c>
      <c r="O484" s="51"/>
    </row>
    <row r="485" spans="10:15" ht="15" customHeight="1" x14ac:dyDescent="0.3">
      <c r="J485" t="str">
        <f>IF($A485="","",IF($I485&lt;&gt;"", $I485, VENT_Plan!$M485))</f>
        <v/>
      </c>
      <c r="L485" t="str">
        <f t="shared" si="11"/>
        <v/>
      </c>
      <c r="O485" s="51"/>
    </row>
    <row r="486" spans="10:15" ht="15" customHeight="1" x14ac:dyDescent="0.3">
      <c r="J486" t="str">
        <f>IF($A486="","",IF($I486&lt;&gt;"", $I486, VENT_Plan!$M486))</f>
        <v/>
      </c>
      <c r="L486" t="str">
        <f t="shared" si="11"/>
        <v/>
      </c>
      <c r="O486" s="51"/>
    </row>
    <row r="487" spans="10:15" ht="15" customHeight="1" x14ac:dyDescent="0.3">
      <c r="J487" t="str">
        <f>IF($A487="","",IF($I487&lt;&gt;"", $I487, VENT_Plan!$M487))</f>
        <v/>
      </c>
      <c r="L487" t="str">
        <f t="shared" si="11"/>
        <v/>
      </c>
      <c r="O487" s="51"/>
    </row>
    <row r="488" spans="10:15" ht="15" customHeight="1" x14ac:dyDescent="0.3">
      <c r="J488" t="str">
        <f>IF($A488="","",IF($I488&lt;&gt;"", $I488, VENT_Plan!$M488))</f>
        <v/>
      </c>
      <c r="L488" t="str">
        <f t="shared" si="11"/>
        <v/>
      </c>
      <c r="O488" s="51"/>
    </row>
    <row r="489" spans="10:15" ht="15" customHeight="1" x14ac:dyDescent="0.3">
      <c r="J489" t="str">
        <f>IF($A489="","",IF($I489&lt;&gt;"", $I489, VENT_Plan!$M489))</f>
        <v/>
      </c>
      <c r="L489" t="str">
        <f t="shared" si="11"/>
        <v/>
      </c>
      <c r="O489" s="51"/>
    </row>
    <row r="490" spans="10:15" ht="15" customHeight="1" x14ac:dyDescent="0.3">
      <c r="J490" t="str">
        <f>IF($A490="","",IF($I490&lt;&gt;"", $I490, VENT_Plan!$M490))</f>
        <v/>
      </c>
      <c r="L490" t="str">
        <f t="shared" si="11"/>
        <v/>
      </c>
      <c r="O490" s="51"/>
    </row>
    <row r="491" spans="10:15" ht="15" customHeight="1" x14ac:dyDescent="0.3">
      <c r="J491" t="str">
        <f>IF($A491="","",IF($I491&lt;&gt;"", $I491, VENT_Plan!$M491))</f>
        <v/>
      </c>
      <c r="L491" t="str">
        <f t="shared" si="11"/>
        <v/>
      </c>
      <c r="O491" s="51"/>
    </row>
    <row r="492" spans="10:15" ht="15" customHeight="1" x14ac:dyDescent="0.3">
      <c r="J492" t="str">
        <f>IF($A492="","",IF($I492&lt;&gt;"", $I492, VENT_Plan!$M492))</f>
        <v/>
      </c>
      <c r="L492" t="str">
        <f t="shared" si="11"/>
        <v/>
      </c>
      <c r="O492" s="51"/>
    </row>
    <row r="493" spans="10:15" ht="15" customHeight="1" x14ac:dyDescent="0.3">
      <c r="J493" t="str">
        <f>IF($A493="","",IF($I493&lt;&gt;"", $I493, VENT_Plan!$M493))</f>
        <v/>
      </c>
      <c r="L493" t="str">
        <f t="shared" si="11"/>
        <v/>
      </c>
      <c r="O493" s="51"/>
    </row>
    <row r="494" spans="10:15" ht="15" customHeight="1" x14ac:dyDescent="0.3">
      <c r="J494" t="str">
        <f>IF($A494="","",IF($I494&lt;&gt;"", $I494, VENT_Plan!$M494))</f>
        <v/>
      </c>
      <c r="L494" t="str">
        <f t="shared" si="11"/>
        <v/>
      </c>
      <c r="O494" s="51"/>
    </row>
    <row r="495" spans="10:15" ht="15" customHeight="1" x14ac:dyDescent="0.3">
      <c r="J495" t="str">
        <f>IF($A495="","",IF($I495&lt;&gt;"", $I495, VENT_Plan!$M495))</f>
        <v/>
      </c>
      <c r="L495" t="str">
        <f t="shared" si="11"/>
        <v/>
      </c>
      <c r="O495" s="51"/>
    </row>
    <row r="496" spans="10:15" ht="15" customHeight="1" x14ac:dyDescent="0.3">
      <c r="J496" t="str">
        <f>IF($A496="","",IF($I496&lt;&gt;"", $I496, VENT_Plan!$M496))</f>
        <v/>
      </c>
      <c r="L496" t="str">
        <f t="shared" si="11"/>
        <v/>
      </c>
      <c r="O496" s="51"/>
    </row>
    <row r="497" spans="5:15" ht="15" customHeight="1" x14ac:dyDescent="0.3">
      <c r="J497" t="str">
        <f>IF($A497="","",IF($I497&lt;&gt;"", $I497, VENT_Plan!$M497))</f>
        <v/>
      </c>
      <c r="L497" t="str">
        <f t="shared" si="11"/>
        <v/>
      </c>
      <c r="O497" s="51"/>
    </row>
    <row r="498" spans="5:15" ht="15" customHeight="1" x14ac:dyDescent="0.3">
      <c r="J498" t="str">
        <f>IF($A498="","",IF($I498&lt;&gt;"", $I498, VENT_Plan!$M498))</f>
        <v/>
      </c>
      <c r="L498" t="str">
        <f t="shared" si="11"/>
        <v/>
      </c>
      <c r="O498" s="51"/>
    </row>
    <row r="499" spans="5:15" ht="15" customHeight="1" x14ac:dyDescent="0.3">
      <c r="J499" t="str">
        <f>IF($A499="","",IF($I499&lt;&gt;"", $I499, VENT_Plan!$M499))</f>
        <v/>
      </c>
      <c r="L499" t="str">
        <f t="shared" si="11"/>
        <v/>
      </c>
      <c r="O499" s="51"/>
    </row>
    <row r="500" spans="5:15" ht="15" customHeight="1" x14ac:dyDescent="0.3">
      <c r="J500" t="str">
        <f>IF($A500="","",IF($I500&lt;&gt;"", $I500, VENT_Plan!$M500))</f>
        <v/>
      </c>
      <c r="L500" t="str">
        <f t="shared" si="11"/>
        <v/>
      </c>
      <c r="O500" s="51"/>
    </row>
    <row r="501" spans="5:15" ht="15" customHeight="1" x14ac:dyDescent="0.3">
      <c r="E501" t="str">
        <f>IF($A501="","", IFERROR(INDEX(Machine_List!$B$72:$B$81, MATCH("*"&amp;$B501&amp;"*", Machine_List!$J$72:$J$81, 0)), "No FID Match"))</f>
        <v/>
      </c>
    </row>
    <row r="502" spans="5:15" ht="15" customHeight="1" x14ac:dyDescent="0.3">
      <c r="E502" t="str">
        <f>IF($A502="","", IFERROR(INDEX(Machine_List!$B$72:$B$81, MATCH("*"&amp;$B502&amp;"*", Machine_List!$J$72:$J$81, 0)), "No FID Match"))</f>
        <v/>
      </c>
    </row>
    <row r="503" spans="5:15" ht="15" customHeight="1" x14ac:dyDescent="0.3">
      <c r="E503" t="str">
        <f>IF($A503="","", IFERROR(INDEX(Machine_List!$B$72:$B$81, MATCH("*"&amp;$B503&amp;"*", Machine_List!$J$72:$J$81, 0)), "No FID Match"))</f>
        <v/>
      </c>
    </row>
    <row r="504" spans="5:15" ht="15" customHeight="1" x14ac:dyDescent="0.3">
      <c r="E504" t="str">
        <f>IF($A504="","", IFERROR(INDEX(Machine_List!$B$72:$B$81, MATCH("*"&amp;$B504&amp;"*", Machine_List!$J$72:$J$81, 0)), "No FID Match"))</f>
        <v/>
      </c>
    </row>
    <row r="505" spans="5:15" ht="15" customHeight="1" x14ac:dyDescent="0.3">
      <c r="E505" t="str">
        <f>IF($A505="","", IFERROR(INDEX(Machine_List!$B$72:$B$81, MATCH("*"&amp;$B505&amp;"*", Machine_List!$J$72:$J$81, 0)), "No FID Match"))</f>
        <v/>
      </c>
    </row>
    <row r="506" spans="5:15" ht="15" customHeight="1" x14ac:dyDescent="0.3">
      <c r="E506" t="str">
        <f>IF($A506="","", IFERROR(INDEX(Machine_List!$B$72:$B$81, MATCH("*"&amp;$B506&amp;"*", Machine_List!$J$72:$J$81, 0)), "No FID Match"))</f>
        <v/>
      </c>
    </row>
    <row r="507" spans="5:15" ht="15" customHeight="1" x14ac:dyDescent="0.3">
      <c r="E507" t="str">
        <f>IF($A507="","", IFERROR(INDEX(Machine_List!$B$72:$B$81, MATCH("*"&amp;$B507&amp;"*", Machine_List!$J$72:$J$81, 0)), "No FID Match"))</f>
        <v/>
      </c>
    </row>
    <row r="508" spans="5:15" ht="15" customHeight="1" x14ac:dyDescent="0.3">
      <c r="E508" t="str">
        <f>IF($A508="","", IFERROR(INDEX(Machine_List!$B$72:$B$81, MATCH("*"&amp;$B508&amp;"*", Machine_List!$J$72:$J$81, 0)), "No FID Match"))</f>
        <v/>
      </c>
    </row>
    <row r="509" spans="5:15" ht="15" customHeight="1" x14ac:dyDescent="0.3">
      <c r="E509" t="str">
        <f>IF($A509="","", IFERROR(INDEX(Machine_List!$B$72:$B$81, MATCH("*"&amp;$B509&amp;"*", Machine_List!$J$72:$J$81, 0)), "No FID Match"))</f>
        <v/>
      </c>
    </row>
    <row r="510" spans="5:15" ht="15" customHeight="1" x14ac:dyDescent="0.3">
      <c r="E510" t="str">
        <f>IF($A510="","", IFERROR(INDEX(Machine_List!$B$72:$B$81, MATCH("*"&amp;$B510&amp;"*", Machine_List!$J$72:$J$81, 0)), "No FID Match"))</f>
        <v/>
      </c>
    </row>
    <row r="511" spans="5:15" ht="15" customHeight="1" x14ac:dyDescent="0.3">
      <c r="E511" t="str">
        <f>IF($A511="","", IFERROR(INDEX(Machine_List!$B$72:$B$81, MATCH("*"&amp;$B511&amp;"*", Machine_List!$J$72:$J$81, 0)), "No FID Match"))</f>
        <v/>
      </c>
    </row>
    <row r="512" spans="5:15" ht="15" customHeight="1" x14ac:dyDescent="0.3">
      <c r="E512" t="str">
        <f>IF($A512="","", IFERROR(INDEX(Machine_List!$B$72:$B$81, MATCH("*"&amp;$B512&amp;"*", Machine_List!$J$72:$J$81, 0)), "No FID Match"))</f>
        <v/>
      </c>
    </row>
    <row r="513" spans="5:5" ht="15" customHeight="1" x14ac:dyDescent="0.3">
      <c r="E513" t="str">
        <f>IF($A513="","", IFERROR(INDEX(Machine_List!$B$72:$B$81, MATCH("*"&amp;$B513&amp;"*", Machine_List!$J$72:$J$81, 0)), "No FID Match"))</f>
        <v/>
      </c>
    </row>
    <row r="514" spans="5:5" ht="15" customHeight="1" x14ac:dyDescent="0.3">
      <c r="E514" t="str">
        <f>IF($A514="","", IFERROR(INDEX(Machine_List!$B$72:$B$81, MATCH("*"&amp;$B514&amp;"*", Machine_List!$J$72:$J$81, 0)), "No FID Match"))</f>
        <v/>
      </c>
    </row>
    <row r="515" spans="5:5" ht="15" customHeight="1" x14ac:dyDescent="0.3">
      <c r="E515" t="str">
        <f>IF($A515="","", IFERROR(INDEX(Machine_List!$B$72:$B$81, MATCH("*"&amp;$B515&amp;"*", Machine_List!$J$72:$J$81, 0)), "No FID Match"))</f>
        <v/>
      </c>
    </row>
    <row r="516" spans="5:5" ht="15" customHeight="1" x14ac:dyDescent="0.3">
      <c r="E516" t="str">
        <f>IF($A516="","", IFERROR(INDEX(Machine_List!$B$72:$B$81, MATCH("*"&amp;$B516&amp;"*", Machine_List!$J$72:$J$81, 0)), "No FID Match"))</f>
        <v/>
      </c>
    </row>
    <row r="517" spans="5:5" ht="15" customHeight="1" x14ac:dyDescent="0.3">
      <c r="E517" t="str">
        <f>IF($A517="","", IFERROR(INDEX(Machine_List!$B$72:$B$81, MATCH("*"&amp;$B517&amp;"*", Machine_List!$J$72:$J$81, 0)), "No FID Match"))</f>
        <v/>
      </c>
    </row>
    <row r="518" spans="5:5" ht="15" customHeight="1" x14ac:dyDescent="0.3">
      <c r="E518" t="str">
        <f>IF($A518="","", IFERROR(INDEX(Machine_List!$B$72:$B$81, MATCH("*"&amp;$B518&amp;"*", Machine_List!$J$72:$J$81, 0)), "No FID Match"))</f>
        <v/>
      </c>
    </row>
    <row r="519" spans="5:5" ht="15" customHeight="1" x14ac:dyDescent="0.3">
      <c r="E519" t="str">
        <f>IF($A519="","", IFERROR(INDEX(Machine_List!$B$72:$B$81, MATCH("*"&amp;$B519&amp;"*", Machine_List!$J$72:$J$81, 0)), "No FID Match"))</f>
        <v/>
      </c>
    </row>
    <row r="520" spans="5:5" ht="15" customHeight="1" x14ac:dyDescent="0.3">
      <c r="E520" t="str">
        <f>IF($A520="","", IFERROR(INDEX(Machine_List!$B$72:$B$81, MATCH("*"&amp;$B520&amp;"*", Machine_List!$J$72:$J$81, 0)), "No FID Match"))</f>
        <v/>
      </c>
    </row>
    <row r="521" spans="5:5" ht="15" customHeight="1" x14ac:dyDescent="0.3">
      <c r="E521" t="str">
        <f>IF($A521="","", IFERROR(INDEX(Machine_List!$B$72:$B$81, MATCH("*"&amp;$B521&amp;"*", Machine_List!$J$72:$J$81, 0)), "No FID Match"))</f>
        <v/>
      </c>
    </row>
    <row r="522" spans="5:5" ht="15" customHeight="1" x14ac:dyDescent="0.3">
      <c r="E522" t="str">
        <f>IF($A522="","", IFERROR(INDEX(Machine_List!$B$72:$B$81, MATCH("*"&amp;$B522&amp;"*", Machine_List!$J$72:$J$81, 0)), "No FID Match"))</f>
        <v/>
      </c>
    </row>
    <row r="523" spans="5:5" ht="15" customHeight="1" x14ac:dyDescent="0.3">
      <c r="E523" t="str">
        <f>IF($A523="","", IFERROR(INDEX(Machine_List!$B$72:$B$81, MATCH("*"&amp;$B523&amp;"*", Machine_List!$J$72:$J$81, 0)), "No FID Match"))</f>
        <v/>
      </c>
    </row>
    <row r="524" spans="5:5" ht="15" customHeight="1" x14ac:dyDescent="0.3">
      <c r="E524" t="str">
        <f>IF($A524="","", IFERROR(INDEX(Machine_List!$B$72:$B$81, MATCH("*"&amp;$B524&amp;"*", Machine_List!$J$72:$J$81, 0)), "No FID Match"))</f>
        <v/>
      </c>
    </row>
    <row r="525" spans="5:5" ht="15" customHeight="1" x14ac:dyDescent="0.3">
      <c r="E525" t="str">
        <f>IF($A525="","", IFERROR(INDEX(Machine_List!$B$72:$B$81, MATCH("*"&amp;$B525&amp;"*", Machine_List!$J$72:$J$81, 0)), "No FID Match"))</f>
        <v/>
      </c>
    </row>
    <row r="526" spans="5:5" ht="15" customHeight="1" x14ac:dyDescent="0.3">
      <c r="E526" t="str">
        <f>IF($A526="","", IFERROR(INDEX(Machine_List!$B$72:$B$81, MATCH("*"&amp;$B526&amp;"*", Machine_List!$J$72:$J$81, 0)), "No FID Match"))</f>
        <v/>
      </c>
    </row>
    <row r="527" spans="5:5" ht="15" customHeight="1" x14ac:dyDescent="0.3">
      <c r="E527" t="str">
        <f>IF($A527="","", IFERROR(INDEX(Machine_List!$B$72:$B$81, MATCH("*"&amp;$B527&amp;"*", Machine_List!$J$72:$J$81, 0)), "No FID Match"))</f>
        <v/>
      </c>
    </row>
    <row r="528" spans="5:5" ht="15" customHeight="1" x14ac:dyDescent="0.3">
      <c r="E528" t="str">
        <f>IF($A528="","", IFERROR(INDEX(Machine_List!$B$72:$B$81, MATCH("*"&amp;$B528&amp;"*", Machine_List!$J$72:$J$81, 0)), "No FID Match"))</f>
        <v/>
      </c>
    </row>
    <row r="529" spans="5:5" ht="15" customHeight="1" x14ac:dyDescent="0.3">
      <c r="E529" t="str">
        <f>IF($A529="","", IFERROR(INDEX(Machine_List!$B$72:$B$81, MATCH("*"&amp;$B529&amp;"*", Machine_List!$J$72:$J$81, 0)), "No FID Match"))</f>
        <v/>
      </c>
    </row>
    <row r="530" spans="5:5" ht="15" customHeight="1" x14ac:dyDescent="0.3">
      <c r="E530" t="str">
        <f>IF($A530="","", IFERROR(INDEX(Machine_List!$B$72:$B$81, MATCH("*"&amp;$B530&amp;"*", Machine_List!$J$72:$J$81, 0)), "No FID Match"))</f>
        <v/>
      </c>
    </row>
    <row r="531" spans="5:5" ht="15" customHeight="1" x14ac:dyDescent="0.3">
      <c r="E531" t="str">
        <f>IF($A531="","", IFERROR(INDEX(Machine_List!$B$72:$B$81, MATCH("*"&amp;$B531&amp;"*", Machine_List!$J$72:$J$81, 0)), "No FID Match"))</f>
        <v/>
      </c>
    </row>
    <row r="532" spans="5:5" ht="15" customHeight="1" x14ac:dyDescent="0.3">
      <c r="E532" t="str">
        <f>IF($A532="","", IFERROR(INDEX(Machine_List!$B$72:$B$81, MATCH("*"&amp;$B532&amp;"*", Machine_List!$J$72:$J$81, 0)), "No FID Match"))</f>
        <v/>
      </c>
    </row>
    <row r="533" spans="5:5" ht="15" customHeight="1" x14ac:dyDescent="0.3">
      <c r="E533" t="str">
        <f>IF($A533="","", IFERROR(INDEX(Machine_List!$B$72:$B$81, MATCH("*"&amp;$B533&amp;"*", Machine_List!$J$72:$J$81, 0)), "No FID Match"))</f>
        <v/>
      </c>
    </row>
    <row r="534" spans="5:5" ht="15" customHeight="1" x14ac:dyDescent="0.3">
      <c r="E534" t="str">
        <f>IF($A534="","", IFERROR(INDEX(Machine_List!$B$72:$B$81, MATCH("*"&amp;$B534&amp;"*", Machine_List!$J$72:$J$81, 0)), "No FID Match"))</f>
        <v/>
      </c>
    </row>
    <row r="535" spans="5:5" ht="15" customHeight="1" x14ac:dyDescent="0.3">
      <c r="E535" t="str">
        <f>IF($A535="","", IFERROR(INDEX(Machine_List!$B$72:$B$81, MATCH("*"&amp;$B535&amp;"*", Machine_List!$J$72:$J$81, 0)), "No FID Match"))</f>
        <v/>
      </c>
    </row>
    <row r="536" spans="5:5" ht="15" customHeight="1" x14ac:dyDescent="0.3">
      <c r="E536" t="str">
        <f>IF($A536="","", IFERROR(INDEX(Machine_List!$B$72:$B$81, MATCH("*"&amp;$B536&amp;"*", Machine_List!$J$72:$J$81, 0)), "No FID Match"))</f>
        <v/>
      </c>
    </row>
    <row r="537" spans="5:5" ht="15" customHeight="1" x14ac:dyDescent="0.3">
      <c r="E537" t="str">
        <f>IF($A537="","", IFERROR(INDEX(Machine_List!$B$72:$B$81, MATCH("*"&amp;$B537&amp;"*", Machine_List!$J$72:$J$81, 0)), "No FID Match"))</f>
        <v/>
      </c>
    </row>
    <row r="538" spans="5:5" ht="15" customHeight="1" x14ac:dyDescent="0.3">
      <c r="E538" t="str">
        <f>IF($A538="","", IFERROR(INDEX(Machine_List!$B$72:$B$81, MATCH("*"&amp;$B538&amp;"*", Machine_List!$J$72:$J$81, 0)), "No FID Match"))</f>
        <v/>
      </c>
    </row>
    <row r="539" spans="5:5" ht="15" customHeight="1" x14ac:dyDescent="0.3">
      <c r="E539" t="str">
        <f>IF($A539="","", IFERROR(INDEX(Machine_List!$B$72:$B$81, MATCH("*"&amp;$B539&amp;"*", Machine_List!$J$72:$J$81, 0)), "No FID Match"))</f>
        <v/>
      </c>
    </row>
    <row r="540" spans="5:5" ht="15" customHeight="1" x14ac:dyDescent="0.3">
      <c r="E540" t="str">
        <f>IF($A540="","", IFERROR(INDEX(Machine_List!$B$72:$B$81, MATCH("*"&amp;$B540&amp;"*", Machine_List!$J$72:$J$81, 0)), "No FID Match"))</f>
        <v/>
      </c>
    </row>
    <row r="541" spans="5:5" ht="15" customHeight="1" x14ac:dyDescent="0.3">
      <c r="E541" t="str">
        <f>IF($A541="","", IFERROR(INDEX(Machine_List!$B$72:$B$81, MATCH("*"&amp;$B541&amp;"*", Machine_List!$J$72:$J$81, 0)), "No FID Match"))</f>
        <v/>
      </c>
    </row>
    <row r="542" spans="5:5" ht="15" customHeight="1" x14ac:dyDescent="0.3">
      <c r="E542" t="str">
        <f>IF($A542="","", IFERROR(INDEX(Machine_List!$B$72:$B$81, MATCH("*"&amp;$B542&amp;"*", Machine_List!$J$72:$J$81, 0)), "No FID Match"))</f>
        <v/>
      </c>
    </row>
    <row r="543" spans="5:5" ht="15" customHeight="1" x14ac:dyDescent="0.3">
      <c r="E543" t="str">
        <f>IF($A543="","", IFERROR(INDEX(Machine_List!$B$72:$B$81, MATCH("*"&amp;$B543&amp;"*", Machine_List!$J$72:$J$81, 0)), "No FID Match"))</f>
        <v/>
      </c>
    </row>
    <row r="544" spans="5:5" ht="15" customHeight="1" x14ac:dyDescent="0.3">
      <c r="E544" t="str">
        <f>IF($A544="","", IFERROR(INDEX(Machine_List!$B$72:$B$81, MATCH("*"&amp;$B544&amp;"*", Machine_List!$J$72:$J$81, 0)), "No FID Match"))</f>
        <v/>
      </c>
    </row>
    <row r="545" spans="5:5" ht="15" customHeight="1" x14ac:dyDescent="0.3">
      <c r="E545" t="str">
        <f>IF($A545="","", IFERROR(INDEX(Machine_List!$B$72:$B$81, MATCH("*"&amp;$B545&amp;"*", Machine_List!$J$72:$J$81, 0)), "No FID Match"))</f>
        <v/>
      </c>
    </row>
    <row r="546" spans="5:5" ht="15" customHeight="1" x14ac:dyDescent="0.3">
      <c r="E546" t="str">
        <f>IF($A546="","", IFERROR(INDEX(Machine_List!$B$72:$B$81, MATCH("*"&amp;$B546&amp;"*", Machine_List!$J$72:$J$81, 0)), "No FID Match"))</f>
        <v/>
      </c>
    </row>
    <row r="547" spans="5:5" ht="15" customHeight="1" x14ac:dyDescent="0.3">
      <c r="E547" t="str">
        <f>IF($A547="","", IFERROR(INDEX(Machine_List!$B$72:$B$81, MATCH("*"&amp;$B547&amp;"*", Machine_List!$J$72:$J$81, 0)), "No FID Match"))</f>
        <v/>
      </c>
    </row>
    <row r="548" spans="5:5" ht="15" customHeight="1" x14ac:dyDescent="0.3">
      <c r="E548" t="str">
        <f>IF($A548="","", IFERROR(INDEX(Machine_List!$B$72:$B$81, MATCH("*"&amp;$B548&amp;"*", Machine_List!$J$72:$J$81, 0)), "No FID Match"))</f>
        <v/>
      </c>
    </row>
    <row r="549" spans="5:5" ht="15" customHeight="1" x14ac:dyDescent="0.3">
      <c r="E549" t="str">
        <f>IF($A549="","", IFERROR(INDEX(Machine_List!$B$72:$B$81, MATCH("*"&amp;$B549&amp;"*", Machine_List!$J$72:$J$81, 0)), "No FID Match"))</f>
        <v/>
      </c>
    </row>
    <row r="550" spans="5:5" ht="15" customHeight="1" x14ac:dyDescent="0.3">
      <c r="E550" t="str">
        <f>IF($A550="","", IFERROR(INDEX(Machine_List!$B$72:$B$81, MATCH("*"&amp;$B550&amp;"*", Machine_List!$J$72:$J$81, 0)), "No FID Match"))</f>
        <v/>
      </c>
    </row>
    <row r="551" spans="5:5" ht="15" customHeight="1" x14ac:dyDescent="0.3">
      <c r="E551" t="str">
        <f>IF($A551="","", IFERROR(INDEX(Machine_List!$B$72:$B$81, MATCH("*"&amp;$B551&amp;"*", Machine_List!$J$72:$J$81, 0)), "No FID Match"))</f>
        <v/>
      </c>
    </row>
    <row r="552" spans="5:5" ht="15" customHeight="1" x14ac:dyDescent="0.3">
      <c r="E552" t="str">
        <f>IF($A552="","", IFERROR(INDEX(Machine_List!$B$72:$B$81, MATCH("*"&amp;$B552&amp;"*", Machine_List!$J$72:$J$81, 0)), "No FID Match"))</f>
        <v/>
      </c>
    </row>
    <row r="553" spans="5:5" ht="15" customHeight="1" x14ac:dyDescent="0.3">
      <c r="E553" t="str">
        <f>IF($A553="","", IFERROR(INDEX(Machine_List!$B$72:$B$81, MATCH("*"&amp;$B553&amp;"*", Machine_List!$J$72:$J$81, 0)), "No FID Match"))</f>
        <v/>
      </c>
    </row>
    <row r="554" spans="5:5" ht="15" customHeight="1" x14ac:dyDescent="0.3">
      <c r="E554" t="str">
        <f>IF($A554="","", IFERROR(INDEX(Machine_List!$B$72:$B$81, MATCH("*"&amp;$B554&amp;"*", Machine_List!$J$72:$J$81, 0)), "No FID Match"))</f>
        <v/>
      </c>
    </row>
    <row r="555" spans="5:5" ht="15" customHeight="1" x14ac:dyDescent="0.3">
      <c r="E555" t="str">
        <f>IF($A555="","", IFERROR(INDEX(Machine_List!$B$72:$B$81, MATCH("*"&amp;$B555&amp;"*", Machine_List!$J$72:$J$81, 0)), "No FID Match"))</f>
        <v/>
      </c>
    </row>
    <row r="556" spans="5:5" ht="15" customHeight="1" x14ac:dyDescent="0.3">
      <c r="E556" t="str">
        <f>IF($A556="","", IFERROR(INDEX(Machine_List!$B$72:$B$81, MATCH("*"&amp;$B556&amp;"*", Machine_List!$J$72:$J$81, 0)), "No FID Match"))</f>
        <v/>
      </c>
    </row>
    <row r="557" spans="5:5" ht="15" customHeight="1" x14ac:dyDescent="0.3">
      <c r="E557" t="str">
        <f>IF($A557="","", IFERROR(INDEX(Machine_List!$B$72:$B$81, MATCH("*"&amp;$B557&amp;"*", Machine_List!$J$72:$J$81, 0)), "No FID Match"))</f>
        <v/>
      </c>
    </row>
    <row r="558" spans="5:5" ht="15" customHeight="1" x14ac:dyDescent="0.3">
      <c r="E558" t="str">
        <f>IF($A558="","", IFERROR(INDEX(Machine_List!$B$72:$B$81, MATCH("*"&amp;$B558&amp;"*", Machine_List!$J$72:$J$81, 0)), "No FID Match"))</f>
        <v/>
      </c>
    </row>
    <row r="559" spans="5:5" ht="15" customHeight="1" x14ac:dyDescent="0.3">
      <c r="E559" t="str">
        <f>IF($A559="","", IFERROR(INDEX(Machine_List!$B$72:$B$81, MATCH("*"&amp;$B559&amp;"*", Machine_List!$J$72:$J$81, 0)), "No FID Match"))</f>
        <v/>
      </c>
    </row>
    <row r="560" spans="5:5" ht="15" customHeight="1" x14ac:dyDescent="0.3">
      <c r="E560" t="str">
        <f>IF($A560="","", IFERROR(INDEX(Machine_List!$B$72:$B$81, MATCH("*"&amp;$B560&amp;"*", Machine_List!$J$72:$J$81, 0)), "No FID Match"))</f>
        <v/>
      </c>
    </row>
    <row r="561" spans="5:5" ht="15" customHeight="1" x14ac:dyDescent="0.3">
      <c r="E561" t="str">
        <f>IF($A561="","", IFERROR(INDEX(Machine_List!$B$72:$B$81, MATCH("*"&amp;$B561&amp;"*", Machine_List!$J$72:$J$81, 0)), "No FID Match"))</f>
        <v/>
      </c>
    </row>
    <row r="562" spans="5:5" ht="15" customHeight="1" x14ac:dyDescent="0.3">
      <c r="E562" t="str">
        <f>IF($A562="","", IFERROR(INDEX(Machine_List!$B$72:$B$81, MATCH("*"&amp;$B562&amp;"*", Machine_List!$J$72:$J$81, 0)), "No FID Match"))</f>
        <v/>
      </c>
    </row>
    <row r="563" spans="5:5" ht="15" customHeight="1" x14ac:dyDescent="0.3">
      <c r="E563" t="str">
        <f>IF($A563="","", IFERROR(INDEX(Machine_List!$B$72:$B$81, MATCH("*"&amp;$B563&amp;"*", Machine_List!$J$72:$J$81, 0)), "No FID Match"))</f>
        <v/>
      </c>
    </row>
    <row r="564" spans="5:5" ht="15" customHeight="1" x14ac:dyDescent="0.3">
      <c r="E564" t="str">
        <f>IF($A564="","", IFERROR(INDEX(Machine_List!$B$72:$B$81, MATCH("*"&amp;$B564&amp;"*", Machine_List!$J$72:$J$81, 0)), "No FID Match"))</f>
        <v/>
      </c>
    </row>
    <row r="565" spans="5:5" ht="15" customHeight="1" x14ac:dyDescent="0.3">
      <c r="E565" t="str">
        <f>IF($A565="","", IFERROR(INDEX(Machine_List!$B$72:$B$81, MATCH("*"&amp;$B565&amp;"*", Machine_List!$J$72:$J$81, 0)), "No FID Match"))</f>
        <v/>
      </c>
    </row>
    <row r="566" spans="5:5" ht="15" customHeight="1" x14ac:dyDescent="0.3">
      <c r="E566" t="str">
        <f>IF($A566="","", IFERROR(INDEX(Machine_List!$B$72:$B$81, MATCH("*"&amp;$B566&amp;"*", Machine_List!$J$72:$J$81, 0)), "No FID Match"))</f>
        <v/>
      </c>
    </row>
    <row r="567" spans="5:5" ht="15" customHeight="1" x14ac:dyDescent="0.3">
      <c r="E567" t="str">
        <f>IF($A567="","", IFERROR(INDEX(Machine_List!$B$72:$B$81, MATCH("*"&amp;$B567&amp;"*", Machine_List!$J$72:$J$81, 0)), "No FID Match"))</f>
        <v/>
      </c>
    </row>
    <row r="568" spans="5:5" ht="15" customHeight="1" x14ac:dyDescent="0.3">
      <c r="E568" t="str">
        <f>IF($A568="","", IFERROR(INDEX(Machine_List!$B$72:$B$81, MATCH("*"&amp;$B568&amp;"*", Machine_List!$J$72:$J$81, 0)), "No FID Match"))</f>
        <v/>
      </c>
    </row>
    <row r="569" spans="5:5" ht="15" customHeight="1" x14ac:dyDescent="0.3">
      <c r="E569" t="str">
        <f>IF($A569="","", IFERROR(INDEX(Machine_List!$B$72:$B$81, MATCH("*"&amp;$B569&amp;"*", Machine_List!$J$72:$J$81, 0)), "No FID Match"))</f>
        <v/>
      </c>
    </row>
    <row r="570" spans="5:5" ht="15" customHeight="1" x14ac:dyDescent="0.3">
      <c r="E570" t="str">
        <f>IF($A570="","", IFERROR(INDEX(Machine_List!$B$72:$B$81, MATCH("*"&amp;$B570&amp;"*", Machine_List!$J$72:$J$81, 0)), "No FID Match"))</f>
        <v/>
      </c>
    </row>
    <row r="571" spans="5:5" ht="15" customHeight="1" x14ac:dyDescent="0.3">
      <c r="E571" t="str">
        <f>IF($A571="","", IFERROR(INDEX(Machine_List!$B$72:$B$81, MATCH("*"&amp;$B571&amp;"*", Machine_List!$J$72:$J$81, 0)), "No FID Match"))</f>
        <v/>
      </c>
    </row>
    <row r="572" spans="5:5" ht="15" customHeight="1" x14ac:dyDescent="0.3">
      <c r="E572" t="str">
        <f>IF($A572="","", IFERROR(INDEX(Machine_List!$B$72:$B$81, MATCH("*"&amp;$B572&amp;"*", Machine_List!$J$72:$J$81, 0)), "No FID Match"))</f>
        <v/>
      </c>
    </row>
    <row r="573" spans="5:5" ht="15" customHeight="1" x14ac:dyDescent="0.3">
      <c r="E573" t="str">
        <f>IF($A573="","", IFERROR(INDEX(Machine_List!$B$72:$B$81, MATCH("*"&amp;$B573&amp;"*", Machine_List!$J$72:$J$81, 0)), "No FID Match"))</f>
        <v/>
      </c>
    </row>
    <row r="574" spans="5:5" ht="15" customHeight="1" x14ac:dyDescent="0.3">
      <c r="E574" t="str">
        <f>IF($A574="","", IFERROR(INDEX(Machine_List!$B$72:$B$81, MATCH("*"&amp;$B574&amp;"*", Machine_List!$J$72:$J$81, 0)), "No FID Match"))</f>
        <v/>
      </c>
    </row>
    <row r="575" spans="5:5" ht="15" customHeight="1" x14ac:dyDescent="0.3">
      <c r="E575" t="str">
        <f>IF($A575="","", IFERROR(INDEX(Machine_List!$B$72:$B$81, MATCH("*"&amp;$B575&amp;"*", Machine_List!$J$72:$J$81, 0)), "No FID Match"))</f>
        <v/>
      </c>
    </row>
    <row r="576" spans="5:5" ht="15" customHeight="1" x14ac:dyDescent="0.3">
      <c r="E576" t="str">
        <f>IF($A576="","", IFERROR(INDEX(Machine_List!$B$72:$B$81, MATCH("*"&amp;$B576&amp;"*", Machine_List!$J$72:$J$81, 0)), "No FID Match"))</f>
        <v/>
      </c>
    </row>
    <row r="577" spans="5:5" ht="15" customHeight="1" x14ac:dyDescent="0.3">
      <c r="E577" t="str">
        <f>IF($A577="","", IFERROR(INDEX(Machine_List!$B$72:$B$81, MATCH("*"&amp;$B577&amp;"*", Machine_List!$J$72:$J$81, 0)), "No FID Match"))</f>
        <v/>
      </c>
    </row>
    <row r="578" spans="5:5" ht="15" customHeight="1" x14ac:dyDescent="0.3">
      <c r="E578" t="str">
        <f>IF($A578="","", IFERROR(INDEX(Machine_List!$B$72:$B$81, MATCH("*"&amp;$B578&amp;"*", Machine_List!$J$72:$J$81, 0)), "No FID Match"))</f>
        <v/>
      </c>
    </row>
    <row r="579" spans="5:5" ht="15" customHeight="1" x14ac:dyDescent="0.3">
      <c r="E579" t="str">
        <f>IF($A579="","", IFERROR(INDEX(Machine_List!$B$72:$B$81, MATCH("*"&amp;$B579&amp;"*", Machine_List!$J$72:$J$81, 0)), "No FID Match"))</f>
        <v/>
      </c>
    </row>
    <row r="580" spans="5:5" ht="15" customHeight="1" x14ac:dyDescent="0.3">
      <c r="E580" t="str">
        <f>IF($A580="","", IFERROR(INDEX(Machine_List!$B$72:$B$81, MATCH("*"&amp;$B580&amp;"*", Machine_List!$J$72:$J$81, 0)), "No FID Match"))</f>
        <v/>
      </c>
    </row>
    <row r="581" spans="5:5" ht="15" customHeight="1" x14ac:dyDescent="0.3">
      <c r="E581" t="str">
        <f>IF($A581="","", IFERROR(INDEX(Machine_List!$B$72:$B$81, MATCH("*"&amp;$B581&amp;"*", Machine_List!$J$72:$J$81, 0)), "No FID Match"))</f>
        <v/>
      </c>
    </row>
    <row r="582" spans="5:5" ht="15" customHeight="1" x14ac:dyDescent="0.3">
      <c r="E582" t="str">
        <f>IF($A582="","", IFERROR(INDEX(Machine_List!$B$72:$B$81, MATCH("*"&amp;$B582&amp;"*", Machine_List!$J$72:$J$81, 0)), "No FID Match"))</f>
        <v/>
      </c>
    </row>
    <row r="583" spans="5:5" ht="15" customHeight="1" x14ac:dyDescent="0.3">
      <c r="E583" t="str">
        <f>IF($A583="","", IFERROR(INDEX(Machine_List!$B$72:$B$81, MATCH("*"&amp;$B583&amp;"*", Machine_List!$J$72:$J$81, 0)), "No FID Match"))</f>
        <v/>
      </c>
    </row>
    <row r="584" spans="5:5" ht="15" customHeight="1" x14ac:dyDescent="0.3">
      <c r="E584" t="str">
        <f>IF($A584="","", IFERROR(INDEX(Machine_List!$B$72:$B$81, MATCH("*"&amp;$B584&amp;"*", Machine_List!$J$72:$J$81, 0)), "No FID Match"))</f>
        <v/>
      </c>
    </row>
    <row r="585" spans="5:5" ht="15" customHeight="1" x14ac:dyDescent="0.3">
      <c r="E585" t="str">
        <f>IF($A585="","", IFERROR(INDEX(Machine_List!$B$72:$B$81, MATCH("*"&amp;$B585&amp;"*", Machine_List!$J$72:$J$81, 0)), "No FID Match"))</f>
        <v/>
      </c>
    </row>
    <row r="586" spans="5:5" ht="15" customHeight="1" x14ac:dyDescent="0.3">
      <c r="E586" t="str">
        <f>IF($A586="","", IFERROR(INDEX(Machine_List!$B$72:$B$81, MATCH("*"&amp;$B586&amp;"*", Machine_List!$J$72:$J$81, 0)), "No FID Match"))</f>
        <v/>
      </c>
    </row>
    <row r="587" spans="5:5" ht="15" customHeight="1" x14ac:dyDescent="0.3">
      <c r="E587" t="str">
        <f>IF($A587="","", IFERROR(INDEX(Machine_List!$B$72:$B$81, MATCH("*"&amp;$B587&amp;"*", Machine_List!$J$72:$J$81, 0)), "No FID Match"))</f>
        <v/>
      </c>
    </row>
    <row r="588" spans="5:5" ht="15" customHeight="1" x14ac:dyDescent="0.3">
      <c r="E588" t="str">
        <f>IF($A588="","", IFERROR(INDEX(Machine_List!$B$72:$B$81, MATCH("*"&amp;$B588&amp;"*", Machine_List!$J$72:$J$81, 0)), "No FID Match"))</f>
        <v/>
      </c>
    </row>
    <row r="589" spans="5:5" ht="15" customHeight="1" x14ac:dyDescent="0.3">
      <c r="E589" t="str">
        <f>IF($A589="","", IFERROR(INDEX(Machine_List!$B$72:$B$81, MATCH("*"&amp;$B589&amp;"*", Machine_List!$J$72:$J$81, 0)), "No FID Match"))</f>
        <v/>
      </c>
    </row>
    <row r="590" spans="5:5" ht="15" customHeight="1" x14ac:dyDescent="0.3">
      <c r="E590" t="str">
        <f>IF($A590="","", IFERROR(INDEX(Machine_List!$B$72:$B$81, MATCH("*"&amp;$B590&amp;"*", Machine_List!$J$72:$J$81, 0)), "No FID Match"))</f>
        <v/>
      </c>
    </row>
    <row r="591" spans="5:5" ht="15" customHeight="1" x14ac:dyDescent="0.3">
      <c r="E591" t="str">
        <f>IF($A591="","", IFERROR(INDEX(Machine_List!$B$72:$B$81, MATCH("*"&amp;$B591&amp;"*", Machine_List!$J$72:$J$81, 0)), "No FID Match"))</f>
        <v/>
      </c>
    </row>
    <row r="592" spans="5:5" ht="15" customHeight="1" x14ac:dyDescent="0.3">
      <c r="E592" t="str">
        <f>IF($A592="","", IFERROR(INDEX(Machine_List!$B$72:$B$81, MATCH("*"&amp;$B592&amp;"*", Machine_List!$J$72:$J$81, 0)), "No FID Match"))</f>
        <v/>
      </c>
    </row>
    <row r="593" spans="5:5" ht="15" customHeight="1" x14ac:dyDescent="0.3">
      <c r="E593" t="str">
        <f>IF($A593="","", IFERROR(INDEX(Machine_List!$B$72:$B$81, MATCH("*"&amp;$B593&amp;"*", Machine_List!$J$72:$J$81, 0)), "No FID Match"))</f>
        <v/>
      </c>
    </row>
    <row r="594" spans="5:5" ht="15" customHeight="1" x14ac:dyDescent="0.3">
      <c r="E594" t="str">
        <f>IF($A594="","", IFERROR(INDEX(Machine_List!$B$72:$B$81, MATCH("*"&amp;$B594&amp;"*", Machine_List!$J$72:$J$81, 0)), "No FID Match"))</f>
        <v/>
      </c>
    </row>
    <row r="595" spans="5:5" ht="15" customHeight="1" x14ac:dyDescent="0.3">
      <c r="E595" t="str">
        <f>IF($A595="","", IFERROR(INDEX(Machine_List!$B$72:$B$81, MATCH("*"&amp;$B595&amp;"*", Machine_List!$J$72:$J$81, 0)), "No FID Match"))</f>
        <v/>
      </c>
    </row>
    <row r="596" spans="5:5" ht="15" customHeight="1" x14ac:dyDescent="0.3">
      <c r="E596" t="str">
        <f>IF($A596="","", IFERROR(INDEX(Machine_List!$B$72:$B$81, MATCH("*"&amp;$B596&amp;"*", Machine_List!$J$72:$J$81, 0)), "No FID Match"))</f>
        <v/>
      </c>
    </row>
    <row r="597" spans="5:5" ht="15" customHeight="1" x14ac:dyDescent="0.3">
      <c r="E597" t="str">
        <f>IF($A597="","", IFERROR(INDEX(Machine_List!$B$72:$B$81, MATCH("*"&amp;$B597&amp;"*", Machine_List!$J$72:$J$81, 0)), "No FID Match"))</f>
        <v/>
      </c>
    </row>
    <row r="598" spans="5:5" ht="15" customHeight="1" x14ac:dyDescent="0.3">
      <c r="E598" t="str">
        <f>IF($A598="","", IFERROR(INDEX(Machine_List!$B$72:$B$81, MATCH("*"&amp;$B598&amp;"*", Machine_List!$J$72:$J$81, 0)), "No FID Match"))</f>
        <v/>
      </c>
    </row>
    <row r="599" spans="5:5" ht="15" customHeight="1" x14ac:dyDescent="0.3">
      <c r="E599" t="str">
        <f>IF($A599="","", IFERROR(INDEX(Machine_List!$B$72:$B$81, MATCH("*"&amp;$B599&amp;"*", Machine_List!$J$72:$J$81, 0)), "No FID Match"))</f>
        <v/>
      </c>
    </row>
    <row r="600" spans="5:5" ht="15" customHeight="1" x14ac:dyDescent="0.3">
      <c r="E600" t="str">
        <f>IF($A600="","", IFERROR(INDEX(Machine_List!$B$72:$B$81, MATCH("*"&amp;$B600&amp;"*", Machine_List!$J$72:$J$81, 0)), "No FID Match"))</f>
        <v/>
      </c>
    </row>
    <row r="601" spans="5:5" ht="15" customHeight="1" x14ac:dyDescent="0.3">
      <c r="E601" t="str">
        <f>IF($A601="","", IFERROR(INDEX(Machine_List!$B$72:$B$81, MATCH("*"&amp;$B601&amp;"*", Machine_List!$J$72:$J$81, 0)), "No FID Match"))</f>
        <v/>
      </c>
    </row>
    <row r="602" spans="5:5" ht="15" customHeight="1" x14ac:dyDescent="0.3">
      <c r="E602" t="str">
        <f>IF($A602="","", IFERROR(INDEX(Machine_List!$B$72:$B$81, MATCH("*"&amp;$B602&amp;"*", Machine_List!$J$72:$J$81, 0)), "No FID Match"))</f>
        <v/>
      </c>
    </row>
    <row r="603" spans="5:5" ht="15" customHeight="1" x14ac:dyDescent="0.3">
      <c r="E603" t="str">
        <f>IF($A603="","", IFERROR(INDEX(Machine_List!$B$72:$B$81, MATCH("*"&amp;$B603&amp;"*", Machine_List!$J$72:$J$81, 0)), "No FID Match"))</f>
        <v/>
      </c>
    </row>
    <row r="604" spans="5:5" ht="15" customHeight="1" x14ac:dyDescent="0.3">
      <c r="E604" t="str">
        <f>IF($A604="","", IFERROR(INDEX(Machine_List!$B$72:$B$81, MATCH("*"&amp;$B604&amp;"*", Machine_List!$J$72:$J$81, 0)), "No FID Match"))</f>
        <v/>
      </c>
    </row>
    <row r="605" spans="5:5" ht="15" customHeight="1" x14ac:dyDescent="0.3">
      <c r="E605" t="str">
        <f>IF($A605="","", IFERROR(INDEX(Machine_List!$B$72:$B$81, MATCH("*"&amp;$B605&amp;"*", Machine_List!$J$72:$J$81, 0)), "No FID Match"))</f>
        <v/>
      </c>
    </row>
    <row r="606" spans="5:5" ht="15" customHeight="1" x14ac:dyDescent="0.3">
      <c r="E606" t="str">
        <f>IF($A606="","", IFERROR(INDEX(Machine_List!$B$72:$B$81, MATCH("*"&amp;$B606&amp;"*", Machine_List!$J$72:$J$81, 0)), "No FID Match"))</f>
        <v/>
      </c>
    </row>
    <row r="607" spans="5:5" ht="15" customHeight="1" x14ac:dyDescent="0.3">
      <c r="E607" t="str">
        <f>IF($A607="","", IFERROR(INDEX(Machine_List!$B$72:$B$81, MATCH("*"&amp;$B607&amp;"*", Machine_List!$J$72:$J$81, 0)), "No FID Match"))</f>
        <v/>
      </c>
    </row>
    <row r="608" spans="5:5" ht="15" customHeight="1" x14ac:dyDescent="0.3">
      <c r="E608" t="str">
        <f>IF($A608="","", IFERROR(INDEX(Machine_List!$B$72:$B$81, MATCH("*"&amp;$B608&amp;"*", Machine_List!$J$72:$J$81, 0)), "No FID Match"))</f>
        <v/>
      </c>
    </row>
    <row r="609" spans="5:5" ht="15" customHeight="1" x14ac:dyDescent="0.3">
      <c r="E609" t="str">
        <f>IF($A609="","", IFERROR(INDEX(Machine_List!$B$72:$B$81, MATCH("*"&amp;$B609&amp;"*", Machine_List!$J$72:$J$81, 0)), "No FID Match"))</f>
        <v/>
      </c>
    </row>
    <row r="610" spans="5:5" ht="15" customHeight="1" x14ac:dyDescent="0.3">
      <c r="E610" t="str">
        <f>IF($A610="","", IFERROR(INDEX(Machine_List!$B$72:$B$81, MATCH("*"&amp;$B610&amp;"*", Machine_List!$J$72:$J$81, 0)), "No FID Match"))</f>
        <v/>
      </c>
    </row>
    <row r="611" spans="5:5" ht="15" customHeight="1" x14ac:dyDescent="0.3">
      <c r="E611" t="str">
        <f>IF($A611="","", IFERROR(INDEX(Machine_List!$B$72:$B$81, MATCH("*"&amp;$B611&amp;"*", Machine_List!$J$72:$J$81, 0)), "No FID Match"))</f>
        <v/>
      </c>
    </row>
    <row r="612" spans="5:5" ht="15" customHeight="1" x14ac:dyDescent="0.3">
      <c r="E612" t="str">
        <f>IF($A612="","", IFERROR(INDEX(Machine_List!$B$72:$B$81, MATCH("*"&amp;$B612&amp;"*", Machine_List!$J$72:$J$81, 0)), "No FID Match"))</f>
        <v/>
      </c>
    </row>
    <row r="613" spans="5:5" ht="15" customHeight="1" x14ac:dyDescent="0.3">
      <c r="E613" t="str">
        <f>IF($A613="","", IFERROR(INDEX(Machine_List!$B$72:$B$81, MATCH("*"&amp;$B613&amp;"*", Machine_List!$J$72:$J$81, 0)), "No FID Match"))</f>
        <v/>
      </c>
    </row>
    <row r="614" spans="5:5" ht="15" customHeight="1" x14ac:dyDescent="0.3">
      <c r="E614" t="str">
        <f>IF($A614="","", IFERROR(INDEX(Machine_List!$B$72:$B$81, MATCH("*"&amp;$B614&amp;"*", Machine_List!$J$72:$J$81, 0)), "No FID Match"))</f>
        <v/>
      </c>
    </row>
    <row r="615" spans="5:5" ht="15" customHeight="1" x14ac:dyDescent="0.3">
      <c r="E615" t="str">
        <f>IF($A615="","", IFERROR(INDEX(Machine_List!$B$72:$B$81, MATCH("*"&amp;$B615&amp;"*", Machine_List!$J$72:$J$81, 0)), "No FID Match"))</f>
        <v/>
      </c>
    </row>
    <row r="616" spans="5:5" ht="15" customHeight="1" x14ac:dyDescent="0.3">
      <c r="E616" t="str">
        <f>IF($A616="","", IFERROR(INDEX(Machine_List!$B$72:$B$81, MATCH("*"&amp;$B616&amp;"*", Machine_List!$J$72:$J$81, 0)), "No FID Match"))</f>
        <v/>
      </c>
    </row>
    <row r="617" spans="5:5" ht="15" customHeight="1" x14ac:dyDescent="0.3">
      <c r="E617" t="str">
        <f>IF($A617="","", IFERROR(INDEX(Machine_List!$B$72:$B$81, MATCH("*"&amp;$B617&amp;"*", Machine_List!$J$72:$J$81, 0)), "No FID Match"))</f>
        <v/>
      </c>
    </row>
    <row r="618" spans="5:5" ht="15" customHeight="1" x14ac:dyDescent="0.3">
      <c r="E618" t="str">
        <f>IF($A618="","", IFERROR(INDEX(Machine_List!$B$72:$B$81, MATCH("*"&amp;$B618&amp;"*", Machine_List!$J$72:$J$81, 0)), "No FID Match"))</f>
        <v/>
      </c>
    </row>
    <row r="619" spans="5:5" ht="15" customHeight="1" x14ac:dyDescent="0.3">
      <c r="E619" t="str">
        <f>IF($A619="","", IFERROR(INDEX(Machine_List!$B$72:$B$81, MATCH("*"&amp;$B619&amp;"*", Machine_List!$J$72:$J$81, 0)), "No FID Match"))</f>
        <v/>
      </c>
    </row>
    <row r="620" spans="5:5" ht="15" customHeight="1" x14ac:dyDescent="0.3">
      <c r="E620" t="str">
        <f>IF($A620="","", IFERROR(INDEX(Machine_List!$B$72:$B$81, MATCH("*"&amp;$B620&amp;"*", Machine_List!$J$72:$J$81, 0)), "No FID Match"))</f>
        <v/>
      </c>
    </row>
    <row r="621" spans="5:5" ht="15" customHeight="1" x14ac:dyDescent="0.3">
      <c r="E621" t="str">
        <f>IF($A621="","", IFERROR(INDEX(Machine_List!$B$72:$B$81, MATCH("*"&amp;$B621&amp;"*", Machine_List!$J$72:$J$81, 0)), "No FID Match"))</f>
        <v/>
      </c>
    </row>
    <row r="622" spans="5:5" ht="15" customHeight="1" x14ac:dyDescent="0.3">
      <c r="E622" t="str">
        <f>IF($A622="","", IFERROR(INDEX(Machine_List!$B$72:$B$81, MATCH("*"&amp;$B622&amp;"*", Machine_List!$J$72:$J$81, 0)), "No FID Match"))</f>
        <v/>
      </c>
    </row>
    <row r="623" spans="5:5" ht="15" customHeight="1" x14ac:dyDescent="0.3">
      <c r="E623" t="str">
        <f>IF($A623="","", IFERROR(INDEX(Machine_List!$B$72:$B$81, MATCH("*"&amp;$B623&amp;"*", Machine_List!$J$72:$J$81, 0)), "No FID Match"))</f>
        <v/>
      </c>
    </row>
    <row r="624" spans="5:5" ht="15" customHeight="1" x14ac:dyDescent="0.3">
      <c r="E624" t="str">
        <f>IF($A624="","", IFERROR(INDEX(Machine_List!$B$72:$B$81, MATCH("*"&amp;$B624&amp;"*", Machine_List!$J$72:$J$81, 0)), "No FID Match"))</f>
        <v/>
      </c>
    </row>
    <row r="625" spans="5:5" ht="15" customHeight="1" x14ac:dyDescent="0.3">
      <c r="E625" t="str">
        <f>IF($A625="","", IFERROR(INDEX(Machine_List!$B$72:$B$81, MATCH("*"&amp;$B625&amp;"*", Machine_List!$J$72:$J$81, 0)), "No FID Match"))</f>
        <v/>
      </c>
    </row>
    <row r="626" spans="5:5" ht="15" customHeight="1" x14ac:dyDescent="0.3">
      <c r="E626" t="str">
        <f>IF($A626="","", IFERROR(INDEX(Machine_List!$B$72:$B$81, MATCH("*"&amp;$B626&amp;"*", Machine_List!$J$72:$J$81, 0)), "No FID Match"))</f>
        <v/>
      </c>
    </row>
    <row r="627" spans="5:5" ht="15" customHeight="1" x14ac:dyDescent="0.3">
      <c r="E627" t="str">
        <f>IF($A627="","", IFERROR(INDEX(Machine_List!$B$72:$B$81, MATCH("*"&amp;$B627&amp;"*", Machine_List!$J$72:$J$81, 0)), "No FID Match"))</f>
        <v/>
      </c>
    </row>
    <row r="628" spans="5:5" ht="15" customHeight="1" x14ac:dyDescent="0.3">
      <c r="E628" t="str">
        <f>IF($A628="","", IFERROR(INDEX(Machine_List!$B$72:$B$81, MATCH("*"&amp;$B628&amp;"*", Machine_List!$J$72:$J$81, 0)), "No FID Match"))</f>
        <v/>
      </c>
    </row>
    <row r="629" spans="5:5" ht="15" customHeight="1" x14ac:dyDescent="0.3">
      <c r="E629" t="str">
        <f>IF($A629="","", IFERROR(INDEX(Machine_List!$B$72:$B$81, MATCH("*"&amp;$B629&amp;"*", Machine_List!$J$72:$J$81, 0)), "No FID Match"))</f>
        <v/>
      </c>
    </row>
    <row r="630" spans="5:5" ht="15" customHeight="1" x14ac:dyDescent="0.3">
      <c r="E630" t="str">
        <f>IF($A630="","", IFERROR(INDEX(Machine_List!$B$72:$B$81, MATCH("*"&amp;$B630&amp;"*", Machine_List!$J$72:$J$81, 0)), "No FID Match"))</f>
        <v/>
      </c>
    </row>
    <row r="631" spans="5:5" ht="15" customHeight="1" x14ac:dyDescent="0.3">
      <c r="E631" t="str">
        <f>IF($A631="","", IFERROR(INDEX(Machine_List!$B$72:$B$81, MATCH("*"&amp;$B631&amp;"*", Machine_List!$J$72:$J$81, 0)), "No FID Match"))</f>
        <v/>
      </c>
    </row>
    <row r="632" spans="5:5" ht="15" customHeight="1" x14ac:dyDescent="0.3">
      <c r="E632" t="str">
        <f>IF($A632="","", IFERROR(INDEX(Machine_List!$B$72:$B$81, MATCH("*"&amp;$B632&amp;"*", Machine_List!$J$72:$J$81, 0)), "No FID Match"))</f>
        <v/>
      </c>
    </row>
    <row r="633" spans="5:5" ht="15" customHeight="1" x14ac:dyDescent="0.3">
      <c r="E633" t="str">
        <f>IF($A633="","", IFERROR(INDEX(Machine_List!$B$72:$B$81, MATCH("*"&amp;$B633&amp;"*", Machine_List!$J$72:$J$81, 0)), "No FID Match"))</f>
        <v/>
      </c>
    </row>
    <row r="634" spans="5:5" ht="15" customHeight="1" x14ac:dyDescent="0.3">
      <c r="E634" t="str">
        <f>IF($A634="","", IFERROR(INDEX(Machine_List!$B$72:$B$81, MATCH("*"&amp;$B634&amp;"*", Machine_List!$J$72:$J$81, 0)), "No FID Match"))</f>
        <v/>
      </c>
    </row>
    <row r="635" spans="5:5" ht="15" customHeight="1" x14ac:dyDescent="0.3">
      <c r="E635" t="str">
        <f>IF($A635="","", IFERROR(INDEX(Machine_List!$B$72:$B$81, MATCH("*"&amp;$B635&amp;"*", Machine_List!$J$72:$J$81, 0)), "No FID Match"))</f>
        <v/>
      </c>
    </row>
    <row r="636" spans="5:5" ht="15" customHeight="1" x14ac:dyDescent="0.3">
      <c r="E636" t="str">
        <f>IF($A636="","", IFERROR(INDEX(Machine_List!$B$72:$B$81, MATCH("*"&amp;$B636&amp;"*", Machine_List!$J$72:$J$81, 0)), "No FID Match"))</f>
        <v/>
      </c>
    </row>
    <row r="637" spans="5:5" ht="15" customHeight="1" x14ac:dyDescent="0.3">
      <c r="E637" t="str">
        <f>IF($A637="","", IFERROR(INDEX(Machine_List!$B$72:$B$81, MATCH("*"&amp;$B637&amp;"*", Machine_List!$J$72:$J$81, 0)), "No FID Match"))</f>
        <v/>
      </c>
    </row>
    <row r="638" spans="5:5" ht="15" customHeight="1" x14ac:dyDescent="0.3">
      <c r="E638" t="str">
        <f>IF($A638="","", IFERROR(INDEX(Machine_List!$B$72:$B$81, MATCH("*"&amp;$B638&amp;"*", Machine_List!$J$72:$J$81, 0)), "No FID Match"))</f>
        <v/>
      </c>
    </row>
    <row r="639" spans="5:5" ht="15" customHeight="1" x14ac:dyDescent="0.3">
      <c r="E639" t="str">
        <f>IF($A639="","", IFERROR(INDEX(Machine_List!$B$72:$B$81, MATCH("*"&amp;$B639&amp;"*", Machine_List!$J$72:$J$81, 0)), "No FID Match"))</f>
        <v/>
      </c>
    </row>
    <row r="640" spans="5:5" ht="15" customHeight="1" x14ac:dyDescent="0.3">
      <c r="E640" t="str">
        <f>IF($A640="","", IFERROR(INDEX(Machine_List!$B$72:$B$81, MATCH("*"&amp;$B640&amp;"*", Machine_List!$J$72:$J$81, 0)), "No FID Match"))</f>
        <v/>
      </c>
    </row>
    <row r="641" spans="5:5" ht="15" customHeight="1" x14ac:dyDescent="0.3">
      <c r="E641" t="str">
        <f>IF($A641="","", IFERROR(INDEX(Machine_List!$B$72:$B$81, MATCH("*"&amp;$B641&amp;"*", Machine_List!$J$72:$J$81, 0)), "No FID Match"))</f>
        <v/>
      </c>
    </row>
    <row r="642" spans="5:5" ht="15" customHeight="1" x14ac:dyDescent="0.3">
      <c r="E642" t="str">
        <f>IF($A642="","", IFERROR(INDEX(Machine_List!$B$72:$B$81, MATCH("*"&amp;$B642&amp;"*", Machine_List!$J$72:$J$81, 0)), "No FID Match"))</f>
        <v/>
      </c>
    </row>
    <row r="643" spans="5:5" ht="15" customHeight="1" x14ac:dyDescent="0.3">
      <c r="E643" t="str">
        <f>IF($A643="","", IFERROR(INDEX(Machine_List!$B$72:$B$81, MATCH("*"&amp;$B643&amp;"*", Machine_List!$J$72:$J$81, 0)), "No FID Match"))</f>
        <v/>
      </c>
    </row>
    <row r="644" spans="5:5" ht="15" customHeight="1" x14ac:dyDescent="0.3">
      <c r="E644" t="str">
        <f>IF($A644="","", IFERROR(INDEX(Machine_List!$B$72:$B$81, MATCH("*"&amp;$B644&amp;"*", Machine_List!$J$72:$J$81, 0)), "No FID Match"))</f>
        <v/>
      </c>
    </row>
    <row r="645" spans="5:5" ht="15" customHeight="1" x14ac:dyDescent="0.3">
      <c r="E645" t="str">
        <f>IF($A645="","", IFERROR(INDEX(Machine_List!$B$72:$B$81, MATCH("*"&amp;$B645&amp;"*", Machine_List!$J$72:$J$81, 0)), "No FID Match"))</f>
        <v/>
      </c>
    </row>
    <row r="646" spans="5:5" ht="15" customHeight="1" x14ac:dyDescent="0.3">
      <c r="E646" t="str">
        <f>IF($A646="","", IFERROR(INDEX(Machine_List!$B$72:$B$81, MATCH("*"&amp;$B646&amp;"*", Machine_List!$J$72:$J$81, 0)), "No FID Match"))</f>
        <v/>
      </c>
    </row>
    <row r="647" spans="5:5" ht="15" customHeight="1" x14ac:dyDescent="0.3">
      <c r="E647" t="str">
        <f>IF($A647="","", IFERROR(INDEX(Machine_List!$B$72:$B$81, MATCH("*"&amp;$B647&amp;"*", Machine_List!$J$72:$J$81, 0)), "No FID Match"))</f>
        <v/>
      </c>
    </row>
    <row r="648" spans="5:5" ht="15" customHeight="1" x14ac:dyDescent="0.3">
      <c r="E648" t="str">
        <f>IF($A648="","", IFERROR(INDEX(Machine_List!$B$72:$B$81, MATCH("*"&amp;$B648&amp;"*", Machine_List!$J$72:$J$81, 0)), "No FID Match"))</f>
        <v/>
      </c>
    </row>
    <row r="649" spans="5:5" ht="15" customHeight="1" x14ac:dyDescent="0.3">
      <c r="E649" t="str">
        <f>IF($A649="","", IFERROR(INDEX(Machine_List!$B$72:$B$81, MATCH("*"&amp;$B649&amp;"*", Machine_List!$J$72:$J$81, 0)), "No FID Match"))</f>
        <v/>
      </c>
    </row>
    <row r="650" spans="5:5" ht="15" customHeight="1" x14ac:dyDescent="0.3">
      <c r="E650" t="str">
        <f>IF($A650="","", IFERROR(INDEX(Machine_List!$B$72:$B$81, MATCH("*"&amp;$B650&amp;"*", Machine_List!$J$72:$J$81, 0)), "No FID Match"))</f>
        <v/>
      </c>
    </row>
    <row r="651" spans="5:5" ht="15" customHeight="1" x14ac:dyDescent="0.3">
      <c r="E651" t="str">
        <f>IF($A651="","", IFERROR(INDEX(Machine_List!$B$72:$B$81, MATCH("*"&amp;$B651&amp;"*", Machine_List!$J$72:$J$81, 0)), "No FID Match"))</f>
        <v/>
      </c>
    </row>
    <row r="652" spans="5:5" ht="15" customHeight="1" x14ac:dyDescent="0.3">
      <c r="E652" t="str">
        <f>IF($A652="","", IFERROR(INDEX(Machine_List!$B$72:$B$81, MATCH("*"&amp;$B652&amp;"*", Machine_List!$J$72:$J$81, 0)), "No FID Match"))</f>
        <v/>
      </c>
    </row>
    <row r="653" spans="5:5" ht="15" customHeight="1" x14ac:dyDescent="0.3">
      <c r="E653" t="str">
        <f>IF($A653="","", IFERROR(INDEX(Machine_List!$B$72:$B$81, MATCH("*"&amp;$B653&amp;"*", Machine_List!$J$72:$J$81, 0)), "No FID Match"))</f>
        <v/>
      </c>
    </row>
    <row r="654" spans="5:5" ht="15" customHeight="1" x14ac:dyDescent="0.3">
      <c r="E654" t="str">
        <f>IF($A654="","", IFERROR(INDEX(Machine_List!$B$72:$B$81, MATCH("*"&amp;$B654&amp;"*", Machine_List!$J$72:$J$81, 0)), "No FID Match"))</f>
        <v/>
      </c>
    </row>
    <row r="655" spans="5:5" ht="15" customHeight="1" x14ac:dyDescent="0.3">
      <c r="E655" t="str">
        <f>IF($A655="","", IFERROR(INDEX(Machine_List!$B$72:$B$81, MATCH("*"&amp;$B655&amp;"*", Machine_List!$J$72:$J$81, 0)), "No FID Match"))</f>
        <v/>
      </c>
    </row>
    <row r="656" spans="5:5" ht="15" customHeight="1" x14ac:dyDescent="0.3">
      <c r="E656" t="str">
        <f>IF($A656="","", IFERROR(INDEX(Machine_List!$B$72:$B$81, MATCH("*"&amp;$B656&amp;"*", Machine_List!$J$72:$J$81, 0)), "No FID Match"))</f>
        <v/>
      </c>
    </row>
    <row r="657" spans="5:5" ht="15" customHeight="1" x14ac:dyDescent="0.3">
      <c r="E657" t="str">
        <f>IF($A657="","", IFERROR(INDEX(Machine_List!$B$72:$B$81, MATCH("*"&amp;$B657&amp;"*", Machine_List!$J$72:$J$81, 0)), "No FID Match"))</f>
        <v/>
      </c>
    </row>
    <row r="658" spans="5:5" ht="15" customHeight="1" x14ac:dyDescent="0.3">
      <c r="E658" t="str">
        <f>IF($A658="","", IFERROR(INDEX(Machine_List!$B$72:$B$81, MATCH("*"&amp;$B658&amp;"*", Machine_List!$J$72:$J$81, 0)), "No FID Match"))</f>
        <v/>
      </c>
    </row>
    <row r="659" spans="5:5" ht="15" customHeight="1" x14ac:dyDescent="0.3">
      <c r="E659" t="str">
        <f>IF($A659="","", IFERROR(INDEX(Machine_List!$B$72:$B$81, MATCH("*"&amp;$B659&amp;"*", Machine_List!$J$72:$J$81, 0)), "No FID Match"))</f>
        <v/>
      </c>
    </row>
    <row r="660" spans="5:5" ht="15" customHeight="1" x14ac:dyDescent="0.3">
      <c r="E660" t="str">
        <f>IF($A660="","", IFERROR(INDEX(Machine_List!$B$72:$B$81, MATCH("*"&amp;$B660&amp;"*", Machine_List!$J$72:$J$81, 0)), "No FID Match"))</f>
        <v/>
      </c>
    </row>
    <row r="661" spans="5:5" ht="15" customHeight="1" x14ac:dyDescent="0.3">
      <c r="E661" t="str">
        <f>IF($A661="","", IFERROR(INDEX(Machine_List!$B$72:$B$81, MATCH("*"&amp;$B661&amp;"*", Machine_List!$J$72:$J$81, 0)), "No FID Match"))</f>
        <v/>
      </c>
    </row>
    <row r="662" spans="5:5" ht="15" customHeight="1" x14ac:dyDescent="0.3">
      <c r="E662" t="str">
        <f>IF($A662="","", IFERROR(INDEX(Machine_List!$B$72:$B$81, MATCH("*"&amp;$B662&amp;"*", Machine_List!$J$72:$J$81, 0)), "No FID Match"))</f>
        <v/>
      </c>
    </row>
    <row r="663" spans="5:5" ht="15" customHeight="1" x14ac:dyDescent="0.3">
      <c r="E663" t="str">
        <f>IF($A663="","", IFERROR(INDEX(Machine_List!$B$72:$B$81, MATCH("*"&amp;$B663&amp;"*", Machine_List!$J$72:$J$81, 0)), "No FID Match"))</f>
        <v/>
      </c>
    </row>
    <row r="664" spans="5:5" ht="15" customHeight="1" x14ac:dyDescent="0.3">
      <c r="E664" t="str">
        <f>IF($A664="","", IFERROR(INDEX(Machine_List!$B$72:$B$81, MATCH("*"&amp;$B664&amp;"*", Machine_List!$J$72:$J$81, 0)), "No FID Match"))</f>
        <v/>
      </c>
    </row>
    <row r="665" spans="5:5" ht="15" customHeight="1" x14ac:dyDescent="0.3">
      <c r="E665" t="str">
        <f>IF($A665="","", IFERROR(INDEX(Machine_List!$B$72:$B$81, MATCH("*"&amp;$B665&amp;"*", Machine_List!$J$72:$J$81, 0)), "No FID Match"))</f>
        <v/>
      </c>
    </row>
    <row r="666" spans="5:5" ht="15" customHeight="1" x14ac:dyDescent="0.3">
      <c r="E666" t="str">
        <f>IF($A666="","", IFERROR(INDEX(Machine_List!$B$72:$B$81, MATCH("*"&amp;$B666&amp;"*", Machine_List!$J$72:$J$81, 0)), "No FID Match"))</f>
        <v/>
      </c>
    </row>
    <row r="667" spans="5:5" ht="15" customHeight="1" x14ac:dyDescent="0.3">
      <c r="E667" t="str">
        <f>IF($A667="","", IFERROR(INDEX(Machine_List!$B$72:$B$81, MATCH("*"&amp;$B667&amp;"*", Machine_List!$J$72:$J$81, 0)), "No FID Match"))</f>
        <v/>
      </c>
    </row>
    <row r="668" spans="5:5" ht="15" customHeight="1" x14ac:dyDescent="0.3">
      <c r="E668" t="str">
        <f>IF($A668="","", IFERROR(INDEX(Machine_List!$B$72:$B$81, MATCH("*"&amp;$B668&amp;"*", Machine_List!$J$72:$J$81, 0)), "No FID Match"))</f>
        <v/>
      </c>
    </row>
    <row r="669" spans="5:5" ht="15" customHeight="1" x14ac:dyDescent="0.3">
      <c r="E669" t="str">
        <f>IF($A669="","", IFERROR(INDEX(Machine_List!$B$72:$B$81, MATCH("*"&amp;$B669&amp;"*", Machine_List!$J$72:$J$81, 0)), "No FID Match"))</f>
        <v/>
      </c>
    </row>
    <row r="670" spans="5:5" ht="15" customHeight="1" x14ac:dyDescent="0.3">
      <c r="E670" t="str">
        <f>IF($A670="","", IFERROR(INDEX(Machine_List!$B$72:$B$81, MATCH("*"&amp;$B670&amp;"*", Machine_List!$J$72:$J$81, 0)), "No FID Match"))</f>
        <v/>
      </c>
    </row>
    <row r="671" spans="5:5" ht="15" customHeight="1" x14ac:dyDescent="0.3">
      <c r="E671" t="str">
        <f>IF($A671="","", IFERROR(INDEX(Machine_List!$B$72:$B$81, MATCH("*"&amp;$B671&amp;"*", Machine_List!$J$72:$J$81, 0)), "No FID Match"))</f>
        <v/>
      </c>
    </row>
    <row r="672" spans="5:5" ht="15" customHeight="1" x14ac:dyDescent="0.3">
      <c r="E672" t="str">
        <f>IF($A672="","", IFERROR(INDEX(Machine_List!$B$72:$B$81, MATCH("*"&amp;$B672&amp;"*", Machine_List!$J$72:$J$81, 0)), "No FID Match"))</f>
        <v/>
      </c>
    </row>
    <row r="673" spans="5:5" ht="15" customHeight="1" x14ac:dyDescent="0.3">
      <c r="E673" t="str">
        <f>IF($A673="","", IFERROR(INDEX(Machine_List!$B$72:$B$81, MATCH("*"&amp;$B673&amp;"*", Machine_List!$J$72:$J$81, 0)), "No FID Match"))</f>
        <v/>
      </c>
    </row>
    <row r="674" spans="5:5" ht="15" customHeight="1" x14ac:dyDescent="0.3">
      <c r="E674" t="str">
        <f>IF($A674="","", IFERROR(INDEX(Machine_List!$B$72:$B$81, MATCH("*"&amp;$B674&amp;"*", Machine_List!$J$72:$J$81, 0)), "No FID Match"))</f>
        <v/>
      </c>
    </row>
    <row r="675" spans="5:5" ht="15" customHeight="1" x14ac:dyDescent="0.3">
      <c r="E675" t="str">
        <f>IF($A675="","", IFERROR(INDEX(Machine_List!$B$72:$B$81, MATCH("*"&amp;$B675&amp;"*", Machine_List!$J$72:$J$81, 0)), "No FID Match"))</f>
        <v/>
      </c>
    </row>
    <row r="676" spans="5:5" ht="15" customHeight="1" x14ac:dyDescent="0.3">
      <c r="E676" t="str">
        <f>IF($A676="","", IFERROR(INDEX(Machine_List!$B$72:$B$81, MATCH("*"&amp;$B676&amp;"*", Machine_List!$J$72:$J$81, 0)), "No FID Match"))</f>
        <v/>
      </c>
    </row>
    <row r="677" spans="5:5" ht="15" customHeight="1" x14ac:dyDescent="0.3">
      <c r="E677" t="str">
        <f>IF($A677="","", IFERROR(INDEX(Machine_List!$B$72:$B$81, MATCH("*"&amp;$B677&amp;"*", Machine_List!$J$72:$J$81, 0)), "No FID Match"))</f>
        <v/>
      </c>
    </row>
    <row r="678" spans="5:5" ht="15" customHeight="1" x14ac:dyDescent="0.3">
      <c r="E678" t="str">
        <f>IF($A678="","", IFERROR(INDEX(Machine_List!$B$72:$B$81, MATCH("*"&amp;$B678&amp;"*", Machine_List!$J$72:$J$81, 0)), "No FID Match"))</f>
        <v/>
      </c>
    </row>
    <row r="679" spans="5:5" ht="15" customHeight="1" x14ac:dyDescent="0.3">
      <c r="E679" t="str">
        <f>IF($A679="","", IFERROR(INDEX(Machine_List!$B$72:$B$81, MATCH("*"&amp;$B679&amp;"*", Machine_List!$J$72:$J$81, 0)), "No FID Match"))</f>
        <v/>
      </c>
    </row>
    <row r="680" spans="5:5" ht="15" customHeight="1" x14ac:dyDescent="0.3">
      <c r="E680" t="str">
        <f>IF($A680="","", IFERROR(INDEX(Machine_List!$B$72:$B$81, MATCH("*"&amp;$B680&amp;"*", Machine_List!$J$72:$J$81, 0)), "No FID Match"))</f>
        <v/>
      </c>
    </row>
    <row r="681" spans="5:5" ht="15" customHeight="1" x14ac:dyDescent="0.3">
      <c r="E681" t="str">
        <f>IF($A681="","", IFERROR(INDEX(Machine_List!$B$72:$B$81, MATCH("*"&amp;$B681&amp;"*", Machine_List!$J$72:$J$81, 0)), "No FID Match"))</f>
        <v/>
      </c>
    </row>
    <row r="682" spans="5:5" ht="15" customHeight="1" x14ac:dyDescent="0.3">
      <c r="E682" t="str">
        <f>IF($A682="","", IFERROR(INDEX(Machine_List!$B$72:$B$81, MATCH("*"&amp;$B682&amp;"*", Machine_List!$J$72:$J$81, 0)), "No FID Match"))</f>
        <v/>
      </c>
    </row>
    <row r="683" spans="5:5" ht="15" customHeight="1" x14ac:dyDescent="0.3">
      <c r="E683" t="str">
        <f>IF($A683="","", IFERROR(INDEX(Machine_List!$B$72:$B$81, MATCH("*"&amp;$B683&amp;"*", Machine_List!$J$72:$J$81, 0)), "No FID Match"))</f>
        <v/>
      </c>
    </row>
    <row r="684" spans="5:5" ht="15" customHeight="1" x14ac:dyDescent="0.3">
      <c r="E684" t="str">
        <f>IF($A684="","", IFERROR(INDEX(Machine_List!$B$72:$B$81, MATCH("*"&amp;$B684&amp;"*", Machine_List!$J$72:$J$81, 0)), "No FID Match"))</f>
        <v/>
      </c>
    </row>
    <row r="685" spans="5:5" ht="15" customHeight="1" x14ac:dyDescent="0.3">
      <c r="E685" t="str">
        <f>IF($A685="","", IFERROR(INDEX(Machine_List!$B$72:$B$81, MATCH("*"&amp;$B685&amp;"*", Machine_List!$J$72:$J$81, 0)), "No FID Match"))</f>
        <v/>
      </c>
    </row>
    <row r="686" spans="5:5" ht="15" customHeight="1" x14ac:dyDescent="0.3">
      <c r="E686" t="str">
        <f>IF($A686="","", IFERROR(INDEX(Machine_List!$B$72:$B$81, MATCH("*"&amp;$B686&amp;"*", Machine_List!$J$72:$J$81, 0)), "No FID Match"))</f>
        <v/>
      </c>
    </row>
    <row r="687" spans="5:5" ht="15" customHeight="1" x14ac:dyDescent="0.3">
      <c r="E687" t="str">
        <f>IF($A687="","", IFERROR(INDEX(Machine_List!$B$72:$B$81, MATCH("*"&amp;$B687&amp;"*", Machine_List!$J$72:$J$81, 0)), "No FID Match"))</f>
        <v/>
      </c>
    </row>
    <row r="688" spans="5:5" ht="15" customHeight="1" x14ac:dyDescent="0.3">
      <c r="E688" t="str">
        <f>IF($A688="","", IFERROR(INDEX(Machine_List!$B$72:$B$81, MATCH("*"&amp;$B688&amp;"*", Machine_List!$J$72:$J$81, 0)), "No FID Match"))</f>
        <v/>
      </c>
    </row>
    <row r="689" spans="5:5" ht="15" customHeight="1" x14ac:dyDescent="0.3">
      <c r="E689" t="str">
        <f>IF($A689="","", IFERROR(INDEX(Machine_List!$B$72:$B$81, MATCH("*"&amp;$B689&amp;"*", Machine_List!$J$72:$J$81, 0)), "No FID Match"))</f>
        <v/>
      </c>
    </row>
    <row r="690" spans="5:5" ht="15" customHeight="1" x14ac:dyDescent="0.3">
      <c r="E690" t="str">
        <f>IF($A690="","", IFERROR(INDEX(Machine_List!$B$72:$B$81, MATCH("*"&amp;$B690&amp;"*", Machine_List!$J$72:$J$81, 0)), "No FID Match"))</f>
        <v/>
      </c>
    </row>
    <row r="691" spans="5:5" ht="15" customHeight="1" x14ac:dyDescent="0.3">
      <c r="E691" t="str">
        <f>IF($A691="","", IFERROR(INDEX(Machine_List!$B$72:$B$81, MATCH("*"&amp;$B691&amp;"*", Machine_List!$J$72:$J$81, 0)), "No FID Match"))</f>
        <v/>
      </c>
    </row>
    <row r="692" spans="5:5" ht="15" customHeight="1" x14ac:dyDescent="0.3">
      <c r="E692" t="str">
        <f>IF($A692="","", IFERROR(INDEX(Machine_List!$B$72:$B$81, MATCH("*"&amp;$B692&amp;"*", Machine_List!$J$72:$J$81, 0)), "No FID Match"))</f>
        <v/>
      </c>
    </row>
    <row r="693" spans="5:5" ht="15" customHeight="1" x14ac:dyDescent="0.3">
      <c r="E693" t="str">
        <f>IF($A693="","", IFERROR(INDEX(Machine_List!$B$72:$B$81, MATCH("*"&amp;$B693&amp;"*", Machine_List!$J$72:$J$81, 0)), "No FID Match"))</f>
        <v/>
      </c>
    </row>
    <row r="694" spans="5:5" ht="15" customHeight="1" x14ac:dyDescent="0.3">
      <c r="E694" t="str">
        <f>IF($A694="","", IFERROR(INDEX(Machine_List!$B$72:$B$81, MATCH("*"&amp;$B694&amp;"*", Machine_List!$J$72:$J$81, 0)), "No FID Match"))</f>
        <v/>
      </c>
    </row>
    <row r="695" spans="5:5" ht="15" customHeight="1" x14ac:dyDescent="0.3">
      <c r="E695" t="str">
        <f>IF($A695="","", IFERROR(INDEX(Machine_List!$B$72:$B$81, MATCH("*"&amp;$B695&amp;"*", Machine_List!$J$72:$J$81, 0)), "No FID Match"))</f>
        <v/>
      </c>
    </row>
    <row r="696" spans="5:5" ht="15" customHeight="1" x14ac:dyDescent="0.3">
      <c r="E696" t="str">
        <f>IF($A696="","", IFERROR(INDEX(Machine_List!$B$72:$B$81, MATCH("*"&amp;$B696&amp;"*", Machine_List!$J$72:$J$81, 0)), "No FID Match"))</f>
        <v/>
      </c>
    </row>
    <row r="697" spans="5:5" ht="15" customHeight="1" x14ac:dyDescent="0.3">
      <c r="E697" t="str">
        <f>IF($A697="","", IFERROR(INDEX(Machine_List!$B$72:$B$81, MATCH("*"&amp;$B697&amp;"*", Machine_List!$J$72:$J$81, 0)), "No FID Match"))</f>
        <v/>
      </c>
    </row>
    <row r="698" spans="5:5" ht="15" customHeight="1" x14ac:dyDescent="0.3">
      <c r="E698" t="str">
        <f>IF($A698="","", IFERROR(INDEX(Machine_List!$B$72:$B$81, MATCH("*"&amp;$B698&amp;"*", Machine_List!$J$72:$J$81, 0)), "No FID Match"))</f>
        <v/>
      </c>
    </row>
    <row r="699" spans="5:5" ht="15" customHeight="1" x14ac:dyDescent="0.3">
      <c r="E699" t="str">
        <f>IF($A699="","", IFERROR(INDEX(Machine_List!$B$72:$B$81, MATCH("*"&amp;$B699&amp;"*", Machine_List!$J$72:$J$81, 0)), "No FID Match"))</f>
        <v/>
      </c>
    </row>
    <row r="700" spans="5:5" ht="15" customHeight="1" x14ac:dyDescent="0.3">
      <c r="E700" t="str">
        <f>IF($A700="","", IFERROR(INDEX(Machine_List!$B$72:$B$81, MATCH("*"&amp;$B700&amp;"*", Machine_List!$J$72:$J$81, 0)), "No FID Match"))</f>
        <v/>
      </c>
    </row>
    <row r="701" spans="5:5" ht="15" customHeight="1" x14ac:dyDescent="0.3">
      <c r="E701" t="str">
        <f>IF($A701="","", IFERROR(INDEX(Machine_List!$B$72:$B$81, MATCH("*"&amp;$B701&amp;"*", Machine_List!$J$72:$J$81, 0)), "No FID Match"))</f>
        <v/>
      </c>
    </row>
    <row r="702" spans="5:5" ht="15" customHeight="1" x14ac:dyDescent="0.3">
      <c r="E702" t="str">
        <f>IF($A702="","", IFERROR(INDEX(Machine_List!$B$72:$B$81, MATCH("*"&amp;$B702&amp;"*", Machine_List!$J$72:$J$81, 0)), "No FID Match"))</f>
        <v/>
      </c>
    </row>
    <row r="703" spans="5:5" ht="15" customHeight="1" x14ac:dyDescent="0.3">
      <c r="E703" t="str">
        <f>IF($A703="","", IFERROR(INDEX(Machine_List!$B$72:$B$81, MATCH("*"&amp;$B703&amp;"*", Machine_List!$J$72:$J$81, 0)), "No FID Match"))</f>
        <v/>
      </c>
    </row>
    <row r="704" spans="5:5" ht="15" customHeight="1" x14ac:dyDescent="0.3">
      <c r="E704" t="str">
        <f>IF($A704="","", IFERROR(INDEX(Machine_List!$B$72:$B$81, MATCH("*"&amp;$B704&amp;"*", Machine_List!$J$72:$J$81, 0)), "No FID Match"))</f>
        <v/>
      </c>
    </row>
    <row r="705" spans="5:5" ht="15" customHeight="1" x14ac:dyDescent="0.3">
      <c r="E705" t="str">
        <f>IF($A705="","", IFERROR(INDEX(Machine_List!$B$72:$B$81, MATCH("*"&amp;$B705&amp;"*", Machine_List!$J$72:$J$81, 0)), "No FID Match"))</f>
        <v/>
      </c>
    </row>
    <row r="706" spans="5:5" ht="15" customHeight="1" x14ac:dyDescent="0.3">
      <c r="E706" t="str">
        <f>IF($A706="","", IFERROR(INDEX(Machine_List!$B$72:$B$81, MATCH("*"&amp;$B706&amp;"*", Machine_List!$J$72:$J$81, 0)), "No FID Match"))</f>
        <v/>
      </c>
    </row>
    <row r="707" spans="5:5" ht="15" customHeight="1" x14ac:dyDescent="0.3">
      <c r="E707" t="str">
        <f>IF($A707="","", IFERROR(INDEX(Machine_List!$B$72:$B$81, MATCH("*"&amp;$B707&amp;"*", Machine_List!$J$72:$J$81, 0)), "No FID Match"))</f>
        <v/>
      </c>
    </row>
    <row r="708" spans="5:5" ht="15" customHeight="1" x14ac:dyDescent="0.3">
      <c r="E708" t="str">
        <f>IF($A708="","", IFERROR(INDEX(Machine_List!$B$72:$B$81, MATCH("*"&amp;$B708&amp;"*", Machine_List!$J$72:$J$81, 0)), "No FID Match"))</f>
        <v/>
      </c>
    </row>
    <row r="709" spans="5:5" ht="15" customHeight="1" x14ac:dyDescent="0.3">
      <c r="E709" t="str">
        <f>IF($A709="","", IFERROR(INDEX(Machine_List!$B$72:$B$81, MATCH("*"&amp;$B709&amp;"*", Machine_List!$J$72:$J$81, 0)), "No FID Match"))</f>
        <v/>
      </c>
    </row>
    <row r="710" spans="5:5" ht="15" customHeight="1" x14ac:dyDescent="0.3">
      <c r="E710" t="str">
        <f>IF($A710="","", IFERROR(INDEX(Machine_List!$B$72:$B$81, MATCH("*"&amp;$B710&amp;"*", Machine_List!$J$72:$J$81, 0)), "No FID Match"))</f>
        <v/>
      </c>
    </row>
    <row r="711" spans="5:5" ht="15" customHeight="1" x14ac:dyDescent="0.3">
      <c r="E711" t="str">
        <f>IF($A711="","", IFERROR(INDEX(Machine_List!$B$72:$B$81, MATCH("*"&amp;$B711&amp;"*", Machine_List!$J$72:$J$81, 0)), "No FID Match"))</f>
        <v/>
      </c>
    </row>
    <row r="712" spans="5:5" ht="15" customHeight="1" x14ac:dyDescent="0.3">
      <c r="E712" t="str">
        <f>IF($A712="","", IFERROR(INDEX(Machine_List!$B$72:$B$81, MATCH("*"&amp;$B712&amp;"*", Machine_List!$J$72:$J$81, 0)), "No FID Match"))</f>
        <v/>
      </c>
    </row>
    <row r="713" spans="5:5" ht="15" customHeight="1" x14ac:dyDescent="0.3">
      <c r="E713" t="str">
        <f>IF($A713="","", IFERROR(INDEX(Machine_List!$B$72:$B$81, MATCH("*"&amp;$B713&amp;"*", Machine_List!$J$72:$J$81, 0)), "No FID Match"))</f>
        <v/>
      </c>
    </row>
    <row r="714" spans="5:5" ht="15" customHeight="1" x14ac:dyDescent="0.3">
      <c r="E714" t="str">
        <f>IF($A714="","", IFERROR(INDEX(Machine_List!$B$72:$B$81, MATCH("*"&amp;$B714&amp;"*", Machine_List!$J$72:$J$81, 0)), "No FID Match"))</f>
        <v/>
      </c>
    </row>
    <row r="715" spans="5:5" ht="15" customHeight="1" x14ac:dyDescent="0.3">
      <c r="E715" t="str">
        <f>IF($A715="","", IFERROR(INDEX(Machine_List!$B$72:$B$81, MATCH("*"&amp;$B715&amp;"*", Machine_List!$J$72:$J$81, 0)), "No FID Match"))</f>
        <v/>
      </c>
    </row>
    <row r="716" spans="5:5" ht="15" customHeight="1" x14ac:dyDescent="0.3">
      <c r="E716" t="str">
        <f>IF($A716="","", IFERROR(INDEX(Machine_List!$B$72:$B$81, MATCH("*"&amp;$B716&amp;"*", Machine_List!$J$72:$J$81, 0)), "No FID Match"))</f>
        <v/>
      </c>
    </row>
    <row r="717" spans="5:5" ht="15" customHeight="1" x14ac:dyDescent="0.3">
      <c r="E717" t="str">
        <f>IF($A717="","", IFERROR(INDEX(Machine_List!$B$72:$B$81, MATCH("*"&amp;$B717&amp;"*", Machine_List!$J$72:$J$81, 0)), "No FID Match"))</f>
        <v/>
      </c>
    </row>
    <row r="718" spans="5:5" ht="15" customHeight="1" x14ac:dyDescent="0.3">
      <c r="E718" t="str">
        <f>IF($A718="","", IFERROR(INDEX(Machine_List!$B$72:$B$81, MATCH("*"&amp;$B718&amp;"*", Machine_List!$J$72:$J$81, 0)), "No FID Match"))</f>
        <v/>
      </c>
    </row>
    <row r="719" spans="5:5" ht="15" customHeight="1" x14ac:dyDescent="0.3">
      <c r="E719" t="str">
        <f>IF($A719="","", IFERROR(INDEX(Machine_List!$B$72:$B$81, MATCH("*"&amp;$B719&amp;"*", Machine_List!$J$72:$J$81, 0)), "No FID Match"))</f>
        <v/>
      </c>
    </row>
    <row r="720" spans="5:5" ht="15" customHeight="1" x14ac:dyDescent="0.3">
      <c r="E720" t="str">
        <f>IF($A720="","", IFERROR(INDEX(Machine_List!$B$72:$B$81, MATCH("*"&amp;$B720&amp;"*", Machine_List!$J$72:$J$81, 0)), "No FID Match"))</f>
        <v/>
      </c>
    </row>
    <row r="721" spans="5:5" ht="15" customHeight="1" x14ac:dyDescent="0.3">
      <c r="E721" t="str">
        <f>IF($A721="","", IFERROR(INDEX(Machine_List!$B$72:$B$81, MATCH("*"&amp;$B721&amp;"*", Machine_List!$J$72:$J$81, 0)), "No FID Match"))</f>
        <v/>
      </c>
    </row>
    <row r="722" spans="5:5" ht="15" customHeight="1" x14ac:dyDescent="0.3">
      <c r="E722" t="str">
        <f>IF($A722="","", IFERROR(INDEX(Machine_List!$B$72:$B$81, MATCH("*"&amp;$B722&amp;"*", Machine_List!$J$72:$J$81, 0)), "No FID Match"))</f>
        <v/>
      </c>
    </row>
    <row r="723" spans="5:5" ht="15" customHeight="1" x14ac:dyDescent="0.3">
      <c r="E723" t="str">
        <f>IF($A723="","", IFERROR(INDEX(Machine_List!$B$72:$B$81, MATCH("*"&amp;$B723&amp;"*", Machine_List!$J$72:$J$81, 0)), "No FID Match"))</f>
        <v/>
      </c>
    </row>
    <row r="724" spans="5:5" ht="15" customHeight="1" x14ac:dyDescent="0.3">
      <c r="E724" t="str">
        <f>IF($A724="","", IFERROR(INDEX(Machine_List!$B$72:$B$81, MATCH("*"&amp;$B724&amp;"*", Machine_List!$J$72:$J$81, 0)), "No FID Match"))</f>
        <v/>
      </c>
    </row>
    <row r="725" spans="5:5" ht="15" customHeight="1" x14ac:dyDescent="0.3">
      <c r="E725" t="str">
        <f>IF($A725="","", IFERROR(INDEX(Machine_List!$B$72:$B$81, MATCH("*"&amp;$B725&amp;"*", Machine_List!$J$72:$J$81, 0)), "No FID Match"))</f>
        <v/>
      </c>
    </row>
    <row r="726" spans="5:5" ht="15" customHeight="1" x14ac:dyDescent="0.3">
      <c r="E726" t="str">
        <f>IF($A726="","", IFERROR(INDEX(Machine_List!$B$72:$B$81, MATCH("*"&amp;$B726&amp;"*", Machine_List!$J$72:$J$81, 0)), "No FID Match"))</f>
        <v/>
      </c>
    </row>
    <row r="727" spans="5:5" ht="15" customHeight="1" x14ac:dyDescent="0.3">
      <c r="E727" t="str">
        <f>IF($A727="","", IFERROR(INDEX(Machine_List!$B$72:$B$81, MATCH("*"&amp;$B727&amp;"*", Machine_List!$J$72:$J$81, 0)), "No FID Match"))</f>
        <v/>
      </c>
    </row>
    <row r="728" spans="5:5" ht="15" customHeight="1" x14ac:dyDescent="0.3">
      <c r="E728" t="str">
        <f>IF($A728="","", IFERROR(INDEX(Machine_List!$B$72:$B$81, MATCH("*"&amp;$B728&amp;"*", Machine_List!$J$72:$J$81, 0)), "No FID Match"))</f>
        <v/>
      </c>
    </row>
    <row r="729" spans="5:5" ht="15" customHeight="1" x14ac:dyDescent="0.3">
      <c r="E729" t="str">
        <f>IF($A729="","", IFERROR(INDEX(Machine_List!$B$72:$B$81, MATCH("*"&amp;$B729&amp;"*", Machine_List!$J$72:$J$81, 0)), "No FID Match"))</f>
        <v/>
      </c>
    </row>
    <row r="730" spans="5:5" ht="15" customHeight="1" x14ac:dyDescent="0.3">
      <c r="E730" t="str">
        <f>IF($A730="","", IFERROR(INDEX(Machine_List!$B$72:$B$81, MATCH("*"&amp;$B730&amp;"*", Machine_List!$J$72:$J$81, 0)), "No FID Match"))</f>
        <v/>
      </c>
    </row>
    <row r="731" spans="5:5" ht="15" customHeight="1" x14ac:dyDescent="0.3">
      <c r="E731" t="str">
        <f>IF($A731="","", IFERROR(INDEX(Machine_List!$B$72:$B$81, MATCH("*"&amp;$B731&amp;"*", Machine_List!$J$72:$J$81, 0)), "No FID Match"))</f>
        <v/>
      </c>
    </row>
    <row r="732" spans="5:5" ht="15" customHeight="1" x14ac:dyDescent="0.3">
      <c r="E732" t="str">
        <f>IF($A732="","", IFERROR(INDEX(Machine_List!$B$72:$B$81, MATCH("*"&amp;$B732&amp;"*", Machine_List!$J$72:$J$81, 0)), "No FID Match"))</f>
        <v/>
      </c>
    </row>
    <row r="733" spans="5:5" ht="15" customHeight="1" x14ac:dyDescent="0.3">
      <c r="E733" t="str">
        <f>IF($A733="","", IFERROR(INDEX(Machine_List!$B$72:$B$81, MATCH("*"&amp;$B733&amp;"*", Machine_List!$J$72:$J$81, 0)), "No FID Match"))</f>
        <v/>
      </c>
    </row>
    <row r="734" spans="5:5" ht="15" customHeight="1" x14ac:dyDescent="0.3">
      <c r="E734" t="str">
        <f>IF($A734="","", IFERROR(INDEX(Machine_List!$B$72:$B$81, MATCH("*"&amp;$B734&amp;"*", Machine_List!$J$72:$J$81, 0)), "No FID Match"))</f>
        <v/>
      </c>
    </row>
    <row r="735" spans="5:5" ht="15" customHeight="1" x14ac:dyDescent="0.3">
      <c r="E735" t="str">
        <f>IF($A735="","", IFERROR(INDEX(Machine_List!$B$72:$B$81, MATCH("*"&amp;$B735&amp;"*", Machine_List!$J$72:$J$81, 0)), "No FID Match"))</f>
        <v/>
      </c>
    </row>
    <row r="736" spans="5:5" ht="15" customHeight="1" x14ac:dyDescent="0.3">
      <c r="E736" t="str">
        <f>IF($A736="","", IFERROR(INDEX(Machine_List!$B$72:$B$81, MATCH("*"&amp;$B736&amp;"*", Machine_List!$J$72:$J$81, 0)), "No FID Match"))</f>
        <v/>
      </c>
    </row>
    <row r="737" spans="5:5" ht="15" customHeight="1" x14ac:dyDescent="0.3">
      <c r="E737" t="str">
        <f>IF($A737="","", IFERROR(INDEX(Machine_List!$B$72:$B$81, MATCH("*"&amp;$B737&amp;"*", Machine_List!$J$72:$J$81, 0)), "No FID Match"))</f>
        <v/>
      </c>
    </row>
    <row r="738" spans="5:5" ht="15" customHeight="1" x14ac:dyDescent="0.3">
      <c r="E738" t="str">
        <f>IF($A738="","", IFERROR(INDEX(Machine_List!$B$72:$B$81, MATCH("*"&amp;$B738&amp;"*", Machine_List!$J$72:$J$81, 0)), "No FID Match"))</f>
        <v/>
      </c>
    </row>
    <row r="739" spans="5:5" ht="15" customHeight="1" x14ac:dyDescent="0.3">
      <c r="E739" t="str">
        <f>IF($A739="","", IFERROR(INDEX(Machine_List!$B$72:$B$81, MATCH("*"&amp;$B739&amp;"*", Machine_List!$J$72:$J$81, 0)), "No FID Match"))</f>
        <v/>
      </c>
    </row>
    <row r="740" spans="5:5" ht="15" customHeight="1" x14ac:dyDescent="0.3">
      <c r="E740" t="str">
        <f>IF($A740="","", IFERROR(INDEX(Machine_List!$B$72:$B$81, MATCH("*"&amp;$B740&amp;"*", Machine_List!$J$72:$J$81, 0)), "No FID Match"))</f>
        <v/>
      </c>
    </row>
    <row r="741" spans="5:5" ht="15" customHeight="1" x14ac:dyDescent="0.3">
      <c r="E741" t="str">
        <f>IF($A741="","", IFERROR(INDEX(Machine_List!$B$72:$B$81, MATCH("*"&amp;$B741&amp;"*", Machine_List!$J$72:$J$81, 0)), "No FID Match"))</f>
        <v/>
      </c>
    </row>
    <row r="742" spans="5:5" ht="15" customHeight="1" x14ac:dyDescent="0.3">
      <c r="E742" t="str">
        <f>IF($A742="","", IFERROR(INDEX(Machine_List!$B$72:$B$81, MATCH("*"&amp;$B742&amp;"*", Machine_List!$J$72:$J$81, 0)), "No FID Match"))</f>
        <v/>
      </c>
    </row>
    <row r="743" spans="5:5" ht="15" customHeight="1" x14ac:dyDescent="0.3">
      <c r="E743" t="str">
        <f>IF($A743="","", IFERROR(INDEX(Machine_List!$B$72:$B$81, MATCH("*"&amp;$B743&amp;"*", Machine_List!$J$72:$J$81, 0)), "No FID Match"))</f>
        <v/>
      </c>
    </row>
    <row r="744" spans="5:5" ht="15" customHeight="1" x14ac:dyDescent="0.3">
      <c r="E744" t="str">
        <f>IF($A744="","", IFERROR(INDEX(Machine_List!$B$72:$B$81, MATCH("*"&amp;$B744&amp;"*", Machine_List!$J$72:$J$81, 0)), "No FID Match"))</f>
        <v/>
      </c>
    </row>
    <row r="745" spans="5:5" ht="15" customHeight="1" x14ac:dyDescent="0.3">
      <c r="E745" t="str">
        <f>IF($A745="","", IFERROR(INDEX(Machine_List!$B$72:$B$81, MATCH("*"&amp;$B745&amp;"*", Machine_List!$J$72:$J$81, 0)), "No FID Match"))</f>
        <v/>
      </c>
    </row>
    <row r="746" spans="5:5" ht="15" customHeight="1" x14ac:dyDescent="0.3">
      <c r="E746" t="str">
        <f>IF($A746="","", IFERROR(INDEX(Machine_List!$B$72:$B$81, MATCH("*"&amp;$B746&amp;"*", Machine_List!$J$72:$J$81, 0)), "No FID Match"))</f>
        <v/>
      </c>
    </row>
    <row r="747" spans="5:5" ht="15" customHeight="1" x14ac:dyDescent="0.3">
      <c r="E747" t="str">
        <f>IF($A747="","", IFERROR(INDEX(Machine_List!$B$72:$B$81, MATCH("*"&amp;$B747&amp;"*", Machine_List!$J$72:$J$81, 0)), "No FID Match"))</f>
        <v/>
      </c>
    </row>
    <row r="748" spans="5:5" ht="15" customHeight="1" x14ac:dyDescent="0.3">
      <c r="E748" t="str">
        <f>IF($A748="","", IFERROR(INDEX(Machine_List!$B$72:$B$81, MATCH("*"&amp;$B748&amp;"*", Machine_List!$J$72:$J$81, 0)), "No FID Match"))</f>
        <v/>
      </c>
    </row>
    <row r="749" spans="5:5" ht="15" customHeight="1" x14ac:dyDescent="0.3">
      <c r="E749" t="str">
        <f>IF($A749="","", IFERROR(INDEX(Machine_List!$B$72:$B$81, MATCH("*"&amp;$B749&amp;"*", Machine_List!$J$72:$J$81, 0)), "No FID Match"))</f>
        <v/>
      </c>
    </row>
    <row r="750" spans="5:5" ht="15" customHeight="1" x14ac:dyDescent="0.3">
      <c r="E750" t="str">
        <f>IF($A750="","", IFERROR(INDEX(Machine_List!$B$72:$B$81, MATCH("*"&amp;$B750&amp;"*", Machine_List!$J$72:$J$81, 0)), "No FID Match"))</f>
        <v/>
      </c>
    </row>
    <row r="751" spans="5:5" ht="15" customHeight="1" x14ac:dyDescent="0.3">
      <c r="E751" t="str">
        <f>IF($A751="","", IFERROR(INDEX(Machine_List!$B$72:$B$81, MATCH("*"&amp;$B751&amp;"*", Machine_List!$J$72:$J$81, 0)), "No FID Match"))</f>
        <v/>
      </c>
    </row>
    <row r="752" spans="5:5" ht="15" customHeight="1" x14ac:dyDescent="0.3">
      <c r="E752" t="str">
        <f>IF($A752="","", IFERROR(INDEX(Machine_List!$B$72:$B$81, MATCH("*"&amp;$B752&amp;"*", Machine_List!$J$72:$J$81, 0)), "No FID Match"))</f>
        <v/>
      </c>
    </row>
    <row r="753" spans="5:5" ht="15" customHeight="1" x14ac:dyDescent="0.3">
      <c r="E753" t="str">
        <f>IF($A753="","", IFERROR(INDEX(Machine_List!$B$72:$B$81, MATCH("*"&amp;$B753&amp;"*", Machine_List!$J$72:$J$81, 0)), "No FID Match"))</f>
        <v/>
      </c>
    </row>
    <row r="754" spans="5:5" ht="15" customHeight="1" x14ac:dyDescent="0.3">
      <c r="E754" t="str">
        <f>IF($A754="","", IFERROR(INDEX(Machine_List!$B$72:$B$81, MATCH("*"&amp;$B754&amp;"*", Machine_List!$J$72:$J$81, 0)), "No FID Match"))</f>
        <v/>
      </c>
    </row>
    <row r="755" spans="5:5" ht="15" customHeight="1" x14ac:dyDescent="0.3">
      <c r="E755" t="str">
        <f>IF($A755="","", IFERROR(INDEX(Machine_List!$B$72:$B$81, MATCH("*"&amp;$B755&amp;"*", Machine_List!$J$72:$J$81, 0)), "No FID Match"))</f>
        <v/>
      </c>
    </row>
    <row r="756" spans="5:5" ht="15" customHeight="1" x14ac:dyDescent="0.3">
      <c r="E756" t="str">
        <f>IF($A756="","", IFERROR(INDEX(Machine_List!$B$72:$B$81, MATCH("*"&amp;$B756&amp;"*", Machine_List!$J$72:$J$81, 0)), "No FID Match"))</f>
        <v/>
      </c>
    </row>
    <row r="757" spans="5:5" ht="15" customHeight="1" x14ac:dyDescent="0.3">
      <c r="E757" t="str">
        <f>IF($A757="","", IFERROR(INDEX(Machine_List!$B$72:$B$81, MATCH("*"&amp;$B757&amp;"*", Machine_List!$J$72:$J$81, 0)), "No FID Match"))</f>
        <v/>
      </c>
    </row>
    <row r="758" spans="5:5" ht="15" customHeight="1" x14ac:dyDescent="0.3">
      <c r="E758" t="str">
        <f>IF($A758="","", IFERROR(INDEX(Machine_List!$B$72:$B$81, MATCH("*"&amp;$B758&amp;"*", Machine_List!$J$72:$J$81, 0)), "No FID Match"))</f>
        <v/>
      </c>
    </row>
    <row r="759" spans="5:5" ht="15" customHeight="1" x14ac:dyDescent="0.3">
      <c r="E759" t="str">
        <f>IF($A759="","", IFERROR(INDEX(Machine_List!$B$72:$B$81, MATCH("*"&amp;$B759&amp;"*", Machine_List!$J$72:$J$81, 0)), "No FID Match"))</f>
        <v/>
      </c>
    </row>
    <row r="760" spans="5:5" ht="15" customHeight="1" x14ac:dyDescent="0.3">
      <c r="E760" t="str">
        <f>IF($A760="","", IFERROR(INDEX(Machine_List!$B$72:$B$81, MATCH("*"&amp;$B760&amp;"*", Machine_List!$J$72:$J$81, 0)), "No FID Match"))</f>
        <v/>
      </c>
    </row>
    <row r="761" spans="5:5" ht="15" customHeight="1" x14ac:dyDescent="0.3">
      <c r="E761" t="str">
        <f>IF($A761="","", IFERROR(INDEX(Machine_List!$B$72:$B$81, MATCH("*"&amp;$B761&amp;"*", Machine_List!$J$72:$J$81, 0)), "No FID Match"))</f>
        <v/>
      </c>
    </row>
    <row r="762" spans="5:5" ht="15" customHeight="1" x14ac:dyDescent="0.3">
      <c r="E762" t="str">
        <f>IF($A762="","", IFERROR(INDEX(Machine_List!$B$72:$B$81, MATCH("*"&amp;$B762&amp;"*", Machine_List!$J$72:$J$81, 0)), "No FID Match"))</f>
        <v/>
      </c>
    </row>
    <row r="763" spans="5:5" ht="15" customHeight="1" x14ac:dyDescent="0.3">
      <c r="E763" t="str">
        <f>IF($A763="","", IFERROR(INDEX(Machine_List!$B$72:$B$81, MATCH("*"&amp;$B763&amp;"*", Machine_List!$J$72:$J$81, 0)), "No FID Match"))</f>
        <v/>
      </c>
    </row>
    <row r="764" spans="5:5" ht="15" customHeight="1" x14ac:dyDescent="0.3">
      <c r="E764" t="str">
        <f>IF($A764="","", IFERROR(INDEX(Machine_List!$B$72:$B$81, MATCH("*"&amp;$B764&amp;"*", Machine_List!$J$72:$J$81, 0)), "No FID Match"))</f>
        <v/>
      </c>
    </row>
    <row r="765" spans="5:5" ht="15" customHeight="1" x14ac:dyDescent="0.3">
      <c r="E765" t="str">
        <f>IF($A765="","", IFERROR(INDEX(Machine_List!$B$72:$B$81, MATCH("*"&amp;$B765&amp;"*", Machine_List!$J$72:$J$81, 0)), "No FID Match"))</f>
        <v/>
      </c>
    </row>
    <row r="766" spans="5:5" ht="15" customHeight="1" x14ac:dyDescent="0.3">
      <c r="E766" t="str">
        <f>IF($A766="","", IFERROR(INDEX(Machine_List!$B$72:$B$81, MATCH("*"&amp;$B766&amp;"*", Machine_List!$J$72:$J$81, 0)), "No FID Match"))</f>
        <v/>
      </c>
    </row>
    <row r="767" spans="5:5" ht="15" customHeight="1" x14ac:dyDescent="0.3">
      <c r="E767" t="str">
        <f>IF($A767="","", IFERROR(INDEX(Machine_List!$B$72:$B$81, MATCH("*"&amp;$B767&amp;"*", Machine_List!$J$72:$J$81, 0)), "No FID Match"))</f>
        <v/>
      </c>
    </row>
    <row r="768" spans="5:5" ht="15" customHeight="1" x14ac:dyDescent="0.3">
      <c r="E768" t="str">
        <f>IF($A768="","", IFERROR(INDEX(Machine_List!$B$72:$B$81, MATCH("*"&amp;$B768&amp;"*", Machine_List!$J$72:$J$81, 0)), "No FID Match"))</f>
        <v/>
      </c>
    </row>
    <row r="769" spans="5:5" ht="15" customHeight="1" x14ac:dyDescent="0.3">
      <c r="E769" t="str">
        <f>IF($A769="","", IFERROR(INDEX(Machine_List!$B$72:$B$81, MATCH("*"&amp;$B769&amp;"*", Machine_List!$J$72:$J$81, 0)), "No FID Match"))</f>
        <v/>
      </c>
    </row>
    <row r="770" spans="5:5" ht="15" customHeight="1" x14ac:dyDescent="0.3">
      <c r="E770" t="str">
        <f>IF($A770="","", IFERROR(INDEX(Machine_List!$B$72:$B$81, MATCH("*"&amp;$B770&amp;"*", Machine_List!$J$72:$J$81, 0)), "No FID Match"))</f>
        <v/>
      </c>
    </row>
    <row r="771" spans="5:5" ht="15" customHeight="1" x14ac:dyDescent="0.3">
      <c r="E771" t="str">
        <f>IF($A771="","", IFERROR(INDEX(Machine_List!$B$72:$B$81, MATCH("*"&amp;$B771&amp;"*", Machine_List!$J$72:$J$81, 0)), "No FID Match"))</f>
        <v/>
      </c>
    </row>
    <row r="772" spans="5:5" ht="15" customHeight="1" x14ac:dyDescent="0.3">
      <c r="E772" t="str">
        <f>IF($A772="","", IFERROR(INDEX(Machine_List!$B$72:$B$81, MATCH("*"&amp;$B772&amp;"*", Machine_List!$J$72:$J$81, 0)), "No FID Match"))</f>
        <v/>
      </c>
    </row>
    <row r="773" spans="5:5" ht="15" customHeight="1" x14ac:dyDescent="0.3">
      <c r="E773" t="str">
        <f>IF($A773="","", IFERROR(INDEX(Machine_List!$B$72:$B$81, MATCH("*"&amp;$B773&amp;"*", Machine_List!$J$72:$J$81, 0)), "No FID Match"))</f>
        <v/>
      </c>
    </row>
    <row r="774" spans="5:5" ht="15" customHeight="1" x14ac:dyDescent="0.3">
      <c r="E774" t="str">
        <f>IF($A774="","", IFERROR(INDEX(Machine_List!$B$72:$B$81, MATCH("*"&amp;$B774&amp;"*", Machine_List!$J$72:$J$81, 0)), "No FID Match"))</f>
        <v/>
      </c>
    </row>
    <row r="775" spans="5:5" ht="15" customHeight="1" x14ac:dyDescent="0.3">
      <c r="E775" t="str">
        <f>IF($A775="","", IFERROR(INDEX(Machine_List!$B$72:$B$81, MATCH("*"&amp;$B775&amp;"*", Machine_List!$J$72:$J$81, 0)), "No FID Match"))</f>
        <v/>
      </c>
    </row>
    <row r="776" spans="5:5" ht="15" customHeight="1" x14ac:dyDescent="0.3">
      <c r="E776" t="str">
        <f>IF($A776="","", IFERROR(INDEX(Machine_List!$B$72:$B$81, MATCH("*"&amp;$B776&amp;"*", Machine_List!$J$72:$J$81, 0)), "No FID Match"))</f>
        <v/>
      </c>
    </row>
    <row r="777" spans="5:5" ht="15" customHeight="1" x14ac:dyDescent="0.3">
      <c r="E777" t="str">
        <f>IF($A777="","", IFERROR(INDEX(Machine_List!$B$72:$B$81, MATCH("*"&amp;$B777&amp;"*", Machine_List!$J$72:$J$81, 0)), "No FID Match"))</f>
        <v/>
      </c>
    </row>
    <row r="778" spans="5:5" ht="15" customHeight="1" x14ac:dyDescent="0.3">
      <c r="E778" t="str">
        <f>IF($A778="","", IFERROR(INDEX(Machine_List!$B$72:$B$81, MATCH("*"&amp;$B778&amp;"*", Machine_List!$J$72:$J$81, 0)), "No FID Match"))</f>
        <v/>
      </c>
    </row>
    <row r="779" spans="5:5" ht="15" customHeight="1" x14ac:dyDescent="0.3">
      <c r="E779" t="str">
        <f>IF($A779="","", IFERROR(INDEX(Machine_List!$B$72:$B$81, MATCH("*"&amp;$B779&amp;"*", Machine_List!$J$72:$J$81, 0)), "No FID Match"))</f>
        <v/>
      </c>
    </row>
    <row r="780" spans="5:5" ht="15" customHeight="1" x14ac:dyDescent="0.3">
      <c r="E780" t="str">
        <f>IF($A780="","", IFERROR(INDEX(Machine_List!$B$72:$B$81, MATCH("*"&amp;$B780&amp;"*", Machine_List!$J$72:$J$81, 0)), "No FID Match"))</f>
        <v/>
      </c>
    </row>
    <row r="781" spans="5:5" ht="15" customHeight="1" x14ac:dyDescent="0.3">
      <c r="E781" t="str">
        <f>IF($A781="","", IFERROR(INDEX(Machine_List!$B$72:$B$81, MATCH("*"&amp;$B781&amp;"*", Machine_List!$J$72:$J$81, 0)), "No FID Match"))</f>
        <v/>
      </c>
    </row>
    <row r="782" spans="5:5" ht="15" customHeight="1" x14ac:dyDescent="0.3">
      <c r="E782" t="str">
        <f>IF($A782="","", IFERROR(INDEX(Machine_List!$B$72:$B$81, MATCH("*"&amp;$B782&amp;"*", Machine_List!$J$72:$J$81, 0)), "No FID Match"))</f>
        <v/>
      </c>
    </row>
    <row r="783" spans="5:5" ht="15" customHeight="1" x14ac:dyDescent="0.3">
      <c r="E783" t="str">
        <f>IF($A783="","", IFERROR(INDEX(Machine_List!$B$72:$B$81, MATCH("*"&amp;$B783&amp;"*", Machine_List!$J$72:$J$81, 0)), "No FID Match"))</f>
        <v/>
      </c>
    </row>
    <row r="784" spans="5:5" ht="15" customHeight="1" x14ac:dyDescent="0.3">
      <c r="E784" t="str">
        <f>IF($A784="","", IFERROR(INDEX(Machine_List!$B$72:$B$81, MATCH("*"&amp;$B784&amp;"*", Machine_List!$J$72:$J$81, 0)), "No FID Match"))</f>
        <v/>
      </c>
    </row>
    <row r="785" spans="5:5" ht="15" customHeight="1" x14ac:dyDescent="0.3">
      <c r="E785" t="str">
        <f>IF($A785="","", IFERROR(INDEX(Machine_List!$B$72:$B$81, MATCH("*"&amp;$B785&amp;"*", Machine_List!$J$72:$J$81, 0)), "No FID Match"))</f>
        <v/>
      </c>
    </row>
    <row r="786" spans="5:5" ht="15" customHeight="1" x14ac:dyDescent="0.3">
      <c r="E786" t="str">
        <f>IF($A786="","", IFERROR(INDEX(Machine_List!$B$72:$B$81, MATCH("*"&amp;$B786&amp;"*", Machine_List!$J$72:$J$81, 0)), "No FID Match"))</f>
        <v/>
      </c>
    </row>
    <row r="787" spans="5:5" ht="15" customHeight="1" x14ac:dyDescent="0.3">
      <c r="E787" t="str">
        <f>IF($A787="","", IFERROR(INDEX(Machine_List!$B$72:$B$81, MATCH("*"&amp;$B787&amp;"*", Machine_List!$J$72:$J$81, 0)), "No FID Match"))</f>
        <v/>
      </c>
    </row>
    <row r="788" spans="5:5" ht="15" customHeight="1" x14ac:dyDescent="0.3">
      <c r="E788" t="str">
        <f>IF($A788="","", IFERROR(INDEX(Machine_List!$B$72:$B$81, MATCH("*"&amp;$B788&amp;"*", Machine_List!$J$72:$J$81, 0)), "No FID Match"))</f>
        <v/>
      </c>
    </row>
    <row r="789" spans="5:5" ht="15" customHeight="1" x14ac:dyDescent="0.3">
      <c r="E789" t="str">
        <f>IF($A789="","", IFERROR(INDEX(Machine_List!$B$72:$B$81, MATCH("*"&amp;$B789&amp;"*", Machine_List!$J$72:$J$81, 0)), "No FID Match"))</f>
        <v/>
      </c>
    </row>
    <row r="790" spans="5:5" ht="15" customHeight="1" x14ac:dyDescent="0.3">
      <c r="E790" t="str">
        <f>IF($A790="","", IFERROR(INDEX(Machine_List!$B$72:$B$81, MATCH("*"&amp;$B790&amp;"*", Machine_List!$J$72:$J$81, 0)), "No FID Match"))</f>
        <v/>
      </c>
    </row>
    <row r="791" spans="5:5" ht="15" customHeight="1" x14ac:dyDescent="0.3">
      <c r="E791" t="str">
        <f>IF($A791="","", IFERROR(INDEX(Machine_List!$B$72:$B$81, MATCH("*"&amp;$B791&amp;"*", Machine_List!$J$72:$J$81, 0)), "No FID Match"))</f>
        <v/>
      </c>
    </row>
    <row r="792" spans="5:5" ht="15" customHeight="1" x14ac:dyDescent="0.3">
      <c r="E792" t="str">
        <f>IF($A792="","", IFERROR(INDEX(Machine_List!$B$72:$B$81, MATCH("*"&amp;$B792&amp;"*", Machine_List!$J$72:$J$81, 0)), "No FID Match"))</f>
        <v/>
      </c>
    </row>
    <row r="793" spans="5:5" ht="15" customHeight="1" x14ac:dyDescent="0.3">
      <c r="E793" t="str">
        <f>IF($A793="","", IFERROR(INDEX(Machine_List!$B$72:$B$81, MATCH("*"&amp;$B793&amp;"*", Machine_List!$J$72:$J$81, 0)), "No FID Match"))</f>
        <v/>
      </c>
    </row>
    <row r="794" spans="5:5" ht="15" customHeight="1" x14ac:dyDescent="0.3">
      <c r="E794" t="str">
        <f>IF($A794="","", IFERROR(INDEX(Machine_List!$B$72:$B$81, MATCH("*"&amp;$B794&amp;"*", Machine_List!$J$72:$J$81, 0)), "No FID Match"))</f>
        <v/>
      </c>
    </row>
    <row r="795" spans="5:5" ht="15" customHeight="1" x14ac:dyDescent="0.3">
      <c r="E795" t="str">
        <f>IF($A795="","", IFERROR(INDEX(Machine_List!$B$72:$B$81, MATCH("*"&amp;$B795&amp;"*", Machine_List!$J$72:$J$81, 0)), "No FID Match"))</f>
        <v/>
      </c>
    </row>
    <row r="796" spans="5:5" ht="15" customHeight="1" x14ac:dyDescent="0.3">
      <c r="E796" t="str">
        <f>IF($A796="","", IFERROR(INDEX(Machine_List!$B$72:$B$81, MATCH("*"&amp;$B796&amp;"*", Machine_List!$J$72:$J$81, 0)), "No FID Match"))</f>
        <v/>
      </c>
    </row>
    <row r="797" spans="5:5" ht="15" customHeight="1" x14ac:dyDescent="0.3">
      <c r="E797" t="str">
        <f>IF($A797="","", IFERROR(INDEX(Machine_List!$B$72:$B$81, MATCH("*"&amp;$B797&amp;"*", Machine_List!$J$72:$J$81, 0)), "No FID Match"))</f>
        <v/>
      </c>
    </row>
    <row r="798" spans="5:5" ht="15" customHeight="1" x14ac:dyDescent="0.3">
      <c r="E798" t="str">
        <f>IF($A798="","", IFERROR(INDEX(Machine_List!$B$72:$B$81, MATCH("*"&amp;$B798&amp;"*", Machine_List!$J$72:$J$81, 0)), "No FID Match"))</f>
        <v/>
      </c>
    </row>
    <row r="799" spans="5:5" ht="15" customHeight="1" x14ac:dyDescent="0.3">
      <c r="E799" t="str">
        <f>IF($A799="","", IFERROR(INDEX(Machine_List!$B$72:$B$81, MATCH("*"&amp;$B799&amp;"*", Machine_List!$J$72:$J$81, 0)), "No FID Match"))</f>
        <v/>
      </c>
    </row>
    <row r="800" spans="5:5" ht="15" customHeight="1" x14ac:dyDescent="0.3">
      <c r="E800" t="str">
        <f>IF($A800="","", IFERROR(INDEX(Machine_List!$B$72:$B$81, MATCH("*"&amp;$B800&amp;"*", Machine_List!$J$72:$J$81, 0)), "No FID Match"))</f>
        <v/>
      </c>
    </row>
    <row r="801" spans="5:5" ht="15" customHeight="1" x14ac:dyDescent="0.3">
      <c r="E801" t="str">
        <f>IF($A801="","", IFERROR(INDEX(Machine_List!$B$72:$B$81, MATCH("*"&amp;$B801&amp;"*", Machine_List!$J$72:$J$81, 0)), "No FID Match"))</f>
        <v/>
      </c>
    </row>
    <row r="802" spans="5:5" ht="15" customHeight="1" x14ac:dyDescent="0.3">
      <c r="E802" t="str">
        <f>IF($A802="","", IFERROR(INDEX(Machine_List!$B$72:$B$81, MATCH("*"&amp;$B802&amp;"*", Machine_List!$J$72:$J$81, 0)), "No FID Match"))</f>
        <v/>
      </c>
    </row>
    <row r="803" spans="5:5" ht="15" customHeight="1" x14ac:dyDescent="0.3">
      <c r="E803" t="str">
        <f>IF($A803="","", IFERROR(INDEX(Machine_List!$B$72:$B$81, MATCH("*"&amp;$B803&amp;"*", Machine_List!$J$72:$J$81, 0)), "No FID Match"))</f>
        <v/>
      </c>
    </row>
    <row r="804" spans="5:5" ht="15" customHeight="1" x14ac:dyDescent="0.3">
      <c r="E804" t="str">
        <f>IF($A804="","", IFERROR(INDEX(Machine_List!$B$72:$B$81, MATCH("*"&amp;$B804&amp;"*", Machine_List!$J$72:$J$81, 0)), "No FID Match"))</f>
        <v/>
      </c>
    </row>
    <row r="805" spans="5:5" ht="15" customHeight="1" x14ac:dyDescent="0.3">
      <c r="E805" t="str">
        <f>IF($A805="","", IFERROR(INDEX(Machine_List!$B$72:$B$81, MATCH("*"&amp;$B805&amp;"*", Machine_List!$J$72:$J$81, 0)), "No FID Match"))</f>
        <v/>
      </c>
    </row>
    <row r="806" spans="5:5" ht="15" customHeight="1" x14ac:dyDescent="0.3">
      <c r="E806" t="str">
        <f>IF($A806="","", IFERROR(INDEX(Machine_List!$B$72:$B$81, MATCH("*"&amp;$B806&amp;"*", Machine_List!$J$72:$J$81, 0)), "No FID Match"))</f>
        <v/>
      </c>
    </row>
    <row r="807" spans="5:5" ht="15" customHeight="1" x14ac:dyDescent="0.3">
      <c r="E807" t="str">
        <f>IF($A807="","", IFERROR(INDEX(Machine_List!$B$72:$B$81, MATCH("*"&amp;$B807&amp;"*", Machine_List!$J$72:$J$81, 0)), "No FID Match"))</f>
        <v/>
      </c>
    </row>
    <row r="808" spans="5:5" ht="15" customHeight="1" x14ac:dyDescent="0.3">
      <c r="E808" t="str">
        <f>IF($A808="","", IFERROR(INDEX(Machine_List!$B$72:$B$81, MATCH("*"&amp;$B808&amp;"*", Machine_List!$J$72:$J$81, 0)), "No FID Match"))</f>
        <v/>
      </c>
    </row>
    <row r="809" spans="5:5" ht="15" customHeight="1" x14ac:dyDescent="0.3">
      <c r="E809" t="str">
        <f>IF($A809="","", IFERROR(INDEX(Machine_List!$B$72:$B$81, MATCH("*"&amp;$B809&amp;"*", Machine_List!$J$72:$J$81, 0)), "No FID Match"))</f>
        <v/>
      </c>
    </row>
    <row r="810" spans="5:5" ht="15" customHeight="1" x14ac:dyDescent="0.3">
      <c r="E810" t="str">
        <f>IF($A810="","", IFERROR(INDEX(Machine_List!$B$72:$B$81, MATCH("*"&amp;$B810&amp;"*", Machine_List!$J$72:$J$81, 0)), "No FID Match"))</f>
        <v/>
      </c>
    </row>
    <row r="811" spans="5:5" ht="15" customHeight="1" x14ac:dyDescent="0.3">
      <c r="E811" t="str">
        <f>IF($A811="","", IFERROR(INDEX(Machine_List!$B$72:$B$81, MATCH("*"&amp;$B811&amp;"*", Machine_List!$J$72:$J$81, 0)), "No FID Match"))</f>
        <v/>
      </c>
    </row>
    <row r="812" spans="5:5" ht="15" customHeight="1" x14ac:dyDescent="0.3">
      <c r="E812" t="str">
        <f>IF($A812="","", IFERROR(INDEX(Machine_List!$B$72:$B$81, MATCH("*"&amp;$B812&amp;"*", Machine_List!$J$72:$J$81, 0)), "No FID Match"))</f>
        <v/>
      </c>
    </row>
    <row r="813" spans="5:5" ht="15" customHeight="1" x14ac:dyDescent="0.3">
      <c r="E813" t="str">
        <f>IF($A813="","", IFERROR(INDEX(Machine_List!$B$72:$B$81, MATCH("*"&amp;$B813&amp;"*", Machine_List!$J$72:$J$81, 0)), "No FID Match"))</f>
        <v/>
      </c>
    </row>
    <row r="814" spans="5:5" ht="15" customHeight="1" x14ac:dyDescent="0.3">
      <c r="E814" t="str">
        <f>IF($A814="","", IFERROR(INDEX(Machine_List!$B$72:$B$81, MATCH("*"&amp;$B814&amp;"*", Machine_List!$J$72:$J$81, 0)), "No FID Match"))</f>
        <v/>
      </c>
    </row>
    <row r="815" spans="5:5" ht="15" customHeight="1" x14ac:dyDescent="0.3">
      <c r="E815" t="str">
        <f>IF($A815="","", IFERROR(INDEX(Machine_List!$B$72:$B$81, MATCH("*"&amp;$B815&amp;"*", Machine_List!$J$72:$J$81, 0)), "No FID Match"))</f>
        <v/>
      </c>
    </row>
    <row r="816" spans="5:5" ht="15" customHeight="1" x14ac:dyDescent="0.3">
      <c r="E816" t="str">
        <f>IF($A816="","", IFERROR(INDEX(Machine_List!$B$72:$B$81, MATCH("*"&amp;$B816&amp;"*", Machine_List!$J$72:$J$81, 0)), "No FID Match"))</f>
        <v/>
      </c>
    </row>
    <row r="817" spans="5:5" ht="15" customHeight="1" x14ac:dyDescent="0.3">
      <c r="E817" t="str">
        <f>IF($A817="","", IFERROR(INDEX(Machine_List!$B$72:$B$81, MATCH("*"&amp;$B817&amp;"*", Machine_List!$J$72:$J$81, 0)), "No FID Match"))</f>
        <v/>
      </c>
    </row>
    <row r="818" spans="5:5" ht="15" customHeight="1" x14ac:dyDescent="0.3">
      <c r="E818" t="str">
        <f>IF($A818="","", IFERROR(INDEX(Machine_List!$B$72:$B$81, MATCH("*"&amp;$B818&amp;"*", Machine_List!$J$72:$J$81, 0)), "No FID Match"))</f>
        <v/>
      </c>
    </row>
    <row r="819" spans="5:5" ht="15" customHeight="1" x14ac:dyDescent="0.3">
      <c r="E819" t="str">
        <f>IF($A819="","", IFERROR(INDEX(Machine_List!$B$72:$B$81, MATCH("*"&amp;$B819&amp;"*", Machine_List!$J$72:$J$81, 0)), "No FID Match"))</f>
        <v/>
      </c>
    </row>
    <row r="820" spans="5:5" ht="15" customHeight="1" x14ac:dyDescent="0.3">
      <c r="E820" t="str">
        <f>IF($A820="","", IFERROR(INDEX(Machine_List!$B$72:$B$81, MATCH("*"&amp;$B820&amp;"*", Machine_List!$J$72:$J$81, 0)), "No FID Match"))</f>
        <v/>
      </c>
    </row>
    <row r="821" spans="5:5" ht="15" customHeight="1" x14ac:dyDescent="0.3">
      <c r="E821" t="str">
        <f>IF($A821="","", IFERROR(INDEX(Machine_List!$B$72:$B$81, MATCH("*"&amp;$B821&amp;"*", Machine_List!$J$72:$J$81, 0)), "No FID Match"))</f>
        <v/>
      </c>
    </row>
    <row r="822" spans="5:5" ht="15" customHeight="1" x14ac:dyDescent="0.3">
      <c r="E822" t="str">
        <f>IF($A822="","", IFERROR(INDEX(Machine_List!$B$72:$B$81, MATCH("*"&amp;$B822&amp;"*", Machine_List!$J$72:$J$81, 0)), "No FID Match"))</f>
        <v/>
      </c>
    </row>
    <row r="823" spans="5:5" ht="15" customHeight="1" x14ac:dyDescent="0.3">
      <c r="E823" t="str">
        <f>IF($A823="","", IFERROR(INDEX(Machine_List!$B$72:$B$81, MATCH("*"&amp;$B823&amp;"*", Machine_List!$J$72:$J$81, 0)), "No FID Match"))</f>
        <v/>
      </c>
    </row>
    <row r="824" spans="5:5" ht="15" customHeight="1" x14ac:dyDescent="0.3">
      <c r="E824" t="str">
        <f>IF($A824="","", IFERROR(INDEX(Machine_List!$B$72:$B$81, MATCH("*"&amp;$B824&amp;"*", Machine_List!$J$72:$J$81, 0)), "No FID Match"))</f>
        <v/>
      </c>
    </row>
    <row r="825" spans="5:5" ht="15" customHeight="1" x14ac:dyDescent="0.3">
      <c r="E825" t="str">
        <f>IF($A825="","", IFERROR(INDEX(Machine_List!$B$72:$B$81, MATCH("*"&amp;$B825&amp;"*", Machine_List!$J$72:$J$81, 0)), "No FID Match"))</f>
        <v/>
      </c>
    </row>
    <row r="826" spans="5:5" ht="15" customHeight="1" x14ac:dyDescent="0.3">
      <c r="E826" t="str">
        <f>IF($A826="","", IFERROR(INDEX(Machine_List!$B$72:$B$81, MATCH("*"&amp;$B826&amp;"*", Machine_List!$J$72:$J$81, 0)), "No FID Match"))</f>
        <v/>
      </c>
    </row>
    <row r="827" spans="5:5" ht="15" customHeight="1" x14ac:dyDescent="0.3">
      <c r="E827" t="str">
        <f>IF($A827="","", IFERROR(INDEX(Machine_List!$B$72:$B$81, MATCH("*"&amp;$B827&amp;"*", Machine_List!$J$72:$J$81, 0)), "No FID Match"))</f>
        <v/>
      </c>
    </row>
    <row r="828" spans="5:5" ht="15" customHeight="1" x14ac:dyDescent="0.3">
      <c r="E828" t="str">
        <f>IF($A828="","", IFERROR(INDEX(Machine_List!$B$72:$B$81, MATCH("*"&amp;$B828&amp;"*", Machine_List!$J$72:$J$81, 0)), "No FID Match"))</f>
        <v/>
      </c>
    </row>
    <row r="829" spans="5:5" ht="15" customHeight="1" x14ac:dyDescent="0.3">
      <c r="E829" t="str">
        <f>IF($A829="","", IFERROR(INDEX(Machine_List!$B$72:$B$81, MATCH("*"&amp;$B829&amp;"*", Machine_List!$J$72:$J$81, 0)), "No FID Match"))</f>
        <v/>
      </c>
    </row>
    <row r="830" spans="5:5" ht="15" customHeight="1" x14ac:dyDescent="0.3">
      <c r="E830" t="str">
        <f>IF($A830="","", IFERROR(INDEX(Machine_List!$B$72:$B$81, MATCH("*"&amp;$B830&amp;"*", Machine_List!$J$72:$J$81, 0)), "No FID Match"))</f>
        <v/>
      </c>
    </row>
    <row r="831" spans="5:5" ht="15" customHeight="1" x14ac:dyDescent="0.3">
      <c r="E831" t="str">
        <f>IF($A831="","", IFERROR(INDEX(Machine_List!$B$72:$B$81, MATCH("*"&amp;$B831&amp;"*", Machine_List!$J$72:$J$81, 0)), "No FID Match"))</f>
        <v/>
      </c>
    </row>
    <row r="832" spans="5:5" ht="15" customHeight="1" x14ac:dyDescent="0.3">
      <c r="E832" t="str">
        <f>IF($A832="","", IFERROR(INDEX(Machine_List!$B$72:$B$81, MATCH("*"&amp;$B832&amp;"*", Machine_List!$J$72:$J$81, 0)), "No FID Match"))</f>
        <v/>
      </c>
    </row>
    <row r="833" spans="5:5" ht="15" customHeight="1" x14ac:dyDescent="0.3">
      <c r="E833" t="str">
        <f>IF($A833="","", IFERROR(INDEX(Machine_List!$B$72:$B$81, MATCH("*"&amp;$B833&amp;"*", Machine_List!$J$72:$J$81, 0)), "No FID Match"))</f>
        <v/>
      </c>
    </row>
    <row r="834" spans="5:5" ht="15" customHeight="1" x14ac:dyDescent="0.3">
      <c r="E834" t="str">
        <f>IF($A834="","", IFERROR(INDEX(Machine_List!$B$72:$B$81, MATCH("*"&amp;$B834&amp;"*", Machine_List!$J$72:$J$81, 0)), "No FID Match"))</f>
        <v/>
      </c>
    </row>
    <row r="835" spans="5:5" ht="15" customHeight="1" x14ac:dyDescent="0.3">
      <c r="E835" t="str">
        <f>IF($A835="","", IFERROR(INDEX(Machine_List!$B$72:$B$81, MATCH("*"&amp;$B835&amp;"*", Machine_List!$J$72:$J$81, 0)), "No FID Match"))</f>
        <v/>
      </c>
    </row>
    <row r="836" spans="5:5" ht="15" customHeight="1" x14ac:dyDescent="0.3">
      <c r="E836" t="str">
        <f>IF($A836="","", IFERROR(INDEX(Machine_List!$B$72:$B$81, MATCH("*"&amp;$B836&amp;"*", Machine_List!$J$72:$J$81, 0)), "No FID Match"))</f>
        <v/>
      </c>
    </row>
    <row r="837" spans="5:5" ht="15" customHeight="1" x14ac:dyDescent="0.3">
      <c r="E837" t="str">
        <f>IF($A837="","", IFERROR(INDEX(Machine_List!$B$72:$B$81, MATCH("*"&amp;$B837&amp;"*", Machine_List!$J$72:$J$81, 0)), "No FID Match"))</f>
        <v/>
      </c>
    </row>
    <row r="838" spans="5:5" ht="15" customHeight="1" x14ac:dyDescent="0.3">
      <c r="E838" t="str">
        <f>IF($A838="","", IFERROR(INDEX(Machine_List!$B$72:$B$81, MATCH("*"&amp;$B838&amp;"*", Machine_List!$J$72:$J$81, 0)), "No FID Match"))</f>
        <v/>
      </c>
    </row>
    <row r="839" spans="5:5" ht="15" customHeight="1" x14ac:dyDescent="0.3">
      <c r="E839" t="str">
        <f>IF($A839="","", IFERROR(INDEX(Machine_List!$B$72:$B$81, MATCH("*"&amp;$B839&amp;"*", Machine_List!$J$72:$J$81, 0)), "No FID Match"))</f>
        <v/>
      </c>
    </row>
    <row r="840" spans="5:5" ht="15" customHeight="1" x14ac:dyDescent="0.3">
      <c r="E840" t="str">
        <f>IF($A840="","", IFERROR(INDEX(Machine_List!$B$72:$B$81, MATCH("*"&amp;$B840&amp;"*", Machine_List!$J$72:$J$81, 0)), "No FID Match"))</f>
        <v/>
      </c>
    </row>
    <row r="841" spans="5:5" ht="15" customHeight="1" x14ac:dyDescent="0.3">
      <c r="E841" t="str">
        <f>IF($A841="","", IFERROR(INDEX(Machine_List!$B$72:$B$81, MATCH("*"&amp;$B841&amp;"*", Machine_List!$J$72:$J$81, 0)), "No FID Match"))</f>
        <v/>
      </c>
    </row>
    <row r="842" spans="5:5" ht="15" customHeight="1" x14ac:dyDescent="0.3">
      <c r="E842" t="str">
        <f>IF($A842="","", IFERROR(INDEX(Machine_List!$B$72:$B$81, MATCH("*"&amp;$B842&amp;"*", Machine_List!$J$72:$J$81, 0)), "No FID Match"))</f>
        <v/>
      </c>
    </row>
    <row r="843" spans="5:5" ht="15" customHeight="1" x14ac:dyDescent="0.3">
      <c r="E843" t="str">
        <f>IF($A843="","", IFERROR(INDEX(Machine_List!$B$72:$B$81, MATCH("*"&amp;$B843&amp;"*", Machine_List!$J$72:$J$81, 0)), "No FID Match"))</f>
        <v/>
      </c>
    </row>
    <row r="844" spans="5:5" ht="15" customHeight="1" x14ac:dyDescent="0.3">
      <c r="E844" t="str">
        <f>IF($A844="","", IFERROR(INDEX(Machine_List!$B$72:$B$81, MATCH("*"&amp;$B844&amp;"*", Machine_List!$J$72:$J$81, 0)), "No FID Match"))</f>
        <v/>
      </c>
    </row>
    <row r="845" spans="5:5" ht="15" customHeight="1" x14ac:dyDescent="0.3">
      <c r="E845" t="str">
        <f>IF($A845="","", IFERROR(INDEX(Machine_List!$B$72:$B$81, MATCH("*"&amp;$B845&amp;"*", Machine_List!$J$72:$J$81, 0)), "No FID Match"))</f>
        <v/>
      </c>
    </row>
    <row r="846" spans="5:5" ht="15" customHeight="1" x14ac:dyDescent="0.3">
      <c r="E846" t="str">
        <f>IF($A846="","", IFERROR(INDEX(Machine_List!$B$72:$B$81, MATCH("*"&amp;$B846&amp;"*", Machine_List!$J$72:$J$81, 0)), "No FID Match"))</f>
        <v/>
      </c>
    </row>
    <row r="847" spans="5:5" ht="15" customHeight="1" x14ac:dyDescent="0.3">
      <c r="E847" t="str">
        <f>IF($A847="","", IFERROR(INDEX(Machine_List!$B$72:$B$81, MATCH("*"&amp;$B847&amp;"*", Machine_List!$J$72:$J$81, 0)), "No FID Match"))</f>
        <v/>
      </c>
    </row>
    <row r="848" spans="5:5" ht="15" customHeight="1" x14ac:dyDescent="0.3">
      <c r="E848" t="str">
        <f>IF($A848="","", IFERROR(INDEX(Machine_List!$B$72:$B$81, MATCH("*"&amp;$B848&amp;"*", Machine_List!$J$72:$J$81, 0)), "No FID Match"))</f>
        <v/>
      </c>
    </row>
    <row r="849" spans="5:5" ht="15" customHeight="1" x14ac:dyDescent="0.3">
      <c r="E849" t="str">
        <f>IF($A849="","", IFERROR(INDEX(Machine_List!$B$72:$B$81, MATCH("*"&amp;$B849&amp;"*", Machine_List!$J$72:$J$81, 0)), "No FID Match"))</f>
        <v/>
      </c>
    </row>
    <row r="850" spans="5:5" ht="15" customHeight="1" x14ac:dyDescent="0.3">
      <c r="E850" t="str">
        <f>IF($A850="","", IFERROR(INDEX(Machine_List!$B$72:$B$81, MATCH("*"&amp;$B850&amp;"*", Machine_List!$J$72:$J$81, 0)), "No FID Match"))</f>
        <v/>
      </c>
    </row>
    <row r="851" spans="5:5" ht="15" customHeight="1" x14ac:dyDescent="0.3">
      <c r="E851" t="str">
        <f>IF($A851="","", IFERROR(INDEX(Machine_List!$B$72:$B$81, MATCH("*"&amp;$B851&amp;"*", Machine_List!$J$72:$J$81, 0)), "No FID Match"))</f>
        <v/>
      </c>
    </row>
    <row r="852" spans="5:5" ht="15" customHeight="1" x14ac:dyDescent="0.3">
      <c r="E852" t="str">
        <f>IF($A852="","", IFERROR(INDEX(Machine_List!$B$72:$B$81, MATCH("*"&amp;$B852&amp;"*", Machine_List!$J$72:$J$81, 0)), "No FID Match"))</f>
        <v/>
      </c>
    </row>
    <row r="853" spans="5:5" ht="15" customHeight="1" x14ac:dyDescent="0.3">
      <c r="E853" t="str">
        <f>IF($A853="","", IFERROR(INDEX(Machine_List!$B$72:$B$81, MATCH("*"&amp;$B853&amp;"*", Machine_List!$J$72:$J$81, 0)), "No FID Match"))</f>
        <v/>
      </c>
    </row>
    <row r="854" spans="5:5" ht="15" customHeight="1" x14ac:dyDescent="0.3">
      <c r="E854" t="str">
        <f>IF($A854="","", IFERROR(INDEX(Machine_List!$B$72:$B$81, MATCH("*"&amp;$B854&amp;"*", Machine_List!$J$72:$J$81, 0)), "No FID Match"))</f>
        <v/>
      </c>
    </row>
    <row r="855" spans="5:5" ht="15" customHeight="1" x14ac:dyDescent="0.3">
      <c r="E855" t="str">
        <f>IF($A855="","", IFERROR(INDEX(Machine_List!$B$72:$B$81, MATCH("*"&amp;$B855&amp;"*", Machine_List!$J$72:$J$81, 0)), "No FID Match"))</f>
        <v/>
      </c>
    </row>
    <row r="856" spans="5:5" ht="15" customHeight="1" x14ac:dyDescent="0.3">
      <c r="E856" t="str">
        <f>IF($A856="","", IFERROR(INDEX(Machine_List!$B$72:$B$81, MATCH("*"&amp;$B856&amp;"*", Machine_List!$J$72:$J$81, 0)), "No FID Match"))</f>
        <v/>
      </c>
    </row>
    <row r="857" spans="5:5" ht="15" customHeight="1" x14ac:dyDescent="0.3">
      <c r="E857" t="str">
        <f>IF($A857="","", IFERROR(INDEX(Machine_List!$B$72:$B$81, MATCH("*"&amp;$B857&amp;"*", Machine_List!$J$72:$J$81, 0)), "No FID Match"))</f>
        <v/>
      </c>
    </row>
    <row r="858" spans="5:5" ht="15" customHeight="1" x14ac:dyDescent="0.3">
      <c r="E858" t="str">
        <f>IF($A858="","", IFERROR(INDEX(Machine_List!$B$72:$B$81, MATCH("*"&amp;$B858&amp;"*", Machine_List!$J$72:$J$81, 0)), "No FID Match"))</f>
        <v/>
      </c>
    </row>
    <row r="859" spans="5:5" ht="15" customHeight="1" x14ac:dyDescent="0.3">
      <c r="E859" t="str">
        <f>IF($A859="","", IFERROR(INDEX(Machine_List!$B$72:$B$81, MATCH("*"&amp;$B859&amp;"*", Machine_List!$J$72:$J$81, 0)), "No FID Match"))</f>
        <v/>
      </c>
    </row>
    <row r="860" spans="5:5" ht="15" customHeight="1" x14ac:dyDescent="0.3">
      <c r="E860" t="str">
        <f>IF($A860="","", IFERROR(INDEX(Machine_List!$B$72:$B$81, MATCH("*"&amp;$B860&amp;"*", Machine_List!$J$72:$J$81, 0)), "No FID Match"))</f>
        <v/>
      </c>
    </row>
    <row r="861" spans="5:5" ht="15" customHeight="1" x14ac:dyDescent="0.3">
      <c r="E861" t="str">
        <f>IF($A861="","", IFERROR(INDEX(Machine_List!$B$72:$B$81, MATCH("*"&amp;$B861&amp;"*", Machine_List!$J$72:$J$81, 0)), "No FID Match"))</f>
        <v/>
      </c>
    </row>
    <row r="862" spans="5:5" ht="15" customHeight="1" x14ac:dyDescent="0.3">
      <c r="E862" t="str">
        <f>IF($A862="","", IFERROR(INDEX(Machine_List!$B$72:$B$81, MATCH("*"&amp;$B862&amp;"*", Machine_List!$J$72:$J$81, 0)), "No FID Match"))</f>
        <v/>
      </c>
    </row>
    <row r="863" spans="5:5" ht="15" customHeight="1" x14ac:dyDescent="0.3">
      <c r="E863" t="str">
        <f>IF($A863="","", IFERROR(INDEX(Machine_List!$B$72:$B$81, MATCH("*"&amp;$B863&amp;"*", Machine_List!$J$72:$J$81, 0)), "No FID Match"))</f>
        <v/>
      </c>
    </row>
    <row r="864" spans="5:5" ht="15" customHeight="1" x14ac:dyDescent="0.3">
      <c r="E864" t="str">
        <f>IF($A864="","", IFERROR(INDEX(Machine_List!$B$72:$B$81, MATCH("*"&amp;$B864&amp;"*", Machine_List!$J$72:$J$81, 0)), "No FID Match"))</f>
        <v/>
      </c>
    </row>
    <row r="865" spans="5:5" ht="15" customHeight="1" x14ac:dyDescent="0.3">
      <c r="E865" t="str">
        <f>IF($A865="","", IFERROR(INDEX(Machine_List!$B$72:$B$81, MATCH("*"&amp;$B865&amp;"*", Machine_List!$J$72:$J$81, 0)), "No FID Match"))</f>
        <v/>
      </c>
    </row>
    <row r="866" spans="5:5" ht="15" customHeight="1" x14ac:dyDescent="0.3">
      <c r="E866" t="str">
        <f>IF($A866="","", IFERROR(INDEX(Machine_List!$B$72:$B$81, MATCH("*"&amp;$B866&amp;"*", Machine_List!$J$72:$J$81, 0)), "No FID Match"))</f>
        <v/>
      </c>
    </row>
    <row r="867" spans="5:5" ht="15" customHeight="1" x14ac:dyDescent="0.3">
      <c r="E867" t="str">
        <f>IF($A867="","", IFERROR(INDEX(Machine_List!$B$72:$B$81, MATCH("*"&amp;$B867&amp;"*", Machine_List!$J$72:$J$81, 0)), "No FID Match"))</f>
        <v/>
      </c>
    </row>
    <row r="868" spans="5:5" ht="15" customHeight="1" x14ac:dyDescent="0.3">
      <c r="E868" t="str">
        <f>IF($A868="","", IFERROR(INDEX(Machine_List!$B$72:$B$81, MATCH("*"&amp;$B868&amp;"*", Machine_List!$J$72:$J$81, 0)), "No FID Match"))</f>
        <v/>
      </c>
    </row>
    <row r="869" spans="5:5" ht="15" customHeight="1" x14ac:dyDescent="0.3">
      <c r="E869" t="str">
        <f>IF($A869="","", IFERROR(INDEX(Machine_List!$B$72:$B$81, MATCH("*"&amp;$B869&amp;"*", Machine_List!$J$72:$J$81, 0)), "No FID Match"))</f>
        <v/>
      </c>
    </row>
    <row r="870" spans="5:5" ht="15" customHeight="1" x14ac:dyDescent="0.3">
      <c r="E870" t="str">
        <f>IF($A870="","", IFERROR(INDEX(Machine_List!$B$72:$B$81, MATCH("*"&amp;$B870&amp;"*", Machine_List!$J$72:$J$81, 0)), "No FID Match"))</f>
        <v/>
      </c>
    </row>
    <row r="871" spans="5:5" ht="15" customHeight="1" x14ac:dyDescent="0.3">
      <c r="E871" t="str">
        <f>IF($A871="","", IFERROR(INDEX(Machine_List!$B$72:$B$81, MATCH("*"&amp;$B871&amp;"*", Machine_List!$J$72:$J$81, 0)), "No FID Match"))</f>
        <v/>
      </c>
    </row>
    <row r="872" spans="5:5" ht="15" customHeight="1" x14ac:dyDescent="0.3">
      <c r="E872" t="str">
        <f>IF($A872="","", IFERROR(INDEX(Machine_List!$B$72:$B$81, MATCH("*"&amp;$B872&amp;"*", Machine_List!$J$72:$J$81, 0)), "No FID Match"))</f>
        <v/>
      </c>
    </row>
    <row r="873" spans="5:5" ht="15" customHeight="1" x14ac:dyDescent="0.3">
      <c r="E873" t="str">
        <f>IF($A873="","", IFERROR(INDEX(Machine_List!$B$72:$B$81, MATCH("*"&amp;$B873&amp;"*", Machine_List!$J$72:$J$81, 0)), "No FID Match"))</f>
        <v/>
      </c>
    </row>
    <row r="874" spans="5:5" ht="15" customHeight="1" x14ac:dyDescent="0.3">
      <c r="E874" t="str">
        <f>IF($A874="","", IFERROR(INDEX(Machine_List!$B$72:$B$81, MATCH("*"&amp;$B874&amp;"*", Machine_List!$J$72:$J$81, 0)), "No FID Match"))</f>
        <v/>
      </c>
    </row>
    <row r="875" spans="5:5" ht="15" customHeight="1" x14ac:dyDescent="0.3">
      <c r="E875" t="str">
        <f>IF($A875="","", IFERROR(INDEX(Machine_List!$B$72:$B$81, MATCH("*"&amp;$B875&amp;"*", Machine_List!$J$72:$J$81, 0)), "No FID Match"))</f>
        <v/>
      </c>
    </row>
    <row r="876" spans="5:5" ht="15" customHeight="1" x14ac:dyDescent="0.3">
      <c r="E876" t="str">
        <f>IF($A876="","", IFERROR(INDEX(Machine_List!$B$72:$B$81, MATCH("*"&amp;$B876&amp;"*", Machine_List!$J$72:$J$81, 0)), "No FID Match"))</f>
        <v/>
      </c>
    </row>
    <row r="877" spans="5:5" ht="15" customHeight="1" x14ac:dyDescent="0.3">
      <c r="E877" t="str">
        <f>IF($A877="","", IFERROR(INDEX(Machine_List!$B$72:$B$81, MATCH("*"&amp;$B877&amp;"*", Machine_List!$J$72:$J$81, 0)), "No FID Match"))</f>
        <v/>
      </c>
    </row>
    <row r="878" spans="5:5" ht="15" customHeight="1" x14ac:dyDescent="0.3">
      <c r="E878" t="str">
        <f>IF($A878="","", IFERROR(INDEX(Machine_List!$B$72:$B$81, MATCH("*"&amp;$B878&amp;"*", Machine_List!$J$72:$J$81, 0)), "No FID Match"))</f>
        <v/>
      </c>
    </row>
    <row r="879" spans="5:5" ht="15" customHeight="1" x14ac:dyDescent="0.3">
      <c r="E879" t="str">
        <f>IF($A879="","", IFERROR(INDEX(Machine_List!$B$72:$B$81, MATCH("*"&amp;$B879&amp;"*", Machine_List!$J$72:$J$81, 0)), "No FID Match"))</f>
        <v/>
      </c>
    </row>
    <row r="880" spans="5:5" ht="15" customHeight="1" x14ac:dyDescent="0.3">
      <c r="E880" t="str">
        <f>IF($A880="","", IFERROR(INDEX(Machine_List!$B$72:$B$81, MATCH("*"&amp;$B880&amp;"*", Machine_List!$J$72:$J$81, 0)), "No FID Match"))</f>
        <v/>
      </c>
    </row>
    <row r="881" spans="5:5" ht="15" customHeight="1" x14ac:dyDescent="0.3">
      <c r="E881" t="str">
        <f>IF($A881="","", IFERROR(INDEX(Machine_List!$B$72:$B$81, MATCH("*"&amp;$B881&amp;"*", Machine_List!$J$72:$J$81, 0)), "No FID Match"))</f>
        <v/>
      </c>
    </row>
    <row r="882" spans="5:5" ht="15" customHeight="1" x14ac:dyDescent="0.3">
      <c r="E882" t="str">
        <f>IF($A882="","", IFERROR(INDEX(Machine_List!$B$72:$B$81, MATCH("*"&amp;$B882&amp;"*", Machine_List!$J$72:$J$81, 0)), "No FID Match"))</f>
        <v/>
      </c>
    </row>
    <row r="883" spans="5:5" ht="15" customHeight="1" x14ac:dyDescent="0.3">
      <c r="E883" t="str">
        <f>IF($A883="","", IFERROR(INDEX(Machine_List!$B$72:$B$81, MATCH("*"&amp;$B883&amp;"*", Machine_List!$J$72:$J$81, 0)), "No FID Match"))</f>
        <v/>
      </c>
    </row>
    <row r="884" spans="5:5" ht="15" customHeight="1" x14ac:dyDescent="0.3">
      <c r="E884" t="str">
        <f>IF($A884="","", IFERROR(INDEX(Machine_List!$B$72:$B$81, MATCH("*"&amp;$B884&amp;"*", Machine_List!$J$72:$J$81, 0)), "No FID Match"))</f>
        <v/>
      </c>
    </row>
    <row r="885" spans="5:5" ht="15" customHeight="1" x14ac:dyDescent="0.3">
      <c r="E885" t="str">
        <f>IF($A885="","", IFERROR(INDEX(Machine_List!$B$72:$B$81, MATCH("*"&amp;$B885&amp;"*", Machine_List!$J$72:$J$81, 0)), "No FID Match"))</f>
        <v/>
      </c>
    </row>
    <row r="886" spans="5:5" ht="15" customHeight="1" x14ac:dyDescent="0.3">
      <c r="E886" t="str">
        <f>IF($A886="","", IFERROR(INDEX(Machine_List!$B$72:$B$81, MATCH("*"&amp;$B886&amp;"*", Machine_List!$J$72:$J$81, 0)), "No FID Match"))</f>
        <v/>
      </c>
    </row>
    <row r="887" spans="5:5" ht="15" customHeight="1" x14ac:dyDescent="0.3">
      <c r="E887" t="str">
        <f>IF($A887="","", IFERROR(INDEX(Machine_List!$B$72:$B$81, MATCH("*"&amp;$B887&amp;"*", Machine_List!$J$72:$J$81, 0)), "No FID Match"))</f>
        <v/>
      </c>
    </row>
    <row r="888" spans="5:5" ht="15" customHeight="1" x14ac:dyDescent="0.3">
      <c r="E888" t="str">
        <f>IF($A888="","", IFERROR(INDEX(Machine_List!$B$72:$B$81, MATCH("*"&amp;$B888&amp;"*", Machine_List!$J$72:$J$81, 0)), "No FID Match"))</f>
        <v/>
      </c>
    </row>
    <row r="889" spans="5:5" ht="15" customHeight="1" x14ac:dyDescent="0.3">
      <c r="E889" t="str">
        <f>IF($A889="","", IFERROR(INDEX(Machine_List!$B$72:$B$81, MATCH("*"&amp;$B889&amp;"*", Machine_List!$J$72:$J$81, 0)), "No FID Match"))</f>
        <v/>
      </c>
    </row>
    <row r="890" spans="5:5" ht="15" customHeight="1" x14ac:dyDescent="0.3">
      <c r="E890" t="str">
        <f>IF($A890="","", IFERROR(INDEX(Machine_List!$B$72:$B$81, MATCH("*"&amp;$B890&amp;"*", Machine_List!$J$72:$J$81, 0)), "No FID Match"))</f>
        <v/>
      </c>
    </row>
    <row r="891" spans="5:5" ht="15" customHeight="1" x14ac:dyDescent="0.3">
      <c r="E891" t="str">
        <f>IF($A891="","", IFERROR(INDEX(Machine_List!$B$72:$B$81, MATCH("*"&amp;$B891&amp;"*", Machine_List!$J$72:$J$81, 0)), "No FID Match"))</f>
        <v/>
      </c>
    </row>
    <row r="892" spans="5:5" ht="15" customHeight="1" x14ac:dyDescent="0.3">
      <c r="E892" t="str">
        <f>IF($A892="","", IFERROR(INDEX(Machine_List!$B$72:$B$81, MATCH("*"&amp;$B892&amp;"*", Machine_List!$J$72:$J$81, 0)), "No FID Match"))</f>
        <v/>
      </c>
    </row>
    <row r="893" spans="5:5" ht="15" customHeight="1" x14ac:dyDescent="0.3">
      <c r="E893" t="str">
        <f>IF($A893="","", IFERROR(INDEX(Machine_List!$B$72:$B$81, MATCH("*"&amp;$B893&amp;"*", Machine_List!$J$72:$J$81, 0)), "No FID Match"))</f>
        <v/>
      </c>
    </row>
    <row r="894" spans="5:5" ht="15" customHeight="1" x14ac:dyDescent="0.3">
      <c r="E894" t="str">
        <f>IF($A894="","", IFERROR(INDEX(Machine_List!$B$72:$B$81, MATCH("*"&amp;$B894&amp;"*", Machine_List!$J$72:$J$81, 0)), "No FID Match"))</f>
        <v/>
      </c>
    </row>
    <row r="895" spans="5:5" ht="15" customHeight="1" x14ac:dyDescent="0.3">
      <c r="E895" t="str">
        <f>IF($A895="","", IFERROR(INDEX(Machine_List!$B$72:$B$81, MATCH("*"&amp;$B895&amp;"*", Machine_List!$J$72:$J$81, 0)), "No FID Match"))</f>
        <v/>
      </c>
    </row>
    <row r="896" spans="5:5" ht="15" customHeight="1" x14ac:dyDescent="0.3">
      <c r="E896" t="str">
        <f>IF($A896="","", IFERROR(INDEX(Machine_List!$B$72:$B$81, MATCH("*"&amp;$B896&amp;"*", Machine_List!$J$72:$J$81, 0)), "No FID Match"))</f>
        <v/>
      </c>
    </row>
    <row r="897" spans="5:5" ht="15" customHeight="1" x14ac:dyDescent="0.3">
      <c r="E897" t="str">
        <f>IF($A897="","", IFERROR(INDEX(Machine_List!$B$72:$B$81, MATCH("*"&amp;$B897&amp;"*", Machine_List!$J$72:$J$81, 0)), "No FID Match"))</f>
        <v/>
      </c>
    </row>
    <row r="898" spans="5:5" ht="15" customHeight="1" x14ac:dyDescent="0.3">
      <c r="E898" t="str">
        <f>IF($A898="","", IFERROR(INDEX(Machine_List!$B$72:$B$81, MATCH("*"&amp;$B898&amp;"*", Machine_List!$J$72:$J$81, 0)), "No FID Match"))</f>
        <v/>
      </c>
    </row>
    <row r="899" spans="5:5" ht="15" customHeight="1" x14ac:dyDescent="0.3">
      <c r="E899" t="str">
        <f>IF($A899="","", IFERROR(INDEX(Machine_List!$B$72:$B$81, MATCH("*"&amp;$B899&amp;"*", Machine_List!$J$72:$J$81, 0)), "No FID Match"))</f>
        <v/>
      </c>
    </row>
    <row r="900" spans="5:5" ht="15" customHeight="1" x14ac:dyDescent="0.3">
      <c r="E900" t="str">
        <f>IF($A900="","", IFERROR(INDEX(Machine_List!$B$72:$B$81, MATCH("*"&amp;$B900&amp;"*", Machine_List!$J$72:$J$81, 0)), "No FID Match"))</f>
        <v/>
      </c>
    </row>
    <row r="901" spans="5:5" ht="15" customHeight="1" x14ac:dyDescent="0.3">
      <c r="E901" t="str">
        <f>IF($A901="","", IFERROR(INDEX(Machine_List!$B$72:$B$81, MATCH("*"&amp;$B901&amp;"*", Machine_List!$J$72:$J$81, 0)), "No FID Match"))</f>
        <v/>
      </c>
    </row>
    <row r="902" spans="5:5" ht="15" customHeight="1" x14ac:dyDescent="0.3">
      <c r="E902" t="str">
        <f>IF($A902="","", IFERROR(INDEX(Machine_List!$B$72:$B$81, MATCH("*"&amp;$B902&amp;"*", Machine_List!$J$72:$J$81, 0)), "No FID Match"))</f>
        <v/>
      </c>
    </row>
    <row r="903" spans="5:5" ht="15" customHeight="1" x14ac:dyDescent="0.3">
      <c r="E903" t="str">
        <f>IF($A903="","", IFERROR(INDEX(Machine_List!$B$72:$B$81, MATCH("*"&amp;$B903&amp;"*", Machine_List!$J$72:$J$81, 0)), "No FID Match"))</f>
        <v/>
      </c>
    </row>
    <row r="904" spans="5:5" ht="15" customHeight="1" x14ac:dyDescent="0.3">
      <c r="E904" t="str">
        <f>IF($A904="","", IFERROR(INDEX(Machine_List!$B$72:$B$81, MATCH("*"&amp;$B904&amp;"*", Machine_List!$J$72:$J$81, 0)), "No FID Match"))</f>
        <v/>
      </c>
    </row>
    <row r="905" spans="5:5" ht="15" customHeight="1" x14ac:dyDescent="0.3">
      <c r="E905" t="str">
        <f>IF($A905="","", IFERROR(INDEX(Machine_List!$B$72:$B$81, MATCH("*"&amp;$B905&amp;"*", Machine_List!$J$72:$J$81, 0)), "No FID Match"))</f>
        <v/>
      </c>
    </row>
    <row r="906" spans="5:5" ht="15" customHeight="1" x14ac:dyDescent="0.3">
      <c r="E906" t="str">
        <f>IF($A906="","", IFERROR(INDEX(Machine_List!$B$72:$B$81, MATCH("*"&amp;$B906&amp;"*", Machine_List!$J$72:$J$81, 0)), "No FID Match"))</f>
        <v/>
      </c>
    </row>
    <row r="907" spans="5:5" ht="15" customHeight="1" x14ac:dyDescent="0.3">
      <c r="E907" t="str">
        <f>IF($A907="","", IFERROR(INDEX(Machine_List!$B$72:$B$81, MATCH("*"&amp;$B907&amp;"*", Machine_List!$J$72:$J$81, 0)), "No FID Match"))</f>
        <v/>
      </c>
    </row>
    <row r="908" spans="5:5" ht="15" customHeight="1" x14ac:dyDescent="0.3">
      <c r="E908" t="str">
        <f>IF($A908="","", IFERROR(INDEX(Machine_List!$B$72:$B$81, MATCH("*"&amp;$B908&amp;"*", Machine_List!$J$72:$J$81, 0)), "No FID Match"))</f>
        <v/>
      </c>
    </row>
    <row r="909" spans="5:5" ht="15" customHeight="1" x14ac:dyDescent="0.3">
      <c r="E909" t="str">
        <f>IF($A909="","", IFERROR(INDEX(Machine_List!$B$72:$B$81, MATCH("*"&amp;$B909&amp;"*", Machine_List!$J$72:$J$81, 0)), "No FID Match"))</f>
        <v/>
      </c>
    </row>
    <row r="910" spans="5:5" ht="15" customHeight="1" x14ac:dyDescent="0.3">
      <c r="E910" t="str">
        <f>IF($A910="","", IFERROR(INDEX(Machine_List!$B$72:$B$81, MATCH("*"&amp;$B910&amp;"*", Machine_List!$J$72:$J$81, 0)), "No FID Match"))</f>
        <v/>
      </c>
    </row>
    <row r="911" spans="5:5" ht="15" customHeight="1" x14ac:dyDescent="0.3">
      <c r="E911" t="str">
        <f>IF($A911="","", IFERROR(INDEX(Machine_List!$B$72:$B$81, MATCH("*"&amp;$B911&amp;"*", Machine_List!$J$72:$J$81, 0)), "No FID Match"))</f>
        <v/>
      </c>
    </row>
    <row r="912" spans="5:5" ht="15" customHeight="1" x14ac:dyDescent="0.3">
      <c r="E912" t="str">
        <f>IF($A912="","", IFERROR(INDEX(Machine_List!$B$72:$B$81, MATCH("*"&amp;$B912&amp;"*", Machine_List!$J$72:$J$81, 0)), "No FID Match"))</f>
        <v/>
      </c>
    </row>
    <row r="913" spans="5:5" ht="15" customHeight="1" x14ac:dyDescent="0.3">
      <c r="E913" t="str">
        <f>IF($A913="","", IFERROR(INDEX(Machine_List!$B$72:$B$81, MATCH("*"&amp;$B913&amp;"*", Machine_List!$J$72:$J$81, 0)), "No FID Match"))</f>
        <v/>
      </c>
    </row>
    <row r="914" spans="5:5" ht="15" customHeight="1" x14ac:dyDescent="0.3">
      <c r="E914" t="str">
        <f>IF($A914="","", IFERROR(INDEX(Machine_List!$B$72:$B$81, MATCH("*"&amp;$B914&amp;"*", Machine_List!$J$72:$J$81, 0)), "No FID Match"))</f>
        <v/>
      </c>
    </row>
    <row r="915" spans="5:5" ht="15" customHeight="1" x14ac:dyDescent="0.3">
      <c r="E915" t="str">
        <f>IF($A915="","", IFERROR(INDEX(Machine_List!$B$72:$B$81, MATCH("*"&amp;$B915&amp;"*", Machine_List!$J$72:$J$81, 0)), "No FID Match"))</f>
        <v/>
      </c>
    </row>
    <row r="916" spans="5:5" ht="15" customHeight="1" x14ac:dyDescent="0.3">
      <c r="E916" t="str">
        <f>IF($A916="","", IFERROR(INDEX(Machine_List!$B$72:$B$81, MATCH("*"&amp;$B916&amp;"*", Machine_List!$J$72:$J$81, 0)), "No FID Match"))</f>
        <v/>
      </c>
    </row>
    <row r="917" spans="5:5" ht="15" customHeight="1" x14ac:dyDescent="0.3">
      <c r="E917" t="str">
        <f>IF($A917="","", IFERROR(INDEX(Machine_List!$B$72:$B$81, MATCH("*"&amp;$B917&amp;"*", Machine_List!$J$72:$J$81, 0)), "No FID Match"))</f>
        <v/>
      </c>
    </row>
    <row r="918" spans="5:5" ht="15" customHeight="1" x14ac:dyDescent="0.3">
      <c r="E918" t="str">
        <f>IF($A918="","", IFERROR(INDEX(Machine_List!$B$72:$B$81, MATCH("*"&amp;$B918&amp;"*", Machine_List!$J$72:$J$81, 0)), "No FID Match"))</f>
        <v/>
      </c>
    </row>
    <row r="919" spans="5:5" ht="15" customHeight="1" x14ac:dyDescent="0.3">
      <c r="E919" t="str">
        <f>IF($A919="","", IFERROR(INDEX(Machine_List!$B$72:$B$81, MATCH("*"&amp;$B919&amp;"*", Machine_List!$J$72:$J$81, 0)), "No FID Match"))</f>
        <v/>
      </c>
    </row>
    <row r="920" spans="5:5" ht="15" customHeight="1" x14ac:dyDescent="0.3">
      <c r="E920" t="str">
        <f>IF($A920="","", IFERROR(INDEX(Machine_List!$B$72:$B$81, MATCH("*"&amp;$B920&amp;"*", Machine_List!$J$72:$J$81, 0)), "No FID Match"))</f>
        <v/>
      </c>
    </row>
    <row r="921" spans="5:5" ht="15" customHeight="1" x14ac:dyDescent="0.3">
      <c r="E921" t="str">
        <f>IF($A921="","", IFERROR(INDEX(Machine_List!$B$72:$B$81, MATCH("*"&amp;$B921&amp;"*", Machine_List!$J$72:$J$81, 0)), "No FID Match"))</f>
        <v/>
      </c>
    </row>
    <row r="922" spans="5:5" ht="15" customHeight="1" x14ac:dyDescent="0.3">
      <c r="E922" t="str">
        <f>IF($A922="","", IFERROR(INDEX(Machine_List!$B$72:$B$81, MATCH("*"&amp;$B922&amp;"*", Machine_List!$J$72:$J$81, 0)), "No FID Match"))</f>
        <v/>
      </c>
    </row>
    <row r="923" spans="5:5" ht="15" customHeight="1" x14ac:dyDescent="0.3">
      <c r="E923" t="str">
        <f>IF($A923="","", IFERROR(INDEX(Machine_List!$B$72:$B$81, MATCH("*"&amp;$B923&amp;"*", Machine_List!$J$72:$J$81, 0)), "No FID Match"))</f>
        <v/>
      </c>
    </row>
    <row r="924" spans="5:5" ht="15" customHeight="1" x14ac:dyDescent="0.3">
      <c r="E924" t="str">
        <f>IF($A924="","", IFERROR(INDEX(Machine_List!$B$72:$B$81, MATCH("*"&amp;$B924&amp;"*", Machine_List!$J$72:$J$81, 0)), "No FID Match"))</f>
        <v/>
      </c>
    </row>
    <row r="925" spans="5:5" ht="15" customHeight="1" x14ac:dyDescent="0.3">
      <c r="E925" t="str">
        <f>IF($A925="","", IFERROR(INDEX(Machine_List!$B$72:$B$81, MATCH("*"&amp;$B925&amp;"*", Machine_List!$J$72:$J$81, 0)), "No FID Match"))</f>
        <v/>
      </c>
    </row>
    <row r="926" spans="5:5" ht="15" customHeight="1" x14ac:dyDescent="0.3">
      <c r="E926" t="str">
        <f>IF($A926="","", IFERROR(INDEX(Machine_List!$B$72:$B$81, MATCH("*"&amp;$B926&amp;"*", Machine_List!$J$72:$J$81, 0)), "No FID Match"))</f>
        <v/>
      </c>
    </row>
    <row r="927" spans="5:5" ht="15" customHeight="1" x14ac:dyDescent="0.3">
      <c r="E927" t="str">
        <f>IF($A927="","", IFERROR(INDEX(Machine_List!$B$72:$B$81, MATCH("*"&amp;$B927&amp;"*", Machine_List!$J$72:$J$81, 0)), "No FID Match"))</f>
        <v/>
      </c>
    </row>
    <row r="928" spans="5:5" ht="15" customHeight="1" x14ac:dyDescent="0.3">
      <c r="E928" t="str">
        <f>IF($A928="","", IFERROR(INDEX(Machine_List!$B$72:$B$81, MATCH("*"&amp;$B928&amp;"*", Machine_List!$J$72:$J$81, 0)), "No FID Match"))</f>
        <v/>
      </c>
    </row>
    <row r="929" spans="5:5" ht="15" customHeight="1" x14ac:dyDescent="0.3">
      <c r="E929" t="str">
        <f>IF($A929="","", IFERROR(INDEX(Machine_List!$B$72:$B$81, MATCH("*"&amp;$B929&amp;"*", Machine_List!$J$72:$J$81, 0)), "No FID Match"))</f>
        <v/>
      </c>
    </row>
    <row r="930" spans="5:5" ht="15" customHeight="1" x14ac:dyDescent="0.3">
      <c r="E930" t="str">
        <f>IF($A930="","", IFERROR(INDEX(Machine_List!$B$72:$B$81, MATCH("*"&amp;$B930&amp;"*", Machine_List!$J$72:$J$81, 0)), "No FID Match"))</f>
        <v/>
      </c>
    </row>
    <row r="931" spans="5:5" ht="15" customHeight="1" x14ac:dyDescent="0.3">
      <c r="E931" t="str">
        <f>IF($A931="","", IFERROR(INDEX(Machine_List!$B$72:$B$81, MATCH("*"&amp;$B931&amp;"*", Machine_List!$J$72:$J$81, 0)), "No FID Match"))</f>
        <v/>
      </c>
    </row>
    <row r="932" spans="5:5" ht="15" customHeight="1" x14ac:dyDescent="0.3">
      <c r="E932" t="str">
        <f>IF($A932="","", IFERROR(INDEX(Machine_List!$B$72:$B$81, MATCH("*"&amp;$B932&amp;"*", Machine_List!$J$72:$J$81, 0)), "No FID Match"))</f>
        <v/>
      </c>
    </row>
    <row r="933" spans="5:5" ht="15" customHeight="1" x14ac:dyDescent="0.3">
      <c r="E933" t="str">
        <f>IF($A933="","", IFERROR(INDEX(Machine_List!$B$72:$B$81, MATCH("*"&amp;$B933&amp;"*", Machine_List!$J$72:$J$81, 0)), "No FID Match"))</f>
        <v/>
      </c>
    </row>
    <row r="934" spans="5:5" ht="15" customHeight="1" x14ac:dyDescent="0.3">
      <c r="E934" t="str">
        <f>IF($A934="","", IFERROR(INDEX(Machine_List!$B$72:$B$81, MATCH("*"&amp;$B934&amp;"*", Machine_List!$J$72:$J$81, 0)), "No FID Match"))</f>
        <v/>
      </c>
    </row>
    <row r="935" spans="5:5" ht="15" customHeight="1" x14ac:dyDescent="0.3">
      <c r="E935" t="str">
        <f>IF($A935="","", IFERROR(INDEX(Machine_List!$B$72:$B$81, MATCH("*"&amp;$B935&amp;"*", Machine_List!$J$72:$J$81, 0)), "No FID Match"))</f>
        <v/>
      </c>
    </row>
    <row r="936" spans="5:5" ht="15" customHeight="1" x14ac:dyDescent="0.3">
      <c r="E936" t="str">
        <f>IF($A936="","", IFERROR(INDEX(Machine_List!$B$72:$B$81, MATCH("*"&amp;$B936&amp;"*", Machine_List!$J$72:$J$81, 0)), "No FID Match"))</f>
        <v/>
      </c>
    </row>
    <row r="937" spans="5:5" ht="15" customHeight="1" x14ac:dyDescent="0.3">
      <c r="E937" t="str">
        <f>IF($A937="","", IFERROR(INDEX(Machine_List!$B$72:$B$81, MATCH("*"&amp;$B937&amp;"*", Machine_List!$J$72:$J$81, 0)), "No FID Match"))</f>
        <v/>
      </c>
    </row>
    <row r="938" spans="5:5" ht="15" customHeight="1" x14ac:dyDescent="0.3">
      <c r="E938" t="str">
        <f>IF($A938="","", IFERROR(INDEX(Machine_List!$B$72:$B$81, MATCH("*"&amp;$B938&amp;"*", Machine_List!$J$72:$J$81, 0)), "No FID Match"))</f>
        <v/>
      </c>
    </row>
    <row r="939" spans="5:5" ht="15" customHeight="1" x14ac:dyDescent="0.3">
      <c r="E939" t="str">
        <f>IF($A939="","", IFERROR(INDEX(Machine_List!$B$72:$B$81, MATCH("*"&amp;$B939&amp;"*", Machine_List!$J$72:$J$81, 0)), "No FID Match"))</f>
        <v/>
      </c>
    </row>
    <row r="940" spans="5:5" ht="15" customHeight="1" x14ac:dyDescent="0.3">
      <c r="E940" t="str">
        <f>IF($A940="","", IFERROR(INDEX(Machine_List!$B$72:$B$81, MATCH("*"&amp;$B940&amp;"*", Machine_List!$J$72:$J$81, 0)), "No FID Match"))</f>
        <v/>
      </c>
    </row>
    <row r="941" spans="5:5" ht="15" customHeight="1" x14ac:dyDescent="0.3">
      <c r="E941" t="str">
        <f>IF($A941="","", IFERROR(INDEX(Machine_List!$B$72:$B$81, MATCH("*"&amp;$B941&amp;"*", Machine_List!$J$72:$J$81, 0)), "No FID Match"))</f>
        <v/>
      </c>
    </row>
    <row r="942" spans="5:5" ht="15" customHeight="1" x14ac:dyDescent="0.3">
      <c r="E942" t="str">
        <f>IF($A942="","", IFERROR(INDEX(Machine_List!$B$72:$B$81, MATCH("*"&amp;$B942&amp;"*", Machine_List!$J$72:$J$81, 0)), "No FID Match"))</f>
        <v/>
      </c>
    </row>
    <row r="943" spans="5:5" ht="15" customHeight="1" x14ac:dyDescent="0.3">
      <c r="E943" t="str">
        <f>IF($A943="","", IFERROR(INDEX(Machine_List!$B$72:$B$81, MATCH("*"&amp;$B943&amp;"*", Machine_List!$J$72:$J$81, 0)), "No FID Match"))</f>
        <v/>
      </c>
    </row>
    <row r="944" spans="5:5" ht="15" customHeight="1" x14ac:dyDescent="0.3">
      <c r="E944" t="str">
        <f>IF($A944="","", IFERROR(INDEX(Machine_List!$B$72:$B$81, MATCH("*"&amp;$B944&amp;"*", Machine_List!$J$72:$J$81, 0)), "No FID Match"))</f>
        <v/>
      </c>
    </row>
    <row r="945" spans="5:5" ht="15" customHeight="1" x14ac:dyDescent="0.3">
      <c r="E945" t="str">
        <f>IF($A945="","", IFERROR(INDEX(Machine_List!$B$72:$B$81, MATCH("*"&amp;$B945&amp;"*", Machine_List!$J$72:$J$81, 0)), "No FID Match"))</f>
        <v/>
      </c>
    </row>
    <row r="946" spans="5:5" ht="15" customHeight="1" x14ac:dyDescent="0.3">
      <c r="E946" t="str">
        <f>IF($A946="","", IFERROR(INDEX(Machine_List!$B$72:$B$81, MATCH("*"&amp;$B946&amp;"*", Machine_List!$J$72:$J$81, 0)), "No FID Match"))</f>
        <v/>
      </c>
    </row>
    <row r="947" spans="5:5" ht="15" customHeight="1" x14ac:dyDescent="0.3">
      <c r="E947" t="str">
        <f>IF($A947="","", IFERROR(INDEX(Machine_List!$B$72:$B$81, MATCH("*"&amp;$B947&amp;"*", Machine_List!$J$72:$J$81, 0)), "No FID Match"))</f>
        <v/>
      </c>
    </row>
    <row r="948" spans="5:5" ht="15" customHeight="1" x14ac:dyDescent="0.3">
      <c r="E948" t="str">
        <f>IF($A948="","", IFERROR(INDEX(Machine_List!$B$72:$B$81, MATCH("*"&amp;$B948&amp;"*", Machine_List!$J$72:$J$81, 0)), "No FID Match"))</f>
        <v/>
      </c>
    </row>
    <row r="949" spans="5:5" ht="15" customHeight="1" x14ac:dyDescent="0.3">
      <c r="E949" t="str">
        <f>IF($A949="","", IFERROR(INDEX(Machine_List!$B$72:$B$81, MATCH("*"&amp;$B949&amp;"*", Machine_List!$J$72:$J$81, 0)), "No FID Match"))</f>
        <v/>
      </c>
    </row>
    <row r="950" spans="5:5" ht="15" customHeight="1" x14ac:dyDescent="0.3">
      <c r="E950" t="str">
        <f>IF($A950="","", IFERROR(INDEX(Machine_List!$B$72:$B$81, MATCH("*"&amp;$B950&amp;"*", Machine_List!$J$72:$J$81, 0)), "No FID Match"))</f>
        <v/>
      </c>
    </row>
    <row r="951" spans="5:5" ht="15" customHeight="1" x14ac:dyDescent="0.3">
      <c r="E951" t="str">
        <f>IF($A951="","", IFERROR(INDEX(Machine_List!$B$72:$B$81, MATCH("*"&amp;$B951&amp;"*", Machine_List!$J$72:$J$81, 0)), "No FID Match"))</f>
        <v/>
      </c>
    </row>
    <row r="952" spans="5:5" ht="15" customHeight="1" x14ac:dyDescent="0.3">
      <c r="E952" t="str">
        <f>IF($A952="","", IFERROR(INDEX(Machine_List!$B$72:$B$81, MATCH("*"&amp;$B952&amp;"*", Machine_List!$J$72:$J$81, 0)), "No FID Match"))</f>
        <v/>
      </c>
    </row>
    <row r="953" spans="5:5" ht="15" customHeight="1" x14ac:dyDescent="0.3">
      <c r="E953" t="str">
        <f>IF($A953="","", IFERROR(INDEX(Machine_List!$B$72:$B$81, MATCH("*"&amp;$B953&amp;"*", Machine_List!$J$72:$J$81, 0)), "No FID Match"))</f>
        <v/>
      </c>
    </row>
    <row r="954" spans="5:5" ht="15" customHeight="1" x14ac:dyDescent="0.3">
      <c r="E954" t="str">
        <f>IF($A954="","", IFERROR(INDEX(Machine_List!$B$72:$B$81, MATCH("*"&amp;$B954&amp;"*", Machine_List!$J$72:$J$81, 0)), "No FID Match"))</f>
        <v/>
      </c>
    </row>
    <row r="955" spans="5:5" ht="15" customHeight="1" x14ac:dyDescent="0.3">
      <c r="E955" t="str">
        <f>IF($A955="","", IFERROR(INDEX(Machine_List!$B$72:$B$81, MATCH("*"&amp;$B955&amp;"*", Machine_List!$J$72:$J$81, 0)), "No FID Match"))</f>
        <v/>
      </c>
    </row>
    <row r="956" spans="5:5" ht="15" customHeight="1" x14ac:dyDescent="0.3">
      <c r="E956" t="str">
        <f>IF($A956="","", IFERROR(INDEX(Machine_List!$B$72:$B$81, MATCH("*"&amp;$B956&amp;"*", Machine_List!$J$72:$J$81, 0)), "No FID Match"))</f>
        <v/>
      </c>
    </row>
    <row r="957" spans="5:5" ht="15" customHeight="1" x14ac:dyDescent="0.3">
      <c r="E957" t="str">
        <f>IF($A957="","", IFERROR(INDEX(Machine_List!$B$72:$B$81, MATCH("*"&amp;$B957&amp;"*", Machine_List!$J$72:$J$81, 0)), "No FID Match"))</f>
        <v/>
      </c>
    </row>
    <row r="958" spans="5:5" ht="15" customHeight="1" x14ac:dyDescent="0.3">
      <c r="E958" t="str">
        <f>IF($A958="","", IFERROR(INDEX(Machine_List!$B$72:$B$81, MATCH("*"&amp;$B958&amp;"*", Machine_List!$J$72:$J$81, 0)), "No FID Match"))</f>
        <v/>
      </c>
    </row>
    <row r="959" spans="5:5" ht="15" customHeight="1" x14ac:dyDescent="0.3">
      <c r="E959" t="str">
        <f>IF($A959="","", IFERROR(INDEX(Machine_List!$B$72:$B$81, MATCH("*"&amp;$B959&amp;"*", Machine_List!$J$72:$J$81, 0)), "No FID Match"))</f>
        <v/>
      </c>
    </row>
    <row r="960" spans="5:5" ht="15" customHeight="1" x14ac:dyDescent="0.3">
      <c r="E960" t="str">
        <f>IF($A960="","", IFERROR(INDEX(Machine_List!$B$72:$B$81, MATCH("*"&amp;$B960&amp;"*", Machine_List!$J$72:$J$81, 0)), "No FID Match"))</f>
        <v/>
      </c>
    </row>
    <row r="961" spans="5:5" ht="15" customHeight="1" x14ac:dyDescent="0.3">
      <c r="E961" t="str">
        <f>IF($A961="","", IFERROR(INDEX(Machine_List!$B$72:$B$81, MATCH("*"&amp;$B961&amp;"*", Machine_List!$J$72:$J$81, 0)), "No FID Match"))</f>
        <v/>
      </c>
    </row>
    <row r="962" spans="5:5" ht="15" customHeight="1" x14ac:dyDescent="0.3">
      <c r="E962" t="str">
        <f>IF($A962="","", IFERROR(INDEX(Machine_List!$B$72:$B$81, MATCH("*"&amp;$B962&amp;"*", Machine_List!$J$72:$J$81, 0)), "No FID Match"))</f>
        <v/>
      </c>
    </row>
    <row r="963" spans="5:5" ht="15" customHeight="1" x14ac:dyDescent="0.3">
      <c r="E963" t="str">
        <f>IF($A963="","", IFERROR(INDEX(Machine_List!$B$72:$B$81, MATCH("*"&amp;$B963&amp;"*", Machine_List!$J$72:$J$81, 0)), "No FID Match"))</f>
        <v/>
      </c>
    </row>
    <row r="964" spans="5:5" ht="15" customHeight="1" x14ac:dyDescent="0.3">
      <c r="E964" t="str">
        <f>IF($A964="","", IFERROR(INDEX(Machine_List!$B$72:$B$81, MATCH("*"&amp;$B964&amp;"*", Machine_List!$J$72:$J$81, 0)), "No FID Match"))</f>
        <v/>
      </c>
    </row>
    <row r="965" spans="5:5" ht="15" customHeight="1" x14ac:dyDescent="0.3">
      <c r="E965" t="str">
        <f>IF($A965="","", IFERROR(INDEX(Machine_List!$B$72:$B$81, MATCH("*"&amp;$B965&amp;"*", Machine_List!$J$72:$J$81, 0)), "No FID Match"))</f>
        <v/>
      </c>
    </row>
    <row r="966" spans="5:5" ht="15" customHeight="1" x14ac:dyDescent="0.3">
      <c r="E966" t="str">
        <f>IF($A966="","", IFERROR(INDEX(Machine_List!$B$72:$B$81, MATCH("*"&amp;$B966&amp;"*", Machine_List!$J$72:$J$81, 0)), "No FID Match"))</f>
        <v/>
      </c>
    </row>
    <row r="967" spans="5:5" ht="15" customHeight="1" x14ac:dyDescent="0.3">
      <c r="E967" t="str">
        <f>IF($A967="","", IFERROR(INDEX(Machine_List!$B$72:$B$81, MATCH("*"&amp;$B967&amp;"*", Machine_List!$J$72:$J$81, 0)), "No FID Match"))</f>
        <v/>
      </c>
    </row>
    <row r="968" spans="5:5" ht="15" customHeight="1" x14ac:dyDescent="0.3">
      <c r="E968" t="str">
        <f>IF($A968="","", IFERROR(INDEX(Machine_List!$B$72:$B$81, MATCH("*"&amp;$B968&amp;"*", Machine_List!$J$72:$J$81, 0)), "No FID Match"))</f>
        <v/>
      </c>
    </row>
    <row r="969" spans="5:5" ht="15" customHeight="1" x14ac:dyDescent="0.3">
      <c r="E969" t="str">
        <f>IF($A969="","", IFERROR(INDEX(Machine_List!$B$72:$B$81, MATCH("*"&amp;$B969&amp;"*", Machine_List!$J$72:$J$81, 0)), "No FID Match"))</f>
        <v/>
      </c>
    </row>
    <row r="970" spans="5:5" ht="15" customHeight="1" x14ac:dyDescent="0.3">
      <c r="E970" t="str">
        <f>IF($A970="","", IFERROR(INDEX(Machine_List!$B$72:$B$81, MATCH("*"&amp;$B970&amp;"*", Machine_List!$J$72:$J$81, 0)), "No FID Match"))</f>
        <v/>
      </c>
    </row>
    <row r="971" spans="5:5" ht="15" customHeight="1" x14ac:dyDescent="0.3">
      <c r="E971" t="str">
        <f>IF($A971="","", IFERROR(INDEX(Machine_List!$B$72:$B$81, MATCH("*"&amp;$B971&amp;"*", Machine_List!$J$72:$J$81, 0)), "No FID Match"))</f>
        <v/>
      </c>
    </row>
    <row r="972" spans="5:5" ht="15" customHeight="1" x14ac:dyDescent="0.3">
      <c r="E972" t="str">
        <f>IF($A972="","", IFERROR(INDEX(Machine_List!$B$72:$B$81, MATCH("*"&amp;$B972&amp;"*", Machine_List!$J$72:$J$81, 0)), "No FID Match"))</f>
        <v/>
      </c>
    </row>
    <row r="973" spans="5:5" ht="15" customHeight="1" x14ac:dyDescent="0.3">
      <c r="E973" t="str">
        <f>IF($A973="","", IFERROR(INDEX(Machine_List!$B$72:$B$81, MATCH("*"&amp;$B973&amp;"*", Machine_List!$J$72:$J$81, 0)), "No FID Match"))</f>
        <v/>
      </c>
    </row>
    <row r="974" spans="5:5" ht="15" customHeight="1" x14ac:dyDescent="0.3">
      <c r="E974" t="str">
        <f>IF($A974="","", IFERROR(INDEX(Machine_List!$B$72:$B$81, MATCH("*"&amp;$B974&amp;"*", Machine_List!$J$72:$J$81, 0)), "No FID Match"))</f>
        <v/>
      </c>
    </row>
    <row r="975" spans="5:5" ht="15" customHeight="1" x14ac:dyDescent="0.3">
      <c r="E975" t="str">
        <f>IF($A975="","", IFERROR(INDEX(Machine_List!$B$72:$B$81, MATCH("*"&amp;$B975&amp;"*", Machine_List!$J$72:$J$81, 0)), "No FID Match"))</f>
        <v/>
      </c>
    </row>
    <row r="976" spans="5:5" ht="15" customHeight="1" x14ac:dyDescent="0.3">
      <c r="E976" t="str">
        <f>IF($A976="","", IFERROR(INDEX(Machine_List!$B$72:$B$81, MATCH("*"&amp;$B976&amp;"*", Machine_List!$J$72:$J$81, 0)), "No FID Match"))</f>
        <v/>
      </c>
    </row>
    <row r="977" spans="5:5" ht="15" customHeight="1" x14ac:dyDescent="0.3">
      <c r="E977" t="str">
        <f>IF($A977="","", IFERROR(INDEX(Machine_List!$B$72:$B$81, MATCH("*"&amp;$B977&amp;"*", Machine_List!$J$72:$J$81, 0)), "No FID Match"))</f>
        <v/>
      </c>
    </row>
    <row r="978" spans="5:5" ht="15" customHeight="1" x14ac:dyDescent="0.3">
      <c r="E978" t="str">
        <f>IF($A978="","", IFERROR(INDEX(Machine_List!$B$72:$B$81, MATCH("*"&amp;$B978&amp;"*", Machine_List!$J$72:$J$81, 0)), "No FID Match"))</f>
        <v/>
      </c>
    </row>
    <row r="979" spans="5:5" ht="15" customHeight="1" x14ac:dyDescent="0.3">
      <c r="E979" t="str">
        <f>IF($A979="","", IFERROR(INDEX(Machine_List!$B$72:$B$81, MATCH("*"&amp;$B979&amp;"*", Machine_List!$J$72:$J$81, 0)), "No FID Match"))</f>
        <v/>
      </c>
    </row>
    <row r="980" spans="5:5" ht="15" customHeight="1" x14ac:dyDescent="0.3">
      <c r="E980" t="str">
        <f>IF($A980="","", IFERROR(INDEX(Machine_List!$B$72:$B$81, MATCH("*"&amp;$B980&amp;"*", Machine_List!$J$72:$J$81, 0)), "No FID Match"))</f>
        <v/>
      </c>
    </row>
    <row r="981" spans="5:5" ht="15" customHeight="1" x14ac:dyDescent="0.3">
      <c r="E981" t="str">
        <f>IF($A981="","", IFERROR(INDEX(Machine_List!$B$72:$B$81, MATCH("*"&amp;$B981&amp;"*", Machine_List!$J$72:$J$81, 0)), "No FID Match"))</f>
        <v/>
      </c>
    </row>
    <row r="982" spans="5:5" ht="15" customHeight="1" x14ac:dyDescent="0.3">
      <c r="E982" t="str">
        <f>IF($A982="","", IFERROR(INDEX(Machine_List!$B$72:$B$81, MATCH("*"&amp;$B982&amp;"*", Machine_List!$J$72:$J$81, 0)), "No FID Match"))</f>
        <v/>
      </c>
    </row>
    <row r="983" spans="5:5" ht="15" customHeight="1" x14ac:dyDescent="0.3">
      <c r="E983" t="str">
        <f>IF($A983="","", IFERROR(INDEX(Machine_List!$B$72:$B$81, MATCH("*"&amp;$B983&amp;"*", Machine_List!$J$72:$J$81, 0)), "No FID Match"))</f>
        <v/>
      </c>
    </row>
    <row r="984" spans="5:5" ht="15" customHeight="1" x14ac:dyDescent="0.3">
      <c r="E984" t="str">
        <f>IF($A984="","", IFERROR(INDEX(Machine_List!$B$72:$B$81, MATCH("*"&amp;$B984&amp;"*", Machine_List!$J$72:$J$81, 0)), "No FID Match"))</f>
        <v/>
      </c>
    </row>
    <row r="985" spans="5:5" ht="15" customHeight="1" x14ac:dyDescent="0.3">
      <c r="E985" t="str">
        <f>IF($A985="","", IFERROR(INDEX(Machine_List!$B$72:$B$81, MATCH("*"&amp;$B985&amp;"*", Machine_List!$J$72:$J$81, 0)), "No FID Match"))</f>
        <v/>
      </c>
    </row>
    <row r="986" spans="5:5" ht="15" customHeight="1" x14ac:dyDescent="0.3">
      <c r="E986" t="str">
        <f>IF($A986="","", IFERROR(INDEX(Machine_List!$B$72:$B$81, MATCH("*"&amp;$B986&amp;"*", Machine_List!$J$72:$J$81, 0)), "No FID Match"))</f>
        <v/>
      </c>
    </row>
    <row r="987" spans="5:5" ht="15" customHeight="1" x14ac:dyDescent="0.3">
      <c r="E987" t="str">
        <f>IF($A987="","", IFERROR(INDEX(Machine_List!$B$72:$B$81, MATCH("*"&amp;$B987&amp;"*", Machine_List!$J$72:$J$81, 0)), "No FID Match"))</f>
        <v/>
      </c>
    </row>
    <row r="988" spans="5:5" ht="15" customHeight="1" x14ac:dyDescent="0.3">
      <c r="E988" t="str">
        <f>IF($A988="","", IFERROR(INDEX(Machine_List!$B$72:$B$81, MATCH("*"&amp;$B988&amp;"*", Machine_List!$J$72:$J$81, 0)), "No FID Match"))</f>
        <v/>
      </c>
    </row>
    <row r="989" spans="5:5" ht="15" customHeight="1" x14ac:dyDescent="0.3">
      <c r="E989" t="str">
        <f>IF($A989="","", IFERROR(INDEX(Machine_List!$B$72:$B$81, MATCH("*"&amp;$B989&amp;"*", Machine_List!$J$72:$J$81, 0)), "No FID Match"))</f>
        <v/>
      </c>
    </row>
    <row r="990" spans="5:5" ht="15" customHeight="1" x14ac:dyDescent="0.3">
      <c r="E990" t="str">
        <f>IF($A990="","", IFERROR(INDEX(Machine_List!$B$72:$B$81, MATCH("*"&amp;$B990&amp;"*", Machine_List!$J$72:$J$81, 0)), "No FID Match"))</f>
        <v/>
      </c>
    </row>
    <row r="991" spans="5:5" ht="15" customHeight="1" x14ac:dyDescent="0.3">
      <c r="E991" t="str">
        <f>IF($A991="","", IFERROR(INDEX(Machine_List!$B$72:$B$81, MATCH("*"&amp;$B991&amp;"*", Machine_List!$J$72:$J$81, 0)), "No FID Match"))</f>
        <v/>
      </c>
    </row>
    <row r="992" spans="5:5" ht="15" customHeight="1" x14ac:dyDescent="0.3">
      <c r="E992" t="str">
        <f>IF($A992="","", IFERROR(INDEX(Machine_List!$B$72:$B$81, MATCH("*"&amp;$B992&amp;"*", Machine_List!$J$72:$J$81, 0)), "No FID Match"))</f>
        <v/>
      </c>
    </row>
    <row r="993" spans="5:5" ht="15" customHeight="1" x14ac:dyDescent="0.3">
      <c r="E993" t="str">
        <f>IF($A993="","", IFERROR(INDEX(Machine_List!$B$72:$B$81, MATCH("*"&amp;$B993&amp;"*", Machine_List!$J$72:$J$81, 0)), "No FID Match"))</f>
        <v/>
      </c>
    </row>
    <row r="994" spans="5:5" ht="15" customHeight="1" x14ac:dyDescent="0.3">
      <c r="E994" t="str">
        <f>IF($A994="","", IFERROR(INDEX(Machine_List!$B$72:$B$81, MATCH("*"&amp;$B994&amp;"*", Machine_List!$J$72:$J$81, 0)), "No FID Match"))</f>
        <v/>
      </c>
    </row>
    <row r="995" spans="5:5" ht="15" customHeight="1" x14ac:dyDescent="0.3">
      <c r="E995" t="str">
        <f>IF($A995="","", IFERROR(INDEX(Machine_List!$B$72:$B$81, MATCH("*"&amp;$B995&amp;"*", Machine_List!$J$72:$J$81, 0)), "No FID Match"))</f>
        <v/>
      </c>
    </row>
    <row r="996" spans="5:5" ht="15" customHeight="1" x14ac:dyDescent="0.3">
      <c r="E996" t="str">
        <f>IF($A996="","", IFERROR(INDEX(Machine_List!$B$72:$B$81, MATCH("*"&amp;$B996&amp;"*", Machine_List!$J$72:$J$81, 0)), "No FID Match"))</f>
        <v/>
      </c>
    </row>
    <row r="997" spans="5:5" ht="15" customHeight="1" x14ac:dyDescent="0.3">
      <c r="E997" t="str">
        <f>IF($A997="","", IFERROR(INDEX(Machine_List!$B$72:$B$81, MATCH("*"&amp;$B997&amp;"*", Machine_List!$J$72:$J$81, 0)), "No FID Match"))</f>
        <v/>
      </c>
    </row>
    <row r="998" spans="5:5" ht="15" customHeight="1" x14ac:dyDescent="0.3">
      <c r="E998" t="str">
        <f>IF($A998="","", IFERROR(INDEX(Machine_List!$B$72:$B$81, MATCH("*"&amp;$B998&amp;"*", Machine_List!$J$72:$J$81, 0)), "No FID Match"))</f>
        <v/>
      </c>
    </row>
    <row r="999" spans="5:5" ht="15" customHeight="1" x14ac:dyDescent="0.3">
      <c r="E999" t="str">
        <f>IF($A999="","", IFERROR(INDEX(Machine_List!$B$72:$B$81, MATCH("*"&amp;$B999&amp;"*", Machine_List!$J$72:$J$81, 0)), "No FID Match"))</f>
        <v/>
      </c>
    </row>
    <row r="1000" spans="5:5" ht="15" customHeight="1" x14ac:dyDescent="0.3">
      <c r="E1000" t="str">
        <f>IF($A1000="","", IFERROR(INDEX(Machine_List!$B$72:$B$81, MATCH("*"&amp;$B1000&amp;"*", Machine_List!$J$72:$J$81, 0)), "No FID Match"))</f>
        <v/>
      </c>
    </row>
  </sheetData>
  <conditionalFormatting sqref="P4:BV103">
    <cfRule type="expression" dxfId="37" priority="2">
      <formula>AND($A4&lt;&gt;"",P$3&gt;=INT($J4),P$3&lt;=INT($M4))</formula>
    </cfRule>
  </conditionalFormatting>
  <printOptions horizontalCentered="1"/>
  <pageMargins left="0.7" right="0.7" top="0.75" bottom="0.75" header="0.511811023622047" footer="0.511811023622047"/>
  <pageSetup fitToHeight="0" orientation="portrait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CG500"/>
  <sheetViews>
    <sheetView zoomScale="85" zoomScaleNormal="85" workbookViewId="0">
      <pane xSplit="15" ySplit="3" topLeftCell="P4" activePane="bottomRight" state="frozen"/>
      <selection activeCell="E4" sqref="E4"/>
      <selection pane="topRight" activeCell="E4" sqref="E4"/>
      <selection pane="bottomLeft" activeCell="E4" sqref="E4"/>
      <selection pane="bottomRight" activeCell="J7" sqref="J7"/>
    </sheetView>
  </sheetViews>
  <sheetFormatPr defaultColWidth="8.6640625" defaultRowHeight="14.4" x14ac:dyDescent="0.3"/>
  <cols>
    <col min="1" max="1" width="6.44140625" bestFit="1" customWidth="1"/>
    <col min="2" max="2" width="4.21875" bestFit="1" customWidth="1"/>
    <col min="3" max="3" width="5.109375" bestFit="1" customWidth="1"/>
    <col min="4" max="4" width="5" bestFit="1" customWidth="1"/>
    <col min="5" max="5" width="15.33203125" bestFit="1" customWidth="1"/>
    <col min="6" max="6" width="16.77734375" bestFit="1" customWidth="1"/>
    <col min="7" max="7" width="12.6640625" bestFit="1" customWidth="1"/>
    <col min="8" max="8" width="6.5546875" bestFit="1" customWidth="1"/>
    <col min="9" max="9" width="7.88671875" bestFit="1" customWidth="1"/>
    <col min="10" max="10" width="15.44140625" bestFit="1" customWidth="1"/>
    <col min="11" max="11" width="6.6640625" bestFit="1" customWidth="1"/>
    <col min="12" max="12" width="9.21875" bestFit="1" customWidth="1"/>
    <col min="13" max="13" width="15.44140625" bestFit="1" customWidth="1"/>
    <col min="14" max="14" width="9.77734375" bestFit="1" customWidth="1"/>
    <col min="15" max="15" width="21.88671875" bestFit="1" customWidth="1"/>
    <col min="16" max="17" width="5.109375" bestFit="1" customWidth="1"/>
    <col min="18" max="31" width="4.44140625" bestFit="1" customWidth="1"/>
    <col min="32" max="33" width="6.44140625" bestFit="1" customWidth="1"/>
    <col min="34" max="36" width="4.44140625" bestFit="1" customWidth="1"/>
    <col min="37" max="39" width="6.44140625" bestFit="1" customWidth="1"/>
    <col min="40" max="64" width="4.44140625" bestFit="1" customWidth="1"/>
    <col min="65" max="68" width="6.44140625" bestFit="1" customWidth="1"/>
    <col min="69" max="74" width="4.44140625" bestFit="1" customWidth="1"/>
    <col min="75" max="75" width="12" bestFit="1" customWidth="1"/>
    <col min="76" max="76" width="28.5546875" bestFit="1" customWidth="1"/>
    <col min="77" max="77" width="8.77734375" bestFit="1" customWidth="1"/>
    <col min="78" max="78" width="8.109375" bestFit="1" customWidth="1"/>
    <col min="79" max="79" width="7.6640625" bestFit="1" customWidth="1"/>
    <col min="80" max="80" width="8.5546875" bestFit="1" customWidth="1"/>
    <col min="81" max="81" width="8.33203125" bestFit="1" customWidth="1"/>
    <col min="82" max="82" width="8" bestFit="1" customWidth="1"/>
    <col min="83" max="83" width="8.5546875" bestFit="1" customWidth="1"/>
    <col min="84" max="84" width="8.44140625" bestFit="1" customWidth="1"/>
    <col min="85" max="85" width="8" bestFit="1" customWidth="1"/>
    <col min="86" max="86" width="12.88671875" customWidth="1"/>
    <col min="87" max="100" width="13" customWidth="1"/>
  </cols>
  <sheetData>
    <row r="1" spans="1:85" ht="15" customHeight="1" x14ac:dyDescent="0.3">
      <c r="D1" s="31"/>
      <c r="E1" s="32"/>
      <c r="F1" s="31"/>
      <c r="G1" s="31"/>
      <c r="H1" s="31"/>
      <c r="I1" s="31"/>
      <c r="J1" s="31"/>
      <c r="K1" s="31"/>
      <c r="L1" s="31"/>
      <c r="M1" s="31"/>
      <c r="N1" s="31"/>
      <c r="BW1" s="31"/>
      <c r="BX1" s="33" t="s">
        <v>256</v>
      </c>
      <c r="BY1" s="31"/>
      <c r="BZ1" s="31"/>
      <c r="CA1" s="31"/>
      <c r="CB1" s="31"/>
      <c r="CC1" s="31"/>
      <c r="CD1" s="31"/>
      <c r="CE1" s="31"/>
      <c r="CF1" s="31"/>
      <c r="CG1" s="31"/>
    </row>
    <row r="2" spans="1:85" ht="15" customHeight="1" x14ac:dyDescent="0.3">
      <c r="D2" s="31"/>
      <c r="E2" s="34"/>
      <c r="F2" s="34"/>
      <c r="G2" s="34"/>
      <c r="H2" s="34"/>
      <c r="I2" s="34"/>
      <c r="J2" s="34"/>
      <c r="K2" s="34"/>
      <c r="L2" s="34"/>
      <c r="M2" s="34"/>
      <c r="N2" s="34"/>
      <c r="Q2" s="35"/>
      <c r="BW2" s="31"/>
      <c r="BX2" s="36" t="s">
        <v>226</v>
      </c>
      <c r="BY2" s="36" t="s">
        <v>227</v>
      </c>
      <c r="BZ2" s="36" t="s">
        <v>228</v>
      </c>
      <c r="CA2" s="36" t="s">
        <v>229</v>
      </c>
      <c r="CB2" s="36" t="s">
        <v>230</v>
      </c>
      <c r="CC2" s="36" t="s">
        <v>231</v>
      </c>
      <c r="CD2" s="36" t="s">
        <v>232</v>
      </c>
      <c r="CE2" s="36" t="s">
        <v>233</v>
      </c>
      <c r="CF2" s="36" t="s">
        <v>234</v>
      </c>
      <c r="CG2" s="36" t="s">
        <v>235</v>
      </c>
    </row>
    <row r="3" spans="1:85" ht="15" customHeight="1" x14ac:dyDescent="0.3">
      <c r="A3" s="9" t="s">
        <v>2</v>
      </c>
      <c r="B3" s="9" t="s">
        <v>3</v>
      </c>
      <c r="C3" s="9" t="s">
        <v>4</v>
      </c>
      <c r="D3" s="37" t="s">
        <v>236</v>
      </c>
      <c r="E3" s="38" t="s">
        <v>237</v>
      </c>
      <c r="F3" s="39" t="s">
        <v>238</v>
      </c>
      <c r="G3" s="38" t="s">
        <v>239</v>
      </c>
      <c r="H3" s="38" t="s">
        <v>240</v>
      </c>
      <c r="I3" s="40" t="s">
        <v>241</v>
      </c>
      <c r="J3" s="41" t="s">
        <v>242</v>
      </c>
      <c r="K3" s="41" t="s">
        <v>243</v>
      </c>
      <c r="L3" s="41" t="s">
        <v>244</v>
      </c>
      <c r="M3" s="41" t="s">
        <v>245</v>
      </c>
      <c r="N3" s="42" t="s">
        <v>246</v>
      </c>
      <c r="O3" s="29" t="s">
        <v>247</v>
      </c>
      <c r="P3" s="43">
        <v>46113</v>
      </c>
      <c r="Q3" s="43">
        <v>46115</v>
      </c>
      <c r="R3" s="29">
        <v>46116</v>
      </c>
      <c r="S3" s="29">
        <v>46117</v>
      </c>
      <c r="T3" s="29">
        <v>46118</v>
      </c>
      <c r="U3" s="29">
        <v>46119</v>
      </c>
      <c r="V3" s="29">
        <v>46120</v>
      </c>
      <c r="W3" s="29">
        <v>46121</v>
      </c>
      <c r="X3" s="29">
        <v>46122</v>
      </c>
      <c r="Y3" s="29">
        <v>46123</v>
      </c>
      <c r="Z3" s="29">
        <v>46124</v>
      </c>
      <c r="AA3" s="29">
        <v>46125</v>
      </c>
      <c r="AB3" s="29">
        <v>46126</v>
      </c>
      <c r="AC3" s="29">
        <v>46127</v>
      </c>
      <c r="AD3" s="29">
        <v>46128</v>
      </c>
      <c r="AE3" s="29">
        <v>46129</v>
      </c>
      <c r="AF3" s="29">
        <v>46130</v>
      </c>
      <c r="AG3" s="29">
        <v>46131</v>
      </c>
      <c r="AH3" s="29">
        <v>46132</v>
      </c>
      <c r="AI3" s="29">
        <v>46133</v>
      </c>
      <c r="AJ3" s="29">
        <v>46134</v>
      </c>
      <c r="AK3" s="29">
        <v>46135</v>
      </c>
      <c r="AL3" s="29">
        <v>46136</v>
      </c>
      <c r="AM3" s="29">
        <v>46137</v>
      </c>
      <c r="AN3" s="29">
        <v>46138</v>
      </c>
      <c r="AO3" s="29">
        <v>46139</v>
      </c>
      <c r="AP3" s="29">
        <v>46140</v>
      </c>
      <c r="AQ3" s="29">
        <v>46141</v>
      </c>
      <c r="AR3" s="29">
        <v>46142</v>
      </c>
      <c r="AS3" s="29">
        <v>46143</v>
      </c>
      <c r="AT3" s="29">
        <v>46144</v>
      </c>
      <c r="AU3" s="29">
        <v>46145</v>
      </c>
      <c r="AV3" s="29">
        <v>46146</v>
      </c>
      <c r="AW3" s="29">
        <v>46147</v>
      </c>
      <c r="AX3" s="29">
        <v>46148</v>
      </c>
      <c r="AY3" s="29">
        <v>46149</v>
      </c>
      <c r="AZ3" s="29">
        <v>46150</v>
      </c>
      <c r="BA3" s="29">
        <v>46151</v>
      </c>
      <c r="BB3" s="29">
        <v>46152</v>
      </c>
      <c r="BC3" s="29">
        <v>46153</v>
      </c>
      <c r="BD3" s="29">
        <v>46154</v>
      </c>
      <c r="BE3" s="29">
        <v>46155</v>
      </c>
      <c r="BF3" s="29">
        <v>46156</v>
      </c>
      <c r="BG3" s="29">
        <v>46157</v>
      </c>
      <c r="BH3" s="29">
        <v>46158</v>
      </c>
      <c r="BI3" s="29">
        <v>46159</v>
      </c>
      <c r="BJ3" s="29">
        <v>46160</v>
      </c>
      <c r="BK3" s="29">
        <v>46161</v>
      </c>
      <c r="BL3" s="29">
        <v>46162</v>
      </c>
      <c r="BM3" s="29">
        <v>46163</v>
      </c>
      <c r="BN3" s="29">
        <v>46164</v>
      </c>
      <c r="BO3" s="29">
        <v>46165</v>
      </c>
      <c r="BP3" s="29">
        <v>46166</v>
      </c>
      <c r="BQ3" s="29">
        <v>46167</v>
      </c>
      <c r="BR3" s="29">
        <v>46168</v>
      </c>
      <c r="BS3" s="44">
        <v>46169</v>
      </c>
      <c r="BT3" s="44">
        <v>46170</v>
      </c>
      <c r="BU3" s="44">
        <v>46171</v>
      </c>
      <c r="BV3" s="44">
        <v>46172</v>
      </c>
      <c r="BW3" s="45" t="s">
        <v>248</v>
      </c>
      <c r="BX3" s="46">
        <v>66</v>
      </c>
      <c r="BY3" s="46">
        <v>302</v>
      </c>
      <c r="BZ3" s="46">
        <v>554</v>
      </c>
      <c r="CA3" s="46">
        <v>156</v>
      </c>
      <c r="CB3" s="46">
        <v>920</v>
      </c>
      <c r="CC3" s="46">
        <v>654</v>
      </c>
      <c r="CD3" s="46">
        <v>1084</v>
      </c>
      <c r="CE3" s="46">
        <v>564</v>
      </c>
      <c r="CF3" s="46">
        <v>258</v>
      </c>
      <c r="CG3" s="46">
        <v>880</v>
      </c>
    </row>
    <row r="4" spans="1:85" ht="15" customHeight="1" x14ac:dyDescent="0.3">
      <c r="A4" s="10" t="str">
        <f>IF(Job_Master!A4="","",Job_Master!A4)</f>
        <v>BJ-104</v>
      </c>
      <c r="B4" s="10">
        <f>IF($A4="","",Job_Master!B4)</f>
        <v>28</v>
      </c>
      <c r="C4" s="10" t="str">
        <f>IF($A4="","",Job_Master!C4)</f>
        <v>2P</v>
      </c>
      <c r="D4" s="47">
        <f>IF($A4="","",Job_Master!D4)</f>
        <v>2</v>
      </c>
      <c r="E4" s="48" t="str">
        <f>IF($A4="","","QC-MC-01")</f>
        <v>QC-MC-01</v>
      </c>
      <c r="F4" s="48" t="str">
        <f>IF($E4="","",IFERROR(VLOOKUP($E4,Machine_List!$B:$G,6,0),""))</f>
        <v>General Workman</v>
      </c>
      <c r="G4" s="49">
        <f>IF($E4="","",IFERROR(VLOOKUP($E4,Machine_List!$B:$C,2,0),""))</f>
        <v>46518</v>
      </c>
      <c r="H4" s="48">
        <f>IF($E4="","",IFERROR(VLOOKUP($E4,Machine_List!$B:$D,3,0),""))</f>
        <v>6</v>
      </c>
      <c r="I4" s="46"/>
      <c r="J4" s="50">
        <f ca="1">IF($A4="","",IF($I4&lt;&gt;"",$I4,MAX(FID_Plan!$M4,IFERROR(LOOKUP(2,1/($E$3:INDIRECT("E"&amp;(ROW()-1))=$E4),$M$3:INDIRECT("M"&amp;(ROW()-1))),FID_Plan!$M4))))</f>
        <v>46130.765211640202</v>
      </c>
      <c r="K4" s="48">
        <f>IF($A4="","",IFERROR(VLOOKUP(B4,CHOOSE(MATCH(C4,Settings!$L$4:$L$10,0),OPR_2P!$A$4:$I$18,SEG_6P!$A$4:$I$18,SOL_4P!$A$4:$I$18,RW_2P!$A$4:$I$18,RW2_4P!$A$4:$I$18,FLAP_4P!$A$4:$I$18,TUBE_4P!$A$4:$I$18),8,0),0))</f>
        <v>17</v>
      </c>
      <c r="L4" s="48">
        <f t="shared" ref="L4:L67" si="0">IF($A4="","",K4*D4)</f>
        <v>34</v>
      </c>
      <c r="M4" s="50">
        <f ca="1">IF($A4="","",$J4+($L4/(IF(F4="Contract Workman",Settings!$K$5,Settings!$K$4))))</f>
        <v>46132.339285714275</v>
      </c>
      <c r="N4" s="48" t="str">
        <f t="shared" ref="N4:N35" ca="1" si="1">IF($A4="","",IF(F4="Contract Workman",IF(AND(MOD(M4,1)&gt;=8/24,MOD(M4,1)&lt;20/24),"Shift S1","Shift S2"),IF(AND(MOD(M4,1)&gt;=7/24,MOD(M4,1)&lt;15/24),"Shift A",IF(AND(MOD(M4,1)&gt;=15/24,MOD(M4,1)&lt;23/24),"Shift B","Shift C"))))</f>
        <v>Shift A</v>
      </c>
      <c r="O4" s="51" t="str">
        <f>IF(B4="","", IF(IFERROR(ISNUMBER(SEARCH(B4, VLOOKUP(E4, Machine_List!$B:$J, 9, 0))), FALSE()), "✅ Machine OK", "❌ Sug: " &amp; IFERROR(INDEX(Machine_List!$B$4:$B$50, MATCH("*"&amp;B4&amp;"*", Machine_List!$J$4:$J$50, 0)), "Check Limits")))</f>
        <v>✅ Machine OK</v>
      </c>
      <c r="P4" s="52" t="str">
        <f t="shared" ref="P4:AU4" ca="1" si="2">IF(AND(Q$3&gt;=$J4, Q$3&lt;$M4), $A4, "")</f>
        <v/>
      </c>
      <c r="Q4" s="52" t="str">
        <f t="shared" ca="1" si="2"/>
        <v/>
      </c>
      <c r="R4" s="52" t="str">
        <f t="shared" ca="1" si="2"/>
        <v/>
      </c>
      <c r="S4" s="52" t="str">
        <f t="shared" ca="1" si="2"/>
        <v/>
      </c>
      <c r="T4" s="52" t="str">
        <f t="shared" ca="1" si="2"/>
        <v/>
      </c>
      <c r="U4" s="52" t="str">
        <f t="shared" ca="1" si="2"/>
        <v/>
      </c>
      <c r="V4" s="52" t="str">
        <f t="shared" ca="1" si="2"/>
        <v/>
      </c>
      <c r="W4" s="52" t="str">
        <f t="shared" ca="1" si="2"/>
        <v/>
      </c>
      <c r="X4" s="52" t="str">
        <f t="shared" ca="1" si="2"/>
        <v/>
      </c>
      <c r="Y4" s="52" t="str">
        <f t="shared" ca="1" si="2"/>
        <v/>
      </c>
      <c r="Z4" s="52" t="str">
        <f t="shared" ca="1" si="2"/>
        <v/>
      </c>
      <c r="AA4" s="52" t="str">
        <f t="shared" ca="1" si="2"/>
        <v/>
      </c>
      <c r="AB4" s="52" t="str">
        <f t="shared" ca="1" si="2"/>
        <v/>
      </c>
      <c r="AC4" s="52" t="str">
        <f t="shared" ca="1" si="2"/>
        <v/>
      </c>
      <c r="AD4" s="52" t="str">
        <f t="shared" ca="1" si="2"/>
        <v/>
      </c>
      <c r="AE4" s="52" t="str">
        <f t="shared" ca="1" si="2"/>
        <v/>
      </c>
      <c r="AF4" s="52" t="str">
        <f t="shared" ca="1" si="2"/>
        <v>BJ-104</v>
      </c>
      <c r="AG4" s="52" t="str">
        <f t="shared" ca="1" si="2"/>
        <v>BJ-104</v>
      </c>
      <c r="AH4" s="52" t="str">
        <f t="shared" ca="1" si="2"/>
        <v/>
      </c>
      <c r="AI4" s="52" t="str">
        <f t="shared" ca="1" si="2"/>
        <v/>
      </c>
      <c r="AJ4" s="52" t="str">
        <f t="shared" ca="1" si="2"/>
        <v/>
      </c>
      <c r="AK4" s="52" t="str">
        <f t="shared" ca="1" si="2"/>
        <v/>
      </c>
      <c r="AL4" s="52" t="str">
        <f t="shared" ca="1" si="2"/>
        <v/>
      </c>
      <c r="AM4" s="52" t="str">
        <f t="shared" ca="1" si="2"/>
        <v/>
      </c>
      <c r="AN4" s="52" t="str">
        <f t="shared" ca="1" si="2"/>
        <v/>
      </c>
      <c r="AO4" s="52" t="str">
        <f t="shared" ca="1" si="2"/>
        <v/>
      </c>
      <c r="AP4" s="52" t="str">
        <f t="shared" ca="1" si="2"/>
        <v/>
      </c>
      <c r="AQ4" s="52" t="str">
        <f t="shared" ca="1" si="2"/>
        <v/>
      </c>
      <c r="AR4" s="52" t="str">
        <f t="shared" ca="1" si="2"/>
        <v/>
      </c>
      <c r="AS4" s="52" t="str">
        <f t="shared" ca="1" si="2"/>
        <v/>
      </c>
      <c r="AT4" s="52" t="str">
        <f t="shared" ca="1" si="2"/>
        <v/>
      </c>
      <c r="AU4" s="52" t="str">
        <f t="shared" ca="1" si="2"/>
        <v/>
      </c>
      <c r="AV4" s="52" t="str">
        <f t="shared" ref="AV4:BP4" ca="1" si="3">IF(AND(AW$3&gt;=$J4, AW$3&lt;$M4), $A4, "")</f>
        <v/>
      </c>
      <c r="AW4" s="52" t="str">
        <f t="shared" ca="1" si="3"/>
        <v/>
      </c>
      <c r="AX4" s="52" t="str">
        <f t="shared" ca="1" si="3"/>
        <v/>
      </c>
      <c r="AY4" s="52" t="str">
        <f t="shared" ca="1" si="3"/>
        <v/>
      </c>
      <c r="AZ4" s="52" t="str">
        <f t="shared" ca="1" si="3"/>
        <v/>
      </c>
      <c r="BA4" s="52" t="str">
        <f t="shared" ca="1" si="3"/>
        <v/>
      </c>
      <c r="BB4" s="52" t="str">
        <f t="shared" ca="1" si="3"/>
        <v/>
      </c>
      <c r="BC4" s="52" t="str">
        <f t="shared" ca="1" si="3"/>
        <v/>
      </c>
      <c r="BD4" s="52" t="str">
        <f t="shared" ca="1" si="3"/>
        <v/>
      </c>
      <c r="BE4" s="52" t="str">
        <f t="shared" ca="1" si="3"/>
        <v/>
      </c>
      <c r="BF4" s="52" t="str">
        <f t="shared" ca="1" si="3"/>
        <v/>
      </c>
      <c r="BG4" s="52" t="str">
        <f t="shared" ca="1" si="3"/>
        <v/>
      </c>
      <c r="BH4" s="52" t="str">
        <f t="shared" ca="1" si="3"/>
        <v/>
      </c>
      <c r="BI4" s="52" t="str">
        <f t="shared" ca="1" si="3"/>
        <v/>
      </c>
      <c r="BJ4" s="52" t="str">
        <f t="shared" ca="1" si="3"/>
        <v/>
      </c>
      <c r="BK4" s="52" t="str">
        <f t="shared" ca="1" si="3"/>
        <v/>
      </c>
      <c r="BL4" s="52" t="str">
        <f t="shared" ca="1" si="3"/>
        <v/>
      </c>
      <c r="BM4" s="52" t="str">
        <f t="shared" ca="1" si="3"/>
        <v/>
      </c>
      <c r="BN4" t="str">
        <f t="shared" ca="1" si="3"/>
        <v/>
      </c>
      <c r="BO4" t="str">
        <f t="shared" ca="1" si="3"/>
        <v/>
      </c>
      <c r="BP4" t="str">
        <f t="shared" ca="1" si="3"/>
        <v/>
      </c>
      <c r="BW4" s="45" t="s">
        <v>249</v>
      </c>
      <c r="BX4" s="46">
        <v>3240</v>
      </c>
      <c r="BY4" s="46">
        <v>3348</v>
      </c>
      <c r="BZ4" s="46">
        <v>3240</v>
      </c>
      <c r="CA4" s="46">
        <v>3348</v>
      </c>
      <c r="CB4" s="46">
        <v>3348</v>
      </c>
      <c r="CC4" s="46">
        <v>3240</v>
      </c>
      <c r="CD4" s="46">
        <v>3348</v>
      </c>
      <c r="CE4" s="46">
        <v>3240</v>
      </c>
      <c r="CF4" s="46">
        <v>3348</v>
      </c>
      <c r="CG4" s="46">
        <v>3348</v>
      </c>
    </row>
    <row r="5" spans="1:85" ht="15" customHeight="1" x14ac:dyDescent="0.3">
      <c r="A5" s="10" t="str">
        <f>IF(Job_Master!A5="","",Job_Master!A5)</f>
        <v>BJ-101</v>
      </c>
      <c r="B5" s="10">
        <f>IF($A5="","",Job_Master!B5)</f>
        <v>42</v>
      </c>
      <c r="C5" s="10" t="str">
        <f>IF($A5="","",Job_Master!C5)</f>
        <v>SOL</v>
      </c>
      <c r="D5" s="10">
        <f>IF($A5="","",Job_Master!D5)</f>
        <v>4</v>
      </c>
      <c r="E5" s="48" t="str">
        <f>IF($A5="","","QC-MC-01")</f>
        <v>QC-MC-01</v>
      </c>
      <c r="F5" s="10" t="str">
        <f>IF($E5="","",IFERROR(VLOOKUP($E5,Machine_List!$B:$G,6,0),""))</f>
        <v>General Workman</v>
      </c>
      <c r="G5" s="53">
        <f>IF($E5="","",IFERROR(VLOOKUP($E5,Machine_List!$B:$C,2,0),""))</f>
        <v>46518</v>
      </c>
      <c r="H5" s="10">
        <f>IF($E5="","",IFERROR(VLOOKUP($E5,Machine_List!$B:$D,3,0),""))</f>
        <v>6</v>
      </c>
      <c r="I5" s="54"/>
      <c r="J5" s="55">
        <f ca="1">IF($A5="","",IF($I5&lt;&gt;"",$I5,MAX(FID_Plan!$M5,IFERROR(LOOKUP(2,1/($E$3:INDIRECT("E"&amp;(ROW()-1))=$E5),$M$3:INDIRECT("M"&amp;(ROW()-1))),FID_Plan!$M5))))</f>
        <v>46164.257275132266</v>
      </c>
      <c r="K5" s="10">
        <f>IF($A5="","",IFERROR(VLOOKUP(B5,CHOOSE(MATCH(C5,Settings!$L$4:$L$10,0),OPR_2P!$A$4:$I$18,SEG_6P!$A$4:$I$18,SOL_4P!$A$4:$I$18,RW_2P!$A$4:$I$18,RW2_4P!$A$4:$I$18,FLAP_4P!$A$4:$I$18,TUBE_4P!$A$4:$I$18),8,0),0))</f>
        <v>33</v>
      </c>
      <c r="L5" s="10">
        <f t="shared" si="0"/>
        <v>132</v>
      </c>
      <c r="M5" s="55">
        <f ca="1">IF($A5="","",$J5+($L5/(IF(F5="Contract Workman",Settings!$K$5,Settings!$K$4))))</f>
        <v>46170.368386243375</v>
      </c>
      <c r="N5" s="10" t="str">
        <f t="shared" ca="1" si="1"/>
        <v>Shift A</v>
      </c>
      <c r="O5" s="51" t="str">
        <f>IF(B5="","", IF(IFERROR(ISNUMBER(SEARCH(B5, VLOOKUP(E5, Machine_List!$B:$J, 9, 0))), FALSE()), "✅ Machine OK", "❌ Sug: " &amp; IFERROR(INDEX(Machine_List!$B$4:$B$50, MATCH("*"&amp;B5&amp;"*", Machine_List!$J$4:$J$50, 0)), "Check Limits")))</f>
        <v>✅ Machine OK</v>
      </c>
      <c r="P5" s="52" t="str">
        <f t="shared" ref="P5:AU5" ca="1" si="4">IF(AND(Q$3&gt;=$J5, Q$3&lt;$M5), $A5, "")</f>
        <v/>
      </c>
      <c r="Q5" s="52" t="str">
        <f t="shared" ca="1" si="4"/>
        <v/>
      </c>
      <c r="R5" s="52" t="str">
        <f t="shared" ca="1" si="4"/>
        <v/>
      </c>
      <c r="S5" s="52" t="str">
        <f t="shared" ca="1" si="4"/>
        <v/>
      </c>
      <c r="T5" s="52" t="str">
        <f t="shared" ca="1" si="4"/>
        <v/>
      </c>
      <c r="U5" s="52" t="str">
        <f t="shared" ca="1" si="4"/>
        <v/>
      </c>
      <c r="V5" s="52" t="str">
        <f t="shared" ca="1" si="4"/>
        <v/>
      </c>
      <c r="W5" s="52" t="str">
        <f t="shared" ca="1" si="4"/>
        <v/>
      </c>
      <c r="X5" s="52" t="str">
        <f t="shared" ca="1" si="4"/>
        <v/>
      </c>
      <c r="Y5" s="52" t="str">
        <f t="shared" ca="1" si="4"/>
        <v/>
      </c>
      <c r="Z5" s="52" t="str">
        <f t="shared" ca="1" si="4"/>
        <v/>
      </c>
      <c r="AA5" s="52" t="str">
        <f t="shared" ca="1" si="4"/>
        <v/>
      </c>
      <c r="AB5" s="52" t="str">
        <f t="shared" ca="1" si="4"/>
        <v/>
      </c>
      <c r="AC5" s="52" t="str">
        <f t="shared" ca="1" si="4"/>
        <v/>
      </c>
      <c r="AD5" s="52" t="str">
        <f t="shared" ca="1" si="4"/>
        <v/>
      </c>
      <c r="AE5" s="52" t="str">
        <f t="shared" ca="1" si="4"/>
        <v/>
      </c>
      <c r="AF5" s="52" t="str">
        <f t="shared" ca="1" si="4"/>
        <v/>
      </c>
      <c r="AG5" s="52" t="str">
        <f t="shared" ca="1" si="4"/>
        <v/>
      </c>
      <c r="AH5" s="52" t="str">
        <f t="shared" ca="1" si="4"/>
        <v/>
      </c>
      <c r="AI5" s="52" t="str">
        <f t="shared" ca="1" si="4"/>
        <v/>
      </c>
      <c r="AJ5" s="52" t="str">
        <f t="shared" ca="1" si="4"/>
        <v/>
      </c>
      <c r="AK5" s="52" t="str">
        <f t="shared" ca="1" si="4"/>
        <v/>
      </c>
      <c r="AL5" s="52" t="str">
        <f t="shared" ca="1" si="4"/>
        <v/>
      </c>
      <c r="AM5" s="52" t="str">
        <f t="shared" ca="1" si="4"/>
        <v/>
      </c>
      <c r="AN5" s="52" t="str">
        <f t="shared" ca="1" si="4"/>
        <v/>
      </c>
      <c r="AO5" s="52" t="str">
        <f t="shared" ca="1" si="4"/>
        <v/>
      </c>
      <c r="AP5" s="52" t="str">
        <f t="shared" ca="1" si="4"/>
        <v/>
      </c>
      <c r="AQ5" s="52" t="str">
        <f t="shared" ca="1" si="4"/>
        <v/>
      </c>
      <c r="AR5" s="52" t="str">
        <f t="shared" ca="1" si="4"/>
        <v/>
      </c>
      <c r="AS5" s="52" t="str">
        <f t="shared" ca="1" si="4"/>
        <v/>
      </c>
      <c r="AT5" s="52" t="str">
        <f t="shared" ca="1" si="4"/>
        <v/>
      </c>
      <c r="AU5" s="52" t="str">
        <f t="shared" ca="1" si="4"/>
        <v/>
      </c>
      <c r="AV5" s="52" t="str">
        <f t="shared" ref="AV5:BP5" ca="1" si="5">IF(AND(AW$3&gt;=$J5, AW$3&lt;$M5), $A5, "")</f>
        <v/>
      </c>
      <c r="AW5" s="52" t="str">
        <f t="shared" ca="1" si="5"/>
        <v/>
      </c>
      <c r="AX5" s="52" t="str">
        <f t="shared" ca="1" si="5"/>
        <v/>
      </c>
      <c r="AY5" s="52" t="str">
        <f t="shared" ca="1" si="5"/>
        <v/>
      </c>
      <c r="AZ5" s="52" t="str">
        <f t="shared" ca="1" si="5"/>
        <v/>
      </c>
      <c r="BA5" s="52" t="str">
        <f t="shared" ca="1" si="5"/>
        <v/>
      </c>
      <c r="BB5" s="52" t="str">
        <f t="shared" ca="1" si="5"/>
        <v/>
      </c>
      <c r="BC5" s="52" t="str">
        <f t="shared" ca="1" si="5"/>
        <v/>
      </c>
      <c r="BD5" s="52" t="str">
        <f t="shared" ca="1" si="5"/>
        <v/>
      </c>
      <c r="BE5" s="52" t="str">
        <f t="shared" ca="1" si="5"/>
        <v/>
      </c>
      <c r="BF5" s="52" t="str">
        <f t="shared" ca="1" si="5"/>
        <v/>
      </c>
      <c r="BG5" s="52" t="str">
        <f t="shared" ca="1" si="5"/>
        <v/>
      </c>
      <c r="BH5" s="52" t="str">
        <f t="shared" ca="1" si="5"/>
        <v/>
      </c>
      <c r="BI5" s="52" t="str">
        <f t="shared" ca="1" si="5"/>
        <v/>
      </c>
      <c r="BJ5" s="52" t="str">
        <f t="shared" ca="1" si="5"/>
        <v/>
      </c>
      <c r="BK5" s="52" t="str">
        <f t="shared" ca="1" si="5"/>
        <v/>
      </c>
      <c r="BL5" s="52" t="str">
        <f t="shared" ca="1" si="5"/>
        <v/>
      </c>
      <c r="BM5" s="52" t="str">
        <f t="shared" ca="1" si="5"/>
        <v/>
      </c>
      <c r="BN5" t="str">
        <f t="shared" ca="1" si="5"/>
        <v>BJ-101</v>
      </c>
      <c r="BO5" t="str">
        <f t="shared" ca="1" si="5"/>
        <v>BJ-101</v>
      </c>
      <c r="BP5" t="str">
        <f t="shared" ca="1" si="5"/>
        <v>BJ-101</v>
      </c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</row>
    <row r="6" spans="1:85" ht="15" customHeight="1" x14ac:dyDescent="0.3">
      <c r="A6" s="10" t="str">
        <f>IF(Job_Master!A6="","",Job_Master!A6)</f>
        <v>BJ-105</v>
      </c>
      <c r="B6" s="10">
        <f>IF($A6="","",Job_Master!B6)</f>
        <v>28</v>
      </c>
      <c r="C6" s="10" t="str">
        <f>IF($A6="","",Job_Master!C6)</f>
        <v>RW</v>
      </c>
      <c r="D6" s="10">
        <f>IF($A6="","",Job_Master!D6)</f>
        <v>2</v>
      </c>
      <c r="E6" s="48" t="str">
        <f>IF($A6="","","QC-MC-02")</f>
        <v>QC-MC-02</v>
      </c>
      <c r="F6" s="10" t="str">
        <f>IF($E6="","",IFERROR(VLOOKUP($E6,Machine_List!$B:$G,6,0),""))</f>
        <v>General Workman</v>
      </c>
      <c r="G6" s="53">
        <f>IF($E6="","",IFERROR(VLOOKUP($E6,Machine_List!$B:$C,2,0),""))</f>
        <v>46115</v>
      </c>
      <c r="H6" s="10">
        <f>IF($E6="","",IFERROR(VLOOKUP($E6,Machine_List!$B:$D,3,0),""))</f>
        <v>6</v>
      </c>
      <c r="I6" s="54"/>
      <c r="J6" s="55">
        <f ca="1">IF($A6="","",IF($I6&lt;&gt;"",$I6,MAX(FID_Plan!$M6,IFERROR(LOOKUP(2,1/($E$3:INDIRECT("E"&amp;(ROW()-1))=$E6),$M$3:INDIRECT("M"&amp;(ROW()-1))),FID_Plan!$M6))))</f>
        <v>46131.436507936494</v>
      </c>
      <c r="K6" s="10">
        <f>IF($A6="","",IFERROR(VLOOKUP(B6,CHOOSE(MATCH(C6,Settings!$L$4:$L$10,0),OPR_2P!$A$4:$I$18,SEG_6P!$A$4:$I$18,SOL_4P!$A$4:$I$18,RW_2P!$A$4:$I$18,RW2_4P!$A$4:$I$18,FLAP_4P!$A$4:$I$18,TUBE_4P!$A$4:$I$18),8,0),0))</f>
        <v>34</v>
      </c>
      <c r="L6" s="10">
        <f t="shared" si="0"/>
        <v>68</v>
      </c>
      <c r="M6" s="55">
        <f ca="1">IF($A6="","",$J6+($L6/(IF(F6="Contract Workman",Settings!$K$5,Settings!$K$4))))</f>
        <v>46134.58465608464</v>
      </c>
      <c r="N6" s="10" t="str">
        <f t="shared" ca="1" si="1"/>
        <v>Shift A</v>
      </c>
      <c r="O6" s="51" t="str">
        <f>IF(B6="","", IF(IFERROR(ISNUMBER(SEARCH(B6, VLOOKUP(E6, Machine_List!$B:$J, 9, 0))), FALSE()), "✅ Machine OK", "❌ Sug: " &amp; IFERROR(INDEX(Machine_List!$B$4:$B$50, MATCH("*"&amp;B6&amp;"*", Machine_List!$J$4:$J$50, 0)), "Check Limits")))</f>
        <v>✅ Machine OK</v>
      </c>
      <c r="P6" s="52" t="str">
        <f t="shared" ref="P6:AU6" ca="1" si="6">IF(AND(Q$3&gt;=$J6, Q$3&lt;$M6), $A6, "")</f>
        <v/>
      </c>
      <c r="Q6" s="52" t="str">
        <f t="shared" ca="1" si="6"/>
        <v/>
      </c>
      <c r="R6" s="52" t="str">
        <f t="shared" ca="1" si="6"/>
        <v/>
      </c>
      <c r="S6" s="52" t="str">
        <f t="shared" ca="1" si="6"/>
        <v/>
      </c>
      <c r="T6" s="52" t="str">
        <f t="shared" ca="1" si="6"/>
        <v/>
      </c>
      <c r="U6" s="52" t="str">
        <f t="shared" ca="1" si="6"/>
        <v/>
      </c>
      <c r="V6" s="52" t="str">
        <f t="shared" ca="1" si="6"/>
        <v/>
      </c>
      <c r="W6" s="52" t="str">
        <f t="shared" ca="1" si="6"/>
        <v/>
      </c>
      <c r="X6" s="52" t="str">
        <f t="shared" ca="1" si="6"/>
        <v/>
      </c>
      <c r="Y6" s="52" t="str">
        <f t="shared" ca="1" si="6"/>
        <v/>
      </c>
      <c r="Z6" s="52" t="str">
        <f t="shared" ca="1" si="6"/>
        <v/>
      </c>
      <c r="AA6" s="52" t="str">
        <f t="shared" ca="1" si="6"/>
        <v/>
      </c>
      <c r="AB6" s="52" t="str">
        <f t="shared" ca="1" si="6"/>
        <v/>
      </c>
      <c r="AC6" s="52" t="str">
        <f t="shared" ca="1" si="6"/>
        <v/>
      </c>
      <c r="AD6" s="52" t="str">
        <f t="shared" ca="1" si="6"/>
        <v/>
      </c>
      <c r="AE6" s="52" t="str">
        <f t="shared" ca="1" si="6"/>
        <v/>
      </c>
      <c r="AF6" s="52" t="str">
        <f t="shared" ca="1" si="6"/>
        <v/>
      </c>
      <c r="AG6" s="52" t="str">
        <f t="shared" ca="1" si="6"/>
        <v>BJ-105</v>
      </c>
      <c r="AH6" s="52" t="str">
        <f t="shared" ca="1" si="6"/>
        <v>BJ-105</v>
      </c>
      <c r="AI6" s="52" t="str">
        <f t="shared" ca="1" si="6"/>
        <v>BJ-105</v>
      </c>
      <c r="AJ6" s="52" t="str">
        <f t="shared" ca="1" si="6"/>
        <v/>
      </c>
      <c r="AK6" s="52" t="str">
        <f t="shared" ca="1" si="6"/>
        <v/>
      </c>
      <c r="AL6" s="52" t="str">
        <f t="shared" ca="1" si="6"/>
        <v/>
      </c>
      <c r="AM6" s="52" t="str">
        <f t="shared" ca="1" si="6"/>
        <v/>
      </c>
      <c r="AN6" s="52" t="str">
        <f t="shared" ca="1" si="6"/>
        <v/>
      </c>
      <c r="AO6" s="52" t="str">
        <f t="shared" ca="1" si="6"/>
        <v/>
      </c>
      <c r="AP6" s="52" t="str">
        <f t="shared" ca="1" si="6"/>
        <v/>
      </c>
      <c r="AQ6" s="52" t="str">
        <f t="shared" ca="1" si="6"/>
        <v/>
      </c>
      <c r="AR6" s="52" t="str">
        <f t="shared" ca="1" si="6"/>
        <v/>
      </c>
      <c r="AS6" s="52" t="str">
        <f t="shared" ca="1" si="6"/>
        <v/>
      </c>
      <c r="AT6" s="52" t="str">
        <f t="shared" ca="1" si="6"/>
        <v/>
      </c>
      <c r="AU6" s="52" t="str">
        <f t="shared" ca="1" si="6"/>
        <v/>
      </c>
      <c r="AV6" s="52" t="str">
        <f t="shared" ref="AV6:BP6" ca="1" si="7">IF(AND(AW$3&gt;=$J6, AW$3&lt;$M6), $A6, "")</f>
        <v/>
      </c>
      <c r="AW6" s="52" t="str">
        <f t="shared" ca="1" si="7"/>
        <v/>
      </c>
      <c r="AX6" s="52" t="str">
        <f t="shared" ca="1" si="7"/>
        <v/>
      </c>
      <c r="AY6" s="52" t="str">
        <f t="shared" ca="1" si="7"/>
        <v/>
      </c>
      <c r="AZ6" s="52" t="str">
        <f t="shared" ca="1" si="7"/>
        <v/>
      </c>
      <c r="BA6" s="52" t="str">
        <f t="shared" ca="1" si="7"/>
        <v/>
      </c>
      <c r="BB6" s="52" t="str">
        <f t="shared" ca="1" si="7"/>
        <v/>
      </c>
      <c r="BC6" s="52" t="str">
        <f t="shared" ca="1" si="7"/>
        <v/>
      </c>
      <c r="BD6" s="52" t="str">
        <f t="shared" ca="1" si="7"/>
        <v/>
      </c>
      <c r="BE6" s="52" t="str">
        <f t="shared" ca="1" si="7"/>
        <v/>
      </c>
      <c r="BF6" s="52" t="str">
        <f t="shared" ca="1" si="7"/>
        <v/>
      </c>
      <c r="BG6" s="52" t="str">
        <f t="shared" ca="1" si="7"/>
        <v/>
      </c>
      <c r="BH6" s="52" t="str">
        <f t="shared" ca="1" si="7"/>
        <v/>
      </c>
      <c r="BI6" s="52" t="str">
        <f t="shared" ca="1" si="7"/>
        <v/>
      </c>
      <c r="BJ6" s="52" t="str">
        <f t="shared" ca="1" si="7"/>
        <v/>
      </c>
      <c r="BK6" s="52" t="str">
        <f t="shared" ca="1" si="7"/>
        <v/>
      </c>
      <c r="BL6" s="52" t="str">
        <f t="shared" ca="1" si="7"/>
        <v/>
      </c>
      <c r="BM6" s="52" t="str">
        <f t="shared" ca="1" si="7"/>
        <v/>
      </c>
      <c r="BN6" t="str">
        <f t="shared" ca="1" si="7"/>
        <v/>
      </c>
      <c r="BO6" t="str">
        <f t="shared" ca="1" si="7"/>
        <v/>
      </c>
      <c r="BP6" t="str">
        <f t="shared" ca="1" si="7"/>
        <v/>
      </c>
    </row>
    <row r="7" spans="1:85" ht="15" customHeight="1" x14ac:dyDescent="0.3">
      <c r="A7" s="10" t="str">
        <f>IF(Job_Master!A7="","",Job_Master!A7)</f>
        <v>BJ-100</v>
      </c>
      <c r="B7" s="10">
        <f>IF($A7="","",Job_Master!B7)</f>
        <v>25</v>
      </c>
      <c r="C7" s="10" t="str">
        <f>IF($A7="","",Job_Master!C7)</f>
        <v>SEG</v>
      </c>
      <c r="D7" s="10">
        <f>IF($A7="","",Job_Master!D7)</f>
        <v>6</v>
      </c>
      <c r="E7" s="48" t="str">
        <f>IF($A7="","","QC-MC-01")</f>
        <v>QC-MC-01</v>
      </c>
      <c r="F7" s="10" t="str">
        <f>IF($E7="","",IFERROR(VLOOKUP($E7,Machine_List!$B:$G,6,0),""))</f>
        <v>General Workman</v>
      </c>
      <c r="G7" s="53">
        <f>IF($E7="","",IFERROR(VLOOKUP($E7,Machine_List!$B:$C,2,0),""))</f>
        <v>46518</v>
      </c>
      <c r="H7" s="10">
        <f>IF($E7="","",IFERROR(VLOOKUP($E7,Machine_List!$B:$D,3,0),""))</f>
        <v>6</v>
      </c>
      <c r="I7" s="54"/>
      <c r="J7" s="55">
        <f ca="1">IF($A7="","",IF($I7&lt;&gt;"",$I7,MAX(FID_Plan!$M7,IFERROR(LOOKUP(2,1/($E$3:INDIRECT("E"&amp;(ROW()-1))=$E7),$M$3:INDIRECT("M"&amp;(ROW()-1))),FID_Plan!$M7))))</f>
        <v>46172.560846560838</v>
      </c>
      <c r="K7" s="10">
        <f>IF($A7="","",IFERROR(VLOOKUP(B7,CHOOSE(MATCH(C7,Settings!$L$4:$L$10,0),OPR_2P!$A$4:$I$18,SEG_6P!$A$4:$I$18,SOL_4P!$A$4:$I$18,RW_2P!$A$4:$I$18,RW2_4P!$A$4:$I$18,FLAP_4P!$A$4:$I$18,TUBE_4P!$A$4:$I$18),8,0),0))</f>
        <v>23</v>
      </c>
      <c r="L7" s="10">
        <f t="shared" si="0"/>
        <v>138</v>
      </c>
      <c r="M7" s="55">
        <f ca="1">IF($A7="","",$J7+($L7/(IF(F7="Contract Workman",Settings!$K$5,Settings!$K$4))))</f>
        <v>46178.949735449729</v>
      </c>
      <c r="N7" s="10" t="str">
        <f t="shared" ca="1" si="1"/>
        <v>Shift B</v>
      </c>
      <c r="O7" s="51" t="str">
        <f>IF(B7="","", IF(IFERROR(ISNUMBER(SEARCH(B7, VLOOKUP(E7, Machine_List!$B:$J, 9, 0))), FALSE()), "✅ Machine OK", "❌ Sug: " &amp; IFERROR(INDEX(Machine_List!$B$4:$B$50, MATCH("*"&amp;B7&amp;"*", Machine_List!$J$4:$J$50, 0)), "Check Limits")))</f>
        <v>✅ Machine OK</v>
      </c>
      <c r="P7" s="52" t="str">
        <f t="shared" ref="P7:AU7" ca="1" si="8">IF(AND(Q$3&gt;=$J7, Q$3&lt;$M7), $A7, "")</f>
        <v/>
      </c>
      <c r="Q7" s="52" t="str">
        <f t="shared" ca="1" si="8"/>
        <v/>
      </c>
      <c r="R7" s="52" t="str">
        <f t="shared" ca="1" si="8"/>
        <v/>
      </c>
      <c r="S7" s="52" t="str">
        <f t="shared" ca="1" si="8"/>
        <v/>
      </c>
      <c r="T7" s="52" t="str">
        <f t="shared" ca="1" si="8"/>
        <v/>
      </c>
      <c r="U7" s="52" t="str">
        <f t="shared" ca="1" si="8"/>
        <v/>
      </c>
      <c r="V7" s="52" t="str">
        <f t="shared" ca="1" si="8"/>
        <v/>
      </c>
      <c r="W7" s="52" t="str">
        <f t="shared" ca="1" si="8"/>
        <v/>
      </c>
      <c r="X7" s="52" t="str">
        <f t="shared" ca="1" si="8"/>
        <v/>
      </c>
      <c r="Y7" s="52" t="str">
        <f t="shared" ca="1" si="8"/>
        <v/>
      </c>
      <c r="Z7" s="52" t="str">
        <f t="shared" ca="1" si="8"/>
        <v/>
      </c>
      <c r="AA7" s="52" t="str">
        <f t="shared" ca="1" si="8"/>
        <v/>
      </c>
      <c r="AB7" s="52" t="str">
        <f t="shared" ca="1" si="8"/>
        <v/>
      </c>
      <c r="AC7" s="52" t="str">
        <f t="shared" ca="1" si="8"/>
        <v/>
      </c>
      <c r="AD7" s="52" t="str">
        <f t="shared" ca="1" si="8"/>
        <v/>
      </c>
      <c r="AE7" s="52" t="str">
        <f t="shared" ca="1" si="8"/>
        <v/>
      </c>
      <c r="AF7" s="52" t="str">
        <f t="shared" ca="1" si="8"/>
        <v/>
      </c>
      <c r="AG7" s="52" t="str">
        <f t="shared" ca="1" si="8"/>
        <v/>
      </c>
      <c r="AH7" s="52" t="str">
        <f t="shared" ca="1" si="8"/>
        <v/>
      </c>
      <c r="AI7" s="52" t="str">
        <f t="shared" ca="1" si="8"/>
        <v/>
      </c>
      <c r="AJ7" s="52" t="str">
        <f t="shared" ca="1" si="8"/>
        <v/>
      </c>
      <c r="AK7" s="52" t="str">
        <f t="shared" ca="1" si="8"/>
        <v/>
      </c>
      <c r="AL7" s="52" t="str">
        <f t="shared" ca="1" si="8"/>
        <v/>
      </c>
      <c r="AM7" s="52" t="str">
        <f t="shared" ca="1" si="8"/>
        <v/>
      </c>
      <c r="AN7" s="52" t="str">
        <f t="shared" ca="1" si="8"/>
        <v/>
      </c>
      <c r="AO7" s="52" t="str">
        <f t="shared" ca="1" si="8"/>
        <v/>
      </c>
      <c r="AP7" s="52" t="str">
        <f t="shared" ca="1" si="8"/>
        <v/>
      </c>
      <c r="AQ7" s="52" t="str">
        <f t="shared" ca="1" si="8"/>
        <v/>
      </c>
      <c r="AR7" s="52" t="str">
        <f t="shared" ca="1" si="8"/>
        <v/>
      </c>
      <c r="AS7" s="52" t="str">
        <f t="shared" ca="1" si="8"/>
        <v/>
      </c>
      <c r="AT7" s="52" t="str">
        <f t="shared" ca="1" si="8"/>
        <v/>
      </c>
      <c r="AU7" s="52" t="str">
        <f t="shared" ca="1" si="8"/>
        <v/>
      </c>
      <c r="AV7" s="52" t="str">
        <f t="shared" ref="AV7:BP7" ca="1" si="9">IF(AND(AW$3&gt;=$J7, AW$3&lt;$M7), $A7, "")</f>
        <v/>
      </c>
      <c r="AW7" s="52" t="str">
        <f t="shared" ca="1" si="9"/>
        <v/>
      </c>
      <c r="AX7" s="52" t="str">
        <f t="shared" ca="1" si="9"/>
        <v/>
      </c>
      <c r="AY7" s="52" t="str">
        <f t="shared" ca="1" si="9"/>
        <v/>
      </c>
      <c r="AZ7" s="52" t="str">
        <f t="shared" ca="1" si="9"/>
        <v/>
      </c>
      <c r="BA7" s="52" t="str">
        <f t="shared" ca="1" si="9"/>
        <v/>
      </c>
      <c r="BB7" s="52" t="str">
        <f t="shared" ca="1" si="9"/>
        <v/>
      </c>
      <c r="BC7" s="52" t="str">
        <f t="shared" ca="1" si="9"/>
        <v/>
      </c>
      <c r="BD7" s="52" t="str">
        <f t="shared" ca="1" si="9"/>
        <v/>
      </c>
      <c r="BE7" s="52" t="str">
        <f t="shared" ca="1" si="9"/>
        <v/>
      </c>
      <c r="BF7" s="52" t="str">
        <f t="shared" ca="1" si="9"/>
        <v/>
      </c>
      <c r="BG7" s="52" t="str">
        <f t="shared" ca="1" si="9"/>
        <v/>
      </c>
      <c r="BH7" s="52" t="str">
        <f t="shared" ca="1" si="9"/>
        <v/>
      </c>
      <c r="BI7" s="52" t="str">
        <f t="shared" ca="1" si="9"/>
        <v/>
      </c>
      <c r="BJ7" s="52" t="str">
        <f t="shared" ca="1" si="9"/>
        <v/>
      </c>
      <c r="BK7" s="52" t="str">
        <f t="shared" ca="1" si="9"/>
        <v/>
      </c>
      <c r="BL7" s="52" t="str">
        <f t="shared" ca="1" si="9"/>
        <v/>
      </c>
      <c r="BM7" s="52" t="str">
        <f t="shared" ca="1" si="9"/>
        <v/>
      </c>
      <c r="BN7" t="str">
        <f t="shared" ca="1" si="9"/>
        <v/>
      </c>
      <c r="BO7" t="str">
        <f t="shared" ca="1" si="9"/>
        <v/>
      </c>
      <c r="BP7" t="str">
        <f t="shared" ca="1" si="9"/>
        <v/>
      </c>
    </row>
    <row r="8" spans="1:85" ht="15" customHeight="1" x14ac:dyDescent="0.3">
      <c r="A8" s="10" t="str">
        <f>IF(Job_Master!A8="","",Job_Master!A8)</f>
        <v>BJ-102</v>
      </c>
      <c r="B8" s="10">
        <f>IF($A8="","",Job_Master!B8)</f>
        <v>34</v>
      </c>
      <c r="C8" s="10" t="str">
        <f>IF($A8="","",Job_Master!C8)</f>
        <v>SEG</v>
      </c>
      <c r="D8" s="10">
        <f>IF($A8="","",Job_Master!D8)</f>
        <v>6</v>
      </c>
      <c r="E8" s="48" t="str">
        <f>IF($A8="","","QC-MC-01")</f>
        <v>QC-MC-01</v>
      </c>
      <c r="F8" s="10" t="str">
        <f>IF($E8="","",IFERROR(VLOOKUP($E8,Machine_List!$B:$G,6,0),""))</f>
        <v>General Workman</v>
      </c>
      <c r="G8" s="53">
        <f>IF($E8="","",IFERROR(VLOOKUP($E8,Machine_List!$B:$C,2,0),""))</f>
        <v>46518</v>
      </c>
      <c r="H8" s="10">
        <f>IF($E8="","",IFERROR(VLOOKUP($E8,Machine_List!$B:$D,3,0),""))</f>
        <v>6</v>
      </c>
      <c r="I8" s="54"/>
      <c r="J8" s="55">
        <f ca="1">IF($A8="","",IF($I8&lt;&gt;"",$I8,MAX(FID_Plan!$M8,IFERROR(LOOKUP(2,1/($E$3:INDIRECT("E"&amp;(ROW()-1))=$E8),$M$3:INDIRECT("M"&amp;(ROW()-1))),FID_Plan!$M8))))</f>
        <v>46181.400132275121</v>
      </c>
      <c r="K8" s="10">
        <f>IF($A8="","",IFERROR(VLOOKUP(B8,CHOOSE(MATCH(C8,Settings!$L$4:$L$10,0),OPR_2P!$A$4:$I$18,SEG_6P!$A$4:$I$18,SOL_4P!$A$4:$I$18,RW_2P!$A$4:$I$18,RW2_4P!$A$4:$I$18,FLAP_4P!$A$4:$I$18,TUBE_4P!$A$4:$I$18),8,0),0))</f>
        <v>31</v>
      </c>
      <c r="L8" s="10">
        <f t="shared" si="0"/>
        <v>186</v>
      </c>
      <c r="M8" s="55">
        <f ca="1">IF($A8="","",$J8+($L8/(IF(F8="Contract Workman",Settings!$K$5,Settings!$K$4))))</f>
        <v>46190.01124338623</v>
      </c>
      <c r="N8" s="10" t="str">
        <f t="shared" ca="1" si="1"/>
        <v>Shift C</v>
      </c>
      <c r="O8" s="51" t="str">
        <f>IF(B8="","", IF(IFERROR(ISNUMBER(SEARCH(B8, VLOOKUP(E8, Machine_List!$B:$J, 9, 0))), FALSE()), "✅ Machine OK", "❌ Sug: " &amp; IFERROR(INDEX(Machine_List!$B$4:$B$50, MATCH("*"&amp;B8&amp;"*", Machine_List!$J$4:$J$50, 0)), "Check Limits")))</f>
        <v>✅ Machine OK</v>
      </c>
      <c r="P8" s="52" t="str">
        <f t="shared" ref="P8:AU8" ca="1" si="10">IF(AND(Q$3&gt;=$J8, Q$3&lt;$M8), $A8, "")</f>
        <v/>
      </c>
      <c r="Q8" s="52" t="str">
        <f t="shared" ca="1" si="10"/>
        <v/>
      </c>
      <c r="R8" s="52" t="str">
        <f t="shared" ca="1" si="10"/>
        <v/>
      </c>
      <c r="S8" s="52" t="str">
        <f t="shared" ca="1" si="10"/>
        <v/>
      </c>
      <c r="T8" s="52" t="str">
        <f t="shared" ca="1" si="10"/>
        <v/>
      </c>
      <c r="U8" s="52" t="str">
        <f t="shared" ca="1" si="10"/>
        <v/>
      </c>
      <c r="V8" s="52" t="str">
        <f t="shared" ca="1" si="10"/>
        <v/>
      </c>
      <c r="W8" s="52" t="str">
        <f t="shared" ca="1" si="10"/>
        <v/>
      </c>
      <c r="X8" s="52" t="str">
        <f t="shared" ca="1" si="10"/>
        <v/>
      </c>
      <c r="Y8" s="52" t="str">
        <f t="shared" ca="1" si="10"/>
        <v/>
      </c>
      <c r="Z8" s="52" t="str">
        <f t="shared" ca="1" si="10"/>
        <v/>
      </c>
      <c r="AA8" s="52" t="str">
        <f t="shared" ca="1" si="10"/>
        <v/>
      </c>
      <c r="AB8" s="52" t="str">
        <f t="shared" ca="1" si="10"/>
        <v/>
      </c>
      <c r="AC8" s="52" t="str">
        <f t="shared" ca="1" si="10"/>
        <v/>
      </c>
      <c r="AD8" s="52" t="str">
        <f t="shared" ca="1" si="10"/>
        <v/>
      </c>
      <c r="AE8" s="52" t="str">
        <f t="shared" ca="1" si="10"/>
        <v/>
      </c>
      <c r="AF8" s="52" t="str">
        <f t="shared" ca="1" si="10"/>
        <v/>
      </c>
      <c r="AG8" s="52" t="str">
        <f t="shared" ca="1" si="10"/>
        <v/>
      </c>
      <c r="AH8" s="52" t="str">
        <f t="shared" ca="1" si="10"/>
        <v/>
      </c>
      <c r="AI8" s="52" t="str">
        <f t="shared" ca="1" si="10"/>
        <v/>
      </c>
      <c r="AJ8" s="52" t="str">
        <f t="shared" ca="1" si="10"/>
        <v/>
      </c>
      <c r="AK8" s="52" t="str">
        <f t="shared" ca="1" si="10"/>
        <v/>
      </c>
      <c r="AL8" s="52" t="str">
        <f t="shared" ca="1" si="10"/>
        <v/>
      </c>
      <c r="AM8" s="52" t="str">
        <f t="shared" ca="1" si="10"/>
        <v/>
      </c>
      <c r="AN8" s="52" t="str">
        <f t="shared" ca="1" si="10"/>
        <v/>
      </c>
      <c r="AO8" s="52" t="str">
        <f t="shared" ca="1" si="10"/>
        <v/>
      </c>
      <c r="AP8" s="52" t="str">
        <f t="shared" ca="1" si="10"/>
        <v/>
      </c>
      <c r="AQ8" s="52" t="str">
        <f t="shared" ca="1" si="10"/>
        <v/>
      </c>
      <c r="AR8" s="52" t="str">
        <f t="shared" ca="1" si="10"/>
        <v/>
      </c>
      <c r="AS8" s="52" t="str">
        <f t="shared" ca="1" si="10"/>
        <v/>
      </c>
      <c r="AT8" s="52" t="str">
        <f t="shared" ca="1" si="10"/>
        <v/>
      </c>
      <c r="AU8" s="52" t="str">
        <f t="shared" ca="1" si="10"/>
        <v/>
      </c>
      <c r="AV8" s="52" t="str">
        <f t="shared" ref="AV8:BP8" ca="1" si="11">IF(AND(AW$3&gt;=$J8, AW$3&lt;$M8), $A8, "")</f>
        <v/>
      </c>
      <c r="AW8" s="52" t="str">
        <f t="shared" ca="1" si="11"/>
        <v/>
      </c>
      <c r="AX8" s="52" t="str">
        <f t="shared" ca="1" si="11"/>
        <v/>
      </c>
      <c r="AY8" s="52" t="str">
        <f t="shared" ca="1" si="11"/>
        <v/>
      </c>
      <c r="AZ8" s="52" t="str">
        <f t="shared" ca="1" si="11"/>
        <v/>
      </c>
      <c r="BA8" s="52" t="str">
        <f t="shared" ca="1" si="11"/>
        <v/>
      </c>
      <c r="BB8" s="52" t="str">
        <f t="shared" ca="1" si="11"/>
        <v/>
      </c>
      <c r="BC8" s="52" t="str">
        <f t="shared" ca="1" si="11"/>
        <v/>
      </c>
      <c r="BD8" s="52" t="str">
        <f t="shared" ca="1" si="11"/>
        <v/>
      </c>
      <c r="BE8" s="52" t="str">
        <f t="shared" ca="1" si="11"/>
        <v/>
      </c>
      <c r="BF8" s="52" t="str">
        <f t="shared" ca="1" si="11"/>
        <v/>
      </c>
      <c r="BG8" s="52" t="str">
        <f t="shared" ca="1" si="11"/>
        <v/>
      </c>
      <c r="BH8" s="52" t="str">
        <f t="shared" ca="1" si="11"/>
        <v/>
      </c>
      <c r="BI8" s="52" t="str">
        <f t="shared" ca="1" si="11"/>
        <v/>
      </c>
      <c r="BJ8" s="52" t="str">
        <f t="shared" ca="1" si="11"/>
        <v/>
      </c>
      <c r="BK8" s="52" t="str">
        <f t="shared" ca="1" si="11"/>
        <v/>
      </c>
      <c r="BL8" s="52" t="str">
        <f t="shared" ca="1" si="11"/>
        <v/>
      </c>
      <c r="BM8" s="52" t="str">
        <f t="shared" ca="1" si="11"/>
        <v/>
      </c>
      <c r="BN8" t="str">
        <f t="shared" ca="1" si="11"/>
        <v/>
      </c>
      <c r="BO8" t="str">
        <f t="shared" ca="1" si="11"/>
        <v/>
      </c>
      <c r="BP8" t="str">
        <f t="shared" ca="1" si="11"/>
        <v/>
      </c>
    </row>
    <row r="9" spans="1:85" ht="15" customHeight="1" x14ac:dyDescent="0.3">
      <c r="A9" s="10" t="str">
        <f>IF(Job_Master!A9="","",Job_Master!A9)</f>
        <v>BJ-103</v>
      </c>
      <c r="B9" s="10">
        <f>IF($A9="","",Job_Master!B9)</f>
        <v>20</v>
      </c>
      <c r="C9" s="10" t="str">
        <f>IF($A9="","",Job_Master!C9)</f>
        <v>RW</v>
      </c>
      <c r="D9" s="10">
        <f>IF($A9="","",Job_Master!D9)</f>
        <v>2</v>
      </c>
      <c r="E9" s="48" t="str">
        <f>IF($A9="","","QC-MC-03")</f>
        <v>QC-MC-03</v>
      </c>
      <c r="F9" s="10" t="str">
        <f>IF($E9="","",IFERROR(VLOOKUP($E9,Machine_List!$B:$G,6,0),""))</f>
        <v>General Workman</v>
      </c>
      <c r="G9" s="53">
        <f>IF($E9="","",IFERROR(VLOOKUP($E9,Machine_List!$B:$C,2,0),""))</f>
        <v>46172</v>
      </c>
      <c r="H9" s="10">
        <f>IF($E9="","",IFERROR(VLOOKUP($E9,Machine_List!$B:$D,3,0),""))</f>
        <v>6</v>
      </c>
      <c r="I9" s="54"/>
      <c r="J9" s="55">
        <f ca="1">IF($A9="","",IF($I9&lt;&gt;"",$I9,MAX(FID_Plan!$M9,IFERROR(LOOKUP(2,1/($E$3:INDIRECT("E"&amp;(ROW()-1))=$E9),$M$3:INDIRECT("M"&amp;(ROW()-1))),FID_Plan!$M9))))</f>
        <v>46128.721560846549</v>
      </c>
      <c r="K9" s="10">
        <f>IF($A9="","",IFERROR(VLOOKUP(B9,CHOOSE(MATCH(C9,Settings!$L$4:$L$10,0),OPR_2P!$A$4:$I$18,SEG_6P!$A$4:$I$18,SOL_4P!$A$4:$I$18,RW_2P!$A$4:$I$18,RW2_4P!$A$4:$I$18,FLAP_4P!$A$4:$I$18,TUBE_4P!$A$4:$I$18),8,0),0))</f>
        <v>19</v>
      </c>
      <c r="L9" s="10">
        <f t="shared" si="0"/>
        <v>38</v>
      </c>
      <c r="M9" s="55">
        <f ca="1">IF($A9="","",$J9+($L9/(IF(F9="Contract Workman",Settings!$K$5,Settings!$K$4))))</f>
        <v>46130.480820105811</v>
      </c>
      <c r="N9" s="10" t="str">
        <f t="shared" ca="1" si="1"/>
        <v>Shift A</v>
      </c>
      <c r="O9" s="51" t="str">
        <f>IF(B9="","", IF(IFERROR(ISNUMBER(SEARCH(B9, VLOOKUP(E9, Machine_List!$B:$J, 9, 0))), FALSE()), "✅ Machine OK", "❌ Sug: " &amp; IFERROR(INDEX(Machine_List!$B$4:$B$50, MATCH("*"&amp;B9&amp;"*", Machine_List!$J$4:$J$50, 0)), "Check Limits")))</f>
        <v>✅ Machine OK</v>
      </c>
      <c r="P9" s="52" t="str">
        <f t="shared" ref="P9:AU9" ca="1" si="12">IF(AND(Q$3&gt;=$J9, Q$3&lt;$M9), $A9, "")</f>
        <v/>
      </c>
      <c r="Q9" s="52" t="str">
        <f t="shared" ca="1" si="12"/>
        <v/>
      </c>
      <c r="R9" s="52" t="str">
        <f t="shared" ca="1" si="12"/>
        <v/>
      </c>
      <c r="S9" s="52" t="str">
        <f t="shared" ca="1" si="12"/>
        <v/>
      </c>
      <c r="T9" s="52" t="str">
        <f t="shared" ca="1" si="12"/>
        <v/>
      </c>
      <c r="U9" s="52" t="str">
        <f t="shared" ca="1" si="12"/>
        <v/>
      </c>
      <c r="V9" s="52" t="str">
        <f t="shared" ca="1" si="12"/>
        <v/>
      </c>
      <c r="W9" s="52" t="str">
        <f t="shared" ca="1" si="12"/>
        <v/>
      </c>
      <c r="X9" s="52" t="str">
        <f t="shared" ca="1" si="12"/>
        <v/>
      </c>
      <c r="Y9" s="52" t="str">
        <f t="shared" ca="1" si="12"/>
        <v/>
      </c>
      <c r="Z9" s="52" t="str">
        <f t="shared" ca="1" si="12"/>
        <v/>
      </c>
      <c r="AA9" s="52" t="str">
        <f t="shared" ca="1" si="12"/>
        <v/>
      </c>
      <c r="AB9" s="52" t="str">
        <f t="shared" ca="1" si="12"/>
        <v/>
      </c>
      <c r="AC9" s="52" t="str">
        <f t="shared" ca="1" si="12"/>
        <v/>
      </c>
      <c r="AD9" s="52" t="str">
        <f t="shared" ca="1" si="12"/>
        <v>BJ-103</v>
      </c>
      <c r="AE9" s="52" t="str">
        <f t="shared" ca="1" si="12"/>
        <v>BJ-103</v>
      </c>
      <c r="AF9" s="52" t="str">
        <f t="shared" ca="1" si="12"/>
        <v/>
      </c>
      <c r="AG9" s="52" t="str">
        <f t="shared" ca="1" si="12"/>
        <v/>
      </c>
      <c r="AH9" s="52" t="str">
        <f t="shared" ca="1" si="12"/>
        <v/>
      </c>
      <c r="AI9" s="52" t="str">
        <f t="shared" ca="1" si="12"/>
        <v/>
      </c>
      <c r="AJ9" s="52" t="str">
        <f t="shared" ca="1" si="12"/>
        <v/>
      </c>
      <c r="AK9" s="52" t="str">
        <f t="shared" ca="1" si="12"/>
        <v/>
      </c>
      <c r="AL9" s="52" t="str">
        <f t="shared" ca="1" si="12"/>
        <v/>
      </c>
      <c r="AM9" s="52" t="str">
        <f t="shared" ca="1" si="12"/>
        <v/>
      </c>
      <c r="AN9" s="52" t="str">
        <f t="shared" ca="1" si="12"/>
        <v/>
      </c>
      <c r="AO9" s="52" t="str">
        <f t="shared" ca="1" si="12"/>
        <v/>
      </c>
      <c r="AP9" s="52" t="str">
        <f t="shared" ca="1" si="12"/>
        <v/>
      </c>
      <c r="AQ9" s="52" t="str">
        <f t="shared" ca="1" si="12"/>
        <v/>
      </c>
      <c r="AR9" s="52" t="str">
        <f t="shared" ca="1" si="12"/>
        <v/>
      </c>
      <c r="AS9" s="52" t="str">
        <f t="shared" ca="1" si="12"/>
        <v/>
      </c>
      <c r="AT9" s="52" t="str">
        <f t="shared" ca="1" si="12"/>
        <v/>
      </c>
      <c r="AU9" s="52" t="str">
        <f t="shared" ca="1" si="12"/>
        <v/>
      </c>
      <c r="AV9" s="52" t="str">
        <f t="shared" ref="AV9:BP9" ca="1" si="13">IF(AND(AW$3&gt;=$J9, AW$3&lt;$M9), $A9, "")</f>
        <v/>
      </c>
      <c r="AW9" s="52" t="str">
        <f t="shared" ca="1" si="13"/>
        <v/>
      </c>
      <c r="AX9" s="52" t="str">
        <f t="shared" ca="1" si="13"/>
        <v/>
      </c>
      <c r="AY9" s="52" t="str">
        <f t="shared" ca="1" si="13"/>
        <v/>
      </c>
      <c r="AZ9" s="52" t="str">
        <f t="shared" ca="1" si="13"/>
        <v/>
      </c>
      <c r="BA9" s="52" t="str">
        <f t="shared" ca="1" si="13"/>
        <v/>
      </c>
      <c r="BB9" s="52" t="str">
        <f t="shared" ca="1" si="13"/>
        <v/>
      </c>
      <c r="BC9" s="52" t="str">
        <f t="shared" ca="1" si="13"/>
        <v/>
      </c>
      <c r="BD9" s="52" t="str">
        <f t="shared" ca="1" si="13"/>
        <v/>
      </c>
      <c r="BE9" s="52" t="str">
        <f t="shared" ca="1" si="13"/>
        <v/>
      </c>
      <c r="BF9" s="52" t="str">
        <f t="shared" ca="1" si="13"/>
        <v/>
      </c>
      <c r="BG9" s="52" t="str">
        <f t="shared" ca="1" si="13"/>
        <v/>
      </c>
      <c r="BH9" s="52" t="str">
        <f t="shared" ca="1" si="13"/>
        <v/>
      </c>
      <c r="BI9" s="52" t="str">
        <f t="shared" ca="1" si="13"/>
        <v/>
      </c>
      <c r="BJ9" s="52" t="str">
        <f t="shared" ca="1" si="13"/>
        <v/>
      </c>
      <c r="BK9" s="52" t="str">
        <f t="shared" ca="1" si="13"/>
        <v/>
      </c>
      <c r="BL9" s="52" t="str">
        <f t="shared" ca="1" si="13"/>
        <v/>
      </c>
      <c r="BM9" s="52" t="str">
        <f t="shared" ca="1" si="13"/>
        <v/>
      </c>
      <c r="BN9" t="str">
        <f t="shared" ca="1" si="13"/>
        <v/>
      </c>
      <c r="BO9" t="str">
        <f t="shared" ca="1" si="13"/>
        <v/>
      </c>
      <c r="BP9" t="str">
        <f t="shared" ca="1" si="13"/>
        <v/>
      </c>
    </row>
    <row r="10" spans="1:85" ht="15" customHeight="1" x14ac:dyDescent="0.3">
      <c r="A10" s="10" t="str">
        <f>IF(Job_Master!A10="","",Job_Master!A10)</f>
        <v>BJ-108</v>
      </c>
      <c r="B10" s="10">
        <f>IF($A10="","",Job_Master!B10)</f>
        <v>70</v>
      </c>
      <c r="C10" s="10" t="str">
        <f>IF($A10="","",Job_Master!C10)</f>
        <v>RW</v>
      </c>
      <c r="D10" s="10">
        <f>IF($A10="","",Job_Master!D10)</f>
        <v>2</v>
      </c>
      <c r="E10" s="48" t="str">
        <f>IF($A10="","","QC-MC-02")</f>
        <v>QC-MC-02</v>
      </c>
      <c r="F10" s="10" t="str">
        <f>IF($E10="","",IFERROR(VLOOKUP($E10,Machine_List!$B:$G,6,0),""))</f>
        <v>General Workman</v>
      </c>
      <c r="G10" s="53">
        <f>IF($E10="","",IFERROR(VLOOKUP($E10,Machine_List!$B:$C,2,0),""))</f>
        <v>46115</v>
      </c>
      <c r="H10" s="10">
        <f>IF($E10="","",IFERROR(VLOOKUP($E10,Machine_List!$B:$D,3,0),""))</f>
        <v>6</v>
      </c>
      <c r="I10" s="54"/>
      <c r="J10" s="55">
        <f ca="1">IF($A10="","",IF($I10&lt;&gt;"",$I10,MAX(FID_Plan!$M10,IFERROR(LOOKUP(2,1/($E$3:INDIRECT("E"&amp;(ROW()-1))=$E10),$M$3:INDIRECT("M"&amp;(ROW()-1))),FID_Plan!$M10))))</f>
        <v>46174.786375661366</v>
      </c>
      <c r="K10" s="10">
        <f>IF($A10="","",IFERROR(VLOOKUP(B10,CHOOSE(MATCH(C10,Settings!$L$4:$L$10,0),OPR_2P!$A$4:$I$18,SEG_6P!$A$4:$I$18,SOL_4P!$A$4:$I$18,RW_2P!$A$4:$I$18,RW2_4P!$A$4:$I$18,FLAP_4P!$A$4:$I$18,TUBE_4P!$A$4:$I$18),8,0),0))</f>
        <v>96</v>
      </c>
      <c r="L10" s="10">
        <f t="shared" si="0"/>
        <v>192</v>
      </c>
      <c r="M10" s="55">
        <f ca="1">IF($A10="","",$J10+($L10/(IF(F10="Contract Workman",Settings!$K$5,Settings!$K$4))))</f>
        <v>46183.675264550257</v>
      </c>
      <c r="N10" s="10" t="str">
        <f t="shared" ca="1" si="1"/>
        <v>Shift B</v>
      </c>
      <c r="O10" s="51" t="str">
        <f>IF(B10="","", IF(IFERROR(ISNUMBER(SEARCH(B10, VLOOKUP(E10, Machine_List!$B:$J, 9, 0))), FALSE()), "✅ Machine OK", "❌ Sug: " &amp; IFERROR(INDEX(Machine_List!$B$4:$B$50, MATCH("*"&amp;B10&amp;"*", Machine_List!$J$4:$J$50, 0)), "Check Limits")))</f>
        <v>✅ Machine OK</v>
      </c>
      <c r="P10" s="56"/>
      <c r="Q10" s="57"/>
      <c r="R10" s="57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 t="str">
        <f t="shared" ref="AD10:BP10" ca="1" si="14">IF(AND(AE$3&gt;=$J10, AE$3&lt;$M10), $A10, "")</f>
        <v/>
      </c>
      <c r="AE10" s="52" t="str">
        <f t="shared" ca="1" si="14"/>
        <v/>
      </c>
      <c r="AF10" s="52" t="str">
        <f t="shared" ca="1" si="14"/>
        <v/>
      </c>
      <c r="AG10" s="52" t="str">
        <f t="shared" ca="1" si="14"/>
        <v/>
      </c>
      <c r="AH10" s="52" t="str">
        <f t="shared" ca="1" si="14"/>
        <v/>
      </c>
      <c r="AI10" s="52" t="str">
        <f t="shared" ca="1" si="14"/>
        <v/>
      </c>
      <c r="AJ10" s="52" t="str">
        <f t="shared" ca="1" si="14"/>
        <v/>
      </c>
      <c r="AK10" s="52" t="str">
        <f t="shared" ca="1" si="14"/>
        <v/>
      </c>
      <c r="AL10" s="52" t="str">
        <f t="shared" ca="1" si="14"/>
        <v/>
      </c>
      <c r="AM10" s="52" t="str">
        <f t="shared" ca="1" si="14"/>
        <v/>
      </c>
      <c r="AN10" s="52" t="str">
        <f t="shared" ca="1" si="14"/>
        <v/>
      </c>
      <c r="AO10" s="52" t="str">
        <f t="shared" ca="1" si="14"/>
        <v/>
      </c>
      <c r="AP10" s="52" t="str">
        <f t="shared" ca="1" si="14"/>
        <v/>
      </c>
      <c r="AQ10" s="52" t="str">
        <f t="shared" ca="1" si="14"/>
        <v/>
      </c>
      <c r="AR10" s="52" t="str">
        <f t="shared" ca="1" si="14"/>
        <v/>
      </c>
      <c r="AS10" s="52" t="str">
        <f t="shared" ca="1" si="14"/>
        <v/>
      </c>
      <c r="AT10" s="52" t="str">
        <f t="shared" ca="1" si="14"/>
        <v/>
      </c>
      <c r="AU10" s="52" t="str">
        <f t="shared" ca="1" si="14"/>
        <v/>
      </c>
      <c r="AV10" s="52" t="str">
        <f t="shared" ca="1" si="14"/>
        <v/>
      </c>
      <c r="AW10" s="52" t="str">
        <f t="shared" ca="1" si="14"/>
        <v/>
      </c>
      <c r="AX10" s="52" t="str">
        <f t="shared" ca="1" si="14"/>
        <v/>
      </c>
      <c r="AY10" s="52" t="str">
        <f t="shared" ca="1" si="14"/>
        <v/>
      </c>
      <c r="AZ10" s="52" t="str">
        <f t="shared" ca="1" si="14"/>
        <v/>
      </c>
      <c r="BA10" s="52" t="str">
        <f t="shared" ca="1" si="14"/>
        <v/>
      </c>
      <c r="BB10" s="52" t="str">
        <f t="shared" ca="1" si="14"/>
        <v/>
      </c>
      <c r="BC10" s="52" t="str">
        <f t="shared" ca="1" si="14"/>
        <v/>
      </c>
      <c r="BD10" s="52" t="str">
        <f t="shared" ca="1" si="14"/>
        <v/>
      </c>
      <c r="BE10" s="52" t="str">
        <f t="shared" ca="1" si="14"/>
        <v/>
      </c>
      <c r="BF10" s="52" t="str">
        <f t="shared" ca="1" si="14"/>
        <v/>
      </c>
      <c r="BG10" s="52" t="str">
        <f t="shared" ca="1" si="14"/>
        <v/>
      </c>
      <c r="BH10" s="52" t="str">
        <f t="shared" ca="1" si="14"/>
        <v/>
      </c>
      <c r="BI10" s="52" t="str">
        <f t="shared" ca="1" si="14"/>
        <v/>
      </c>
      <c r="BJ10" s="52" t="str">
        <f t="shared" ca="1" si="14"/>
        <v/>
      </c>
      <c r="BK10" s="52" t="str">
        <f t="shared" ca="1" si="14"/>
        <v/>
      </c>
      <c r="BL10" s="52" t="str">
        <f t="shared" ca="1" si="14"/>
        <v/>
      </c>
      <c r="BM10" s="52" t="str">
        <f t="shared" ca="1" si="14"/>
        <v/>
      </c>
      <c r="BN10" t="str">
        <f t="shared" ca="1" si="14"/>
        <v/>
      </c>
      <c r="BO10" t="str">
        <f t="shared" ca="1" si="14"/>
        <v/>
      </c>
      <c r="BP10" t="str">
        <f t="shared" ca="1" si="14"/>
        <v/>
      </c>
    </row>
    <row r="11" spans="1:85" ht="15" customHeight="1" x14ac:dyDescent="0.3">
      <c r="A11" s="10" t="str">
        <f>IF(Job_Master!A11="","",Job_Master!A11)</f>
        <v>BJ-106</v>
      </c>
      <c r="B11" s="10">
        <f>IF($A11="","",Job_Master!B11)</f>
        <v>15</v>
      </c>
      <c r="C11" s="10" t="str">
        <f>IF($A11="","",Job_Master!C11)</f>
        <v>RW</v>
      </c>
      <c r="D11" s="10">
        <f>IF($A11="","",Job_Master!D11)</f>
        <v>2</v>
      </c>
      <c r="E11" s="48" t="str">
        <f>IF($A11="","","QC-MC-04")</f>
        <v>QC-MC-04</v>
      </c>
      <c r="F11" s="10" t="str">
        <f>IF($E11="","",IFERROR(VLOOKUP($E11,Machine_List!$B:$G,6,0),""))</f>
        <v>General Workman</v>
      </c>
      <c r="G11" s="53">
        <f>IF($E11="","",IFERROR(VLOOKUP($E11,Machine_List!$B:$C,2,0),""))</f>
        <v>46195</v>
      </c>
      <c r="H11" s="10">
        <f>IF($E11="","",IFERROR(VLOOKUP($E11,Machine_List!$B:$D,3,0),""))</f>
        <v>6</v>
      </c>
      <c r="I11" s="54"/>
      <c r="J11" s="55">
        <f ca="1">IF($A11="","",IF($I11&lt;&gt;"",$I11,MAX(FID_Plan!$M11,IFERROR(LOOKUP(2,1/($E$3:INDIRECT("E"&amp;(ROW()-1))=$E11),$M$3:INDIRECT("M"&amp;(ROW()-1))),FID_Plan!$M11))))</f>
        <v>46124.611111111109</v>
      </c>
      <c r="K11" s="10">
        <f>IF($A11="","",IFERROR(VLOOKUP(B11,CHOOSE(MATCH(C11,Settings!$L$4:$L$10,0),OPR_2P!$A$4:$I$18,SEG_6P!$A$4:$I$18,SOL_4P!$A$4:$I$18,RW_2P!$A$4:$I$18,RW2_4P!$A$4:$I$18,FLAP_4P!$A$4:$I$18,TUBE_4P!$A$4:$I$18),8,0),0))</f>
        <v>7</v>
      </c>
      <c r="L11" s="10">
        <f t="shared" si="0"/>
        <v>14</v>
      </c>
      <c r="M11" s="55">
        <f ca="1">IF($A11="","",$J11+($L11/(IF(F11="Contract Workman",Settings!$K$5,Settings!$K$4))))</f>
        <v>46125.259259259255</v>
      </c>
      <c r="N11" s="10" t="str">
        <f t="shared" ca="1" si="1"/>
        <v>Shift C</v>
      </c>
      <c r="O11" s="51" t="str">
        <f>IF(B11="","", IF(IFERROR(ISNUMBER(SEARCH(B11, VLOOKUP(E11, Machine_List!$B:$J, 9, 0))), FALSE()), "✅ Machine OK", "❌ Sug: " &amp; IFERROR(INDEX(Machine_List!$B$4:$B$50, MATCH("*"&amp;B11&amp;"*", Machine_List!$J$4:$J$50, 0)), "Check Limits")))</f>
        <v>✅ Machine OK</v>
      </c>
      <c r="P11" s="52" t="str">
        <f t="shared" ref="P11:AC11" ca="1" si="15">IF(AND(Q$3&gt;=$J11, Q$3&lt;$M11), $A11, "")</f>
        <v/>
      </c>
      <c r="Q11" s="52" t="str">
        <f t="shared" ca="1" si="15"/>
        <v/>
      </c>
      <c r="R11" s="52" t="str">
        <f t="shared" ca="1" si="15"/>
        <v/>
      </c>
      <c r="S11" s="52" t="str">
        <f t="shared" ca="1" si="15"/>
        <v/>
      </c>
      <c r="T11" s="52" t="str">
        <f t="shared" ca="1" si="15"/>
        <v/>
      </c>
      <c r="U11" s="52" t="str">
        <f t="shared" ca="1" si="15"/>
        <v/>
      </c>
      <c r="V11" s="52" t="str">
        <f t="shared" ca="1" si="15"/>
        <v/>
      </c>
      <c r="W11" s="52" t="str">
        <f t="shared" ca="1" si="15"/>
        <v/>
      </c>
      <c r="X11" s="52" t="str">
        <f t="shared" ca="1" si="15"/>
        <v/>
      </c>
      <c r="Y11" s="52" t="str">
        <f t="shared" ca="1" si="15"/>
        <v/>
      </c>
      <c r="Z11" s="52" t="str">
        <f t="shared" ca="1" si="15"/>
        <v>BJ-106</v>
      </c>
      <c r="AA11" s="52" t="str">
        <f t="shared" ca="1" si="15"/>
        <v/>
      </c>
      <c r="AB11" s="52" t="str">
        <f t="shared" ca="1" si="15"/>
        <v/>
      </c>
      <c r="AC11" s="52" t="str">
        <f t="shared" ca="1" si="15"/>
        <v/>
      </c>
      <c r="AD11" s="52" t="str">
        <f t="shared" ref="AD11:BP11" ca="1" si="16">IF(AND(AE$3&gt;=$J11, AE$3&lt;$M11), $A11, "")</f>
        <v/>
      </c>
      <c r="AE11" s="52" t="str">
        <f t="shared" ca="1" si="16"/>
        <v/>
      </c>
      <c r="AF11" s="52" t="str">
        <f t="shared" ca="1" si="16"/>
        <v/>
      </c>
      <c r="AG11" s="52" t="str">
        <f t="shared" ca="1" si="16"/>
        <v/>
      </c>
      <c r="AH11" s="52" t="str">
        <f t="shared" ca="1" si="16"/>
        <v/>
      </c>
      <c r="AI11" s="52" t="str">
        <f t="shared" ca="1" si="16"/>
        <v/>
      </c>
      <c r="AJ11" s="52" t="str">
        <f t="shared" ca="1" si="16"/>
        <v/>
      </c>
      <c r="AK11" s="52" t="str">
        <f t="shared" ca="1" si="16"/>
        <v/>
      </c>
      <c r="AL11" s="52" t="str">
        <f t="shared" ca="1" si="16"/>
        <v/>
      </c>
      <c r="AM11" s="52" t="str">
        <f t="shared" ca="1" si="16"/>
        <v/>
      </c>
      <c r="AN11" s="52" t="str">
        <f t="shared" ca="1" si="16"/>
        <v/>
      </c>
      <c r="AO11" s="52" t="str">
        <f t="shared" ca="1" si="16"/>
        <v/>
      </c>
      <c r="AP11" s="52" t="str">
        <f t="shared" ca="1" si="16"/>
        <v/>
      </c>
      <c r="AQ11" s="52" t="str">
        <f t="shared" ca="1" si="16"/>
        <v/>
      </c>
      <c r="AR11" s="52" t="str">
        <f t="shared" ca="1" si="16"/>
        <v/>
      </c>
      <c r="AS11" s="52" t="str">
        <f t="shared" ca="1" si="16"/>
        <v/>
      </c>
      <c r="AT11" s="52" t="str">
        <f t="shared" ca="1" si="16"/>
        <v/>
      </c>
      <c r="AU11" s="52" t="str">
        <f t="shared" ca="1" si="16"/>
        <v/>
      </c>
      <c r="AV11" s="52" t="str">
        <f t="shared" ca="1" si="16"/>
        <v/>
      </c>
      <c r="AW11" s="52" t="str">
        <f t="shared" ca="1" si="16"/>
        <v/>
      </c>
      <c r="AX11" s="52" t="str">
        <f t="shared" ca="1" si="16"/>
        <v/>
      </c>
      <c r="AY11" s="52" t="str">
        <f t="shared" ca="1" si="16"/>
        <v/>
      </c>
      <c r="AZ11" s="52" t="str">
        <f t="shared" ca="1" si="16"/>
        <v/>
      </c>
      <c r="BA11" s="52" t="str">
        <f t="shared" ca="1" si="16"/>
        <v/>
      </c>
      <c r="BB11" s="52" t="str">
        <f t="shared" ca="1" si="16"/>
        <v/>
      </c>
      <c r="BC11" s="52" t="str">
        <f t="shared" ca="1" si="16"/>
        <v/>
      </c>
      <c r="BD11" s="52" t="str">
        <f t="shared" ca="1" si="16"/>
        <v/>
      </c>
      <c r="BE11" s="52" t="str">
        <f t="shared" ca="1" si="16"/>
        <v/>
      </c>
      <c r="BF11" s="52" t="str">
        <f t="shared" ca="1" si="16"/>
        <v/>
      </c>
      <c r="BG11" s="52" t="str">
        <f t="shared" ca="1" si="16"/>
        <v/>
      </c>
      <c r="BH11" s="52" t="str">
        <f t="shared" ca="1" si="16"/>
        <v/>
      </c>
      <c r="BI11" s="52" t="str">
        <f t="shared" ca="1" si="16"/>
        <v/>
      </c>
      <c r="BJ11" s="52" t="str">
        <f t="shared" ca="1" si="16"/>
        <v/>
      </c>
      <c r="BK11" s="52" t="str">
        <f t="shared" ca="1" si="16"/>
        <v/>
      </c>
      <c r="BL11" s="52" t="str">
        <f t="shared" ca="1" si="16"/>
        <v/>
      </c>
      <c r="BM11" s="52" t="str">
        <f t="shared" ca="1" si="16"/>
        <v/>
      </c>
      <c r="BN11" t="str">
        <f t="shared" ca="1" si="16"/>
        <v/>
      </c>
      <c r="BO11" t="str">
        <f t="shared" ca="1" si="16"/>
        <v/>
      </c>
      <c r="BP11" t="str">
        <f t="shared" ca="1" si="16"/>
        <v/>
      </c>
    </row>
    <row r="12" spans="1:85" ht="15" customHeight="1" x14ac:dyDescent="0.3">
      <c r="A12" s="10" t="str">
        <f>IF(Job_Master!A12="","",Job_Master!A12)</f>
        <v>BJ-109</v>
      </c>
      <c r="B12" s="10">
        <f>IF($A12="","",Job_Master!B12)</f>
        <v>30</v>
      </c>
      <c r="C12" s="10" t="str">
        <f>IF($A12="","",Job_Master!C12)</f>
        <v>RW</v>
      </c>
      <c r="D12" s="10">
        <f>IF($A12="","",Job_Master!D12)</f>
        <v>2</v>
      </c>
      <c r="E12" s="48" t="str">
        <f>IF($A12="","","QC-MC-03")</f>
        <v>QC-MC-03</v>
      </c>
      <c r="F12" s="10" t="str">
        <f>IF($E12="","",IFERROR(VLOOKUP($E12,Machine_List!$B:$G,6,0),""))</f>
        <v>General Workman</v>
      </c>
      <c r="G12" s="53">
        <f>IF($E12="","",IFERROR(VLOOKUP($E12,Machine_List!$B:$C,2,0),""))</f>
        <v>46172</v>
      </c>
      <c r="H12" s="10">
        <f>IF($E12="","",IFERROR(VLOOKUP($E12,Machine_List!$B:$D,3,0),""))</f>
        <v>6</v>
      </c>
      <c r="I12" s="54"/>
      <c r="J12" s="55">
        <f ca="1">IF($A12="","",IF($I12&lt;&gt;"",$I12,MAX(FID_Plan!$M12,IFERROR(LOOKUP(2,1/($E$3:INDIRECT("E"&amp;(ROW()-1))=$E12),$M$3:INDIRECT("M"&amp;(ROW()-1))),FID_Plan!$M12))))</f>
        <v>46138.678571428572</v>
      </c>
      <c r="K12" s="10">
        <f>IF($A12="","",IFERROR(VLOOKUP(B12,CHOOSE(MATCH(C12,Settings!$L$4:$L$10,0),OPR_2P!$A$4:$I$18,SEG_6P!$A$4:$I$18,SOL_4P!$A$4:$I$18,RW_2P!$A$4:$I$18,RW2_4P!$A$4:$I$18,FLAP_4P!$A$4:$I$18,TUBE_4P!$A$4:$I$18),8,0),0))</f>
        <v>35</v>
      </c>
      <c r="L12" s="10">
        <f t="shared" si="0"/>
        <v>70</v>
      </c>
      <c r="M12" s="55">
        <f ca="1">IF($A12="","",$J12+($L12/(IF(F12="Contract Workman",Settings!$K$5,Settings!$K$4))))</f>
        <v>46141.91931216931</v>
      </c>
      <c r="N12" s="10" t="str">
        <f t="shared" ca="1" si="1"/>
        <v>Shift B</v>
      </c>
      <c r="O12" s="51" t="str">
        <f>IF(B12="","", IF(IFERROR(ISNUMBER(SEARCH(B12, VLOOKUP(E12, Machine_List!$B:$J, 9, 0))), FALSE()), "✅ Machine OK", "❌ Sug: " &amp; IFERROR(INDEX(Machine_List!$B$4:$B$50, MATCH("*"&amp;B12&amp;"*", Machine_List!$J$4:$J$50, 0)), "Check Limits")))</f>
        <v>✅ Machine OK</v>
      </c>
      <c r="P12" s="52" t="str">
        <f t="shared" ref="P12:AC12" ca="1" si="17">IF(AND(Q$3&gt;=$J12, Q$3&lt;$M12), $A12, "")</f>
        <v/>
      </c>
      <c r="Q12" s="52" t="str">
        <f t="shared" ca="1" si="17"/>
        <v/>
      </c>
      <c r="R12" s="52" t="str">
        <f t="shared" ca="1" si="17"/>
        <v/>
      </c>
      <c r="S12" s="52" t="str">
        <f t="shared" ca="1" si="17"/>
        <v/>
      </c>
      <c r="T12" s="52" t="str">
        <f t="shared" ca="1" si="17"/>
        <v/>
      </c>
      <c r="U12" s="52" t="str">
        <f t="shared" ca="1" si="17"/>
        <v/>
      </c>
      <c r="V12" s="52" t="str">
        <f t="shared" ca="1" si="17"/>
        <v/>
      </c>
      <c r="W12" s="52" t="str">
        <f t="shared" ca="1" si="17"/>
        <v/>
      </c>
      <c r="X12" s="52" t="str">
        <f t="shared" ca="1" si="17"/>
        <v/>
      </c>
      <c r="Y12" s="52" t="str">
        <f t="shared" ca="1" si="17"/>
        <v/>
      </c>
      <c r="Z12" s="52" t="str">
        <f t="shared" ca="1" si="17"/>
        <v/>
      </c>
      <c r="AA12" s="52" t="str">
        <f t="shared" ca="1" si="17"/>
        <v/>
      </c>
      <c r="AB12" s="52" t="str">
        <f t="shared" ca="1" si="17"/>
        <v/>
      </c>
      <c r="AC12" s="52" t="str">
        <f t="shared" ca="1" si="17"/>
        <v/>
      </c>
      <c r="AD12" s="52" t="str">
        <f t="shared" ref="AD12:BP12" ca="1" si="18">IF(AND(AE$3&gt;=$J12, AE$3&lt;$M12), $A12, "")</f>
        <v/>
      </c>
      <c r="AE12" s="52" t="str">
        <f t="shared" ca="1" si="18"/>
        <v/>
      </c>
      <c r="AF12" s="52" t="str">
        <f t="shared" ca="1" si="18"/>
        <v/>
      </c>
      <c r="AG12" s="52" t="str">
        <f t="shared" ca="1" si="18"/>
        <v/>
      </c>
      <c r="AH12" s="52" t="str">
        <f t="shared" ca="1" si="18"/>
        <v/>
      </c>
      <c r="AI12" s="52" t="str">
        <f t="shared" ca="1" si="18"/>
        <v/>
      </c>
      <c r="AJ12" s="52" t="str">
        <f t="shared" ca="1" si="18"/>
        <v/>
      </c>
      <c r="AK12" s="52" t="str">
        <f t="shared" ca="1" si="18"/>
        <v/>
      </c>
      <c r="AL12" s="52" t="str">
        <f t="shared" ca="1" si="18"/>
        <v/>
      </c>
      <c r="AM12" s="52" t="str">
        <f t="shared" ca="1" si="18"/>
        <v/>
      </c>
      <c r="AN12" s="52" t="str">
        <f t="shared" ca="1" si="18"/>
        <v>BJ-109</v>
      </c>
      <c r="AO12" s="52" t="str">
        <f t="shared" ca="1" si="18"/>
        <v>BJ-109</v>
      </c>
      <c r="AP12" s="52" t="str">
        <f t="shared" ca="1" si="18"/>
        <v>BJ-109</v>
      </c>
      <c r="AQ12" s="52" t="str">
        <f t="shared" ca="1" si="18"/>
        <v/>
      </c>
      <c r="AR12" s="52" t="str">
        <f t="shared" ca="1" si="18"/>
        <v/>
      </c>
      <c r="AS12" s="52" t="str">
        <f t="shared" ca="1" si="18"/>
        <v/>
      </c>
      <c r="AT12" s="52" t="str">
        <f t="shared" ca="1" si="18"/>
        <v/>
      </c>
      <c r="AU12" s="52" t="str">
        <f t="shared" ca="1" si="18"/>
        <v/>
      </c>
      <c r="AV12" s="52" t="str">
        <f t="shared" ca="1" si="18"/>
        <v/>
      </c>
      <c r="AW12" s="52" t="str">
        <f t="shared" ca="1" si="18"/>
        <v/>
      </c>
      <c r="AX12" s="52" t="str">
        <f t="shared" ca="1" si="18"/>
        <v/>
      </c>
      <c r="AY12" s="52" t="str">
        <f t="shared" ca="1" si="18"/>
        <v/>
      </c>
      <c r="AZ12" s="52" t="str">
        <f t="shared" ca="1" si="18"/>
        <v/>
      </c>
      <c r="BA12" s="52" t="str">
        <f t="shared" ca="1" si="18"/>
        <v/>
      </c>
      <c r="BB12" s="52" t="str">
        <f t="shared" ca="1" si="18"/>
        <v/>
      </c>
      <c r="BC12" s="52" t="str">
        <f t="shared" ca="1" si="18"/>
        <v/>
      </c>
      <c r="BD12" s="52" t="str">
        <f t="shared" ca="1" si="18"/>
        <v/>
      </c>
      <c r="BE12" s="52" t="str">
        <f t="shared" ca="1" si="18"/>
        <v/>
      </c>
      <c r="BF12" s="52" t="str">
        <f t="shared" ca="1" si="18"/>
        <v/>
      </c>
      <c r="BG12" s="52" t="str">
        <f t="shared" ca="1" si="18"/>
        <v/>
      </c>
      <c r="BH12" s="52" t="str">
        <f t="shared" ca="1" si="18"/>
        <v/>
      </c>
      <c r="BI12" s="52" t="str">
        <f t="shared" ca="1" si="18"/>
        <v/>
      </c>
      <c r="BJ12" s="52" t="str">
        <f t="shared" ca="1" si="18"/>
        <v/>
      </c>
      <c r="BK12" s="52" t="str">
        <f t="shared" ca="1" si="18"/>
        <v/>
      </c>
      <c r="BL12" s="52" t="str">
        <f t="shared" ca="1" si="18"/>
        <v/>
      </c>
      <c r="BM12" s="52" t="str">
        <f t="shared" ca="1" si="18"/>
        <v/>
      </c>
      <c r="BN12" t="str">
        <f t="shared" ca="1" si="18"/>
        <v/>
      </c>
      <c r="BO12" t="str">
        <f t="shared" ca="1" si="18"/>
        <v/>
      </c>
      <c r="BP12" t="str">
        <f t="shared" ca="1" si="18"/>
        <v/>
      </c>
    </row>
    <row r="13" spans="1:85" ht="15" customHeight="1" x14ac:dyDescent="0.3">
      <c r="A13" s="10" t="str">
        <f>IF(Job_Master!A13="","",Job_Master!A13)</f>
        <v>BJ-110</v>
      </c>
      <c r="B13" s="10">
        <f>IF($A13="","",Job_Master!B13)</f>
        <v>17</v>
      </c>
      <c r="C13" s="10" t="str">
        <f>IF($A13="","",Job_Master!C13)</f>
        <v>2P</v>
      </c>
      <c r="D13" s="10">
        <f>IF($A13="","",Job_Master!D13)</f>
        <v>2</v>
      </c>
      <c r="E13" s="48" t="str">
        <f>IF($A13="","","QC-MC-04")</f>
        <v>QC-MC-04</v>
      </c>
      <c r="F13" s="10" t="str">
        <f>IF($E13="","",IFERROR(VLOOKUP($E13,Machine_List!$B:$G,6,0),""))</f>
        <v>General Workman</v>
      </c>
      <c r="G13" s="53">
        <f>IF($E13="","",IFERROR(VLOOKUP($E13,Machine_List!$B:$C,2,0),""))</f>
        <v>46195</v>
      </c>
      <c r="H13" s="10">
        <f>IF($E13="","",IFERROR(VLOOKUP($E13,Machine_List!$B:$D,3,0),""))</f>
        <v>6</v>
      </c>
      <c r="I13" s="54"/>
      <c r="J13" s="55">
        <f ca="1">IF($A13="","",IF($I13&lt;&gt;"",$I13,MAX(FID_Plan!$M13,IFERROR(LOOKUP(2,1/($E$3:INDIRECT("E"&amp;(ROW()-1))=$E13),$M$3:INDIRECT("M"&amp;(ROW()-1))),FID_Plan!$M13))))</f>
        <v>46127.719576719566</v>
      </c>
      <c r="K13" s="10">
        <f>IF($A13="","",IFERROR(VLOOKUP(B13,CHOOSE(MATCH(C13,Settings!$L$4:$L$10,0),OPR_2P!$A$4:$I$18,SEG_6P!$A$4:$I$18,SOL_4P!$A$4:$I$18,RW_2P!$A$4:$I$18,RW2_4P!$A$4:$I$18,FLAP_4P!$A$4:$I$18,TUBE_4P!$A$4:$I$18),8,0),0))</f>
        <v>13</v>
      </c>
      <c r="L13" s="10">
        <f t="shared" si="0"/>
        <v>26</v>
      </c>
      <c r="M13" s="55">
        <f ca="1">IF($A13="","",$J13+($L13/(IF(F13="Contract Workman",Settings!$K$5,Settings!$K$4))))</f>
        <v>46128.923280423267</v>
      </c>
      <c r="N13" s="10" t="str">
        <f t="shared" ca="1" si="1"/>
        <v>Shift B</v>
      </c>
      <c r="O13" s="51" t="str">
        <f>IF(B13="","", IF(IFERROR(ISNUMBER(SEARCH(B13, VLOOKUP(E13, Machine_List!$B:$J, 9, 0))), FALSE()), "✅ Machine OK", "❌ Sug: " &amp; IFERROR(INDEX(Machine_List!$B$4:$B$50, MATCH("*"&amp;B13&amp;"*", Machine_List!$J$4:$J$50, 0)), "Check Limits")))</f>
        <v>✅ Machine OK</v>
      </c>
      <c r="P13" s="52" t="str">
        <f t="shared" ref="P13:AC13" ca="1" si="19">IF(AND(Q$3&gt;=$J13, Q$3&lt;$M13), $A13, "")</f>
        <v/>
      </c>
      <c r="Q13" s="52" t="str">
        <f t="shared" ca="1" si="19"/>
        <v/>
      </c>
      <c r="R13" s="52" t="str">
        <f t="shared" ca="1" si="19"/>
        <v/>
      </c>
      <c r="S13" s="52" t="str">
        <f t="shared" ca="1" si="19"/>
        <v/>
      </c>
      <c r="T13" s="52" t="str">
        <f t="shared" ca="1" si="19"/>
        <v/>
      </c>
      <c r="U13" s="52" t="str">
        <f t="shared" ca="1" si="19"/>
        <v/>
      </c>
      <c r="V13" s="52" t="str">
        <f t="shared" ca="1" si="19"/>
        <v/>
      </c>
      <c r="W13" s="52" t="str">
        <f t="shared" ca="1" si="19"/>
        <v/>
      </c>
      <c r="X13" s="52" t="str">
        <f t="shared" ca="1" si="19"/>
        <v/>
      </c>
      <c r="Y13" s="52" t="str">
        <f t="shared" ca="1" si="19"/>
        <v/>
      </c>
      <c r="Z13" s="52" t="str">
        <f t="shared" ca="1" si="19"/>
        <v/>
      </c>
      <c r="AA13" s="52" t="str">
        <f t="shared" ca="1" si="19"/>
        <v/>
      </c>
      <c r="AB13" s="52" t="str">
        <f t="shared" ca="1" si="19"/>
        <v/>
      </c>
      <c r="AC13" s="52" t="str">
        <f t="shared" ca="1" si="19"/>
        <v>BJ-110</v>
      </c>
      <c r="AD13" s="52" t="str">
        <f t="shared" ref="AD13:BP13" ca="1" si="20">IF(AND(AE$3&gt;=$J13, AE$3&lt;$M13), $A13, "")</f>
        <v/>
      </c>
      <c r="AE13" s="52" t="str">
        <f t="shared" ca="1" si="20"/>
        <v/>
      </c>
      <c r="AF13" s="52" t="str">
        <f t="shared" ca="1" si="20"/>
        <v/>
      </c>
      <c r="AG13" s="52" t="str">
        <f t="shared" ca="1" si="20"/>
        <v/>
      </c>
      <c r="AH13" s="52" t="str">
        <f t="shared" ca="1" si="20"/>
        <v/>
      </c>
      <c r="AI13" s="52" t="str">
        <f t="shared" ca="1" si="20"/>
        <v/>
      </c>
      <c r="AJ13" s="52" t="str">
        <f t="shared" ca="1" si="20"/>
        <v/>
      </c>
      <c r="AK13" s="52" t="str">
        <f t="shared" ca="1" si="20"/>
        <v/>
      </c>
      <c r="AL13" s="52" t="str">
        <f t="shared" ca="1" si="20"/>
        <v/>
      </c>
      <c r="AM13" s="52" t="str">
        <f t="shared" ca="1" si="20"/>
        <v/>
      </c>
      <c r="AN13" s="52" t="str">
        <f t="shared" ca="1" si="20"/>
        <v/>
      </c>
      <c r="AO13" s="52" t="str">
        <f t="shared" ca="1" si="20"/>
        <v/>
      </c>
      <c r="AP13" s="52" t="str">
        <f t="shared" ca="1" si="20"/>
        <v/>
      </c>
      <c r="AQ13" s="52" t="str">
        <f t="shared" ca="1" si="20"/>
        <v/>
      </c>
      <c r="AR13" s="52" t="str">
        <f t="shared" ca="1" si="20"/>
        <v/>
      </c>
      <c r="AS13" s="52" t="str">
        <f t="shared" ca="1" si="20"/>
        <v/>
      </c>
      <c r="AT13" s="52" t="str">
        <f t="shared" ca="1" si="20"/>
        <v/>
      </c>
      <c r="AU13" s="52" t="str">
        <f t="shared" ca="1" si="20"/>
        <v/>
      </c>
      <c r="AV13" s="52" t="str">
        <f t="shared" ca="1" si="20"/>
        <v/>
      </c>
      <c r="AW13" s="52" t="str">
        <f t="shared" ca="1" si="20"/>
        <v/>
      </c>
      <c r="AX13" s="52" t="str">
        <f t="shared" ca="1" si="20"/>
        <v/>
      </c>
      <c r="AY13" s="52" t="str">
        <f t="shared" ca="1" si="20"/>
        <v/>
      </c>
      <c r="AZ13" s="52" t="str">
        <f t="shared" ca="1" si="20"/>
        <v/>
      </c>
      <c r="BA13" s="52" t="str">
        <f t="shared" ca="1" si="20"/>
        <v/>
      </c>
      <c r="BB13" s="52" t="str">
        <f t="shared" ca="1" si="20"/>
        <v/>
      </c>
      <c r="BC13" s="52" t="str">
        <f t="shared" ca="1" si="20"/>
        <v/>
      </c>
      <c r="BD13" s="52" t="str">
        <f t="shared" ca="1" si="20"/>
        <v/>
      </c>
      <c r="BE13" s="52" t="str">
        <f t="shared" ca="1" si="20"/>
        <v/>
      </c>
      <c r="BF13" s="52" t="str">
        <f t="shared" ca="1" si="20"/>
        <v/>
      </c>
      <c r="BG13" s="52" t="str">
        <f t="shared" ca="1" si="20"/>
        <v/>
      </c>
      <c r="BH13" s="52" t="str">
        <f t="shared" ca="1" si="20"/>
        <v/>
      </c>
      <c r="BI13" s="52" t="str">
        <f t="shared" ca="1" si="20"/>
        <v/>
      </c>
      <c r="BJ13" s="52" t="str">
        <f t="shared" ca="1" si="20"/>
        <v/>
      </c>
      <c r="BK13" s="52" t="str">
        <f t="shared" ca="1" si="20"/>
        <v/>
      </c>
      <c r="BL13" s="52" t="str">
        <f t="shared" ca="1" si="20"/>
        <v/>
      </c>
      <c r="BM13" s="52" t="str">
        <f t="shared" ca="1" si="20"/>
        <v/>
      </c>
      <c r="BN13" t="str">
        <f t="shared" ca="1" si="20"/>
        <v/>
      </c>
      <c r="BO13" t="str">
        <f t="shared" ca="1" si="20"/>
        <v/>
      </c>
      <c r="BP13" t="str">
        <f t="shared" ca="1" si="20"/>
        <v/>
      </c>
    </row>
    <row r="14" spans="1:85" ht="15" customHeight="1" x14ac:dyDescent="0.3">
      <c r="A14" s="10" t="str">
        <f>IF(Job_Master!A14="","",Job_Master!A14)</f>
        <v>BJ-111</v>
      </c>
      <c r="B14" s="10">
        <f>IF($A14="","",Job_Master!B14)</f>
        <v>25</v>
      </c>
      <c r="C14" s="10" t="str">
        <f>IF($A14="","",Job_Master!C14)</f>
        <v>RW</v>
      </c>
      <c r="D14" s="10">
        <f>IF($A14="","",Job_Master!D14)</f>
        <v>2</v>
      </c>
      <c r="E14" s="48" t="str">
        <f>IF($A14="","","QC-MC-04")</f>
        <v>QC-MC-04</v>
      </c>
      <c r="F14" s="10" t="str">
        <f>IF($E14="","",IFERROR(VLOOKUP($E14,Machine_List!$B:$G,6,0),""))</f>
        <v>General Workman</v>
      </c>
      <c r="G14" s="53">
        <f>IF($E14="","",IFERROR(VLOOKUP($E14,Machine_List!$B:$C,2,0),""))</f>
        <v>46195</v>
      </c>
      <c r="H14" s="10">
        <f>IF($E14="","",IFERROR(VLOOKUP($E14,Machine_List!$B:$D,3,0),""))</f>
        <v>6</v>
      </c>
      <c r="I14" s="54"/>
      <c r="J14" s="55">
        <f ca="1">IF($A14="","",IF($I14&lt;&gt;"",$I14,MAX(FID_Plan!$M14,IFERROR(LOOKUP(2,1/($E$3:INDIRECT("E"&amp;(ROW()-1))=$E14),$M$3:INDIRECT("M"&amp;(ROW()-1))),FID_Plan!$M14))))</f>
        <v>46136.304232804228</v>
      </c>
      <c r="K14" s="10">
        <f>IF($A14="","",IFERROR(VLOOKUP(B14,CHOOSE(MATCH(C14,Settings!$L$4:$L$10,0),OPR_2P!$A$4:$I$18,SEG_6P!$A$4:$I$18,SOL_4P!$A$4:$I$18,RW_2P!$A$4:$I$18,RW2_4P!$A$4:$I$18,FLAP_4P!$A$4:$I$18,TUBE_4P!$A$4:$I$18),8,0),0))</f>
        <v>16</v>
      </c>
      <c r="L14" s="10">
        <f t="shared" si="0"/>
        <v>32</v>
      </c>
      <c r="M14" s="55">
        <f ca="1">IF($A14="","",$J14+($L14/(IF(F14="Contract Workman",Settings!$K$5,Settings!$K$4))))</f>
        <v>46137.78571428571</v>
      </c>
      <c r="N14" s="10" t="str">
        <f t="shared" ca="1" si="1"/>
        <v>Shift B</v>
      </c>
      <c r="O14" s="51" t="str">
        <f>IF(B14="","", IF(IFERROR(ISNUMBER(SEARCH(B14, VLOOKUP(E14, Machine_List!$B:$J, 9, 0))), FALSE()), "✅ Machine OK", "❌ Sug: " &amp; IFERROR(INDEX(Machine_List!$B$4:$B$50, MATCH("*"&amp;B14&amp;"*", Machine_List!$J$4:$J$50, 0)), "Check Limits")))</f>
        <v>✅ Machine OK</v>
      </c>
      <c r="P14" s="52" t="str">
        <f t="shared" ref="P14:AC14" ca="1" si="21">IF(AND(Q$3&gt;=$J14, Q$3&lt;$M14), $A14, "")</f>
        <v/>
      </c>
      <c r="Q14" s="52" t="str">
        <f t="shared" ca="1" si="21"/>
        <v/>
      </c>
      <c r="R14" s="52" t="str">
        <f t="shared" ca="1" si="21"/>
        <v/>
      </c>
      <c r="S14" s="52" t="str">
        <f t="shared" ca="1" si="21"/>
        <v/>
      </c>
      <c r="T14" s="52" t="str">
        <f t="shared" ca="1" si="21"/>
        <v/>
      </c>
      <c r="U14" s="52" t="str">
        <f t="shared" ca="1" si="21"/>
        <v/>
      </c>
      <c r="V14" s="52" t="str">
        <f t="shared" ca="1" si="21"/>
        <v/>
      </c>
      <c r="W14" s="52" t="str">
        <f t="shared" ca="1" si="21"/>
        <v/>
      </c>
      <c r="X14" s="52" t="str">
        <f t="shared" ca="1" si="21"/>
        <v/>
      </c>
      <c r="Y14" s="52" t="str">
        <f t="shared" ca="1" si="21"/>
        <v/>
      </c>
      <c r="Z14" s="52" t="str">
        <f t="shared" ca="1" si="21"/>
        <v/>
      </c>
      <c r="AA14" s="52" t="str">
        <f t="shared" ca="1" si="21"/>
        <v/>
      </c>
      <c r="AB14" s="52" t="str">
        <f t="shared" ca="1" si="21"/>
        <v/>
      </c>
      <c r="AC14" s="52" t="str">
        <f t="shared" ca="1" si="21"/>
        <v/>
      </c>
      <c r="AD14" s="52" t="str">
        <f t="shared" ref="AD14:BP14" ca="1" si="22">IF(AND(AE$3&gt;=$J14, AE$3&lt;$M14), $A14, "")</f>
        <v/>
      </c>
      <c r="AE14" s="52" t="str">
        <f t="shared" ca="1" si="22"/>
        <v/>
      </c>
      <c r="AF14" s="52" t="str">
        <f t="shared" ca="1" si="22"/>
        <v/>
      </c>
      <c r="AG14" s="52" t="str">
        <f t="shared" ca="1" si="22"/>
        <v/>
      </c>
      <c r="AH14" s="52" t="str">
        <f t="shared" ca="1" si="22"/>
        <v/>
      </c>
      <c r="AI14" s="52" t="str">
        <f t="shared" ca="1" si="22"/>
        <v/>
      </c>
      <c r="AJ14" s="52" t="str">
        <f t="shared" ca="1" si="22"/>
        <v/>
      </c>
      <c r="AK14" s="52" t="str">
        <f t="shared" ca="1" si="22"/>
        <v/>
      </c>
      <c r="AL14" s="52" t="str">
        <f t="shared" ca="1" si="22"/>
        <v>BJ-111</v>
      </c>
      <c r="AM14" s="52" t="str">
        <f t="shared" ca="1" si="22"/>
        <v/>
      </c>
      <c r="AN14" s="52" t="str">
        <f t="shared" ca="1" si="22"/>
        <v/>
      </c>
      <c r="AO14" s="52" t="str">
        <f t="shared" ca="1" si="22"/>
        <v/>
      </c>
      <c r="AP14" s="52" t="str">
        <f t="shared" ca="1" si="22"/>
        <v/>
      </c>
      <c r="AQ14" s="52" t="str">
        <f t="shared" ca="1" si="22"/>
        <v/>
      </c>
      <c r="AR14" s="52" t="str">
        <f t="shared" ca="1" si="22"/>
        <v/>
      </c>
      <c r="AS14" s="52" t="str">
        <f t="shared" ca="1" si="22"/>
        <v/>
      </c>
      <c r="AT14" s="52" t="str">
        <f t="shared" ca="1" si="22"/>
        <v/>
      </c>
      <c r="AU14" s="52" t="str">
        <f t="shared" ca="1" si="22"/>
        <v/>
      </c>
      <c r="AV14" s="52" t="str">
        <f t="shared" ca="1" si="22"/>
        <v/>
      </c>
      <c r="AW14" s="52" t="str">
        <f t="shared" ca="1" si="22"/>
        <v/>
      </c>
      <c r="AX14" s="52" t="str">
        <f t="shared" ca="1" si="22"/>
        <v/>
      </c>
      <c r="AY14" s="52" t="str">
        <f t="shared" ca="1" si="22"/>
        <v/>
      </c>
      <c r="AZ14" s="52" t="str">
        <f t="shared" ca="1" si="22"/>
        <v/>
      </c>
      <c r="BA14" s="52" t="str">
        <f t="shared" ca="1" si="22"/>
        <v/>
      </c>
      <c r="BB14" s="52" t="str">
        <f t="shared" ca="1" si="22"/>
        <v/>
      </c>
      <c r="BC14" s="52" t="str">
        <f t="shared" ca="1" si="22"/>
        <v/>
      </c>
      <c r="BD14" s="52" t="str">
        <f t="shared" ca="1" si="22"/>
        <v/>
      </c>
      <c r="BE14" s="52" t="str">
        <f t="shared" ca="1" si="22"/>
        <v/>
      </c>
      <c r="BF14" s="52" t="str">
        <f t="shared" ca="1" si="22"/>
        <v/>
      </c>
      <c r="BG14" s="52" t="str">
        <f t="shared" ca="1" si="22"/>
        <v/>
      </c>
      <c r="BH14" s="52" t="str">
        <f t="shared" ca="1" si="22"/>
        <v/>
      </c>
      <c r="BI14" s="52" t="str">
        <f t="shared" ca="1" si="22"/>
        <v/>
      </c>
      <c r="BJ14" s="52" t="str">
        <f t="shared" ca="1" si="22"/>
        <v/>
      </c>
      <c r="BK14" s="52" t="str">
        <f t="shared" ca="1" si="22"/>
        <v/>
      </c>
      <c r="BL14" s="52" t="str">
        <f t="shared" ca="1" si="22"/>
        <v/>
      </c>
      <c r="BM14" s="52" t="str">
        <f t="shared" ca="1" si="22"/>
        <v/>
      </c>
      <c r="BN14" t="str">
        <f t="shared" ca="1" si="22"/>
        <v/>
      </c>
      <c r="BO14" t="str">
        <f t="shared" ca="1" si="22"/>
        <v/>
      </c>
      <c r="BP14" t="str">
        <f t="shared" ca="1" si="22"/>
        <v/>
      </c>
    </row>
    <row r="15" spans="1:85" ht="15" customHeight="1" x14ac:dyDescent="0.3">
      <c r="A15" s="10" t="str">
        <f>IF(Job_Master!A15="","",Job_Master!A15)</f>
        <v>BJ-107</v>
      </c>
      <c r="B15" s="10">
        <f>IF($A15="","",Job_Master!B15)</f>
        <v>20</v>
      </c>
      <c r="C15" s="10" t="str">
        <f>IF($A15="","",Job_Master!C15)</f>
        <v>SEG</v>
      </c>
      <c r="D15" s="10">
        <f>IF($A15="","",Job_Master!D15)</f>
        <v>6</v>
      </c>
      <c r="E15" s="48" t="str">
        <f>IF($A15="","","QC-MC-03")</f>
        <v>QC-MC-03</v>
      </c>
      <c r="F15" s="10" t="str">
        <f>IF($E15="","",IFERROR(VLOOKUP($E15,Machine_List!$B:$G,6,0),""))</f>
        <v>General Workman</v>
      </c>
      <c r="G15" s="53">
        <f>IF($E15="","",IFERROR(VLOOKUP($E15,Machine_List!$B:$C,2,0),""))</f>
        <v>46172</v>
      </c>
      <c r="H15" s="10">
        <f>IF($E15="","",IFERROR(VLOOKUP($E15,Machine_List!$B:$D,3,0),""))</f>
        <v>6</v>
      </c>
      <c r="I15" s="54"/>
      <c r="J15" s="55">
        <f ca="1">IF($A15="","",IF($I15&lt;&gt;"",$I15,MAX(FID_Plan!$M15,IFERROR(LOOKUP(2,1/($E$3:INDIRECT("E"&amp;(ROW()-1))=$E15),$M$3:INDIRECT("M"&amp;(ROW()-1))),FID_Plan!$M15))))</f>
        <v>46169.088624338612</v>
      </c>
      <c r="K15" s="10">
        <f>IF($A15="","",IFERROR(VLOOKUP(B15,CHOOSE(MATCH(C15,Settings!$L$4:$L$10,0),OPR_2P!$A$4:$I$18,SEG_6P!$A$4:$I$18,SOL_4P!$A$4:$I$18,RW_2P!$A$4:$I$18,RW2_4P!$A$4:$I$18,FLAP_4P!$A$4:$I$18,TUBE_4P!$A$4:$I$18),8,0),0))</f>
        <v>22</v>
      </c>
      <c r="L15" s="10">
        <f t="shared" si="0"/>
        <v>132</v>
      </c>
      <c r="M15" s="55">
        <f ca="1">IF($A15="","",$J15+($L15/(IF(F15="Contract Workman",Settings!$K$5,Settings!$K$4))))</f>
        <v>46175.199735449722</v>
      </c>
      <c r="N15" s="10" t="str">
        <f t="shared" ca="1" si="1"/>
        <v>Shift C</v>
      </c>
      <c r="O15" s="51" t="str">
        <f>IF(B15="","", IF(IFERROR(ISNUMBER(SEARCH(B15, VLOOKUP(E15, Machine_List!$B:$J, 9, 0))), FALSE()), "✅ Machine OK", "❌ Sug: " &amp; IFERROR(INDEX(Machine_List!$B$4:$B$50, MATCH("*"&amp;B15&amp;"*", Machine_List!$J$4:$J$50, 0)), "Check Limits")))</f>
        <v>✅ Machine OK</v>
      </c>
      <c r="P15" s="52" t="str">
        <f t="shared" ref="P15:AC15" ca="1" si="23">IF(AND(Q$3&gt;=$J15, Q$3&lt;$M15), $A15, "")</f>
        <v/>
      </c>
      <c r="Q15" s="52" t="str">
        <f t="shared" ca="1" si="23"/>
        <v/>
      </c>
      <c r="R15" s="52" t="str">
        <f t="shared" ca="1" si="23"/>
        <v/>
      </c>
      <c r="S15" s="52" t="str">
        <f t="shared" ca="1" si="23"/>
        <v/>
      </c>
      <c r="T15" s="52" t="str">
        <f t="shared" ca="1" si="23"/>
        <v/>
      </c>
      <c r="U15" s="52" t="str">
        <f t="shared" ca="1" si="23"/>
        <v/>
      </c>
      <c r="V15" s="52" t="str">
        <f t="shared" ca="1" si="23"/>
        <v/>
      </c>
      <c r="W15" s="52" t="str">
        <f t="shared" ca="1" si="23"/>
        <v/>
      </c>
      <c r="X15" s="52" t="str">
        <f t="shared" ca="1" si="23"/>
        <v/>
      </c>
      <c r="Y15" s="52" t="str">
        <f t="shared" ca="1" si="23"/>
        <v/>
      </c>
      <c r="Z15" s="52" t="str">
        <f t="shared" ca="1" si="23"/>
        <v/>
      </c>
      <c r="AA15" s="52" t="str">
        <f t="shared" ca="1" si="23"/>
        <v/>
      </c>
      <c r="AB15" s="52" t="str">
        <f t="shared" ca="1" si="23"/>
        <v/>
      </c>
      <c r="AC15" s="52" t="str">
        <f t="shared" ca="1" si="23"/>
        <v/>
      </c>
      <c r="AD15" s="52" t="str">
        <f t="shared" ref="AD15:BP15" ca="1" si="24">IF(AND(AE$3&gt;=$J15, AE$3&lt;$M15), $A15, "")</f>
        <v/>
      </c>
      <c r="AE15" s="52" t="str">
        <f t="shared" ca="1" si="24"/>
        <v/>
      </c>
      <c r="AF15" s="52" t="str">
        <f t="shared" ca="1" si="24"/>
        <v/>
      </c>
      <c r="AG15" s="52" t="str">
        <f t="shared" ca="1" si="24"/>
        <v/>
      </c>
      <c r="AH15" s="52" t="str">
        <f t="shared" ca="1" si="24"/>
        <v/>
      </c>
      <c r="AI15" s="52" t="str">
        <f t="shared" ca="1" si="24"/>
        <v/>
      </c>
      <c r="AJ15" s="52" t="str">
        <f t="shared" ca="1" si="24"/>
        <v/>
      </c>
      <c r="AK15" s="52" t="str">
        <f t="shared" ca="1" si="24"/>
        <v/>
      </c>
      <c r="AL15" s="52" t="str">
        <f t="shared" ca="1" si="24"/>
        <v/>
      </c>
      <c r="AM15" s="52" t="str">
        <f t="shared" ca="1" si="24"/>
        <v/>
      </c>
      <c r="AN15" s="52" t="str">
        <f t="shared" ca="1" si="24"/>
        <v/>
      </c>
      <c r="AO15" s="52" t="str">
        <f t="shared" ca="1" si="24"/>
        <v/>
      </c>
      <c r="AP15" s="52" t="str">
        <f t="shared" ca="1" si="24"/>
        <v/>
      </c>
      <c r="AQ15" s="52" t="str">
        <f t="shared" ca="1" si="24"/>
        <v/>
      </c>
      <c r="AR15" s="52" t="str">
        <f t="shared" ca="1" si="24"/>
        <v/>
      </c>
      <c r="AS15" s="52" t="str">
        <f t="shared" ca="1" si="24"/>
        <v/>
      </c>
      <c r="AT15" s="52" t="str">
        <f t="shared" ca="1" si="24"/>
        <v/>
      </c>
      <c r="AU15" s="52" t="str">
        <f t="shared" ca="1" si="24"/>
        <v/>
      </c>
      <c r="AV15" s="52" t="str">
        <f t="shared" ca="1" si="24"/>
        <v/>
      </c>
      <c r="AW15" s="52" t="str">
        <f t="shared" ca="1" si="24"/>
        <v/>
      </c>
      <c r="AX15" s="52" t="str">
        <f t="shared" ca="1" si="24"/>
        <v/>
      </c>
      <c r="AY15" s="52" t="str">
        <f t="shared" ca="1" si="24"/>
        <v/>
      </c>
      <c r="AZ15" s="52" t="str">
        <f t="shared" ca="1" si="24"/>
        <v/>
      </c>
      <c r="BA15" s="52" t="str">
        <f t="shared" ca="1" si="24"/>
        <v/>
      </c>
      <c r="BB15" s="52" t="str">
        <f t="shared" ca="1" si="24"/>
        <v/>
      </c>
      <c r="BC15" s="52" t="str">
        <f t="shared" ca="1" si="24"/>
        <v/>
      </c>
      <c r="BD15" s="52" t="str">
        <f t="shared" ca="1" si="24"/>
        <v/>
      </c>
      <c r="BE15" s="52" t="str">
        <f t="shared" ca="1" si="24"/>
        <v/>
      </c>
      <c r="BF15" s="52" t="str">
        <f t="shared" ca="1" si="24"/>
        <v/>
      </c>
      <c r="BG15" s="52" t="str">
        <f t="shared" ca="1" si="24"/>
        <v/>
      </c>
      <c r="BH15" s="52" t="str">
        <f t="shared" ca="1" si="24"/>
        <v/>
      </c>
      <c r="BI15" s="52" t="str">
        <f t="shared" ca="1" si="24"/>
        <v/>
      </c>
      <c r="BJ15" s="52" t="str">
        <f t="shared" ca="1" si="24"/>
        <v/>
      </c>
      <c r="BK15" s="52" t="str">
        <f t="shared" ca="1" si="24"/>
        <v/>
      </c>
      <c r="BL15" s="52" t="str">
        <f t="shared" ca="1" si="24"/>
        <v/>
      </c>
      <c r="BM15" s="52" t="str">
        <f t="shared" ca="1" si="24"/>
        <v/>
      </c>
      <c r="BN15" t="str">
        <f t="shared" ca="1" si="24"/>
        <v/>
      </c>
      <c r="BO15" t="str">
        <f t="shared" ca="1" si="24"/>
        <v/>
      </c>
      <c r="BP15" t="str">
        <f t="shared" ca="1" si="24"/>
        <v/>
      </c>
    </row>
    <row r="16" spans="1:85" ht="15" customHeight="1" x14ac:dyDescent="0.3">
      <c r="A16" s="10" t="str">
        <f>IF(Job_Master!A16="","",Job_Master!A16)</f>
        <v>BJ-112</v>
      </c>
      <c r="B16" s="10">
        <f>IF($A16="","",Job_Master!B16)</f>
        <v>17</v>
      </c>
      <c r="C16" s="10" t="str">
        <f>IF($A16="","",Job_Master!C16)</f>
        <v>2P</v>
      </c>
      <c r="D16" s="10">
        <f>IF($A16="","",Job_Master!D16)</f>
        <v>2</v>
      </c>
      <c r="E16" s="48" t="str">
        <f>IF($A16="","","QC-MC-04")</f>
        <v>QC-MC-04</v>
      </c>
      <c r="F16" s="10" t="str">
        <f>IF($E16="","",IFERROR(VLOOKUP($E16,Machine_List!$B:$G,6,0),""))</f>
        <v>General Workman</v>
      </c>
      <c r="G16" s="53">
        <f>IF($E16="","",IFERROR(VLOOKUP($E16,Machine_List!$B:$C,2,0),""))</f>
        <v>46195</v>
      </c>
      <c r="H16" s="10">
        <f>IF($E16="","",IFERROR(VLOOKUP($E16,Machine_List!$B:$D,3,0),""))</f>
        <v>6</v>
      </c>
      <c r="I16" s="54"/>
      <c r="J16" s="55">
        <f ca="1">IF($A16="","",IF($I16&lt;&gt;"",$I16,MAX(FID_Plan!$M16,IFERROR(LOOKUP(2,1/($E$3:INDIRECT("E"&amp;(ROW()-1))=$E16),$M$3:INDIRECT("M"&amp;(ROW()-1))),FID_Plan!$M16))))</f>
        <v>46140.404761904749</v>
      </c>
      <c r="K16" s="10">
        <f>IF($A16="","",IFERROR(VLOOKUP(B16,CHOOSE(MATCH(C16,Settings!$L$4:$L$10,0),OPR_2P!$A$4:$I$18,SEG_6P!$A$4:$I$18,SOL_4P!$A$4:$I$18,RW_2P!$A$4:$I$18,RW2_4P!$A$4:$I$18,FLAP_4P!$A$4:$I$18,TUBE_4P!$A$4:$I$18),8,0),0))</f>
        <v>13</v>
      </c>
      <c r="L16" s="10">
        <f t="shared" si="0"/>
        <v>26</v>
      </c>
      <c r="M16" s="55">
        <f ca="1">IF($A16="","",$J16+($L16/(IF(F16="Contract Workman",Settings!$K$5,Settings!$K$4))))</f>
        <v>46141.608465608449</v>
      </c>
      <c r="N16" s="10" t="str">
        <f t="shared" ca="1" si="1"/>
        <v>Shift A</v>
      </c>
      <c r="O16" s="51" t="str">
        <f>IF(B16="","", IF(IFERROR(ISNUMBER(SEARCH(B16, VLOOKUP(E16, Machine_List!$B:$J, 9, 0))), FALSE()), "✅ Machine OK", "❌ Sug: " &amp; IFERROR(INDEX(Machine_List!$B$4:$B$50, MATCH("*"&amp;B16&amp;"*", Machine_List!$J$4:$J$50, 0)), "Check Limits")))</f>
        <v>✅ Machine OK</v>
      </c>
      <c r="P16" s="52" t="str">
        <f t="shared" ref="P16:AC16" ca="1" si="25">IF(AND(Q$3&gt;=$J16, Q$3&lt;$M16), $A16, "")</f>
        <v/>
      </c>
      <c r="Q16" s="52" t="str">
        <f t="shared" ca="1" si="25"/>
        <v/>
      </c>
      <c r="R16" s="52" t="str">
        <f t="shared" ca="1" si="25"/>
        <v/>
      </c>
      <c r="S16" s="52" t="str">
        <f t="shared" ca="1" si="25"/>
        <v/>
      </c>
      <c r="T16" s="52" t="str">
        <f t="shared" ca="1" si="25"/>
        <v/>
      </c>
      <c r="U16" s="52" t="str">
        <f t="shared" ca="1" si="25"/>
        <v/>
      </c>
      <c r="V16" s="52" t="str">
        <f t="shared" ca="1" si="25"/>
        <v/>
      </c>
      <c r="W16" s="52" t="str">
        <f t="shared" ca="1" si="25"/>
        <v/>
      </c>
      <c r="X16" s="52" t="str">
        <f t="shared" ca="1" si="25"/>
        <v/>
      </c>
      <c r="Y16" s="52" t="str">
        <f t="shared" ca="1" si="25"/>
        <v/>
      </c>
      <c r="Z16" s="52" t="str">
        <f t="shared" ca="1" si="25"/>
        <v/>
      </c>
      <c r="AA16" s="52" t="str">
        <f t="shared" ca="1" si="25"/>
        <v/>
      </c>
      <c r="AB16" s="52" t="str">
        <f t="shared" ca="1" si="25"/>
        <v/>
      </c>
      <c r="AC16" s="52" t="str">
        <f t="shared" ca="1" si="25"/>
        <v/>
      </c>
      <c r="AD16" s="52" t="str">
        <f t="shared" ref="AD16:BP16" ca="1" si="26">IF(AND(AE$3&gt;=$J16, AE$3&lt;$M16), $A16, "")</f>
        <v/>
      </c>
      <c r="AE16" s="52" t="str">
        <f t="shared" ca="1" si="26"/>
        <v/>
      </c>
      <c r="AF16" s="52" t="str">
        <f t="shared" ca="1" si="26"/>
        <v/>
      </c>
      <c r="AG16" s="52" t="str">
        <f t="shared" ca="1" si="26"/>
        <v/>
      </c>
      <c r="AH16" s="52" t="str">
        <f t="shared" ca="1" si="26"/>
        <v/>
      </c>
      <c r="AI16" s="52" t="str">
        <f t="shared" ca="1" si="26"/>
        <v/>
      </c>
      <c r="AJ16" s="52" t="str">
        <f t="shared" ca="1" si="26"/>
        <v/>
      </c>
      <c r="AK16" s="52" t="str">
        <f t="shared" ca="1" si="26"/>
        <v/>
      </c>
      <c r="AL16" s="52" t="str">
        <f t="shared" ca="1" si="26"/>
        <v/>
      </c>
      <c r="AM16" s="52" t="str">
        <f t="shared" ca="1" si="26"/>
        <v/>
      </c>
      <c r="AN16" s="52" t="str">
        <f t="shared" ca="1" si="26"/>
        <v/>
      </c>
      <c r="AO16" s="52" t="str">
        <f t="shared" ca="1" si="26"/>
        <v/>
      </c>
      <c r="AP16" s="52" t="str">
        <f t="shared" ca="1" si="26"/>
        <v>BJ-112</v>
      </c>
      <c r="AQ16" s="52" t="str">
        <f t="shared" ca="1" si="26"/>
        <v/>
      </c>
      <c r="AR16" s="52" t="str">
        <f t="shared" ca="1" si="26"/>
        <v/>
      </c>
      <c r="AS16" s="52" t="str">
        <f t="shared" ca="1" si="26"/>
        <v/>
      </c>
      <c r="AT16" s="52" t="str">
        <f t="shared" ca="1" si="26"/>
        <v/>
      </c>
      <c r="AU16" s="52" t="str">
        <f t="shared" ca="1" si="26"/>
        <v/>
      </c>
      <c r="AV16" s="52" t="str">
        <f t="shared" ca="1" si="26"/>
        <v/>
      </c>
      <c r="AW16" s="52" t="str">
        <f t="shared" ca="1" si="26"/>
        <v/>
      </c>
      <c r="AX16" s="52" t="str">
        <f t="shared" ca="1" si="26"/>
        <v/>
      </c>
      <c r="AY16" s="52" t="str">
        <f t="shared" ca="1" si="26"/>
        <v/>
      </c>
      <c r="AZ16" s="52" t="str">
        <f t="shared" ca="1" si="26"/>
        <v/>
      </c>
      <c r="BA16" s="52" t="str">
        <f t="shared" ca="1" si="26"/>
        <v/>
      </c>
      <c r="BB16" s="52" t="str">
        <f t="shared" ca="1" si="26"/>
        <v/>
      </c>
      <c r="BC16" s="52" t="str">
        <f t="shared" ca="1" si="26"/>
        <v/>
      </c>
      <c r="BD16" s="52" t="str">
        <f t="shared" ca="1" si="26"/>
        <v/>
      </c>
      <c r="BE16" s="52" t="str">
        <f t="shared" ca="1" si="26"/>
        <v/>
      </c>
      <c r="BF16" s="52" t="str">
        <f t="shared" ca="1" si="26"/>
        <v/>
      </c>
      <c r="BG16" s="52" t="str">
        <f t="shared" ca="1" si="26"/>
        <v/>
      </c>
      <c r="BH16" s="52" t="str">
        <f t="shared" ca="1" si="26"/>
        <v/>
      </c>
      <c r="BI16" s="52" t="str">
        <f t="shared" ca="1" si="26"/>
        <v/>
      </c>
      <c r="BJ16" s="52" t="str">
        <f t="shared" ca="1" si="26"/>
        <v/>
      </c>
      <c r="BK16" s="52" t="str">
        <f t="shared" ca="1" si="26"/>
        <v/>
      </c>
      <c r="BL16" s="52" t="str">
        <f t="shared" ca="1" si="26"/>
        <v/>
      </c>
      <c r="BM16" s="52" t="str">
        <f t="shared" ca="1" si="26"/>
        <v/>
      </c>
      <c r="BN16" t="str">
        <f t="shared" ca="1" si="26"/>
        <v/>
      </c>
      <c r="BO16" t="str">
        <f t="shared" ca="1" si="26"/>
        <v/>
      </c>
      <c r="BP16" t="str">
        <f t="shared" ca="1" si="26"/>
        <v/>
      </c>
    </row>
    <row r="17" spans="1:68" ht="15" customHeight="1" x14ac:dyDescent="0.3">
      <c r="A17" s="10" t="str">
        <f>IF(Job_Master!A17="","",Job_Master!A17)</f>
        <v>BJ-114</v>
      </c>
      <c r="B17" s="10">
        <f>IF($A17="","",Job_Master!B17)</f>
        <v>50</v>
      </c>
      <c r="C17" s="10" t="str">
        <f>IF($A17="","",Job_Master!C17)</f>
        <v>SEG</v>
      </c>
      <c r="D17" s="10">
        <f>IF($A17="","",Job_Master!D17)</f>
        <v>6</v>
      </c>
      <c r="E17" s="48" t="str">
        <f>IF($A17="","","QC-MC-01")</f>
        <v>QC-MC-01</v>
      </c>
      <c r="F17" s="10" t="str">
        <f>IF($E17="","",IFERROR(VLOOKUP($E17,Machine_List!$B:$G,6,0),""))</f>
        <v>General Workman</v>
      </c>
      <c r="G17" s="53">
        <f>IF($E17="","",IFERROR(VLOOKUP($E17,Machine_List!$B:$C,2,0),""))</f>
        <v>46518</v>
      </c>
      <c r="H17" s="10">
        <f>IF($E17="","",IFERROR(VLOOKUP($E17,Machine_List!$B:$D,3,0),""))</f>
        <v>6</v>
      </c>
      <c r="I17" s="54"/>
      <c r="J17" s="55">
        <f ca="1">IF($A17="","",IF($I17&lt;&gt;"",$I17,MAX(FID_Plan!$M17,IFERROR(LOOKUP(2,1/($E$3:INDIRECT("E"&amp;(ROW()-1))=$E17),$M$3:INDIRECT("M"&amp;(ROW()-1))),FID_Plan!$M17))))</f>
        <v>46229.495370370365</v>
      </c>
      <c r="K17" s="10">
        <f>IF($A17="","",IFERROR(VLOOKUP(B17,CHOOSE(MATCH(C17,Settings!$L$4:$L$10,0),OPR_2P!$A$4:$I$18,SEG_6P!$A$4:$I$18,SOL_4P!$A$4:$I$18,RW_2P!$A$4:$I$18,RW2_4P!$A$4:$I$18,FLAP_4P!$A$4:$I$18,TUBE_4P!$A$4:$I$18),8,0),0))</f>
        <v>36</v>
      </c>
      <c r="L17" s="10">
        <f t="shared" si="0"/>
        <v>216</v>
      </c>
      <c r="M17" s="55">
        <f ca="1">IF($A17="","",$J17+($L17/(IF(F17="Contract Workman",Settings!$K$5,Settings!$K$4))))</f>
        <v>46239.495370370365</v>
      </c>
      <c r="N17" s="10" t="str">
        <f t="shared" ca="1" si="1"/>
        <v>Shift A</v>
      </c>
      <c r="O17" s="51" t="str">
        <f>IF(B17="","", IF(IFERROR(ISNUMBER(SEARCH(B17, VLOOKUP(E17, Machine_List!$B:$J, 9, 0))), FALSE()), "✅ Machine OK", "❌ Sug: " &amp; IFERROR(INDEX(Machine_List!$B$4:$B$50, MATCH("*"&amp;B17&amp;"*", Machine_List!$J$4:$J$50, 0)), "Check Limits")))</f>
        <v>✅ Machine OK</v>
      </c>
      <c r="P17" s="52" t="str">
        <f t="shared" ref="P17:AC17" ca="1" si="27">IF(AND(Q$3&gt;=$J17, Q$3&lt;$M17), $A17, "")</f>
        <v/>
      </c>
      <c r="Q17" s="52" t="str">
        <f t="shared" ca="1" si="27"/>
        <v/>
      </c>
      <c r="R17" s="52" t="str">
        <f t="shared" ca="1" si="27"/>
        <v/>
      </c>
      <c r="S17" s="52" t="str">
        <f t="shared" ca="1" si="27"/>
        <v/>
      </c>
      <c r="T17" s="52" t="str">
        <f t="shared" ca="1" si="27"/>
        <v/>
      </c>
      <c r="U17" s="52" t="str">
        <f t="shared" ca="1" si="27"/>
        <v/>
      </c>
      <c r="V17" s="52" t="str">
        <f t="shared" ca="1" si="27"/>
        <v/>
      </c>
      <c r="W17" s="52" t="str">
        <f t="shared" ca="1" si="27"/>
        <v/>
      </c>
      <c r="X17" s="52" t="str">
        <f t="shared" ca="1" si="27"/>
        <v/>
      </c>
      <c r="Y17" s="52" t="str">
        <f t="shared" ca="1" si="27"/>
        <v/>
      </c>
      <c r="Z17" s="52" t="str">
        <f t="shared" ca="1" si="27"/>
        <v/>
      </c>
      <c r="AA17" s="52" t="str">
        <f t="shared" ca="1" si="27"/>
        <v/>
      </c>
      <c r="AB17" s="52" t="str">
        <f t="shared" ca="1" si="27"/>
        <v/>
      </c>
      <c r="AC17" s="52" t="str">
        <f t="shared" ca="1" si="27"/>
        <v/>
      </c>
      <c r="AD17" s="52" t="str">
        <f t="shared" ref="AD17:BP17" ca="1" si="28">IF(AND(AE$3&gt;=$J17, AE$3&lt;$M17), $A17, "")</f>
        <v/>
      </c>
      <c r="AE17" s="52" t="str">
        <f t="shared" ca="1" si="28"/>
        <v/>
      </c>
      <c r="AF17" s="52" t="str">
        <f t="shared" ca="1" si="28"/>
        <v/>
      </c>
      <c r="AG17" s="52" t="str">
        <f t="shared" ca="1" si="28"/>
        <v/>
      </c>
      <c r="AH17" s="52" t="str">
        <f t="shared" ca="1" si="28"/>
        <v/>
      </c>
      <c r="AI17" s="52" t="str">
        <f t="shared" ca="1" si="28"/>
        <v/>
      </c>
      <c r="AJ17" s="52" t="str">
        <f t="shared" ca="1" si="28"/>
        <v/>
      </c>
      <c r="AK17" s="52" t="str">
        <f t="shared" ca="1" si="28"/>
        <v/>
      </c>
      <c r="AL17" s="52" t="str">
        <f t="shared" ca="1" si="28"/>
        <v/>
      </c>
      <c r="AM17" s="52" t="str">
        <f t="shared" ca="1" si="28"/>
        <v/>
      </c>
      <c r="AN17" s="52" t="str">
        <f t="shared" ca="1" si="28"/>
        <v/>
      </c>
      <c r="AO17" s="52" t="str">
        <f t="shared" ca="1" si="28"/>
        <v/>
      </c>
      <c r="AP17" s="52" t="str">
        <f t="shared" ca="1" si="28"/>
        <v/>
      </c>
      <c r="AQ17" s="52" t="str">
        <f t="shared" ca="1" si="28"/>
        <v/>
      </c>
      <c r="AR17" s="52" t="str">
        <f t="shared" ca="1" si="28"/>
        <v/>
      </c>
      <c r="AS17" s="52" t="str">
        <f t="shared" ca="1" si="28"/>
        <v/>
      </c>
      <c r="AT17" s="52" t="str">
        <f t="shared" ca="1" si="28"/>
        <v/>
      </c>
      <c r="AU17" s="52" t="str">
        <f t="shared" ca="1" si="28"/>
        <v/>
      </c>
      <c r="AV17" s="52" t="str">
        <f t="shared" ca="1" si="28"/>
        <v/>
      </c>
      <c r="AW17" s="52" t="str">
        <f t="shared" ca="1" si="28"/>
        <v/>
      </c>
      <c r="AX17" s="52" t="str">
        <f t="shared" ca="1" si="28"/>
        <v/>
      </c>
      <c r="AY17" s="52" t="str">
        <f t="shared" ca="1" si="28"/>
        <v/>
      </c>
      <c r="AZ17" s="52" t="str">
        <f t="shared" ca="1" si="28"/>
        <v/>
      </c>
      <c r="BA17" s="52" t="str">
        <f t="shared" ca="1" si="28"/>
        <v/>
      </c>
      <c r="BB17" s="52" t="str">
        <f t="shared" ca="1" si="28"/>
        <v/>
      </c>
      <c r="BC17" s="52" t="str">
        <f t="shared" ca="1" si="28"/>
        <v/>
      </c>
      <c r="BD17" s="52" t="str">
        <f t="shared" ca="1" si="28"/>
        <v/>
      </c>
      <c r="BE17" s="52" t="str">
        <f t="shared" ca="1" si="28"/>
        <v/>
      </c>
      <c r="BF17" s="52" t="str">
        <f t="shared" ca="1" si="28"/>
        <v/>
      </c>
      <c r="BG17" s="52" t="str">
        <f t="shared" ca="1" si="28"/>
        <v/>
      </c>
      <c r="BH17" s="52" t="str">
        <f t="shared" ca="1" si="28"/>
        <v/>
      </c>
      <c r="BI17" s="52" t="str">
        <f t="shared" ca="1" si="28"/>
        <v/>
      </c>
      <c r="BJ17" s="52" t="str">
        <f t="shared" ca="1" si="28"/>
        <v/>
      </c>
      <c r="BK17" s="52" t="str">
        <f t="shared" ca="1" si="28"/>
        <v/>
      </c>
      <c r="BL17" s="52" t="str">
        <f t="shared" ca="1" si="28"/>
        <v/>
      </c>
      <c r="BM17" s="52" t="str">
        <f t="shared" ca="1" si="28"/>
        <v/>
      </c>
      <c r="BN17" t="str">
        <f t="shared" ca="1" si="28"/>
        <v/>
      </c>
      <c r="BO17" t="str">
        <f t="shared" ca="1" si="28"/>
        <v/>
      </c>
      <c r="BP17" t="str">
        <f t="shared" ca="1" si="28"/>
        <v/>
      </c>
    </row>
    <row r="18" spans="1:68" ht="15" customHeight="1" x14ac:dyDescent="0.3">
      <c r="A18" s="10" t="str">
        <f>IF(Job_Master!A18="","",Job_Master!A18)</f>
        <v>BJ-115</v>
      </c>
      <c r="B18" s="10">
        <f>IF($A18="","",Job_Master!B18)</f>
        <v>46</v>
      </c>
      <c r="C18" s="10" t="str">
        <f>IF($A18="","",Job_Master!C18)</f>
        <v>2P</v>
      </c>
      <c r="D18" s="10">
        <f>IF($A18="","",Job_Master!D18)</f>
        <v>2</v>
      </c>
      <c r="E18" s="48" t="str">
        <f>IF($A18="","","QC-MC-04")</f>
        <v>QC-MC-04</v>
      </c>
      <c r="F18" s="10" t="str">
        <f>IF($E18="","",IFERROR(VLOOKUP($E18,Machine_List!$B:$G,6,0),""))</f>
        <v>General Workman</v>
      </c>
      <c r="G18" s="53">
        <f>IF($E18="","",IFERROR(VLOOKUP($E18,Machine_List!$B:$C,2,0),""))</f>
        <v>46195</v>
      </c>
      <c r="H18" s="10">
        <f>IF($E18="","",IFERROR(VLOOKUP($E18,Machine_List!$B:$D,3,0),""))</f>
        <v>6</v>
      </c>
      <c r="I18" s="54"/>
      <c r="J18" s="55">
        <f ca="1">IF($A18="","",IF($I18&lt;&gt;"",$I18,MAX(FID_Plan!$M18,IFERROR(LOOKUP(2,1/($E$3:INDIRECT("E"&amp;(ROW()-1))=$E18),$M$3:INDIRECT("M"&amp;(ROW()-1))),FID_Plan!$M18))))</f>
        <v>46153.572751322754</v>
      </c>
      <c r="K18" s="10">
        <f>IF($A18="","",IFERROR(VLOOKUP(B18,CHOOSE(MATCH(C18,Settings!$L$4:$L$10,0),OPR_2P!$A$4:$I$18,SEG_6P!$A$4:$I$18,SOL_4P!$A$4:$I$18,RW_2P!$A$4:$I$18,RW2_4P!$A$4:$I$18,FLAP_4P!$A$4:$I$18,TUBE_4P!$A$4:$I$18),8,0),0))</f>
        <v>35</v>
      </c>
      <c r="L18" s="10">
        <f t="shared" si="0"/>
        <v>70</v>
      </c>
      <c r="M18" s="55">
        <f ca="1">IF($A18="","",$J18+($L18/(IF(F18="Contract Workman",Settings!$K$5,Settings!$K$4))))</f>
        <v>46156.813492063491</v>
      </c>
      <c r="N18" s="10" t="str">
        <f t="shared" ca="1" si="1"/>
        <v>Shift B</v>
      </c>
      <c r="O18" s="51" t="str">
        <f>IF(B18="","", IF(IFERROR(ISNUMBER(SEARCH(B18, VLOOKUP(E18, Machine_List!$B:$J, 9, 0))), FALSE()), "✅ Machine OK", "❌ Sug: " &amp; IFERROR(INDEX(Machine_List!$B$4:$B$50, MATCH("*"&amp;B18&amp;"*", Machine_List!$J$4:$J$50, 0)), "Check Limits")))</f>
        <v>✅ Machine OK</v>
      </c>
      <c r="P18" s="52" t="str">
        <f t="shared" ref="P18:AC18" ca="1" si="29">IF(AND(Q$3&gt;=$J18, Q$3&lt;$M18), $A18, "")</f>
        <v/>
      </c>
      <c r="Q18" s="52" t="str">
        <f t="shared" ca="1" si="29"/>
        <v/>
      </c>
      <c r="R18" s="52" t="str">
        <f t="shared" ca="1" si="29"/>
        <v/>
      </c>
      <c r="S18" s="52" t="str">
        <f t="shared" ca="1" si="29"/>
        <v/>
      </c>
      <c r="T18" s="52" t="str">
        <f t="shared" ca="1" si="29"/>
        <v/>
      </c>
      <c r="U18" s="52" t="str">
        <f t="shared" ca="1" si="29"/>
        <v/>
      </c>
      <c r="V18" s="52" t="str">
        <f t="shared" ca="1" si="29"/>
        <v/>
      </c>
      <c r="W18" s="52" t="str">
        <f t="shared" ca="1" si="29"/>
        <v/>
      </c>
      <c r="X18" s="52" t="str">
        <f t="shared" ca="1" si="29"/>
        <v/>
      </c>
      <c r="Y18" s="52" t="str">
        <f t="shared" ca="1" si="29"/>
        <v/>
      </c>
      <c r="Z18" s="52" t="str">
        <f t="shared" ca="1" si="29"/>
        <v/>
      </c>
      <c r="AA18" s="52" t="str">
        <f t="shared" ca="1" si="29"/>
        <v/>
      </c>
      <c r="AB18" s="52" t="str">
        <f t="shared" ca="1" si="29"/>
        <v/>
      </c>
      <c r="AC18" s="52" t="str">
        <f t="shared" ca="1" si="29"/>
        <v/>
      </c>
      <c r="AD18" s="52" t="str">
        <f t="shared" ref="AD18:BP18" ca="1" si="30">IF(AND(AE$3&gt;=$J18, AE$3&lt;$M18), $A18, "")</f>
        <v/>
      </c>
      <c r="AE18" s="52" t="str">
        <f t="shared" ca="1" si="30"/>
        <v/>
      </c>
      <c r="AF18" s="52" t="str">
        <f t="shared" ca="1" si="30"/>
        <v/>
      </c>
      <c r="AG18" s="52" t="str">
        <f t="shared" ca="1" si="30"/>
        <v/>
      </c>
      <c r="AH18" s="52" t="str">
        <f t="shared" ca="1" si="30"/>
        <v/>
      </c>
      <c r="AI18" s="52" t="str">
        <f t="shared" ca="1" si="30"/>
        <v/>
      </c>
      <c r="AJ18" s="52" t="str">
        <f t="shared" ca="1" si="30"/>
        <v/>
      </c>
      <c r="AK18" s="52" t="str">
        <f t="shared" ca="1" si="30"/>
        <v/>
      </c>
      <c r="AL18" s="52" t="str">
        <f t="shared" ca="1" si="30"/>
        <v/>
      </c>
      <c r="AM18" s="52" t="str">
        <f t="shared" ca="1" si="30"/>
        <v/>
      </c>
      <c r="AN18" s="52" t="str">
        <f t="shared" ca="1" si="30"/>
        <v/>
      </c>
      <c r="AO18" s="52" t="str">
        <f t="shared" ca="1" si="30"/>
        <v/>
      </c>
      <c r="AP18" s="52" t="str">
        <f t="shared" ca="1" si="30"/>
        <v/>
      </c>
      <c r="AQ18" s="52" t="str">
        <f t="shared" ca="1" si="30"/>
        <v/>
      </c>
      <c r="AR18" s="52" t="str">
        <f t="shared" ca="1" si="30"/>
        <v/>
      </c>
      <c r="AS18" s="52" t="str">
        <f t="shared" ca="1" si="30"/>
        <v/>
      </c>
      <c r="AT18" s="52" t="str">
        <f t="shared" ca="1" si="30"/>
        <v/>
      </c>
      <c r="AU18" s="52" t="str">
        <f t="shared" ca="1" si="30"/>
        <v/>
      </c>
      <c r="AV18" s="52" t="str">
        <f t="shared" ca="1" si="30"/>
        <v/>
      </c>
      <c r="AW18" s="52" t="str">
        <f t="shared" ca="1" si="30"/>
        <v/>
      </c>
      <c r="AX18" s="52" t="str">
        <f t="shared" ca="1" si="30"/>
        <v/>
      </c>
      <c r="AY18" s="52" t="str">
        <f t="shared" ca="1" si="30"/>
        <v/>
      </c>
      <c r="AZ18" s="52" t="str">
        <f t="shared" ca="1" si="30"/>
        <v/>
      </c>
      <c r="BA18" s="52" t="str">
        <f t="shared" ca="1" si="30"/>
        <v/>
      </c>
      <c r="BB18" s="52" t="str">
        <f t="shared" ca="1" si="30"/>
        <v/>
      </c>
      <c r="BC18" s="52" t="str">
        <f t="shared" ca="1" si="30"/>
        <v>BJ-115</v>
      </c>
      <c r="BD18" s="52" t="str">
        <f t="shared" ca="1" si="30"/>
        <v>BJ-115</v>
      </c>
      <c r="BE18" s="52" t="str">
        <f t="shared" ca="1" si="30"/>
        <v>BJ-115</v>
      </c>
      <c r="BF18" s="52" t="str">
        <f t="shared" ca="1" si="30"/>
        <v/>
      </c>
      <c r="BG18" s="52" t="str">
        <f t="shared" ca="1" si="30"/>
        <v/>
      </c>
      <c r="BH18" s="52" t="str">
        <f t="shared" ca="1" si="30"/>
        <v/>
      </c>
      <c r="BI18" s="52" t="str">
        <f t="shared" ca="1" si="30"/>
        <v/>
      </c>
      <c r="BJ18" s="52" t="str">
        <f t="shared" ca="1" si="30"/>
        <v/>
      </c>
      <c r="BK18" s="52" t="str">
        <f t="shared" ca="1" si="30"/>
        <v/>
      </c>
      <c r="BL18" s="52" t="str">
        <f t="shared" ca="1" si="30"/>
        <v/>
      </c>
      <c r="BM18" s="52" t="str">
        <f t="shared" ca="1" si="30"/>
        <v/>
      </c>
      <c r="BN18" t="str">
        <f t="shared" ca="1" si="30"/>
        <v/>
      </c>
      <c r="BO18" t="str">
        <f t="shared" ca="1" si="30"/>
        <v/>
      </c>
      <c r="BP18" t="str">
        <f t="shared" ca="1" si="30"/>
        <v/>
      </c>
    </row>
    <row r="19" spans="1:68" ht="15" customHeight="1" x14ac:dyDescent="0.3">
      <c r="A19" s="10" t="str">
        <f>IF(Job_Master!A19="","",Job_Master!A19)</f>
        <v>BJ-116</v>
      </c>
      <c r="B19" s="10">
        <f>IF($A19="","",Job_Master!B19)</f>
        <v>54</v>
      </c>
      <c r="C19" s="10" t="str">
        <f>IF($A19="","",Job_Master!C19)</f>
        <v>2P</v>
      </c>
      <c r="D19" s="10">
        <f>IF($A19="","",Job_Master!D19)</f>
        <v>2</v>
      </c>
      <c r="E19" s="48" t="str">
        <f>IF($A19="","","QC-MC-03")</f>
        <v>QC-MC-03</v>
      </c>
      <c r="F19" s="10" t="str">
        <f>IF($E19="","",IFERROR(VLOOKUP($E19,Machine_List!$B:$G,6,0),""))</f>
        <v>General Workman</v>
      </c>
      <c r="G19" s="53">
        <f>IF($E19="","",IFERROR(VLOOKUP($E19,Machine_List!$B:$C,2,0),""))</f>
        <v>46172</v>
      </c>
      <c r="H19" s="10">
        <f>IF($E19="","",IFERROR(VLOOKUP($E19,Machine_List!$B:$D,3,0),""))</f>
        <v>6</v>
      </c>
      <c r="I19" s="54"/>
      <c r="J19" s="55">
        <f ca="1">IF($A19="","",IF($I19&lt;&gt;"",$I19,MAX(FID_Plan!$M19,IFERROR(LOOKUP(2,1/($E$3:INDIRECT("E"&amp;(ROW()-1))=$E19),$M$3:INDIRECT("M"&amp;(ROW()-1))),FID_Plan!$M19))))</f>
        <v>46175.963624338612</v>
      </c>
      <c r="K19" s="10">
        <f>IF($A19="","",IFERROR(VLOOKUP(B19,CHOOSE(MATCH(C19,Settings!$L$4:$L$10,0),OPR_2P!$A$4:$I$18,SEG_6P!$A$4:$I$18,SOL_4P!$A$4:$I$18,RW_2P!$A$4:$I$18,RW2_4P!$A$4:$I$18,FLAP_4P!$A$4:$I$18,TUBE_4P!$A$4:$I$18),8,0),0))</f>
        <v>67</v>
      </c>
      <c r="L19" s="10">
        <f t="shared" si="0"/>
        <v>134</v>
      </c>
      <c r="M19" s="55">
        <f ca="1">IF($A19="","",$J19+($L19/(IF(F19="Contract Workman",Settings!$K$5,Settings!$K$4))))</f>
        <v>46182.167328042313</v>
      </c>
      <c r="N19" s="10" t="str">
        <f t="shared" ca="1" si="1"/>
        <v>Shift C</v>
      </c>
      <c r="O19" s="51" t="str">
        <f>IF(B19="","", IF(IFERROR(ISNUMBER(SEARCH(B19, VLOOKUP(E19, Machine_List!$B:$J, 9, 0))), FALSE()), "✅ Machine OK", "❌ Sug: " &amp; IFERROR(INDEX(Machine_List!$B$4:$B$50, MATCH("*"&amp;B19&amp;"*", Machine_List!$J$4:$J$50, 0)), "Check Limits")))</f>
        <v>✅ Machine OK</v>
      </c>
      <c r="P19" s="52" t="str">
        <f t="shared" ref="P19:AC19" ca="1" si="31">IF(AND(Q$3&gt;=$J19, Q$3&lt;$M19), $A19, "")</f>
        <v/>
      </c>
      <c r="Q19" s="52" t="str">
        <f t="shared" ca="1" si="31"/>
        <v/>
      </c>
      <c r="R19" s="52" t="str">
        <f t="shared" ca="1" si="31"/>
        <v/>
      </c>
      <c r="S19" s="52" t="str">
        <f t="shared" ca="1" si="31"/>
        <v/>
      </c>
      <c r="T19" s="52" t="str">
        <f t="shared" ca="1" si="31"/>
        <v/>
      </c>
      <c r="U19" s="52" t="str">
        <f t="shared" ca="1" si="31"/>
        <v/>
      </c>
      <c r="V19" s="52" t="str">
        <f t="shared" ca="1" si="31"/>
        <v/>
      </c>
      <c r="W19" s="52" t="str">
        <f t="shared" ca="1" si="31"/>
        <v/>
      </c>
      <c r="X19" s="52" t="str">
        <f t="shared" ca="1" si="31"/>
        <v/>
      </c>
      <c r="Y19" s="52" t="str">
        <f t="shared" ca="1" si="31"/>
        <v/>
      </c>
      <c r="Z19" s="52" t="str">
        <f t="shared" ca="1" si="31"/>
        <v/>
      </c>
      <c r="AA19" s="52" t="str">
        <f t="shared" ca="1" si="31"/>
        <v/>
      </c>
      <c r="AB19" s="52" t="str">
        <f t="shared" ca="1" si="31"/>
        <v/>
      </c>
      <c r="AC19" s="52" t="str">
        <f t="shared" ca="1" si="31"/>
        <v/>
      </c>
      <c r="AD19" s="52" t="str">
        <f t="shared" ref="AD19:BP19" ca="1" si="32">IF(AND(AE$3&gt;=$J19, AE$3&lt;$M19), $A19, "")</f>
        <v/>
      </c>
      <c r="AE19" s="52" t="str">
        <f t="shared" ca="1" si="32"/>
        <v/>
      </c>
      <c r="AF19" s="52" t="str">
        <f t="shared" ca="1" si="32"/>
        <v/>
      </c>
      <c r="AG19" s="52" t="str">
        <f t="shared" ca="1" si="32"/>
        <v/>
      </c>
      <c r="AH19" s="52" t="str">
        <f t="shared" ca="1" si="32"/>
        <v/>
      </c>
      <c r="AI19" s="52" t="str">
        <f t="shared" ca="1" si="32"/>
        <v/>
      </c>
      <c r="AJ19" s="52" t="str">
        <f t="shared" ca="1" si="32"/>
        <v/>
      </c>
      <c r="AK19" s="52" t="str">
        <f t="shared" ca="1" si="32"/>
        <v/>
      </c>
      <c r="AL19" s="52" t="str">
        <f t="shared" ca="1" si="32"/>
        <v/>
      </c>
      <c r="AM19" s="52" t="str">
        <f t="shared" ca="1" si="32"/>
        <v/>
      </c>
      <c r="AN19" s="52" t="str">
        <f t="shared" ca="1" si="32"/>
        <v/>
      </c>
      <c r="AO19" s="52" t="str">
        <f t="shared" ca="1" si="32"/>
        <v/>
      </c>
      <c r="AP19" s="52" t="str">
        <f t="shared" ca="1" si="32"/>
        <v/>
      </c>
      <c r="AQ19" s="52" t="str">
        <f t="shared" ca="1" si="32"/>
        <v/>
      </c>
      <c r="AR19" s="52" t="str">
        <f t="shared" ca="1" si="32"/>
        <v/>
      </c>
      <c r="AS19" s="52" t="str">
        <f t="shared" ca="1" si="32"/>
        <v/>
      </c>
      <c r="AT19" s="52" t="str">
        <f t="shared" ca="1" si="32"/>
        <v/>
      </c>
      <c r="AU19" s="52" t="str">
        <f t="shared" ca="1" si="32"/>
        <v/>
      </c>
      <c r="AV19" s="52" t="str">
        <f t="shared" ca="1" si="32"/>
        <v/>
      </c>
      <c r="AW19" s="52" t="str">
        <f t="shared" ca="1" si="32"/>
        <v/>
      </c>
      <c r="AX19" s="52" t="str">
        <f t="shared" ca="1" si="32"/>
        <v/>
      </c>
      <c r="AY19" s="52" t="str">
        <f t="shared" ca="1" si="32"/>
        <v/>
      </c>
      <c r="AZ19" s="52" t="str">
        <f t="shared" ca="1" si="32"/>
        <v/>
      </c>
      <c r="BA19" s="52" t="str">
        <f t="shared" ca="1" si="32"/>
        <v/>
      </c>
      <c r="BB19" s="52" t="str">
        <f t="shared" ca="1" si="32"/>
        <v/>
      </c>
      <c r="BC19" s="52" t="str">
        <f t="shared" ca="1" si="32"/>
        <v/>
      </c>
      <c r="BD19" s="52" t="str">
        <f t="shared" ca="1" si="32"/>
        <v/>
      </c>
      <c r="BE19" s="52" t="str">
        <f t="shared" ca="1" si="32"/>
        <v/>
      </c>
      <c r="BF19" s="52" t="str">
        <f t="shared" ca="1" si="32"/>
        <v/>
      </c>
      <c r="BG19" s="52" t="str">
        <f t="shared" ca="1" si="32"/>
        <v/>
      </c>
      <c r="BH19" s="52" t="str">
        <f t="shared" ca="1" si="32"/>
        <v/>
      </c>
      <c r="BI19" s="52" t="str">
        <f t="shared" ca="1" si="32"/>
        <v/>
      </c>
      <c r="BJ19" s="52" t="str">
        <f t="shared" ca="1" si="32"/>
        <v/>
      </c>
      <c r="BK19" s="52" t="str">
        <f t="shared" ca="1" si="32"/>
        <v/>
      </c>
      <c r="BL19" s="52" t="str">
        <f t="shared" ca="1" si="32"/>
        <v/>
      </c>
      <c r="BM19" s="52" t="str">
        <f t="shared" ca="1" si="32"/>
        <v/>
      </c>
      <c r="BN19" t="str">
        <f t="shared" ca="1" si="32"/>
        <v/>
      </c>
      <c r="BO19" t="str">
        <f t="shared" ca="1" si="32"/>
        <v/>
      </c>
      <c r="BP19" t="str">
        <f t="shared" ca="1" si="32"/>
        <v/>
      </c>
    </row>
    <row r="20" spans="1:68" ht="15" customHeight="1" x14ac:dyDescent="0.3">
      <c r="A20" s="10" t="str">
        <f>IF(Job_Master!A20="","",Job_Master!A20)</f>
        <v>BJ-118</v>
      </c>
      <c r="B20" s="10">
        <f>IF($A20="","",Job_Master!B20)</f>
        <v>28</v>
      </c>
      <c r="C20" s="10" t="str">
        <f>IF($A20="","",Job_Master!C20)</f>
        <v>SOL</v>
      </c>
      <c r="D20" s="10">
        <f>IF($A20="","",Job_Master!D20)</f>
        <v>4</v>
      </c>
      <c r="E20" s="48" t="str">
        <f>IF($A20="","","QC-MC-04")</f>
        <v>QC-MC-04</v>
      </c>
      <c r="F20" s="10" t="str">
        <f>IF($E20="","",IFERROR(VLOOKUP($E20,Machine_List!$B:$G,6,0),""))</f>
        <v>General Workman</v>
      </c>
      <c r="G20" s="53">
        <f>IF($E20="","",IFERROR(VLOOKUP($E20,Machine_List!$B:$C,2,0),""))</f>
        <v>46195</v>
      </c>
      <c r="H20" s="10">
        <f>IF($E20="","",IFERROR(VLOOKUP($E20,Machine_List!$B:$D,3,0),""))</f>
        <v>6</v>
      </c>
      <c r="I20" s="54"/>
      <c r="J20" s="55">
        <f ca="1">IF($A20="","",IF($I20&lt;&gt;"",$I20,MAX(FID_Plan!$M20,IFERROR(LOOKUP(2,1/($E$3:INDIRECT("E"&amp;(ROW()-1))=$E20),$M$3:INDIRECT("M"&amp;(ROW()-1))),FID_Plan!$M20))))</f>
        <v>46161.565476190466</v>
      </c>
      <c r="K20" s="10">
        <f>IF($A20="","",IFERROR(VLOOKUP(B20,CHOOSE(MATCH(C20,Settings!$L$4:$L$10,0),OPR_2P!$A$4:$I$18,SEG_6P!$A$4:$I$18,SOL_4P!$A$4:$I$18,RW_2P!$A$4:$I$18,RW2_4P!$A$4:$I$18,FLAP_4P!$A$4:$I$18,TUBE_4P!$A$4:$I$18),8,0),0))</f>
        <v>28</v>
      </c>
      <c r="L20" s="10">
        <f t="shared" si="0"/>
        <v>112</v>
      </c>
      <c r="M20" s="55">
        <f ca="1">IF($A20="","",$J20+($L20/(IF(F20="Contract Workman",Settings!$K$5,Settings!$K$4))))</f>
        <v>46166.750661375649</v>
      </c>
      <c r="N20" s="10" t="str">
        <f t="shared" ca="1" si="1"/>
        <v>Shift B</v>
      </c>
      <c r="O20" s="51" t="str">
        <f>IF(B20="","", IF(IFERROR(ISNUMBER(SEARCH(B20, VLOOKUP(E20, Machine_List!$B:$J, 9, 0))), FALSE()), "✅ Machine OK", "❌ Sug: " &amp; IFERROR(INDEX(Machine_List!$B$4:$B$50, MATCH("*"&amp;B20&amp;"*", Machine_List!$J$4:$J$50, 0)), "Check Limits")))</f>
        <v>✅ Machine OK</v>
      </c>
      <c r="P20" s="52" t="str">
        <f t="shared" ref="P20:AC20" ca="1" si="33">IF(AND(Q$3&gt;=$J20, Q$3&lt;$M20), $A20, "")</f>
        <v/>
      </c>
      <c r="Q20" s="52" t="str">
        <f t="shared" ca="1" si="33"/>
        <v/>
      </c>
      <c r="R20" s="52" t="str">
        <f t="shared" ca="1" si="33"/>
        <v/>
      </c>
      <c r="S20" s="52" t="str">
        <f t="shared" ca="1" si="33"/>
        <v/>
      </c>
      <c r="T20" s="52" t="str">
        <f t="shared" ca="1" si="33"/>
        <v/>
      </c>
      <c r="U20" s="52" t="str">
        <f t="shared" ca="1" si="33"/>
        <v/>
      </c>
      <c r="V20" s="52" t="str">
        <f t="shared" ca="1" si="33"/>
        <v/>
      </c>
      <c r="W20" s="52" t="str">
        <f t="shared" ca="1" si="33"/>
        <v/>
      </c>
      <c r="X20" s="52" t="str">
        <f t="shared" ca="1" si="33"/>
        <v/>
      </c>
      <c r="Y20" s="52" t="str">
        <f t="shared" ca="1" si="33"/>
        <v/>
      </c>
      <c r="Z20" s="52" t="str">
        <f t="shared" ca="1" si="33"/>
        <v/>
      </c>
      <c r="AA20" s="52" t="str">
        <f t="shared" ca="1" si="33"/>
        <v/>
      </c>
      <c r="AB20" s="52" t="str">
        <f t="shared" ca="1" si="33"/>
        <v/>
      </c>
      <c r="AC20" s="52" t="str">
        <f t="shared" ca="1" si="33"/>
        <v/>
      </c>
      <c r="AD20" s="52" t="str">
        <f t="shared" ref="AD20:BP20" ca="1" si="34">IF(AND(AE$3&gt;=$J20, AE$3&lt;$M20), $A20, "")</f>
        <v/>
      </c>
      <c r="AE20" s="52" t="str">
        <f t="shared" ca="1" si="34"/>
        <v/>
      </c>
      <c r="AF20" s="52" t="str">
        <f t="shared" ca="1" si="34"/>
        <v/>
      </c>
      <c r="AG20" s="52" t="str">
        <f t="shared" ca="1" si="34"/>
        <v/>
      </c>
      <c r="AH20" s="52" t="str">
        <f t="shared" ca="1" si="34"/>
        <v/>
      </c>
      <c r="AI20" s="52" t="str">
        <f t="shared" ca="1" si="34"/>
        <v/>
      </c>
      <c r="AJ20" s="52" t="str">
        <f t="shared" ca="1" si="34"/>
        <v/>
      </c>
      <c r="AK20" s="52" t="str">
        <f t="shared" ca="1" si="34"/>
        <v/>
      </c>
      <c r="AL20" s="52" t="str">
        <f t="shared" ca="1" si="34"/>
        <v/>
      </c>
      <c r="AM20" s="52" t="str">
        <f t="shared" ca="1" si="34"/>
        <v/>
      </c>
      <c r="AN20" s="52" t="str">
        <f t="shared" ca="1" si="34"/>
        <v/>
      </c>
      <c r="AO20" s="52" t="str">
        <f t="shared" ca="1" si="34"/>
        <v/>
      </c>
      <c r="AP20" s="52" t="str">
        <f t="shared" ca="1" si="34"/>
        <v/>
      </c>
      <c r="AQ20" s="52" t="str">
        <f t="shared" ca="1" si="34"/>
        <v/>
      </c>
      <c r="AR20" s="52" t="str">
        <f t="shared" ca="1" si="34"/>
        <v/>
      </c>
      <c r="AS20" s="52" t="str">
        <f t="shared" ca="1" si="34"/>
        <v/>
      </c>
      <c r="AT20" s="52" t="str">
        <f t="shared" ca="1" si="34"/>
        <v/>
      </c>
      <c r="AU20" s="52" t="str">
        <f t="shared" ca="1" si="34"/>
        <v/>
      </c>
      <c r="AV20" s="52" t="str">
        <f t="shared" ca="1" si="34"/>
        <v/>
      </c>
      <c r="AW20" s="52" t="str">
        <f t="shared" ca="1" si="34"/>
        <v/>
      </c>
      <c r="AX20" s="52" t="str">
        <f t="shared" ca="1" si="34"/>
        <v/>
      </c>
      <c r="AY20" s="52" t="str">
        <f t="shared" ca="1" si="34"/>
        <v/>
      </c>
      <c r="AZ20" s="52" t="str">
        <f t="shared" ca="1" si="34"/>
        <v/>
      </c>
      <c r="BA20" s="52" t="str">
        <f t="shared" ca="1" si="34"/>
        <v/>
      </c>
      <c r="BB20" s="52" t="str">
        <f t="shared" ca="1" si="34"/>
        <v/>
      </c>
      <c r="BC20" s="52" t="str">
        <f t="shared" ca="1" si="34"/>
        <v/>
      </c>
      <c r="BD20" s="52" t="str">
        <f t="shared" ca="1" si="34"/>
        <v/>
      </c>
      <c r="BE20" s="52" t="str">
        <f t="shared" ca="1" si="34"/>
        <v/>
      </c>
      <c r="BF20" s="52" t="str">
        <f t="shared" ca="1" si="34"/>
        <v/>
      </c>
      <c r="BG20" s="52" t="str">
        <f t="shared" ca="1" si="34"/>
        <v/>
      </c>
      <c r="BH20" s="52" t="str">
        <f t="shared" ca="1" si="34"/>
        <v/>
      </c>
      <c r="BI20" s="52" t="str">
        <f t="shared" ca="1" si="34"/>
        <v/>
      </c>
      <c r="BJ20" s="52" t="str">
        <f t="shared" ca="1" si="34"/>
        <v/>
      </c>
      <c r="BK20" s="52" t="str">
        <f t="shared" ca="1" si="34"/>
        <v>BJ-118</v>
      </c>
      <c r="BL20" s="52" t="str">
        <f t="shared" ca="1" si="34"/>
        <v>BJ-118</v>
      </c>
      <c r="BM20" s="52" t="str">
        <f t="shared" ca="1" si="34"/>
        <v>BJ-118</v>
      </c>
      <c r="BN20" t="str">
        <f t="shared" ca="1" si="34"/>
        <v>BJ-118</v>
      </c>
      <c r="BO20" t="str">
        <f t="shared" ca="1" si="34"/>
        <v>BJ-118</v>
      </c>
      <c r="BP20" t="str">
        <f t="shared" ca="1" si="34"/>
        <v/>
      </c>
    </row>
    <row r="21" spans="1:68" ht="15" customHeight="1" x14ac:dyDescent="0.3">
      <c r="A21" s="10" t="str">
        <f>IF(Job_Master!A21="","",Job_Master!A21)</f>
        <v>BJ-119</v>
      </c>
      <c r="B21" s="10">
        <f>IF($A21="","",Job_Master!B21)</f>
        <v>63</v>
      </c>
      <c r="C21" s="10" t="str">
        <f>IF($A21="","",Job_Master!C21)</f>
        <v>SOL</v>
      </c>
      <c r="D21" s="10">
        <f>IF($A21="","",Job_Master!D21)</f>
        <v>4</v>
      </c>
      <c r="E21" s="48" t="str">
        <f>IF($A21="","","QC-MC-01")</f>
        <v>QC-MC-01</v>
      </c>
      <c r="F21" s="10" t="str">
        <f>IF($E21="","",IFERROR(VLOOKUP($E21,Machine_List!$B:$G,6,0),""))</f>
        <v>General Workman</v>
      </c>
      <c r="G21" s="53">
        <f>IF($E21="","",IFERROR(VLOOKUP($E21,Machine_List!$B:$C,2,0),""))</f>
        <v>46518</v>
      </c>
      <c r="H21" s="10">
        <f>IF($E21="","",IFERROR(VLOOKUP($E21,Machine_List!$B:$D,3,0),""))</f>
        <v>6</v>
      </c>
      <c r="I21" s="54"/>
      <c r="J21" s="55">
        <f ca="1">IF($A21="","",IF($I21&lt;&gt;"",$I21,MAX(FID_Plan!$M21,IFERROR(LOOKUP(2,1/($E$3:INDIRECT("E"&amp;(ROW()-1))=$E21),$M$3:INDIRECT("M"&amp;(ROW()-1))),FID_Plan!$M21))))</f>
        <v>46244.396164021156</v>
      </c>
      <c r="K21" s="10">
        <f>IF($A21="","",IFERROR(VLOOKUP(B21,CHOOSE(MATCH(C21,Settings!$L$4:$L$10,0),OPR_2P!$A$4:$I$18,SEG_6P!$A$4:$I$18,SOL_4P!$A$4:$I$18,RW_2P!$A$4:$I$18,RW2_4P!$A$4:$I$18,FLAP_4P!$A$4:$I$18,TUBE_4P!$A$4:$I$18),8,0),0))</f>
        <v>77</v>
      </c>
      <c r="L21" s="10">
        <f t="shared" si="0"/>
        <v>308</v>
      </c>
      <c r="M21" s="55">
        <f ca="1">IF($A21="","",$J21+($L21/(IF(F21="Contract Workman",Settings!$K$5,Settings!$K$4))))</f>
        <v>46258.655423280419</v>
      </c>
      <c r="N21" s="10" t="str">
        <f t="shared" ca="1" si="1"/>
        <v>Shift B</v>
      </c>
      <c r="O21" s="51" t="str">
        <f>IF(B21="","", IF(IFERROR(ISNUMBER(SEARCH(B21, VLOOKUP(E21, Machine_List!$B:$J, 9, 0))), FALSE()), "✅ Machine OK", "❌ Sug: " &amp; IFERROR(INDEX(Machine_List!$B$4:$B$50, MATCH("*"&amp;B21&amp;"*", Machine_List!$J$4:$J$50, 0)), "Check Limits")))</f>
        <v>✅ Machine OK</v>
      </c>
      <c r="P21" s="52" t="str">
        <f t="shared" ref="P21:AC21" ca="1" si="35">IF(AND(Q$3&gt;=$J21, Q$3&lt;$M21), $A21, "")</f>
        <v/>
      </c>
      <c r="Q21" s="52" t="str">
        <f t="shared" ca="1" si="35"/>
        <v/>
      </c>
      <c r="R21" s="52" t="str">
        <f t="shared" ca="1" si="35"/>
        <v/>
      </c>
      <c r="S21" s="52" t="str">
        <f t="shared" ca="1" si="35"/>
        <v/>
      </c>
      <c r="T21" s="52" t="str">
        <f t="shared" ca="1" si="35"/>
        <v/>
      </c>
      <c r="U21" s="52" t="str">
        <f t="shared" ca="1" si="35"/>
        <v/>
      </c>
      <c r="V21" s="52" t="str">
        <f t="shared" ca="1" si="35"/>
        <v/>
      </c>
      <c r="W21" s="52" t="str">
        <f t="shared" ca="1" si="35"/>
        <v/>
      </c>
      <c r="X21" s="52" t="str">
        <f t="shared" ca="1" si="35"/>
        <v/>
      </c>
      <c r="Y21" s="52" t="str">
        <f t="shared" ca="1" si="35"/>
        <v/>
      </c>
      <c r="Z21" s="52" t="str">
        <f t="shared" ca="1" si="35"/>
        <v/>
      </c>
      <c r="AA21" s="52" t="str">
        <f t="shared" ca="1" si="35"/>
        <v/>
      </c>
      <c r="AB21" s="52" t="str">
        <f t="shared" ca="1" si="35"/>
        <v/>
      </c>
      <c r="AC21" s="52" t="str">
        <f t="shared" ca="1" si="35"/>
        <v/>
      </c>
      <c r="AD21" s="52" t="str">
        <f t="shared" ref="AD21:BP21" ca="1" si="36">IF(AND(AE$3&gt;=$J21, AE$3&lt;$M21), $A21, "")</f>
        <v/>
      </c>
      <c r="AE21" s="52" t="str">
        <f t="shared" ca="1" si="36"/>
        <v/>
      </c>
      <c r="AF21" s="52" t="str">
        <f t="shared" ca="1" si="36"/>
        <v/>
      </c>
      <c r="AG21" s="52" t="str">
        <f t="shared" ca="1" si="36"/>
        <v/>
      </c>
      <c r="AH21" s="52" t="str">
        <f t="shared" ca="1" si="36"/>
        <v/>
      </c>
      <c r="AI21" s="52" t="str">
        <f t="shared" ca="1" si="36"/>
        <v/>
      </c>
      <c r="AJ21" s="52" t="str">
        <f t="shared" ca="1" si="36"/>
        <v/>
      </c>
      <c r="AK21" s="52" t="str">
        <f t="shared" ca="1" si="36"/>
        <v/>
      </c>
      <c r="AL21" s="52" t="str">
        <f t="shared" ca="1" si="36"/>
        <v/>
      </c>
      <c r="AM21" s="52" t="str">
        <f t="shared" ca="1" si="36"/>
        <v/>
      </c>
      <c r="AN21" s="52" t="str">
        <f t="shared" ca="1" si="36"/>
        <v/>
      </c>
      <c r="AO21" s="52" t="str">
        <f t="shared" ca="1" si="36"/>
        <v/>
      </c>
      <c r="AP21" s="52" t="str">
        <f t="shared" ca="1" si="36"/>
        <v/>
      </c>
      <c r="AQ21" s="52" t="str">
        <f t="shared" ca="1" si="36"/>
        <v/>
      </c>
      <c r="AR21" s="52" t="str">
        <f t="shared" ca="1" si="36"/>
        <v/>
      </c>
      <c r="AS21" s="52" t="str">
        <f t="shared" ca="1" si="36"/>
        <v/>
      </c>
      <c r="AT21" s="52" t="str">
        <f t="shared" ca="1" si="36"/>
        <v/>
      </c>
      <c r="AU21" s="52" t="str">
        <f t="shared" ca="1" si="36"/>
        <v/>
      </c>
      <c r="AV21" s="52" t="str">
        <f t="shared" ca="1" si="36"/>
        <v/>
      </c>
      <c r="AW21" s="52" t="str">
        <f t="shared" ca="1" si="36"/>
        <v/>
      </c>
      <c r="AX21" s="52" t="str">
        <f t="shared" ca="1" si="36"/>
        <v/>
      </c>
      <c r="AY21" s="52" t="str">
        <f t="shared" ca="1" si="36"/>
        <v/>
      </c>
      <c r="AZ21" s="52" t="str">
        <f t="shared" ca="1" si="36"/>
        <v/>
      </c>
      <c r="BA21" s="52" t="str">
        <f t="shared" ca="1" si="36"/>
        <v/>
      </c>
      <c r="BB21" s="52" t="str">
        <f t="shared" ca="1" si="36"/>
        <v/>
      </c>
      <c r="BC21" s="52" t="str">
        <f t="shared" ca="1" si="36"/>
        <v/>
      </c>
      <c r="BD21" s="52" t="str">
        <f t="shared" ca="1" si="36"/>
        <v/>
      </c>
      <c r="BE21" s="52" t="str">
        <f t="shared" ca="1" si="36"/>
        <v/>
      </c>
      <c r="BF21" s="52" t="str">
        <f t="shared" ca="1" si="36"/>
        <v/>
      </c>
      <c r="BG21" s="52" t="str">
        <f t="shared" ca="1" si="36"/>
        <v/>
      </c>
      <c r="BH21" s="52" t="str">
        <f t="shared" ca="1" si="36"/>
        <v/>
      </c>
      <c r="BI21" s="52" t="str">
        <f t="shared" ca="1" si="36"/>
        <v/>
      </c>
      <c r="BJ21" s="52" t="str">
        <f t="shared" ca="1" si="36"/>
        <v/>
      </c>
      <c r="BK21" s="52" t="str">
        <f t="shared" ca="1" si="36"/>
        <v/>
      </c>
      <c r="BL21" s="52" t="str">
        <f t="shared" ca="1" si="36"/>
        <v/>
      </c>
      <c r="BM21" s="52" t="str">
        <f t="shared" ca="1" si="36"/>
        <v/>
      </c>
      <c r="BN21" t="str">
        <f t="shared" ca="1" si="36"/>
        <v/>
      </c>
      <c r="BO21" t="str">
        <f t="shared" ca="1" si="36"/>
        <v/>
      </c>
      <c r="BP21" t="str">
        <f t="shared" ca="1" si="36"/>
        <v/>
      </c>
    </row>
    <row r="22" spans="1:68" ht="15" customHeight="1" x14ac:dyDescent="0.3">
      <c r="A22" s="10" t="str">
        <f>IF(Job_Master!A22="","",Job_Master!A22)</f>
        <v>BJ-120</v>
      </c>
      <c r="B22" s="10">
        <f>IF($A22="","",Job_Master!B22)</f>
        <v>46</v>
      </c>
      <c r="C22" s="10" t="str">
        <f>IF($A22="","",Job_Master!C22)</f>
        <v>2P</v>
      </c>
      <c r="D22" s="10">
        <f>IF($A22="","",Job_Master!D22)</f>
        <v>2</v>
      </c>
      <c r="E22" s="48" t="str">
        <f>IF($A22="","","QC-MC-05")</f>
        <v>QC-MC-05</v>
      </c>
      <c r="F22" s="10" t="str">
        <f>IF($E22="","",IFERROR(VLOOKUP($E22,Machine_List!$B:$G,6,0),""))</f>
        <v>General Workman</v>
      </c>
      <c r="G22" s="53">
        <f>IF($E22="","",IFERROR(VLOOKUP($E22,Machine_List!$B:$C,2,0),""))</f>
        <v>46373</v>
      </c>
      <c r="H22" s="10">
        <f>IF($E22="","",IFERROR(VLOOKUP($E22,Machine_List!$B:$D,3,0),""))</f>
        <v>6</v>
      </c>
      <c r="I22" s="54"/>
      <c r="J22" s="55">
        <f ca="1">IF($A22="","",IF($I22&lt;&gt;"",$I22,MAX(FID_Plan!$M22,IFERROR(LOOKUP(2,1/($E$3:INDIRECT("E"&amp;(ROW()-1))=$E22),$M$3:INDIRECT("M"&amp;(ROW()-1))),FID_Plan!$M22))))</f>
        <v>46163.017195767199</v>
      </c>
      <c r="K22" s="10">
        <f>IF($A22="","",IFERROR(VLOOKUP(B22,CHOOSE(MATCH(C22,Settings!$L$4:$L$10,0),OPR_2P!$A$4:$I$18,SEG_6P!$A$4:$I$18,SOL_4P!$A$4:$I$18,RW_2P!$A$4:$I$18,RW2_4P!$A$4:$I$18,FLAP_4P!$A$4:$I$18,TUBE_4P!$A$4:$I$18),8,0),0))</f>
        <v>35</v>
      </c>
      <c r="L22" s="10">
        <f t="shared" si="0"/>
        <v>70</v>
      </c>
      <c r="M22" s="55">
        <f ca="1">IF($A22="","",$J22+($L22/(IF(F22="Contract Workman",Settings!$K$5,Settings!$K$4))))</f>
        <v>46166.257936507936</v>
      </c>
      <c r="N22" s="10" t="str">
        <f t="shared" ca="1" si="1"/>
        <v>Shift C</v>
      </c>
      <c r="O22" s="51" t="str">
        <f>IF(B22="","", IF(IFERROR(ISNUMBER(SEARCH(B22, VLOOKUP(E22, Machine_List!$B:$J, 9, 0))), FALSE()), "✅ Machine OK", "❌ Sug: " &amp; IFERROR(INDEX(Machine_List!$B$4:$B$50, MATCH("*"&amp;B22&amp;"*", Machine_List!$J$4:$J$50, 0)), "Check Limits")))</f>
        <v>✅ Machine OK</v>
      </c>
      <c r="P22" s="52" t="str">
        <f t="shared" ref="P22:AC22" ca="1" si="37">IF(AND(Q$3&gt;=$J22, Q$3&lt;$M22), $A22, "")</f>
        <v/>
      </c>
      <c r="Q22" s="52" t="str">
        <f t="shared" ca="1" si="37"/>
        <v/>
      </c>
      <c r="R22" s="52" t="str">
        <f t="shared" ca="1" si="37"/>
        <v/>
      </c>
      <c r="S22" s="52" t="str">
        <f t="shared" ca="1" si="37"/>
        <v/>
      </c>
      <c r="T22" s="52" t="str">
        <f t="shared" ca="1" si="37"/>
        <v/>
      </c>
      <c r="U22" s="52" t="str">
        <f t="shared" ca="1" si="37"/>
        <v/>
      </c>
      <c r="V22" s="52" t="str">
        <f t="shared" ca="1" si="37"/>
        <v/>
      </c>
      <c r="W22" s="52" t="str">
        <f t="shared" ca="1" si="37"/>
        <v/>
      </c>
      <c r="X22" s="52" t="str">
        <f t="shared" ca="1" si="37"/>
        <v/>
      </c>
      <c r="Y22" s="52" t="str">
        <f t="shared" ca="1" si="37"/>
        <v/>
      </c>
      <c r="Z22" s="52" t="str">
        <f t="shared" ca="1" si="37"/>
        <v/>
      </c>
      <c r="AA22" s="52" t="str">
        <f t="shared" ca="1" si="37"/>
        <v/>
      </c>
      <c r="AB22" s="52" t="str">
        <f t="shared" ca="1" si="37"/>
        <v/>
      </c>
      <c r="AC22" s="52" t="str">
        <f t="shared" ca="1" si="37"/>
        <v/>
      </c>
      <c r="AD22" s="52" t="str">
        <f t="shared" ref="AD22:BP22" ca="1" si="38">IF(AND(AE$3&gt;=$J22, AE$3&lt;$M22), $A22, "")</f>
        <v/>
      </c>
      <c r="AE22" s="52" t="str">
        <f t="shared" ca="1" si="38"/>
        <v/>
      </c>
      <c r="AF22" s="52" t="str">
        <f t="shared" ca="1" si="38"/>
        <v/>
      </c>
      <c r="AG22" s="52" t="str">
        <f t="shared" ca="1" si="38"/>
        <v/>
      </c>
      <c r="AH22" s="52" t="str">
        <f t="shared" ca="1" si="38"/>
        <v/>
      </c>
      <c r="AI22" s="52" t="str">
        <f t="shared" ca="1" si="38"/>
        <v/>
      </c>
      <c r="AJ22" s="52" t="str">
        <f t="shared" ca="1" si="38"/>
        <v/>
      </c>
      <c r="AK22" s="52" t="str">
        <f t="shared" ca="1" si="38"/>
        <v/>
      </c>
      <c r="AL22" s="52" t="str">
        <f t="shared" ca="1" si="38"/>
        <v/>
      </c>
      <c r="AM22" s="52" t="str">
        <f t="shared" ca="1" si="38"/>
        <v/>
      </c>
      <c r="AN22" s="52" t="str">
        <f t="shared" ca="1" si="38"/>
        <v/>
      </c>
      <c r="AO22" s="52" t="str">
        <f t="shared" ca="1" si="38"/>
        <v/>
      </c>
      <c r="AP22" s="52" t="str">
        <f t="shared" ca="1" si="38"/>
        <v/>
      </c>
      <c r="AQ22" s="52" t="str">
        <f t="shared" ca="1" si="38"/>
        <v/>
      </c>
      <c r="AR22" s="52" t="str">
        <f t="shared" ca="1" si="38"/>
        <v/>
      </c>
      <c r="AS22" s="52" t="str">
        <f t="shared" ca="1" si="38"/>
        <v/>
      </c>
      <c r="AT22" s="52" t="str">
        <f t="shared" ca="1" si="38"/>
        <v/>
      </c>
      <c r="AU22" s="52" t="str">
        <f t="shared" ca="1" si="38"/>
        <v/>
      </c>
      <c r="AV22" s="52" t="str">
        <f t="shared" ca="1" si="38"/>
        <v/>
      </c>
      <c r="AW22" s="52" t="str">
        <f t="shared" ca="1" si="38"/>
        <v/>
      </c>
      <c r="AX22" s="52" t="str">
        <f t="shared" ca="1" si="38"/>
        <v/>
      </c>
      <c r="AY22" s="52" t="str">
        <f t="shared" ca="1" si="38"/>
        <v/>
      </c>
      <c r="AZ22" s="52" t="str">
        <f t="shared" ca="1" si="38"/>
        <v/>
      </c>
      <c r="BA22" s="52" t="str">
        <f t="shared" ca="1" si="38"/>
        <v/>
      </c>
      <c r="BB22" s="52" t="str">
        <f t="shared" ca="1" si="38"/>
        <v/>
      </c>
      <c r="BC22" s="52" t="str">
        <f t="shared" ca="1" si="38"/>
        <v/>
      </c>
      <c r="BD22" s="52" t="str">
        <f t="shared" ca="1" si="38"/>
        <v/>
      </c>
      <c r="BE22" s="52" t="str">
        <f t="shared" ca="1" si="38"/>
        <v/>
      </c>
      <c r="BF22" s="52" t="str">
        <f t="shared" ca="1" si="38"/>
        <v/>
      </c>
      <c r="BG22" s="52" t="str">
        <f t="shared" ca="1" si="38"/>
        <v/>
      </c>
      <c r="BH22" s="52" t="str">
        <f t="shared" ca="1" si="38"/>
        <v/>
      </c>
      <c r="BI22" s="52" t="str">
        <f t="shared" ca="1" si="38"/>
        <v/>
      </c>
      <c r="BJ22" s="52" t="str">
        <f t="shared" ca="1" si="38"/>
        <v/>
      </c>
      <c r="BK22" s="52" t="str">
        <f t="shared" ca="1" si="38"/>
        <v/>
      </c>
      <c r="BL22" s="52" t="str">
        <f t="shared" ca="1" si="38"/>
        <v/>
      </c>
      <c r="BM22" s="52" t="str">
        <f t="shared" ca="1" si="38"/>
        <v>BJ-120</v>
      </c>
      <c r="BN22" t="str">
        <f t="shared" ca="1" si="38"/>
        <v>BJ-120</v>
      </c>
      <c r="BO22" t="str">
        <f t="shared" ca="1" si="38"/>
        <v>BJ-120</v>
      </c>
      <c r="BP22" t="str">
        <f t="shared" ca="1" si="38"/>
        <v/>
      </c>
    </row>
    <row r="23" spans="1:68" ht="15" customHeight="1" x14ac:dyDescent="0.3">
      <c r="A23" s="10" t="str">
        <f>IF(Job_Master!A23="","",Job_Master!A23)</f>
        <v>BJ-113</v>
      </c>
      <c r="B23" s="10">
        <f>IF($A23="","",Job_Master!B23)</f>
        <v>9</v>
      </c>
      <c r="C23" s="10" t="str">
        <f>IF($A23="","",Job_Master!C23)</f>
        <v>SEG</v>
      </c>
      <c r="D23" s="10">
        <f>IF($A23="","",Job_Master!D23)</f>
        <v>6</v>
      </c>
      <c r="E23" s="48" t="str">
        <f>IF($A23="","","QC-MC-05")</f>
        <v>QC-MC-05</v>
      </c>
      <c r="F23" s="10" t="str">
        <f>IF($E23="","",IFERROR(VLOOKUP($E23,Machine_List!$B:$G,6,0),""))</f>
        <v>General Workman</v>
      </c>
      <c r="G23" s="53">
        <f>IF($E23="","",IFERROR(VLOOKUP($E23,Machine_List!$B:$C,2,0),""))</f>
        <v>46373</v>
      </c>
      <c r="H23" s="10">
        <f>IF($E23="","",IFERROR(VLOOKUP($E23,Machine_List!$B:$D,3,0),""))</f>
        <v>6</v>
      </c>
      <c r="I23" s="54"/>
      <c r="J23" s="55">
        <f ca="1">IF($A23="","",IF($I23&lt;&gt;"",$I23,MAX(FID_Plan!$M23,IFERROR(LOOKUP(2,1/($E$3:INDIRECT("E"&amp;(ROW()-1))=$E23),$M$3:INDIRECT("M"&amp;(ROW()-1))),FID_Plan!$M23))))</f>
        <v>46166.257936507936</v>
      </c>
      <c r="K23" s="10">
        <f>IF($A23="","",IFERROR(VLOOKUP(B23,CHOOSE(MATCH(C23,Settings!$L$4:$L$10,0),OPR_2P!$A$4:$I$18,SEG_6P!$A$4:$I$18,SOL_4P!$A$4:$I$18,RW_2P!$A$4:$I$18,RW2_4P!$A$4:$I$18,FLAP_4P!$A$4:$I$18,TUBE_4P!$A$4:$I$18),8,0),0))</f>
        <v>2</v>
      </c>
      <c r="L23" s="10">
        <f t="shared" si="0"/>
        <v>12</v>
      </c>
      <c r="M23" s="55">
        <f ca="1">IF($A23="","",$J23+($L23/(IF(F23="Contract Workman",Settings!$K$5,Settings!$K$4))))</f>
        <v>46166.813492063491</v>
      </c>
      <c r="N23" s="10" t="str">
        <f t="shared" ca="1" si="1"/>
        <v>Shift B</v>
      </c>
      <c r="O23" s="51" t="str">
        <f>IF(B23="","", IF(IFERROR(ISNUMBER(SEARCH(B23, VLOOKUP(E23, Machine_List!$B:$J, 9, 0))), FALSE()), "✅ Machine OK", "❌ Sug: " &amp; IFERROR(INDEX(Machine_List!$B$4:$B$50, MATCH("*"&amp;B23&amp;"*", Machine_List!$J$4:$J$50, 0)), "Check Limits")))</f>
        <v>✅ Machine OK</v>
      </c>
      <c r="P23" s="52" t="str">
        <f t="shared" ref="P23:AC23" ca="1" si="39">IF(AND(Q$3&gt;=$J23, Q$3&lt;$M23), $A23, "")</f>
        <v/>
      </c>
      <c r="Q23" s="52" t="str">
        <f t="shared" ca="1" si="39"/>
        <v/>
      </c>
      <c r="R23" s="52" t="str">
        <f t="shared" ca="1" si="39"/>
        <v/>
      </c>
      <c r="S23" s="52" t="str">
        <f t="shared" ca="1" si="39"/>
        <v/>
      </c>
      <c r="T23" s="52" t="str">
        <f t="shared" ca="1" si="39"/>
        <v/>
      </c>
      <c r="U23" s="52" t="str">
        <f t="shared" ca="1" si="39"/>
        <v/>
      </c>
      <c r="V23" s="52" t="str">
        <f t="shared" ca="1" si="39"/>
        <v/>
      </c>
      <c r="W23" s="52" t="str">
        <f t="shared" ca="1" si="39"/>
        <v/>
      </c>
      <c r="X23" s="52" t="str">
        <f t="shared" ca="1" si="39"/>
        <v/>
      </c>
      <c r="Y23" s="52" t="str">
        <f t="shared" ca="1" si="39"/>
        <v/>
      </c>
      <c r="Z23" s="52" t="str">
        <f t="shared" ca="1" si="39"/>
        <v/>
      </c>
      <c r="AA23" s="52" t="str">
        <f t="shared" ca="1" si="39"/>
        <v/>
      </c>
      <c r="AB23" s="52" t="str">
        <f t="shared" ca="1" si="39"/>
        <v/>
      </c>
      <c r="AC23" s="52" t="str">
        <f t="shared" ca="1" si="39"/>
        <v/>
      </c>
      <c r="AD23" s="52" t="str">
        <f t="shared" ref="AD23:BP23" ca="1" si="40">IF(AND(AE$3&gt;=$J23, AE$3&lt;$M23), $A23, "")</f>
        <v/>
      </c>
      <c r="AE23" s="52" t="str">
        <f t="shared" ca="1" si="40"/>
        <v/>
      </c>
      <c r="AF23" s="52" t="str">
        <f t="shared" ca="1" si="40"/>
        <v/>
      </c>
      <c r="AG23" s="52" t="str">
        <f t="shared" ca="1" si="40"/>
        <v/>
      </c>
      <c r="AH23" s="52" t="str">
        <f t="shared" ca="1" si="40"/>
        <v/>
      </c>
      <c r="AI23" s="52" t="str">
        <f t="shared" ca="1" si="40"/>
        <v/>
      </c>
      <c r="AJ23" s="52" t="str">
        <f t="shared" ca="1" si="40"/>
        <v/>
      </c>
      <c r="AK23" s="52" t="str">
        <f t="shared" ca="1" si="40"/>
        <v/>
      </c>
      <c r="AL23" s="52" t="str">
        <f t="shared" ca="1" si="40"/>
        <v/>
      </c>
      <c r="AM23" s="52" t="str">
        <f t="shared" ca="1" si="40"/>
        <v/>
      </c>
      <c r="AN23" s="52" t="str">
        <f t="shared" ca="1" si="40"/>
        <v/>
      </c>
      <c r="AO23" s="52" t="str">
        <f t="shared" ca="1" si="40"/>
        <v/>
      </c>
      <c r="AP23" s="52" t="str">
        <f t="shared" ca="1" si="40"/>
        <v/>
      </c>
      <c r="AQ23" s="52" t="str">
        <f t="shared" ca="1" si="40"/>
        <v/>
      </c>
      <c r="AR23" s="52" t="str">
        <f t="shared" ca="1" si="40"/>
        <v/>
      </c>
      <c r="AS23" s="52" t="str">
        <f t="shared" ca="1" si="40"/>
        <v/>
      </c>
      <c r="AT23" s="52" t="str">
        <f t="shared" ca="1" si="40"/>
        <v/>
      </c>
      <c r="AU23" s="52" t="str">
        <f t="shared" ca="1" si="40"/>
        <v/>
      </c>
      <c r="AV23" s="52" t="str">
        <f t="shared" ca="1" si="40"/>
        <v/>
      </c>
      <c r="AW23" s="52" t="str">
        <f t="shared" ca="1" si="40"/>
        <v/>
      </c>
      <c r="AX23" s="52" t="str">
        <f t="shared" ca="1" si="40"/>
        <v/>
      </c>
      <c r="AY23" s="52" t="str">
        <f t="shared" ca="1" si="40"/>
        <v/>
      </c>
      <c r="AZ23" s="52" t="str">
        <f t="shared" ca="1" si="40"/>
        <v/>
      </c>
      <c r="BA23" s="52" t="str">
        <f t="shared" ca="1" si="40"/>
        <v/>
      </c>
      <c r="BB23" s="52" t="str">
        <f t="shared" ca="1" si="40"/>
        <v/>
      </c>
      <c r="BC23" s="52" t="str">
        <f t="shared" ca="1" si="40"/>
        <v/>
      </c>
      <c r="BD23" s="52" t="str">
        <f t="shared" ca="1" si="40"/>
        <v/>
      </c>
      <c r="BE23" s="52" t="str">
        <f t="shared" ca="1" si="40"/>
        <v/>
      </c>
      <c r="BF23" s="52" t="str">
        <f t="shared" ca="1" si="40"/>
        <v/>
      </c>
      <c r="BG23" s="52" t="str">
        <f t="shared" ca="1" si="40"/>
        <v/>
      </c>
      <c r="BH23" s="52" t="str">
        <f t="shared" ca="1" si="40"/>
        <v/>
      </c>
      <c r="BI23" s="52" t="str">
        <f t="shared" ca="1" si="40"/>
        <v/>
      </c>
      <c r="BJ23" s="52" t="str">
        <f t="shared" ca="1" si="40"/>
        <v/>
      </c>
      <c r="BK23" s="52" t="str">
        <f t="shared" ca="1" si="40"/>
        <v/>
      </c>
      <c r="BL23" s="52" t="str">
        <f t="shared" ca="1" si="40"/>
        <v/>
      </c>
      <c r="BM23" s="52" t="str">
        <f t="shared" ca="1" si="40"/>
        <v/>
      </c>
      <c r="BN23" t="str">
        <f t="shared" ca="1" si="40"/>
        <v/>
      </c>
      <c r="BO23" t="str">
        <f t="shared" ca="1" si="40"/>
        <v/>
      </c>
      <c r="BP23" t="str">
        <f t="shared" ca="1" si="40"/>
        <v/>
      </c>
    </row>
    <row r="24" spans="1:68" ht="15" customHeight="1" x14ac:dyDescent="0.3">
      <c r="A24" s="10" t="str">
        <f>IF(Job_Master!A24="","",Job_Master!A24)</f>
        <v>BJ-121</v>
      </c>
      <c r="B24" s="10">
        <f>IF($A24="","",Job_Master!B24)</f>
        <v>57</v>
      </c>
      <c r="C24" s="10" t="str">
        <f>IF($A24="","",Job_Master!C24)</f>
        <v>RW</v>
      </c>
      <c r="D24" s="10">
        <f>IF($A24="","",Job_Master!D24)</f>
        <v>2</v>
      </c>
      <c r="E24" s="48" t="str">
        <f>IF($A24="","","QC-MC-02")</f>
        <v>QC-MC-02</v>
      </c>
      <c r="F24" s="10" t="str">
        <f>IF($E24="","",IFERROR(VLOOKUP($E24,Machine_List!$B:$G,6,0),""))</f>
        <v>General Workman</v>
      </c>
      <c r="G24" s="53">
        <f>IF($E24="","",IFERROR(VLOOKUP($E24,Machine_List!$B:$C,2,0),""))</f>
        <v>46115</v>
      </c>
      <c r="H24" s="10">
        <f>IF($E24="","",IFERROR(VLOOKUP($E24,Machine_List!$B:$D,3,0),""))</f>
        <v>6</v>
      </c>
      <c r="I24" s="54"/>
      <c r="J24" s="55">
        <f ca="1">IF($A24="","",IF($I24&lt;&gt;"",$I24,MAX(FID_Plan!$M24,IFERROR(LOOKUP(2,1/($E$3:INDIRECT("E"&amp;(ROW()-1))=$E24),$M$3:INDIRECT("M"&amp;(ROW()-1))),FID_Plan!$M24))))</f>
        <v>46183.675264550257</v>
      </c>
      <c r="K24" s="10">
        <f>IF($A24="","",IFERROR(VLOOKUP(B24,CHOOSE(MATCH(C24,Settings!$L$4:$L$10,0),OPR_2P!$A$4:$I$18,SEG_6P!$A$4:$I$18,SOL_4P!$A$4:$I$18,RW_2P!$A$4:$I$18,RW2_4P!$A$4:$I$18,FLAP_4P!$A$4:$I$18,TUBE_4P!$A$4:$I$18),8,0),0))</f>
        <v>77</v>
      </c>
      <c r="L24" s="10">
        <f t="shared" si="0"/>
        <v>154</v>
      </c>
      <c r="M24" s="55">
        <f ca="1">IF($A24="","",$J24+($L24/(IF(F24="Contract Workman",Settings!$K$5,Settings!$K$4))))</f>
        <v>46190.804894179884</v>
      </c>
      <c r="N24" s="10" t="str">
        <f t="shared" ca="1" si="1"/>
        <v>Shift B</v>
      </c>
      <c r="O24" s="51" t="str">
        <f>IF(B24="","", IF(IFERROR(ISNUMBER(SEARCH(B24, VLOOKUP(E24, Machine_List!$B:$J, 9, 0))), FALSE()), "✅ Machine OK", "❌ Sug: " &amp; IFERROR(INDEX(Machine_List!$B$4:$B$50, MATCH("*"&amp;B24&amp;"*", Machine_List!$J$4:$J$50, 0)), "Check Limits")))</f>
        <v>✅ Machine OK</v>
      </c>
      <c r="P24" s="52" t="str">
        <f t="shared" ref="P24:AC24" ca="1" si="41">IF(AND(Q$3&gt;=$J24, Q$3&lt;$M24), $A24, "")</f>
        <v/>
      </c>
      <c r="Q24" s="52" t="str">
        <f t="shared" ca="1" si="41"/>
        <v/>
      </c>
      <c r="R24" s="52" t="str">
        <f t="shared" ca="1" si="41"/>
        <v/>
      </c>
      <c r="S24" s="52" t="str">
        <f t="shared" ca="1" si="41"/>
        <v/>
      </c>
      <c r="T24" s="52" t="str">
        <f t="shared" ca="1" si="41"/>
        <v/>
      </c>
      <c r="U24" s="52" t="str">
        <f t="shared" ca="1" si="41"/>
        <v/>
      </c>
      <c r="V24" s="52" t="str">
        <f t="shared" ca="1" si="41"/>
        <v/>
      </c>
      <c r="W24" s="52" t="str">
        <f t="shared" ca="1" si="41"/>
        <v/>
      </c>
      <c r="X24" s="52" t="str">
        <f t="shared" ca="1" si="41"/>
        <v/>
      </c>
      <c r="Y24" s="52" t="str">
        <f t="shared" ca="1" si="41"/>
        <v/>
      </c>
      <c r="Z24" s="52" t="str">
        <f t="shared" ca="1" si="41"/>
        <v/>
      </c>
      <c r="AA24" s="52" t="str">
        <f t="shared" ca="1" si="41"/>
        <v/>
      </c>
      <c r="AB24" s="52" t="str">
        <f t="shared" ca="1" si="41"/>
        <v/>
      </c>
      <c r="AC24" s="52" t="str">
        <f t="shared" ca="1" si="41"/>
        <v/>
      </c>
      <c r="AD24" s="52" t="str">
        <f t="shared" ref="AD24:BP24" ca="1" si="42">IF(AND(AE$3&gt;=$J24, AE$3&lt;$M24), $A24, "")</f>
        <v/>
      </c>
      <c r="AE24" s="52" t="str">
        <f t="shared" ca="1" si="42"/>
        <v/>
      </c>
      <c r="AF24" s="52" t="str">
        <f t="shared" ca="1" si="42"/>
        <v/>
      </c>
      <c r="AG24" s="52" t="str">
        <f t="shared" ca="1" si="42"/>
        <v/>
      </c>
      <c r="AH24" s="52" t="str">
        <f t="shared" ca="1" si="42"/>
        <v/>
      </c>
      <c r="AI24" s="52" t="str">
        <f t="shared" ca="1" si="42"/>
        <v/>
      </c>
      <c r="AJ24" s="52" t="str">
        <f t="shared" ca="1" si="42"/>
        <v/>
      </c>
      <c r="AK24" s="52" t="str">
        <f t="shared" ca="1" si="42"/>
        <v/>
      </c>
      <c r="AL24" s="52" t="str">
        <f t="shared" ca="1" si="42"/>
        <v/>
      </c>
      <c r="AM24" s="52" t="str">
        <f t="shared" ca="1" si="42"/>
        <v/>
      </c>
      <c r="AN24" s="52" t="str">
        <f t="shared" ca="1" si="42"/>
        <v/>
      </c>
      <c r="AO24" s="52" t="str">
        <f t="shared" ca="1" si="42"/>
        <v/>
      </c>
      <c r="AP24" s="52" t="str">
        <f t="shared" ca="1" si="42"/>
        <v/>
      </c>
      <c r="AQ24" s="52" t="str">
        <f t="shared" ca="1" si="42"/>
        <v/>
      </c>
      <c r="AR24" s="52" t="str">
        <f t="shared" ca="1" si="42"/>
        <v/>
      </c>
      <c r="AS24" s="52" t="str">
        <f t="shared" ca="1" si="42"/>
        <v/>
      </c>
      <c r="AT24" s="52" t="str">
        <f t="shared" ca="1" si="42"/>
        <v/>
      </c>
      <c r="AU24" s="52" t="str">
        <f t="shared" ca="1" si="42"/>
        <v/>
      </c>
      <c r="AV24" s="52" t="str">
        <f t="shared" ca="1" si="42"/>
        <v/>
      </c>
      <c r="AW24" s="52" t="str">
        <f t="shared" ca="1" si="42"/>
        <v/>
      </c>
      <c r="AX24" s="52" t="str">
        <f t="shared" ca="1" si="42"/>
        <v/>
      </c>
      <c r="AY24" s="52" t="str">
        <f t="shared" ca="1" si="42"/>
        <v/>
      </c>
      <c r="AZ24" s="52" t="str">
        <f t="shared" ca="1" si="42"/>
        <v/>
      </c>
      <c r="BA24" s="52" t="str">
        <f t="shared" ca="1" si="42"/>
        <v/>
      </c>
      <c r="BB24" s="52" t="str">
        <f t="shared" ca="1" si="42"/>
        <v/>
      </c>
      <c r="BC24" s="52" t="str">
        <f t="shared" ca="1" si="42"/>
        <v/>
      </c>
      <c r="BD24" s="52" t="str">
        <f t="shared" ca="1" si="42"/>
        <v/>
      </c>
      <c r="BE24" s="52" t="str">
        <f t="shared" ca="1" si="42"/>
        <v/>
      </c>
      <c r="BF24" s="52" t="str">
        <f t="shared" ca="1" si="42"/>
        <v/>
      </c>
      <c r="BG24" s="52" t="str">
        <f t="shared" ca="1" si="42"/>
        <v/>
      </c>
      <c r="BH24" s="52" t="str">
        <f t="shared" ca="1" si="42"/>
        <v/>
      </c>
      <c r="BI24" s="52" t="str">
        <f t="shared" ca="1" si="42"/>
        <v/>
      </c>
      <c r="BJ24" s="52" t="str">
        <f t="shared" ca="1" si="42"/>
        <v/>
      </c>
      <c r="BK24" s="52" t="str">
        <f t="shared" ca="1" si="42"/>
        <v/>
      </c>
      <c r="BL24" s="52" t="str">
        <f t="shared" ca="1" si="42"/>
        <v/>
      </c>
      <c r="BM24" s="52" t="str">
        <f t="shared" ca="1" si="42"/>
        <v/>
      </c>
      <c r="BN24" t="str">
        <f t="shared" ca="1" si="42"/>
        <v/>
      </c>
      <c r="BO24" t="str">
        <f t="shared" ca="1" si="42"/>
        <v/>
      </c>
      <c r="BP24" t="str">
        <f t="shared" ca="1" si="42"/>
        <v/>
      </c>
    </row>
    <row r="25" spans="1:68" ht="15" customHeight="1" x14ac:dyDescent="0.3">
      <c r="A25" s="10" t="str">
        <f>IF(Job_Master!A25="","",Job_Master!A25)</f>
        <v>BJ-123</v>
      </c>
      <c r="B25" s="10">
        <f>IF($A25="","",Job_Master!B25)</f>
        <v>46</v>
      </c>
      <c r="C25" s="10" t="str">
        <f>IF($A25="","",Job_Master!C25)</f>
        <v>RW</v>
      </c>
      <c r="D25" s="10">
        <f>IF($A25="","",Job_Master!D25)</f>
        <v>2</v>
      </c>
      <c r="E25" s="48" t="str">
        <f>IF($A25="","","QC-MC-04")</f>
        <v>QC-MC-04</v>
      </c>
      <c r="F25" s="10" t="str">
        <f>IF($E25="","",IFERROR(VLOOKUP($E25,Machine_List!$B:$G,6,0),""))</f>
        <v>General Workman</v>
      </c>
      <c r="G25" s="53">
        <f>IF($E25="","",IFERROR(VLOOKUP($E25,Machine_List!$B:$C,2,0),""))</f>
        <v>46195</v>
      </c>
      <c r="H25" s="10">
        <f>IF($E25="","",IFERROR(VLOOKUP($E25,Machine_List!$B:$D,3,0),""))</f>
        <v>6</v>
      </c>
      <c r="I25" s="54"/>
      <c r="J25" s="55">
        <f ca="1">IF($A25="","",IF($I25&lt;&gt;"",$I25,MAX(FID_Plan!$M25,IFERROR(LOOKUP(2,1/($E$3:INDIRECT("E"&amp;(ROW()-1))=$E25),$M$3:INDIRECT("M"&amp;(ROW()-1))),FID_Plan!$M25))))</f>
        <v>46168.976190476176</v>
      </c>
      <c r="K25" s="10">
        <f>IF($A25="","",IFERROR(VLOOKUP(B25,CHOOSE(MATCH(C25,Settings!$L$4:$L$10,0),OPR_2P!$A$4:$I$18,SEG_6P!$A$4:$I$18,SOL_4P!$A$4:$I$18,RW_2P!$A$4:$I$18,RW2_4P!$A$4:$I$18,FLAP_4P!$A$4:$I$18,TUBE_4P!$A$4:$I$18),8,0),0))</f>
        <v>48</v>
      </c>
      <c r="L25" s="10">
        <f t="shared" si="0"/>
        <v>96</v>
      </c>
      <c r="M25" s="55">
        <f ca="1">IF($A25="","",$J25+($L25/(IF(F25="Contract Workman",Settings!$K$5,Settings!$K$4))))</f>
        <v>46173.420634920622</v>
      </c>
      <c r="N25" s="10" t="str">
        <f t="shared" ca="1" si="1"/>
        <v>Shift A</v>
      </c>
      <c r="O25" s="51" t="str">
        <f>IF(B25="","", IF(IFERROR(ISNUMBER(SEARCH(B25, VLOOKUP(E25, Machine_List!$B:$J, 9, 0))), FALSE()), "✅ Machine OK", "❌ Sug: " &amp; IFERROR(INDEX(Machine_List!$B$4:$B$50, MATCH("*"&amp;B25&amp;"*", Machine_List!$J$4:$J$50, 0)), "Check Limits")))</f>
        <v>✅ Machine OK</v>
      </c>
      <c r="P25" s="52" t="str">
        <f t="shared" ref="P25:AC25" ca="1" si="43">IF(AND(Q$3&gt;=$J25, Q$3&lt;$M25), $A25, "")</f>
        <v/>
      </c>
      <c r="Q25" s="52" t="str">
        <f t="shared" ca="1" si="43"/>
        <v/>
      </c>
      <c r="R25" s="52" t="str">
        <f t="shared" ca="1" si="43"/>
        <v/>
      </c>
      <c r="S25" s="52" t="str">
        <f t="shared" ca="1" si="43"/>
        <v/>
      </c>
      <c r="T25" s="52" t="str">
        <f t="shared" ca="1" si="43"/>
        <v/>
      </c>
      <c r="U25" s="52" t="str">
        <f t="shared" ca="1" si="43"/>
        <v/>
      </c>
      <c r="V25" s="52" t="str">
        <f t="shared" ca="1" si="43"/>
        <v/>
      </c>
      <c r="W25" s="52" t="str">
        <f t="shared" ca="1" si="43"/>
        <v/>
      </c>
      <c r="X25" s="52" t="str">
        <f t="shared" ca="1" si="43"/>
        <v/>
      </c>
      <c r="Y25" s="52" t="str">
        <f t="shared" ca="1" si="43"/>
        <v/>
      </c>
      <c r="Z25" s="52" t="str">
        <f t="shared" ca="1" si="43"/>
        <v/>
      </c>
      <c r="AA25" s="52" t="str">
        <f t="shared" ca="1" si="43"/>
        <v/>
      </c>
      <c r="AB25" s="52" t="str">
        <f t="shared" ca="1" si="43"/>
        <v/>
      </c>
      <c r="AC25" s="52" t="str">
        <f t="shared" ca="1" si="43"/>
        <v/>
      </c>
      <c r="AD25" s="52" t="str">
        <f t="shared" ref="AD25:BP25" ca="1" si="44">IF(AND(AE$3&gt;=$J25, AE$3&lt;$M25), $A25, "")</f>
        <v/>
      </c>
      <c r="AE25" s="52" t="str">
        <f t="shared" ca="1" si="44"/>
        <v/>
      </c>
      <c r="AF25" s="52" t="str">
        <f t="shared" ca="1" si="44"/>
        <v/>
      </c>
      <c r="AG25" s="52" t="str">
        <f t="shared" ca="1" si="44"/>
        <v/>
      </c>
      <c r="AH25" s="52" t="str">
        <f t="shared" ca="1" si="44"/>
        <v/>
      </c>
      <c r="AI25" s="52" t="str">
        <f t="shared" ca="1" si="44"/>
        <v/>
      </c>
      <c r="AJ25" s="52" t="str">
        <f t="shared" ca="1" si="44"/>
        <v/>
      </c>
      <c r="AK25" s="52" t="str">
        <f t="shared" ca="1" si="44"/>
        <v/>
      </c>
      <c r="AL25" s="52" t="str">
        <f t="shared" ca="1" si="44"/>
        <v/>
      </c>
      <c r="AM25" s="52" t="str">
        <f t="shared" ca="1" si="44"/>
        <v/>
      </c>
      <c r="AN25" s="52" t="str">
        <f t="shared" ca="1" si="44"/>
        <v/>
      </c>
      <c r="AO25" s="52" t="str">
        <f t="shared" ca="1" si="44"/>
        <v/>
      </c>
      <c r="AP25" s="52" t="str">
        <f t="shared" ca="1" si="44"/>
        <v/>
      </c>
      <c r="AQ25" s="52" t="str">
        <f t="shared" ca="1" si="44"/>
        <v/>
      </c>
      <c r="AR25" s="52" t="str">
        <f t="shared" ca="1" si="44"/>
        <v/>
      </c>
      <c r="AS25" s="52" t="str">
        <f t="shared" ca="1" si="44"/>
        <v/>
      </c>
      <c r="AT25" s="52" t="str">
        <f t="shared" ca="1" si="44"/>
        <v/>
      </c>
      <c r="AU25" s="52" t="str">
        <f t="shared" ca="1" si="44"/>
        <v/>
      </c>
      <c r="AV25" s="52" t="str">
        <f t="shared" ca="1" si="44"/>
        <v/>
      </c>
      <c r="AW25" s="52" t="str">
        <f t="shared" ca="1" si="44"/>
        <v/>
      </c>
      <c r="AX25" s="52" t="str">
        <f t="shared" ca="1" si="44"/>
        <v/>
      </c>
      <c r="AY25" s="52" t="str">
        <f t="shared" ca="1" si="44"/>
        <v/>
      </c>
      <c r="AZ25" s="52" t="str">
        <f t="shared" ca="1" si="44"/>
        <v/>
      </c>
      <c r="BA25" s="52" t="str">
        <f t="shared" ca="1" si="44"/>
        <v/>
      </c>
      <c r="BB25" s="52" t="str">
        <f t="shared" ca="1" si="44"/>
        <v/>
      </c>
      <c r="BC25" s="52" t="str">
        <f t="shared" ca="1" si="44"/>
        <v/>
      </c>
      <c r="BD25" s="52" t="str">
        <f t="shared" ca="1" si="44"/>
        <v/>
      </c>
      <c r="BE25" s="52" t="str">
        <f t="shared" ca="1" si="44"/>
        <v/>
      </c>
      <c r="BF25" s="52" t="str">
        <f t="shared" ca="1" si="44"/>
        <v/>
      </c>
      <c r="BG25" s="52" t="str">
        <f t="shared" ca="1" si="44"/>
        <v/>
      </c>
      <c r="BH25" s="52" t="str">
        <f t="shared" ca="1" si="44"/>
        <v/>
      </c>
      <c r="BI25" s="52" t="str">
        <f t="shared" ca="1" si="44"/>
        <v/>
      </c>
      <c r="BJ25" s="52" t="str">
        <f t="shared" ca="1" si="44"/>
        <v/>
      </c>
      <c r="BK25" s="52" t="str">
        <f t="shared" ca="1" si="44"/>
        <v/>
      </c>
      <c r="BL25" s="52" t="str">
        <f t="shared" ca="1" si="44"/>
        <v/>
      </c>
      <c r="BM25" s="52" t="str">
        <f t="shared" ca="1" si="44"/>
        <v/>
      </c>
      <c r="BN25" t="str">
        <f t="shared" ca="1" si="44"/>
        <v/>
      </c>
      <c r="BO25" t="str">
        <f t="shared" ca="1" si="44"/>
        <v/>
      </c>
      <c r="BP25" t="str">
        <f t="shared" ca="1" si="44"/>
        <v/>
      </c>
    </row>
    <row r="26" spans="1:68" ht="15" customHeight="1" x14ac:dyDescent="0.3">
      <c r="A26" s="10" t="str">
        <f>IF(Job_Master!A26="","",Job_Master!A26)</f>
        <v>BJ-117</v>
      </c>
      <c r="B26" s="10">
        <f>IF($A26="","",Job_Master!B26)</f>
        <v>15</v>
      </c>
      <c r="C26" s="10" t="str">
        <f>IF($A26="","",Job_Master!C26)</f>
        <v>RW</v>
      </c>
      <c r="D26" s="10">
        <f>IF($A26="","",Job_Master!D26)</f>
        <v>2</v>
      </c>
      <c r="E26" s="48" t="str">
        <f>IF($A26="","","QC-MC-05")</f>
        <v>QC-MC-05</v>
      </c>
      <c r="F26" s="10" t="str">
        <f>IF($E26="","",IFERROR(VLOOKUP($E26,Machine_List!$B:$G,6,0),""))</f>
        <v>General Workman</v>
      </c>
      <c r="G26" s="53">
        <f>IF($E26="","",IFERROR(VLOOKUP($E26,Machine_List!$B:$C,2,0),""))</f>
        <v>46373</v>
      </c>
      <c r="H26" s="10">
        <f>IF($E26="","",IFERROR(VLOOKUP($E26,Machine_List!$B:$D,3,0),""))</f>
        <v>6</v>
      </c>
      <c r="I26" s="54"/>
      <c r="J26" s="55">
        <f ca="1">IF($A26="","",IF($I26&lt;&gt;"",$I26,MAX(FID_Plan!$M26,IFERROR(LOOKUP(2,1/($E$3:INDIRECT("E"&amp;(ROW()-1))=$E26),$M$3:INDIRECT("M"&amp;(ROW()-1))),FID_Plan!$M26))))</f>
        <v>46166.813492063491</v>
      </c>
      <c r="K26" s="10">
        <f>IF($A26="","",IFERROR(VLOOKUP(B26,CHOOSE(MATCH(C26,Settings!$L$4:$L$10,0),OPR_2P!$A$4:$I$18,SEG_6P!$A$4:$I$18,SOL_4P!$A$4:$I$18,RW_2P!$A$4:$I$18,RW2_4P!$A$4:$I$18,FLAP_4P!$A$4:$I$18,TUBE_4P!$A$4:$I$18),8,0),0))</f>
        <v>7</v>
      </c>
      <c r="L26" s="10">
        <f t="shared" si="0"/>
        <v>14</v>
      </c>
      <c r="M26" s="55">
        <f ca="1">IF($A26="","",$J26+($L26/(IF(F26="Contract Workman",Settings!$K$5,Settings!$K$4))))</f>
        <v>46167.461640211637</v>
      </c>
      <c r="N26" s="10" t="str">
        <f t="shared" ca="1" si="1"/>
        <v>Shift A</v>
      </c>
      <c r="O26" s="51" t="str">
        <f>IF(B26="","", IF(IFERROR(ISNUMBER(SEARCH(B26, VLOOKUP(E26, Machine_List!$B:$J, 9, 0))), FALSE()), "✅ Machine OK", "❌ Sug: " &amp; IFERROR(INDEX(Machine_List!$B$4:$B$50, MATCH("*"&amp;B26&amp;"*", Machine_List!$J$4:$J$50, 0)), "Check Limits")))</f>
        <v>✅ Machine OK</v>
      </c>
      <c r="P26" s="52" t="str">
        <f t="shared" ref="P26:AC26" ca="1" si="45">IF(AND(Q$3&gt;=$J26, Q$3&lt;$M26), $A26, "")</f>
        <v/>
      </c>
      <c r="Q26" s="52" t="str">
        <f t="shared" ca="1" si="45"/>
        <v/>
      </c>
      <c r="R26" s="52" t="str">
        <f t="shared" ca="1" si="45"/>
        <v/>
      </c>
      <c r="S26" s="52" t="str">
        <f t="shared" ca="1" si="45"/>
        <v/>
      </c>
      <c r="T26" s="52" t="str">
        <f t="shared" ca="1" si="45"/>
        <v/>
      </c>
      <c r="U26" s="52" t="str">
        <f t="shared" ca="1" si="45"/>
        <v/>
      </c>
      <c r="V26" s="52" t="str">
        <f t="shared" ca="1" si="45"/>
        <v/>
      </c>
      <c r="W26" s="52" t="str">
        <f t="shared" ca="1" si="45"/>
        <v/>
      </c>
      <c r="X26" s="52" t="str">
        <f t="shared" ca="1" si="45"/>
        <v/>
      </c>
      <c r="Y26" s="52" t="str">
        <f t="shared" ca="1" si="45"/>
        <v/>
      </c>
      <c r="Z26" s="52" t="str">
        <f t="shared" ca="1" si="45"/>
        <v/>
      </c>
      <c r="AA26" s="52" t="str">
        <f t="shared" ca="1" si="45"/>
        <v/>
      </c>
      <c r="AB26" s="52" t="str">
        <f t="shared" ca="1" si="45"/>
        <v/>
      </c>
      <c r="AC26" s="52" t="str">
        <f t="shared" ca="1" si="45"/>
        <v/>
      </c>
      <c r="AD26" s="52" t="str">
        <f t="shared" ref="AD26:BP26" ca="1" si="46">IF(AND(AE$3&gt;=$J26, AE$3&lt;$M26), $A26, "")</f>
        <v/>
      </c>
      <c r="AE26" s="52" t="str">
        <f t="shared" ca="1" si="46"/>
        <v/>
      </c>
      <c r="AF26" s="52" t="str">
        <f t="shared" ca="1" si="46"/>
        <v/>
      </c>
      <c r="AG26" s="52" t="str">
        <f t="shared" ca="1" si="46"/>
        <v/>
      </c>
      <c r="AH26" s="52" t="str">
        <f t="shared" ca="1" si="46"/>
        <v/>
      </c>
      <c r="AI26" s="52" t="str">
        <f t="shared" ca="1" si="46"/>
        <v/>
      </c>
      <c r="AJ26" s="52" t="str">
        <f t="shared" ca="1" si="46"/>
        <v/>
      </c>
      <c r="AK26" s="52" t="str">
        <f t="shared" ca="1" si="46"/>
        <v/>
      </c>
      <c r="AL26" s="52" t="str">
        <f t="shared" ca="1" si="46"/>
        <v/>
      </c>
      <c r="AM26" s="52" t="str">
        <f t="shared" ca="1" si="46"/>
        <v/>
      </c>
      <c r="AN26" s="52" t="str">
        <f t="shared" ca="1" si="46"/>
        <v/>
      </c>
      <c r="AO26" s="52" t="str">
        <f t="shared" ca="1" si="46"/>
        <v/>
      </c>
      <c r="AP26" s="52" t="str">
        <f t="shared" ca="1" si="46"/>
        <v/>
      </c>
      <c r="AQ26" s="52" t="str">
        <f t="shared" ca="1" si="46"/>
        <v/>
      </c>
      <c r="AR26" s="52" t="str">
        <f t="shared" ca="1" si="46"/>
        <v/>
      </c>
      <c r="AS26" s="52" t="str">
        <f t="shared" ca="1" si="46"/>
        <v/>
      </c>
      <c r="AT26" s="52" t="str">
        <f t="shared" ca="1" si="46"/>
        <v/>
      </c>
      <c r="AU26" s="52" t="str">
        <f t="shared" ca="1" si="46"/>
        <v/>
      </c>
      <c r="AV26" s="52" t="str">
        <f t="shared" ca="1" si="46"/>
        <v/>
      </c>
      <c r="AW26" s="52" t="str">
        <f t="shared" ca="1" si="46"/>
        <v/>
      </c>
      <c r="AX26" s="52" t="str">
        <f t="shared" ca="1" si="46"/>
        <v/>
      </c>
      <c r="AY26" s="52" t="str">
        <f t="shared" ca="1" si="46"/>
        <v/>
      </c>
      <c r="AZ26" s="52" t="str">
        <f t="shared" ca="1" si="46"/>
        <v/>
      </c>
      <c r="BA26" s="52" t="str">
        <f t="shared" ca="1" si="46"/>
        <v/>
      </c>
      <c r="BB26" s="52" t="str">
        <f t="shared" ca="1" si="46"/>
        <v/>
      </c>
      <c r="BC26" s="52" t="str">
        <f t="shared" ca="1" si="46"/>
        <v/>
      </c>
      <c r="BD26" s="52" t="str">
        <f t="shared" ca="1" si="46"/>
        <v/>
      </c>
      <c r="BE26" s="52" t="str">
        <f t="shared" ca="1" si="46"/>
        <v/>
      </c>
      <c r="BF26" s="52" t="str">
        <f t="shared" ca="1" si="46"/>
        <v/>
      </c>
      <c r="BG26" s="52" t="str">
        <f t="shared" ca="1" si="46"/>
        <v/>
      </c>
      <c r="BH26" s="52" t="str">
        <f t="shared" ca="1" si="46"/>
        <v/>
      </c>
      <c r="BI26" s="52" t="str">
        <f t="shared" ca="1" si="46"/>
        <v/>
      </c>
      <c r="BJ26" s="52" t="str">
        <f t="shared" ca="1" si="46"/>
        <v/>
      </c>
      <c r="BK26" s="52" t="str">
        <f t="shared" ca="1" si="46"/>
        <v/>
      </c>
      <c r="BL26" s="52" t="str">
        <f t="shared" ca="1" si="46"/>
        <v/>
      </c>
      <c r="BM26" s="52" t="str">
        <f t="shared" ca="1" si="46"/>
        <v/>
      </c>
      <c r="BN26" t="str">
        <f t="shared" ca="1" si="46"/>
        <v/>
      </c>
      <c r="BO26" t="str">
        <f t="shared" ca="1" si="46"/>
        <v/>
      </c>
      <c r="BP26" t="str">
        <f t="shared" ca="1" si="46"/>
        <v>BJ-117</v>
      </c>
    </row>
    <row r="27" spans="1:68" ht="15" customHeight="1" x14ac:dyDescent="0.3">
      <c r="A27" s="10" t="str">
        <f>IF(Job_Master!A27="","",Job_Master!A27)</f>
        <v>BJ-122</v>
      </c>
      <c r="B27" s="10">
        <f>IF($A27="","",Job_Master!B27)</f>
        <v>54</v>
      </c>
      <c r="C27" s="10" t="str">
        <f>IF($A27="","",Job_Master!C27)</f>
        <v>SOL</v>
      </c>
      <c r="D27" s="10">
        <f>IF($A27="","",Job_Master!D27)</f>
        <v>4</v>
      </c>
      <c r="E27" s="48" t="str">
        <f>IF($A27="","","QC-MC-02")</f>
        <v>QC-MC-02</v>
      </c>
      <c r="F27" s="10" t="str">
        <f>IF($E27="","",IFERROR(VLOOKUP($E27,Machine_List!$B:$G,6,0),""))</f>
        <v>General Workman</v>
      </c>
      <c r="G27" s="53">
        <f>IF($E27="","",IFERROR(VLOOKUP($E27,Machine_List!$B:$C,2,0),""))</f>
        <v>46115</v>
      </c>
      <c r="H27" s="10">
        <f>IF($E27="","",IFERROR(VLOOKUP($E27,Machine_List!$B:$D,3,0),""))</f>
        <v>6</v>
      </c>
      <c r="I27" s="54"/>
      <c r="J27" s="55">
        <f ca="1">IF($A27="","",IF($I27&lt;&gt;"",$I27,MAX(FID_Plan!$M27,IFERROR(LOOKUP(2,1/($E$3:INDIRECT("E"&amp;(ROW()-1))=$E27),$M$3:INDIRECT("M"&amp;(ROW()-1))),FID_Plan!$M27))))</f>
        <v>46238.159391534384</v>
      </c>
      <c r="K27" s="10">
        <f>IF($A27="","",IFERROR(VLOOKUP(B27,CHOOSE(MATCH(C27,Settings!$L$4:$L$10,0),OPR_2P!$A$4:$I$18,SEG_6P!$A$4:$I$18,SOL_4P!$A$4:$I$18,RW_2P!$A$4:$I$18,RW2_4P!$A$4:$I$18,FLAP_4P!$A$4:$I$18,TUBE_4P!$A$4:$I$18),8,0),0))</f>
        <v>50</v>
      </c>
      <c r="L27" s="10">
        <f t="shared" si="0"/>
        <v>200</v>
      </c>
      <c r="M27" s="55">
        <f ca="1">IF($A27="","",$J27+($L27/(IF(F27="Contract Workman",Settings!$K$5,Settings!$K$4))))</f>
        <v>46247.418650793647</v>
      </c>
      <c r="N27" s="10" t="str">
        <f t="shared" ca="1" si="1"/>
        <v>Shift A</v>
      </c>
      <c r="O27" s="51" t="str">
        <f>IF(B27="","", IF(IFERROR(ISNUMBER(SEARCH(B27, VLOOKUP(E27, Machine_List!$B:$J, 9, 0))), FALSE()), "✅ Machine OK", "❌ Sug: " &amp; IFERROR(INDEX(Machine_List!$B$4:$B$50, MATCH("*"&amp;B27&amp;"*", Machine_List!$J$4:$J$50, 0)), "Check Limits")))</f>
        <v>✅ Machine OK</v>
      </c>
      <c r="P27" s="52" t="str">
        <f t="shared" ref="P27:AC27" ca="1" si="47">IF(AND(Q$3&gt;=$J27, Q$3&lt;$M27), $A27, "")</f>
        <v/>
      </c>
      <c r="Q27" s="52" t="str">
        <f t="shared" ca="1" si="47"/>
        <v/>
      </c>
      <c r="R27" s="52" t="str">
        <f t="shared" ca="1" si="47"/>
        <v/>
      </c>
      <c r="S27" s="52" t="str">
        <f t="shared" ca="1" si="47"/>
        <v/>
      </c>
      <c r="T27" s="52" t="str">
        <f t="shared" ca="1" si="47"/>
        <v/>
      </c>
      <c r="U27" s="52" t="str">
        <f t="shared" ca="1" si="47"/>
        <v/>
      </c>
      <c r="V27" s="52" t="str">
        <f t="shared" ca="1" si="47"/>
        <v/>
      </c>
      <c r="W27" s="52" t="str">
        <f t="shared" ca="1" si="47"/>
        <v/>
      </c>
      <c r="X27" s="52" t="str">
        <f t="shared" ca="1" si="47"/>
        <v/>
      </c>
      <c r="Y27" s="52" t="str">
        <f t="shared" ca="1" si="47"/>
        <v/>
      </c>
      <c r="Z27" s="52" t="str">
        <f t="shared" ca="1" si="47"/>
        <v/>
      </c>
      <c r="AA27" s="52" t="str">
        <f t="shared" ca="1" si="47"/>
        <v/>
      </c>
      <c r="AB27" s="52" t="str">
        <f t="shared" ca="1" si="47"/>
        <v/>
      </c>
      <c r="AC27" s="52" t="str">
        <f t="shared" ca="1" si="47"/>
        <v/>
      </c>
      <c r="AD27" s="52" t="str">
        <f t="shared" ref="AD27:BP27" ca="1" si="48">IF(AND(AE$3&gt;=$J27, AE$3&lt;$M27), $A27, "")</f>
        <v/>
      </c>
      <c r="AE27" s="52" t="str">
        <f t="shared" ca="1" si="48"/>
        <v/>
      </c>
      <c r="AF27" s="52" t="str">
        <f t="shared" ca="1" si="48"/>
        <v/>
      </c>
      <c r="AG27" s="52" t="str">
        <f t="shared" ca="1" si="48"/>
        <v/>
      </c>
      <c r="AH27" s="52" t="str">
        <f t="shared" ca="1" si="48"/>
        <v/>
      </c>
      <c r="AI27" s="52" t="str">
        <f t="shared" ca="1" si="48"/>
        <v/>
      </c>
      <c r="AJ27" s="52" t="str">
        <f t="shared" ca="1" si="48"/>
        <v/>
      </c>
      <c r="AK27" s="52" t="str">
        <f t="shared" ca="1" si="48"/>
        <v/>
      </c>
      <c r="AL27" s="52" t="str">
        <f t="shared" ca="1" si="48"/>
        <v/>
      </c>
      <c r="AM27" s="52" t="str">
        <f t="shared" ca="1" si="48"/>
        <v/>
      </c>
      <c r="AN27" s="52" t="str">
        <f t="shared" ca="1" si="48"/>
        <v/>
      </c>
      <c r="AO27" s="52" t="str">
        <f t="shared" ca="1" si="48"/>
        <v/>
      </c>
      <c r="AP27" s="52" t="str">
        <f t="shared" ca="1" si="48"/>
        <v/>
      </c>
      <c r="AQ27" s="52" t="str">
        <f t="shared" ca="1" si="48"/>
        <v/>
      </c>
      <c r="AR27" s="52" t="str">
        <f t="shared" ca="1" si="48"/>
        <v/>
      </c>
      <c r="AS27" s="52" t="str">
        <f t="shared" ca="1" si="48"/>
        <v/>
      </c>
      <c r="AT27" s="52" t="str">
        <f t="shared" ca="1" si="48"/>
        <v/>
      </c>
      <c r="AU27" s="52" t="str">
        <f t="shared" ca="1" si="48"/>
        <v/>
      </c>
      <c r="AV27" s="52" t="str">
        <f t="shared" ca="1" si="48"/>
        <v/>
      </c>
      <c r="AW27" s="52" t="str">
        <f t="shared" ca="1" si="48"/>
        <v/>
      </c>
      <c r="AX27" s="52" t="str">
        <f t="shared" ca="1" si="48"/>
        <v/>
      </c>
      <c r="AY27" s="52" t="str">
        <f t="shared" ca="1" si="48"/>
        <v/>
      </c>
      <c r="AZ27" s="52" t="str">
        <f t="shared" ca="1" si="48"/>
        <v/>
      </c>
      <c r="BA27" s="52" t="str">
        <f t="shared" ca="1" si="48"/>
        <v/>
      </c>
      <c r="BB27" s="52" t="str">
        <f t="shared" ca="1" si="48"/>
        <v/>
      </c>
      <c r="BC27" s="52" t="str">
        <f t="shared" ca="1" si="48"/>
        <v/>
      </c>
      <c r="BD27" s="52" t="str">
        <f t="shared" ca="1" si="48"/>
        <v/>
      </c>
      <c r="BE27" s="52" t="str">
        <f t="shared" ca="1" si="48"/>
        <v/>
      </c>
      <c r="BF27" s="52" t="str">
        <f t="shared" ca="1" si="48"/>
        <v/>
      </c>
      <c r="BG27" s="52" t="str">
        <f t="shared" ca="1" si="48"/>
        <v/>
      </c>
      <c r="BH27" s="52" t="str">
        <f t="shared" ca="1" si="48"/>
        <v/>
      </c>
      <c r="BI27" s="52" t="str">
        <f t="shared" ca="1" si="48"/>
        <v/>
      </c>
      <c r="BJ27" s="52" t="str">
        <f t="shared" ca="1" si="48"/>
        <v/>
      </c>
      <c r="BK27" s="52" t="str">
        <f t="shared" ca="1" si="48"/>
        <v/>
      </c>
      <c r="BL27" s="52" t="str">
        <f t="shared" ca="1" si="48"/>
        <v/>
      </c>
      <c r="BM27" s="52" t="str">
        <f t="shared" ca="1" si="48"/>
        <v/>
      </c>
      <c r="BN27" t="str">
        <f t="shared" ca="1" si="48"/>
        <v/>
      </c>
      <c r="BO27" t="str">
        <f t="shared" ca="1" si="48"/>
        <v/>
      </c>
      <c r="BP27" t="str">
        <f t="shared" ca="1" si="48"/>
        <v/>
      </c>
    </row>
    <row r="28" spans="1:68" ht="15" customHeight="1" x14ac:dyDescent="0.3">
      <c r="A28" s="10" t="str">
        <f>IF(Job_Master!A28="","",Job_Master!A28)</f>
        <v>BJ-124</v>
      </c>
      <c r="B28" s="10">
        <f>IF($A28="","",Job_Master!B28)</f>
        <v>42</v>
      </c>
      <c r="C28" s="10" t="str">
        <f>IF($A28="","",Job_Master!C28)</f>
        <v>2P</v>
      </c>
      <c r="D28" s="10">
        <f>IF($A28="","",Job_Master!D28)</f>
        <v>2</v>
      </c>
      <c r="E28" s="48" t="str">
        <f>IF($A28="","","QC-MC-04")</f>
        <v>QC-MC-04</v>
      </c>
      <c r="F28" s="10" t="str">
        <f>IF($E28="","",IFERROR(VLOOKUP($E28,Machine_List!$B:$G,6,0),""))</f>
        <v>General Workman</v>
      </c>
      <c r="G28" s="53">
        <f>IF($E28="","",IFERROR(VLOOKUP($E28,Machine_List!$B:$C,2,0),""))</f>
        <v>46195</v>
      </c>
      <c r="H28" s="10">
        <f>IF($E28="","",IFERROR(VLOOKUP($E28,Machine_List!$B:$D,3,0),""))</f>
        <v>6</v>
      </c>
      <c r="I28" s="54"/>
      <c r="J28" s="55">
        <f ca="1">IF($A28="","",IF($I28&lt;&gt;"",$I28,MAX(FID_Plan!$M28,IFERROR(LOOKUP(2,1/($E$3:INDIRECT("E"&amp;(ROW()-1))=$E28),$M$3:INDIRECT("M"&amp;(ROW()-1))),FID_Plan!$M28))))</f>
        <v>46174.121693121691</v>
      </c>
      <c r="K28" s="10">
        <f>IF($A28="","",IFERROR(VLOOKUP(B28,CHOOSE(MATCH(C28,Settings!$L$4:$L$10,0),OPR_2P!$A$4:$I$18,SEG_6P!$A$4:$I$18,SOL_4P!$A$4:$I$18,RW_2P!$A$4:$I$18,RW2_4P!$A$4:$I$18,FLAP_4P!$A$4:$I$18,TUBE_4P!$A$4:$I$18),8,0),0))</f>
        <v>47</v>
      </c>
      <c r="L28" s="10">
        <f t="shared" si="0"/>
        <v>94</v>
      </c>
      <c r="M28" s="55">
        <f ca="1">IF($A28="","",$J28+($L28/(IF(F28="Contract Workman",Settings!$K$5,Settings!$K$4))))</f>
        <v>46178.473544973545</v>
      </c>
      <c r="N28" s="10" t="str">
        <f t="shared" ca="1" si="1"/>
        <v>Shift A</v>
      </c>
      <c r="O28" s="51" t="str">
        <f>IF(B28="","", IF(IFERROR(ISNUMBER(SEARCH(B28, VLOOKUP(E28, Machine_List!$B:$J, 9, 0))), FALSE()), "✅ Machine OK", "❌ Sug: " &amp; IFERROR(INDEX(Machine_List!$B$4:$B$50, MATCH("*"&amp;B28&amp;"*", Machine_List!$J$4:$J$50, 0)), "Check Limits")))</f>
        <v>✅ Machine OK</v>
      </c>
      <c r="P28" s="52" t="str">
        <f t="shared" ref="P28:AC28" ca="1" si="49">IF(AND(Q$3&gt;=$J28, Q$3&lt;$M28), $A28, "")</f>
        <v/>
      </c>
      <c r="Q28" s="52" t="str">
        <f t="shared" ca="1" si="49"/>
        <v/>
      </c>
      <c r="R28" s="52" t="str">
        <f t="shared" ca="1" si="49"/>
        <v/>
      </c>
      <c r="S28" s="52" t="str">
        <f t="shared" ca="1" si="49"/>
        <v/>
      </c>
      <c r="T28" s="52" t="str">
        <f t="shared" ca="1" si="49"/>
        <v/>
      </c>
      <c r="U28" s="52" t="str">
        <f t="shared" ca="1" si="49"/>
        <v/>
      </c>
      <c r="V28" s="52" t="str">
        <f t="shared" ca="1" si="49"/>
        <v/>
      </c>
      <c r="W28" s="52" t="str">
        <f t="shared" ca="1" si="49"/>
        <v/>
      </c>
      <c r="X28" s="52" t="str">
        <f t="shared" ca="1" si="49"/>
        <v/>
      </c>
      <c r="Y28" s="52" t="str">
        <f t="shared" ca="1" si="49"/>
        <v/>
      </c>
      <c r="Z28" s="52" t="str">
        <f t="shared" ca="1" si="49"/>
        <v/>
      </c>
      <c r="AA28" s="52" t="str">
        <f t="shared" ca="1" si="49"/>
        <v/>
      </c>
      <c r="AB28" s="52" t="str">
        <f t="shared" ca="1" si="49"/>
        <v/>
      </c>
      <c r="AC28" s="52" t="str">
        <f t="shared" ca="1" si="49"/>
        <v/>
      </c>
      <c r="AD28" s="52" t="str">
        <f t="shared" ref="AD28:BP28" ca="1" si="50">IF(AND(AE$3&gt;=$J28, AE$3&lt;$M28), $A28, "")</f>
        <v/>
      </c>
      <c r="AE28" s="52" t="str">
        <f t="shared" ca="1" si="50"/>
        <v/>
      </c>
      <c r="AF28" s="52" t="str">
        <f t="shared" ca="1" si="50"/>
        <v/>
      </c>
      <c r="AG28" s="52" t="str">
        <f t="shared" ca="1" si="50"/>
        <v/>
      </c>
      <c r="AH28" s="52" t="str">
        <f t="shared" ca="1" si="50"/>
        <v/>
      </c>
      <c r="AI28" s="52" t="str">
        <f t="shared" ca="1" si="50"/>
        <v/>
      </c>
      <c r="AJ28" s="52" t="str">
        <f t="shared" ca="1" si="50"/>
        <v/>
      </c>
      <c r="AK28" s="52" t="str">
        <f t="shared" ca="1" si="50"/>
        <v/>
      </c>
      <c r="AL28" s="52" t="str">
        <f t="shared" ca="1" si="50"/>
        <v/>
      </c>
      <c r="AM28" s="52" t="str">
        <f t="shared" ca="1" si="50"/>
        <v/>
      </c>
      <c r="AN28" s="52" t="str">
        <f t="shared" ca="1" si="50"/>
        <v/>
      </c>
      <c r="AO28" s="52" t="str">
        <f t="shared" ca="1" si="50"/>
        <v/>
      </c>
      <c r="AP28" s="52" t="str">
        <f t="shared" ca="1" si="50"/>
        <v/>
      </c>
      <c r="AQ28" s="52" t="str">
        <f t="shared" ca="1" si="50"/>
        <v/>
      </c>
      <c r="AR28" s="52" t="str">
        <f t="shared" ca="1" si="50"/>
        <v/>
      </c>
      <c r="AS28" s="52" t="str">
        <f t="shared" ca="1" si="50"/>
        <v/>
      </c>
      <c r="AT28" s="52" t="str">
        <f t="shared" ca="1" si="50"/>
        <v/>
      </c>
      <c r="AU28" s="52" t="str">
        <f t="shared" ca="1" si="50"/>
        <v/>
      </c>
      <c r="AV28" s="52" t="str">
        <f t="shared" ca="1" si="50"/>
        <v/>
      </c>
      <c r="AW28" s="52" t="str">
        <f t="shared" ca="1" si="50"/>
        <v/>
      </c>
      <c r="AX28" s="52" t="str">
        <f t="shared" ca="1" si="50"/>
        <v/>
      </c>
      <c r="AY28" s="52" t="str">
        <f t="shared" ca="1" si="50"/>
        <v/>
      </c>
      <c r="AZ28" s="52" t="str">
        <f t="shared" ca="1" si="50"/>
        <v/>
      </c>
      <c r="BA28" s="52" t="str">
        <f t="shared" ca="1" si="50"/>
        <v/>
      </c>
      <c r="BB28" s="52" t="str">
        <f t="shared" ca="1" si="50"/>
        <v/>
      </c>
      <c r="BC28" s="52" t="str">
        <f t="shared" ca="1" si="50"/>
        <v/>
      </c>
      <c r="BD28" s="52" t="str">
        <f t="shared" ca="1" si="50"/>
        <v/>
      </c>
      <c r="BE28" s="52" t="str">
        <f t="shared" ca="1" si="50"/>
        <v/>
      </c>
      <c r="BF28" s="52" t="str">
        <f t="shared" ca="1" si="50"/>
        <v/>
      </c>
      <c r="BG28" s="52" t="str">
        <f t="shared" ca="1" si="50"/>
        <v/>
      </c>
      <c r="BH28" s="52" t="str">
        <f t="shared" ca="1" si="50"/>
        <v/>
      </c>
      <c r="BI28" s="52" t="str">
        <f t="shared" ca="1" si="50"/>
        <v/>
      </c>
      <c r="BJ28" s="52" t="str">
        <f t="shared" ca="1" si="50"/>
        <v/>
      </c>
      <c r="BK28" s="52" t="str">
        <f t="shared" ca="1" si="50"/>
        <v/>
      </c>
      <c r="BL28" s="52" t="str">
        <f t="shared" ca="1" si="50"/>
        <v/>
      </c>
      <c r="BM28" s="52" t="str">
        <f t="shared" ca="1" si="50"/>
        <v/>
      </c>
      <c r="BN28" t="str">
        <f t="shared" ca="1" si="50"/>
        <v/>
      </c>
      <c r="BO28" t="str">
        <f t="shared" ca="1" si="50"/>
        <v/>
      </c>
      <c r="BP28" t="str">
        <f t="shared" ca="1" si="50"/>
        <v/>
      </c>
    </row>
    <row r="29" spans="1:68" ht="15" customHeight="1" x14ac:dyDescent="0.3">
      <c r="A29" s="10" t="str">
        <f>IF(Job_Master!A29="","",Job_Master!A29)</f>
        <v>BJ-126</v>
      </c>
      <c r="B29" s="10">
        <f>IF($A29="","",Job_Master!B29)</f>
        <v>42</v>
      </c>
      <c r="C29" s="10" t="str">
        <f>IF($A29="","",Job_Master!C29)</f>
        <v>2P</v>
      </c>
      <c r="D29" s="10">
        <f>IF($A29="","",Job_Master!D29)</f>
        <v>2</v>
      </c>
      <c r="E29" s="48" t="str">
        <f>IF($A29="","","QC-MC-03")</f>
        <v>QC-MC-03</v>
      </c>
      <c r="F29" s="10" t="str">
        <f>IF($E29="","",IFERROR(VLOOKUP($E29,Machine_List!$B:$G,6,0),""))</f>
        <v>General Workman</v>
      </c>
      <c r="G29" s="53">
        <f>IF($E29="","",IFERROR(VLOOKUP($E29,Machine_List!$B:$C,2,0),""))</f>
        <v>46172</v>
      </c>
      <c r="H29" s="10">
        <f>IF($E29="","",IFERROR(VLOOKUP($E29,Machine_List!$B:$D,3,0),""))</f>
        <v>6</v>
      </c>
      <c r="I29" s="54"/>
      <c r="J29" s="55">
        <f ca="1">IF($A29="","",IF($I29&lt;&gt;"",$I29,MAX(FID_Plan!$M29,IFERROR(LOOKUP(2,1/($E$3:INDIRECT("E"&amp;(ROW()-1))=$E29),$M$3:INDIRECT("M"&amp;(ROW()-1))),FID_Plan!$M29))))</f>
        <v>46182.167328042313</v>
      </c>
      <c r="K29" s="10">
        <f>IF($A29="","",IFERROR(VLOOKUP(B29,CHOOSE(MATCH(C29,Settings!$L$4:$L$10,0),OPR_2P!$A$4:$I$18,SEG_6P!$A$4:$I$18,SOL_4P!$A$4:$I$18,RW_2P!$A$4:$I$18,RW2_4P!$A$4:$I$18,FLAP_4P!$A$4:$I$18,TUBE_4P!$A$4:$I$18),8,0),0))</f>
        <v>47</v>
      </c>
      <c r="L29" s="10">
        <f t="shared" si="0"/>
        <v>94</v>
      </c>
      <c r="M29" s="55">
        <f ca="1">IF($A29="","",$J29+($L29/(IF(F29="Contract Workman",Settings!$K$5,Settings!$K$4))))</f>
        <v>46186.519179894167</v>
      </c>
      <c r="N29" s="10" t="str">
        <f t="shared" ca="1" si="1"/>
        <v>Shift A</v>
      </c>
      <c r="O29" s="51" t="str">
        <f>IF(B29="","", IF(IFERROR(ISNUMBER(SEARCH(B29, VLOOKUP(E29, Machine_List!$B:$J, 9, 0))), FALSE()), "✅ Machine OK", "❌ Sug: " &amp; IFERROR(INDEX(Machine_List!$B$4:$B$50, MATCH("*"&amp;B29&amp;"*", Machine_List!$J$4:$J$50, 0)), "Check Limits")))</f>
        <v>✅ Machine OK</v>
      </c>
      <c r="P29" s="52" t="str">
        <f t="shared" ref="P29:AC29" ca="1" si="51">IF(AND(Q$3&gt;=$J29, Q$3&lt;$M29), $A29, "")</f>
        <v/>
      </c>
      <c r="Q29" s="52" t="str">
        <f t="shared" ca="1" si="51"/>
        <v/>
      </c>
      <c r="R29" s="52" t="str">
        <f t="shared" ca="1" si="51"/>
        <v/>
      </c>
      <c r="S29" s="52" t="str">
        <f t="shared" ca="1" si="51"/>
        <v/>
      </c>
      <c r="T29" s="52" t="str">
        <f t="shared" ca="1" si="51"/>
        <v/>
      </c>
      <c r="U29" s="52" t="str">
        <f t="shared" ca="1" si="51"/>
        <v/>
      </c>
      <c r="V29" s="52" t="str">
        <f t="shared" ca="1" si="51"/>
        <v/>
      </c>
      <c r="W29" s="52" t="str">
        <f t="shared" ca="1" si="51"/>
        <v/>
      </c>
      <c r="X29" s="52" t="str">
        <f t="shared" ca="1" si="51"/>
        <v/>
      </c>
      <c r="Y29" s="52" t="str">
        <f t="shared" ca="1" si="51"/>
        <v/>
      </c>
      <c r="Z29" s="52" t="str">
        <f t="shared" ca="1" si="51"/>
        <v/>
      </c>
      <c r="AA29" s="52" t="str">
        <f t="shared" ca="1" si="51"/>
        <v/>
      </c>
      <c r="AB29" s="52" t="str">
        <f t="shared" ca="1" si="51"/>
        <v/>
      </c>
      <c r="AC29" s="52" t="str">
        <f t="shared" ca="1" si="51"/>
        <v/>
      </c>
      <c r="AD29" s="52" t="str">
        <f t="shared" ref="AD29:BP29" ca="1" si="52">IF(AND(AE$3&gt;=$J29, AE$3&lt;$M29), $A29, "")</f>
        <v/>
      </c>
      <c r="AE29" s="52" t="str">
        <f t="shared" ca="1" si="52"/>
        <v/>
      </c>
      <c r="AF29" s="52" t="str">
        <f t="shared" ca="1" si="52"/>
        <v/>
      </c>
      <c r="AG29" s="52" t="str">
        <f t="shared" ca="1" si="52"/>
        <v/>
      </c>
      <c r="AH29" s="52" t="str">
        <f t="shared" ca="1" si="52"/>
        <v/>
      </c>
      <c r="AI29" s="52" t="str">
        <f t="shared" ca="1" si="52"/>
        <v/>
      </c>
      <c r="AJ29" s="52" t="str">
        <f t="shared" ca="1" si="52"/>
        <v/>
      </c>
      <c r="AK29" s="52" t="str">
        <f t="shared" ca="1" si="52"/>
        <v/>
      </c>
      <c r="AL29" s="52" t="str">
        <f t="shared" ca="1" si="52"/>
        <v/>
      </c>
      <c r="AM29" s="52" t="str">
        <f t="shared" ca="1" si="52"/>
        <v/>
      </c>
      <c r="AN29" s="52" t="str">
        <f t="shared" ca="1" si="52"/>
        <v/>
      </c>
      <c r="AO29" s="52" t="str">
        <f t="shared" ca="1" si="52"/>
        <v/>
      </c>
      <c r="AP29" s="52" t="str">
        <f t="shared" ca="1" si="52"/>
        <v/>
      </c>
      <c r="AQ29" s="52" t="str">
        <f t="shared" ca="1" si="52"/>
        <v/>
      </c>
      <c r="AR29" s="52" t="str">
        <f t="shared" ca="1" si="52"/>
        <v/>
      </c>
      <c r="AS29" s="52" t="str">
        <f t="shared" ca="1" si="52"/>
        <v/>
      </c>
      <c r="AT29" s="52" t="str">
        <f t="shared" ca="1" si="52"/>
        <v/>
      </c>
      <c r="AU29" s="52" t="str">
        <f t="shared" ca="1" si="52"/>
        <v/>
      </c>
      <c r="AV29" s="52" t="str">
        <f t="shared" ca="1" si="52"/>
        <v/>
      </c>
      <c r="AW29" s="52" t="str">
        <f t="shared" ca="1" si="52"/>
        <v/>
      </c>
      <c r="AX29" s="52" t="str">
        <f t="shared" ca="1" si="52"/>
        <v/>
      </c>
      <c r="AY29" s="52" t="str">
        <f t="shared" ca="1" si="52"/>
        <v/>
      </c>
      <c r="AZ29" s="52" t="str">
        <f t="shared" ca="1" si="52"/>
        <v/>
      </c>
      <c r="BA29" s="52" t="str">
        <f t="shared" ca="1" si="52"/>
        <v/>
      </c>
      <c r="BB29" s="52" t="str">
        <f t="shared" ca="1" si="52"/>
        <v/>
      </c>
      <c r="BC29" s="52" t="str">
        <f t="shared" ca="1" si="52"/>
        <v/>
      </c>
      <c r="BD29" s="52" t="str">
        <f t="shared" ca="1" si="52"/>
        <v/>
      </c>
      <c r="BE29" s="52" t="str">
        <f t="shared" ca="1" si="52"/>
        <v/>
      </c>
      <c r="BF29" s="52" t="str">
        <f t="shared" ca="1" si="52"/>
        <v/>
      </c>
      <c r="BG29" s="52" t="str">
        <f t="shared" ca="1" si="52"/>
        <v/>
      </c>
      <c r="BH29" s="52" t="str">
        <f t="shared" ca="1" si="52"/>
        <v/>
      </c>
      <c r="BI29" s="52" t="str">
        <f t="shared" ca="1" si="52"/>
        <v/>
      </c>
      <c r="BJ29" s="52" t="str">
        <f t="shared" ca="1" si="52"/>
        <v/>
      </c>
      <c r="BK29" s="52" t="str">
        <f t="shared" ca="1" si="52"/>
        <v/>
      </c>
      <c r="BL29" s="52" t="str">
        <f t="shared" ca="1" si="52"/>
        <v/>
      </c>
      <c r="BM29" s="52" t="str">
        <f t="shared" ca="1" si="52"/>
        <v/>
      </c>
      <c r="BN29" t="str">
        <f t="shared" ca="1" si="52"/>
        <v/>
      </c>
      <c r="BO29" t="str">
        <f t="shared" ca="1" si="52"/>
        <v/>
      </c>
      <c r="BP29" t="str">
        <f t="shared" ca="1" si="52"/>
        <v/>
      </c>
    </row>
    <row r="30" spans="1:68" ht="15" customHeight="1" x14ac:dyDescent="0.3">
      <c r="A30" s="10" t="str">
        <f>IF(Job_Master!A30="","",Job_Master!A30)</f>
        <v>BJ-127</v>
      </c>
      <c r="B30" s="10">
        <f>IF($A30="","",Job_Master!B30)</f>
        <v>15</v>
      </c>
      <c r="C30" s="10" t="str">
        <f>IF($A30="","",Job_Master!C30)</f>
        <v>RW</v>
      </c>
      <c r="D30" s="10">
        <f>IF($A30="","",Job_Master!D30)</f>
        <v>2</v>
      </c>
      <c r="E30" s="48" t="str">
        <f>IF($A30="","","QC-MC-05")</f>
        <v>QC-MC-05</v>
      </c>
      <c r="F30" s="10" t="str">
        <f>IF($E30="","",IFERROR(VLOOKUP($E30,Machine_List!$B:$G,6,0),""))</f>
        <v>General Workman</v>
      </c>
      <c r="G30" s="53">
        <f>IF($E30="","",IFERROR(VLOOKUP($E30,Machine_List!$B:$C,2,0),""))</f>
        <v>46373</v>
      </c>
      <c r="H30" s="10">
        <f>IF($E30="","",IFERROR(VLOOKUP($E30,Machine_List!$B:$D,3,0),""))</f>
        <v>6</v>
      </c>
      <c r="I30" s="54"/>
      <c r="J30" s="55">
        <f ca="1">IF($A30="","",IF($I30&lt;&gt;"",$I30,MAX(FID_Plan!$M30,IFERROR(LOOKUP(2,1/($E$3:INDIRECT("E"&amp;(ROW()-1))=$E30),$M$3:INDIRECT("M"&amp;(ROW()-1))),FID_Plan!$M30))))</f>
        <v>46167.461640211637</v>
      </c>
      <c r="K30" s="10">
        <f>IF($A30="","",IFERROR(VLOOKUP(B30,CHOOSE(MATCH(C30,Settings!$L$4:$L$10,0),OPR_2P!$A$4:$I$18,SEG_6P!$A$4:$I$18,SOL_4P!$A$4:$I$18,RW_2P!$A$4:$I$18,RW2_4P!$A$4:$I$18,FLAP_4P!$A$4:$I$18,TUBE_4P!$A$4:$I$18),8,0),0))</f>
        <v>7</v>
      </c>
      <c r="L30" s="10">
        <f t="shared" si="0"/>
        <v>14</v>
      </c>
      <c r="M30" s="55">
        <f ca="1">IF($A30="","",$J30+($L30/(IF(F30="Contract Workman",Settings!$K$5,Settings!$K$4))))</f>
        <v>46168.109788359783</v>
      </c>
      <c r="N30" s="10" t="str">
        <f t="shared" ca="1" si="1"/>
        <v>Shift C</v>
      </c>
      <c r="O30" s="51" t="str">
        <f>IF(B30="","", IF(IFERROR(ISNUMBER(SEARCH(B30, VLOOKUP(E30, Machine_List!$B:$J, 9, 0))), FALSE()), "✅ Machine OK", "❌ Sug: " &amp; IFERROR(INDEX(Machine_List!$B$4:$B$50, MATCH("*"&amp;B30&amp;"*", Machine_List!$J$4:$J$50, 0)), "Check Limits")))</f>
        <v>✅ Machine OK</v>
      </c>
      <c r="P30" s="52" t="str">
        <f t="shared" ref="P30:AC30" ca="1" si="53">IF(AND(Q$3&gt;=$J30, Q$3&lt;$M30), $A30, "")</f>
        <v/>
      </c>
      <c r="Q30" s="52" t="str">
        <f t="shared" ca="1" si="53"/>
        <v/>
      </c>
      <c r="R30" s="52" t="str">
        <f t="shared" ca="1" si="53"/>
        <v/>
      </c>
      <c r="S30" s="52" t="str">
        <f t="shared" ca="1" si="53"/>
        <v/>
      </c>
      <c r="T30" s="52" t="str">
        <f t="shared" ca="1" si="53"/>
        <v/>
      </c>
      <c r="U30" s="52" t="str">
        <f t="shared" ca="1" si="53"/>
        <v/>
      </c>
      <c r="V30" s="52" t="str">
        <f t="shared" ca="1" si="53"/>
        <v/>
      </c>
      <c r="W30" s="52" t="str">
        <f t="shared" ca="1" si="53"/>
        <v/>
      </c>
      <c r="X30" s="52" t="str">
        <f t="shared" ca="1" si="53"/>
        <v/>
      </c>
      <c r="Y30" s="52" t="str">
        <f t="shared" ca="1" si="53"/>
        <v/>
      </c>
      <c r="Z30" s="52" t="str">
        <f t="shared" ca="1" si="53"/>
        <v/>
      </c>
      <c r="AA30" s="52" t="str">
        <f t="shared" ca="1" si="53"/>
        <v/>
      </c>
      <c r="AB30" s="52" t="str">
        <f t="shared" ca="1" si="53"/>
        <v/>
      </c>
      <c r="AC30" s="52" t="str">
        <f t="shared" ca="1" si="53"/>
        <v/>
      </c>
      <c r="AD30" s="52" t="str">
        <f t="shared" ref="AD30:BP30" ca="1" si="54">IF(AND(AE$3&gt;=$J30, AE$3&lt;$M30), $A30, "")</f>
        <v/>
      </c>
      <c r="AE30" s="52" t="str">
        <f t="shared" ca="1" si="54"/>
        <v/>
      </c>
      <c r="AF30" s="52" t="str">
        <f t="shared" ca="1" si="54"/>
        <v/>
      </c>
      <c r="AG30" s="52" t="str">
        <f t="shared" ca="1" si="54"/>
        <v/>
      </c>
      <c r="AH30" s="52" t="str">
        <f t="shared" ca="1" si="54"/>
        <v/>
      </c>
      <c r="AI30" s="52" t="str">
        <f t="shared" ca="1" si="54"/>
        <v/>
      </c>
      <c r="AJ30" s="52" t="str">
        <f t="shared" ca="1" si="54"/>
        <v/>
      </c>
      <c r="AK30" s="52" t="str">
        <f t="shared" ca="1" si="54"/>
        <v/>
      </c>
      <c r="AL30" s="52" t="str">
        <f t="shared" ca="1" si="54"/>
        <v/>
      </c>
      <c r="AM30" s="52" t="str">
        <f t="shared" ca="1" si="54"/>
        <v/>
      </c>
      <c r="AN30" s="52" t="str">
        <f t="shared" ca="1" si="54"/>
        <v/>
      </c>
      <c r="AO30" s="52" t="str">
        <f t="shared" ca="1" si="54"/>
        <v/>
      </c>
      <c r="AP30" s="52" t="str">
        <f t="shared" ca="1" si="54"/>
        <v/>
      </c>
      <c r="AQ30" s="52" t="str">
        <f t="shared" ca="1" si="54"/>
        <v/>
      </c>
      <c r="AR30" s="52" t="str">
        <f t="shared" ca="1" si="54"/>
        <v/>
      </c>
      <c r="AS30" s="52" t="str">
        <f t="shared" ca="1" si="54"/>
        <v/>
      </c>
      <c r="AT30" s="52" t="str">
        <f t="shared" ca="1" si="54"/>
        <v/>
      </c>
      <c r="AU30" s="52" t="str">
        <f t="shared" ca="1" si="54"/>
        <v/>
      </c>
      <c r="AV30" s="52" t="str">
        <f t="shared" ca="1" si="54"/>
        <v/>
      </c>
      <c r="AW30" s="52" t="str">
        <f t="shared" ca="1" si="54"/>
        <v/>
      </c>
      <c r="AX30" s="52" t="str">
        <f t="shared" ca="1" si="54"/>
        <v/>
      </c>
      <c r="AY30" s="52" t="str">
        <f t="shared" ca="1" si="54"/>
        <v/>
      </c>
      <c r="AZ30" s="52" t="str">
        <f t="shared" ca="1" si="54"/>
        <v/>
      </c>
      <c r="BA30" s="52" t="str">
        <f t="shared" ca="1" si="54"/>
        <v/>
      </c>
      <c r="BB30" s="52" t="str">
        <f t="shared" ca="1" si="54"/>
        <v/>
      </c>
      <c r="BC30" s="52" t="str">
        <f t="shared" ca="1" si="54"/>
        <v/>
      </c>
      <c r="BD30" s="52" t="str">
        <f t="shared" ca="1" si="54"/>
        <v/>
      </c>
      <c r="BE30" s="52" t="str">
        <f t="shared" ca="1" si="54"/>
        <v/>
      </c>
      <c r="BF30" s="52" t="str">
        <f t="shared" ca="1" si="54"/>
        <v/>
      </c>
      <c r="BG30" s="52" t="str">
        <f t="shared" ca="1" si="54"/>
        <v/>
      </c>
      <c r="BH30" s="52" t="str">
        <f t="shared" ca="1" si="54"/>
        <v/>
      </c>
      <c r="BI30" s="52" t="str">
        <f t="shared" ca="1" si="54"/>
        <v/>
      </c>
      <c r="BJ30" s="52" t="str">
        <f t="shared" ca="1" si="54"/>
        <v/>
      </c>
      <c r="BK30" s="52" t="str">
        <f t="shared" ca="1" si="54"/>
        <v/>
      </c>
      <c r="BL30" s="52" t="str">
        <f t="shared" ca="1" si="54"/>
        <v/>
      </c>
      <c r="BM30" s="52" t="str">
        <f t="shared" ca="1" si="54"/>
        <v/>
      </c>
      <c r="BN30" t="str">
        <f t="shared" ca="1" si="54"/>
        <v/>
      </c>
      <c r="BO30" t="str">
        <f t="shared" ca="1" si="54"/>
        <v/>
      </c>
      <c r="BP30" t="str">
        <f t="shared" ca="1" si="54"/>
        <v/>
      </c>
    </row>
    <row r="31" spans="1:68" ht="15" customHeight="1" x14ac:dyDescent="0.3">
      <c r="A31" s="10" t="str">
        <f>IF(Job_Master!A31="","",Job_Master!A31)</f>
        <v>BJ-128</v>
      </c>
      <c r="B31" s="10">
        <f>IF($A31="","",Job_Master!B31)</f>
        <v>46</v>
      </c>
      <c r="C31" s="10" t="str">
        <f>IF($A31="","",Job_Master!C31)</f>
        <v>2P</v>
      </c>
      <c r="D31" s="10">
        <f>IF($A31="","",Job_Master!D31)</f>
        <v>2</v>
      </c>
      <c r="E31" s="48" t="str">
        <f>IF($A31="","","QC-MC-03")</f>
        <v>QC-MC-03</v>
      </c>
      <c r="F31" s="10" t="str">
        <f>IF($E31="","",IFERROR(VLOOKUP($E31,Machine_List!$B:$G,6,0),""))</f>
        <v>General Workman</v>
      </c>
      <c r="G31" s="53">
        <f>IF($E31="","",IFERROR(VLOOKUP($E31,Machine_List!$B:$C,2,0),""))</f>
        <v>46172</v>
      </c>
      <c r="H31" s="10">
        <f>IF($E31="","",IFERROR(VLOOKUP($E31,Machine_List!$B:$D,3,0),""))</f>
        <v>6</v>
      </c>
      <c r="I31" s="54"/>
      <c r="J31" s="55">
        <f ca="1">IF($A31="","",IF($I31&lt;&gt;"",$I31,MAX(FID_Plan!$M31,IFERROR(LOOKUP(2,1/($E$3:INDIRECT("E"&amp;(ROW()-1))=$E31),$M$3:INDIRECT("M"&amp;(ROW()-1))),FID_Plan!$M31))))</f>
        <v>46186.519179894167</v>
      </c>
      <c r="K31" s="10">
        <f>IF($A31="","",IFERROR(VLOOKUP(B31,CHOOSE(MATCH(C31,Settings!$L$4:$L$10,0),OPR_2P!$A$4:$I$18,SEG_6P!$A$4:$I$18,SOL_4P!$A$4:$I$18,RW_2P!$A$4:$I$18,RW2_4P!$A$4:$I$18,FLAP_4P!$A$4:$I$18,TUBE_4P!$A$4:$I$18),8,0),0))</f>
        <v>35</v>
      </c>
      <c r="L31" s="10">
        <f t="shared" si="0"/>
        <v>70</v>
      </c>
      <c r="M31" s="55">
        <f ca="1">IF($A31="","",$J31+($L31/(IF(F31="Contract Workman",Settings!$K$5,Settings!$K$4))))</f>
        <v>46189.759920634904</v>
      </c>
      <c r="N31" s="10" t="str">
        <f t="shared" ca="1" si="1"/>
        <v>Shift B</v>
      </c>
      <c r="O31" s="51" t="str">
        <f>IF(B31="","", IF(IFERROR(ISNUMBER(SEARCH(B31, VLOOKUP(E31, Machine_List!$B:$J, 9, 0))), FALSE()), "✅ Machine OK", "❌ Sug: " &amp; IFERROR(INDEX(Machine_List!$B$4:$B$50, MATCH("*"&amp;B31&amp;"*", Machine_List!$J$4:$J$50, 0)), "Check Limits")))</f>
        <v>✅ Machine OK</v>
      </c>
      <c r="P31" s="52" t="str">
        <f t="shared" ref="P31:AC31" ca="1" si="55">IF(AND(Q$3&gt;=$J31, Q$3&lt;$M31), $A31, "")</f>
        <v/>
      </c>
      <c r="Q31" s="52" t="str">
        <f t="shared" ca="1" si="55"/>
        <v/>
      </c>
      <c r="R31" s="52" t="str">
        <f t="shared" ca="1" si="55"/>
        <v/>
      </c>
      <c r="S31" s="52" t="str">
        <f t="shared" ca="1" si="55"/>
        <v/>
      </c>
      <c r="T31" s="52" t="str">
        <f t="shared" ca="1" si="55"/>
        <v/>
      </c>
      <c r="U31" s="52" t="str">
        <f t="shared" ca="1" si="55"/>
        <v/>
      </c>
      <c r="V31" s="52" t="str">
        <f t="shared" ca="1" si="55"/>
        <v/>
      </c>
      <c r="W31" s="52" t="str">
        <f t="shared" ca="1" si="55"/>
        <v/>
      </c>
      <c r="X31" s="52" t="str">
        <f t="shared" ca="1" si="55"/>
        <v/>
      </c>
      <c r="Y31" s="52" t="str">
        <f t="shared" ca="1" si="55"/>
        <v/>
      </c>
      <c r="Z31" s="52" t="str">
        <f t="shared" ca="1" si="55"/>
        <v/>
      </c>
      <c r="AA31" s="52" t="str">
        <f t="shared" ca="1" si="55"/>
        <v/>
      </c>
      <c r="AB31" s="52" t="str">
        <f t="shared" ca="1" si="55"/>
        <v/>
      </c>
      <c r="AC31" s="52" t="str">
        <f t="shared" ca="1" si="55"/>
        <v/>
      </c>
      <c r="AD31" s="52" t="str">
        <f t="shared" ref="AD31:BP31" ca="1" si="56">IF(AND(AE$3&gt;=$J31, AE$3&lt;$M31), $A31, "")</f>
        <v/>
      </c>
      <c r="AE31" s="52" t="str">
        <f t="shared" ca="1" si="56"/>
        <v/>
      </c>
      <c r="AF31" s="52" t="str">
        <f t="shared" ca="1" si="56"/>
        <v/>
      </c>
      <c r="AG31" s="52" t="str">
        <f t="shared" ca="1" si="56"/>
        <v/>
      </c>
      <c r="AH31" s="52" t="str">
        <f t="shared" ca="1" si="56"/>
        <v/>
      </c>
      <c r="AI31" s="52" t="str">
        <f t="shared" ca="1" si="56"/>
        <v/>
      </c>
      <c r="AJ31" s="52" t="str">
        <f t="shared" ca="1" si="56"/>
        <v/>
      </c>
      <c r="AK31" s="52" t="str">
        <f t="shared" ca="1" si="56"/>
        <v/>
      </c>
      <c r="AL31" s="52" t="str">
        <f t="shared" ca="1" si="56"/>
        <v/>
      </c>
      <c r="AM31" s="52" t="str">
        <f t="shared" ca="1" si="56"/>
        <v/>
      </c>
      <c r="AN31" s="52" t="str">
        <f t="shared" ca="1" si="56"/>
        <v/>
      </c>
      <c r="AO31" s="52" t="str">
        <f t="shared" ca="1" si="56"/>
        <v/>
      </c>
      <c r="AP31" s="52" t="str">
        <f t="shared" ca="1" si="56"/>
        <v/>
      </c>
      <c r="AQ31" s="52" t="str">
        <f t="shared" ca="1" si="56"/>
        <v/>
      </c>
      <c r="AR31" s="52" t="str">
        <f t="shared" ca="1" si="56"/>
        <v/>
      </c>
      <c r="AS31" s="52" t="str">
        <f t="shared" ca="1" si="56"/>
        <v/>
      </c>
      <c r="AT31" s="52" t="str">
        <f t="shared" ca="1" si="56"/>
        <v/>
      </c>
      <c r="AU31" s="52" t="str">
        <f t="shared" ca="1" si="56"/>
        <v/>
      </c>
      <c r="AV31" s="52" t="str">
        <f t="shared" ca="1" si="56"/>
        <v/>
      </c>
      <c r="AW31" s="52" t="str">
        <f t="shared" ca="1" si="56"/>
        <v/>
      </c>
      <c r="AX31" s="52" t="str">
        <f t="shared" ca="1" si="56"/>
        <v/>
      </c>
      <c r="AY31" s="52" t="str">
        <f t="shared" ca="1" si="56"/>
        <v/>
      </c>
      <c r="AZ31" s="52" t="str">
        <f t="shared" ca="1" si="56"/>
        <v/>
      </c>
      <c r="BA31" s="52" t="str">
        <f t="shared" ca="1" si="56"/>
        <v/>
      </c>
      <c r="BB31" s="52" t="str">
        <f t="shared" ca="1" si="56"/>
        <v/>
      </c>
      <c r="BC31" s="52" t="str">
        <f t="shared" ca="1" si="56"/>
        <v/>
      </c>
      <c r="BD31" s="52" t="str">
        <f t="shared" ca="1" si="56"/>
        <v/>
      </c>
      <c r="BE31" s="52" t="str">
        <f t="shared" ca="1" si="56"/>
        <v/>
      </c>
      <c r="BF31" s="52" t="str">
        <f t="shared" ca="1" si="56"/>
        <v/>
      </c>
      <c r="BG31" s="52" t="str">
        <f t="shared" ca="1" si="56"/>
        <v/>
      </c>
      <c r="BH31" s="52" t="str">
        <f t="shared" ca="1" si="56"/>
        <v/>
      </c>
      <c r="BI31" s="52" t="str">
        <f t="shared" ca="1" si="56"/>
        <v/>
      </c>
      <c r="BJ31" s="52" t="str">
        <f t="shared" ca="1" si="56"/>
        <v/>
      </c>
      <c r="BK31" s="52" t="str">
        <f t="shared" ca="1" si="56"/>
        <v/>
      </c>
      <c r="BL31" s="52" t="str">
        <f t="shared" ca="1" si="56"/>
        <v/>
      </c>
      <c r="BM31" s="52" t="str">
        <f t="shared" ca="1" si="56"/>
        <v/>
      </c>
      <c r="BN31" t="str">
        <f t="shared" ca="1" si="56"/>
        <v/>
      </c>
      <c r="BO31" t="str">
        <f t="shared" ca="1" si="56"/>
        <v/>
      </c>
      <c r="BP31" t="str">
        <f t="shared" ca="1" si="56"/>
        <v/>
      </c>
    </row>
    <row r="32" spans="1:68" ht="15" customHeight="1" x14ac:dyDescent="0.3">
      <c r="A32" s="10" t="str">
        <f>IF(Job_Master!A32="","",Job_Master!A32)</f>
        <v>BJ-125</v>
      </c>
      <c r="B32" s="10">
        <f>IF($A32="","",Job_Master!B32)</f>
        <v>25</v>
      </c>
      <c r="C32" s="10" t="str">
        <f>IF($A32="","",Job_Master!C32)</f>
        <v>SEG</v>
      </c>
      <c r="D32" s="10">
        <f>IF($A32="","",Job_Master!D32)</f>
        <v>6</v>
      </c>
      <c r="E32" s="48" t="str">
        <f>IF($A32="","","QC-MC-03")</f>
        <v>QC-MC-03</v>
      </c>
      <c r="F32" s="10" t="str">
        <f>IF($E32="","",IFERROR(VLOOKUP($E32,Machine_List!$B:$G,6,0),""))</f>
        <v>General Workman</v>
      </c>
      <c r="G32" s="53">
        <f>IF($E32="","",IFERROR(VLOOKUP($E32,Machine_List!$B:$C,2,0),""))</f>
        <v>46172</v>
      </c>
      <c r="H32" s="10">
        <f>IF($E32="","",IFERROR(VLOOKUP($E32,Machine_List!$B:$D,3,0),""))</f>
        <v>6</v>
      </c>
      <c r="I32" s="54"/>
      <c r="J32" s="55">
        <f ca="1">IF($A32="","",IF($I32&lt;&gt;"",$I32,MAX(FID_Plan!$M32,IFERROR(LOOKUP(2,1/($E$3:INDIRECT("E"&amp;(ROW()-1))=$E32),$M$3:INDIRECT("M"&amp;(ROW()-1))),FID_Plan!$M32))))</f>
        <v>46189.759920634904</v>
      </c>
      <c r="K32" s="10">
        <f>IF($A32="","",IFERROR(VLOOKUP(B32,CHOOSE(MATCH(C32,Settings!$L$4:$L$10,0),OPR_2P!$A$4:$I$18,SEG_6P!$A$4:$I$18,SOL_4P!$A$4:$I$18,RW_2P!$A$4:$I$18,RW2_4P!$A$4:$I$18,FLAP_4P!$A$4:$I$18,TUBE_4P!$A$4:$I$18),8,0),0))</f>
        <v>23</v>
      </c>
      <c r="L32" s="10">
        <f t="shared" si="0"/>
        <v>138</v>
      </c>
      <c r="M32" s="55">
        <f ca="1">IF($A32="","",$J32+($L32/(IF(F32="Contract Workman",Settings!$K$5,Settings!$K$4))))</f>
        <v>46196.148809523795</v>
      </c>
      <c r="N32" s="10" t="str">
        <f t="shared" ca="1" si="1"/>
        <v>Shift C</v>
      </c>
      <c r="O32" s="51" t="str">
        <f>IF(B32="","", IF(IFERROR(ISNUMBER(SEARCH(B32, VLOOKUP(E32, Machine_List!$B:$J, 9, 0))), FALSE()), "✅ Machine OK", "❌ Sug: " &amp; IFERROR(INDEX(Machine_List!$B$4:$B$50, MATCH("*"&amp;B32&amp;"*", Machine_List!$J$4:$J$50, 0)), "Check Limits")))</f>
        <v>✅ Machine OK</v>
      </c>
      <c r="P32" s="52" t="str">
        <f t="shared" ref="P32:AC32" ca="1" si="57">IF(AND(Q$3&gt;=$J32, Q$3&lt;$M32), $A32, "")</f>
        <v/>
      </c>
      <c r="Q32" s="52" t="str">
        <f t="shared" ca="1" si="57"/>
        <v/>
      </c>
      <c r="R32" s="52" t="str">
        <f t="shared" ca="1" si="57"/>
        <v/>
      </c>
      <c r="S32" s="52" t="str">
        <f t="shared" ca="1" si="57"/>
        <v/>
      </c>
      <c r="T32" s="52" t="str">
        <f t="shared" ca="1" si="57"/>
        <v/>
      </c>
      <c r="U32" s="52" t="str">
        <f t="shared" ca="1" si="57"/>
        <v/>
      </c>
      <c r="V32" s="52" t="str">
        <f t="shared" ca="1" si="57"/>
        <v/>
      </c>
      <c r="W32" s="52" t="str">
        <f t="shared" ca="1" si="57"/>
        <v/>
      </c>
      <c r="X32" s="52" t="str">
        <f t="shared" ca="1" si="57"/>
        <v/>
      </c>
      <c r="Y32" s="52" t="str">
        <f t="shared" ca="1" si="57"/>
        <v/>
      </c>
      <c r="Z32" s="52" t="str">
        <f t="shared" ca="1" si="57"/>
        <v/>
      </c>
      <c r="AA32" s="52" t="str">
        <f t="shared" ca="1" si="57"/>
        <v/>
      </c>
      <c r="AB32" s="52" t="str">
        <f t="shared" ca="1" si="57"/>
        <v/>
      </c>
      <c r="AC32" s="52" t="str">
        <f t="shared" ca="1" si="57"/>
        <v/>
      </c>
      <c r="AD32" s="52" t="str">
        <f t="shared" ref="AD32:BP32" ca="1" si="58">IF(AND(AE$3&gt;=$J32, AE$3&lt;$M32), $A32, "")</f>
        <v/>
      </c>
      <c r="AE32" s="52" t="str">
        <f t="shared" ca="1" si="58"/>
        <v/>
      </c>
      <c r="AF32" s="52" t="str">
        <f t="shared" ca="1" si="58"/>
        <v/>
      </c>
      <c r="AG32" s="52" t="str">
        <f t="shared" ca="1" si="58"/>
        <v/>
      </c>
      <c r="AH32" s="52" t="str">
        <f t="shared" ca="1" si="58"/>
        <v/>
      </c>
      <c r="AI32" s="52" t="str">
        <f t="shared" ca="1" si="58"/>
        <v/>
      </c>
      <c r="AJ32" s="52" t="str">
        <f t="shared" ca="1" si="58"/>
        <v/>
      </c>
      <c r="AK32" s="52" t="str">
        <f t="shared" ca="1" si="58"/>
        <v/>
      </c>
      <c r="AL32" s="52" t="str">
        <f t="shared" ca="1" si="58"/>
        <v/>
      </c>
      <c r="AM32" s="52" t="str">
        <f t="shared" ca="1" si="58"/>
        <v/>
      </c>
      <c r="AN32" s="52" t="str">
        <f t="shared" ca="1" si="58"/>
        <v/>
      </c>
      <c r="AO32" s="52" t="str">
        <f t="shared" ca="1" si="58"/>
        <v/>
      </c>
      <c r="AP32" s="52" t="str">
        <f t="shared" ca="1" si="58"/>
        <v/>
      </c>
      <c r="AQ32" s="52" t="str">
        <f t="shared" ca="1" si="58"/>
        <v/>
      </c>
      <c r="AR32" s="52" t="str">
        <f t="shared" ca="1" si="58"/>
        <v/>
      </c>
      <c r="AS32" s="52" t="str">
        <f t="shared" ca="1" si="58"/>
        <v/>
      </c>
      <c r="AT32" s="52" t="str">
        <f t="shared" ca="1" si="58"/>
        <v/>
      </c>
      <c r="AU32" s="52" t="str">
        <f t="shared" ca="1" si="58"/>
        <v/>
      </c>
      <c r="AV32" s="52" t="str">
        <f t="shared" ca="1" si="58"/>
        <v/>
      </c>
      <c r="AW32" s="52" t="str">
        <f t="shared" ca="1" si="58"/>
        <v/>
      </c>
      <c r="AX32" s="52" t="str">
        <f t="shared" ca="1" si="58"/>
        <v/>
      </c>
      <c r="AY32" s="52" t="str">
        <f t="shared" ca="1" si="58"/>
        <v/>
      </c>
      <c r="AZ32" s="52" t="str">
        <f t="shared" ca="1" si="58"/>
        <v/>
      </c>
      <c r="BA32" s="52" t="str">
        <f t="shared" ca="1" si="58"/>
        <v/>
      </c>
      <c r="BB32" s="52" t="str">
        <f t="shared" ca="1" si="58"/>
        <v/>
      </c>
      <c r="BC32" s="52" t="str">
        <f t="shared" ca="1" si="58"/>
        <v/>
      </c>
      <c r="BD32" s="52" t="str">
        <f t="shared" ca="1" si="58"/>
        <v/>
      </c>
      <c r="BE32" s="52" t="str">
        <f t="shared" ca="1" si="58"/>
        <v/>
      </c>
      <c r="BF32" s="52" t="str">
        <f t="shared" ca="1" si="58"/>
        <v/>
      </c>
      <c r="BG32" s="52" t="str">
        <f t="shared" ca="1" si="58"/>
        <v/>
      </c>
      <c r="BH32" s="52" t="str">
        <f t="shared" ca="1" si="58"/>
        <v/>
      </c>
      <c r="BI32" s="52" t="str">
        <f t="shared" ca="1" si="58"/>
        <v/>
      </c>
      <c r="BJ32" s="52" t="str">
        <f t="shared" ca="1" si="58"/>
        <v/>
      </c>
      <c r="BK32" s="52" t="str">
        <f t="shared" ca="1" si="58"/>
        <v/>
      </c>
      <c r="BL32" s="52" t="str">
        <f t="shared" ca="1" si="58"/>
        <v/>
      </c>
      <c r="BM32" s="52" t="str">
        <f t="shared" ca="1" si="58"/>
        <v/>
      </c>
      <c r="BN32" t="str">
        <f t="shared" ca="1" si="58"/>
        <v/>
      </c>
      <c r="BO32" t="str">
        <f t="shared" ca="1" si="58"/>
        <v/>
      </c>
      <c r="BP32" t="str">
        <f t="shared" ca="1" si="58"/>
        <v/>
      </c>
    </row>
    <row r="33" spans="1:68" ht="15" customHeight="1" x14ac:dyDescent="0.3">
      <c r="A33" s="10" t="str">
        <f>IF(Job_Master!A33="","",Job_Master!A33)</f>
        <v>BJ-129</v>
      </c>
      <c r="B33" s="10">
        <f>IF($A33="","",Job_Master!B33)</f>
        <v>9</v>
      </c>
      <c r="C33" s="10" t="str">
        <f>IF($A33="","",Job_Master!C33)</f>
        <v>RW</v>
      </c>
      <c r="D33" s="10">
        <f>IF($A33="","",Job_Master!D33)</f>
        <v>2</v>
      </c>
      <c r="E33" s="48" t="str">
        <f>IF($A33="","","QC-MC-05")</f>
        <v>QC-MC-05</v>
      </c>
      <c r="F33" s="10" t="str">
        <f>IF($E33="","",IFERROR(VLOOKUP($E33,Machine_List!$B:$G,6,0),""))</f>
        <v>General Workman</v>
      </c>
      <c r="G33" s="53">
        <f>IF($E33="","",IFERROR(VLOOKUP($E33,Machine_List!$B:$C,2,0),""))</f>
        <v>46373</v>
      </c>
      <c r="H33" s="10">
        <f>IF($E33="","",IFERROR(VLOOKUP($E33,Machine_List!$B:$D,3,0),""))</f>
        <v>6</v>
      </c>
      <c r="I33" s="54"/>
      <c r="J33" s="55">
        <f ca="1">IF($A33="","",IF($I33&lt;&gt;"",$I33,MAX(FID_Plan!$M33,IFERROR(LOOKUP(2,1/($E$3:INDIRECT("E"&amp;(ROW()-1))=$E33),$M$3:INDIRECT("M"&amp;(ROW()-1))),FID_Plan!$M33))))</f>
        <v>46168.109788359783</v>
      </c>
      <c r="K33" s="10">
        <f>IF($A33="","",IFERROR(VLOOKUP(B33,CHOOSE(MATCH(C33,Settings!$L$4:$L$10,0),OPR_2P!$A$4:$I$18,SEG_6P!$A$4:$I$18,SOL_4P!$A$4:$I$18,RW_2P!$A$4:$I$18,RW2_4P!$A$4:$I$18,FLAP_4P!$A$4:$I$18,TUBE_4P!$A$4:$I$18),8,0),0))</f>
        <v>5</v>
      </c>
      <c r="L33" s="10">
        <f t="shared" si="0"/>
        <v>10</v>
      </c>
      <c r="M33" s="55">
        <f ca="1">IF($A33="","",$J33+($L33/(IF(F33="Contract Workman",Settings!$K$5,Settings!$K$4))))</f>
        <v>46168.572751322747</v>
      </c>
      <c r="N33" s="10" t="str">
        <f t="shared" ca="1" si="1"/>
        <v>Shift A</v>
      </c>
      <c r="O33" s="51" t="str">
        <f>IF(B33="","", IF(IFERROR(ISNUMBER(SEARCH(B33, VLOOKUP(E33, Machine_List!$B:$J, 9, 0))), FALSE()), "✅ Machine OK", "❌ Sug: " &amp; IFERROR(INDEX(Machine_List!$B$4:$B$50, MATCH("*"&amp;B33&amp;"*", Machine_List!$J$4:$J$50, 0)), "Check Limits")))</f>
        <v>✅ Machine OK</v>
      </c>
      <c r="P33" s="52" t="str">
        <f t="shared" ref="P33:AC33" ca="1" si="59">IF(AND(Q$3&gt;=$J33, Q$3&lt;$M33), $A33, "")</f>
        <v/>
      </c>
      <c r="Q33" s="52" t="str">
        <f t="shared" ca="1" si="59"/>
        <v/>
      </c>
      <c r="R33" s="52" t="str">
        <f t="shared" ca="1" si="59"/>
        <v/>
      </c>
      <c r="S33" s="52" t="str">
        <f t="shared" ca="1" si="59"/>
        <v/>
      </c>
      <c r="T33" s="52" t="str">
        <f t="shared" ca="1" si="59"/>
        <v/>
      </c>
      <c r="U33" s="52" t="str">
        <f t="shared" ca="1" si="59"/>
        <v/>
      </c>
      <c r="V33" s="52" t="str">
        <f t="shared" ca="1" si="59"/>
        <v/>
      </c>
      <c r="W33" s="52" t="str">
        <f t="shared" ca="1" si="59"/>
        <v/>
      </c>
      <c r="X33" s="52" t="str">
        <f t="shared" ca="1" si="59"/>
        <v/>
      </c>
      <c r="Y33" s="52" t="str">
        <f t="shared" ca="1" si="59"/>
        <v/>
      </c>
      <c r="Z33" s="52" t="str">
        <f t="shared" ca="1" si="59"/>
        <v/>
      </c>
      <c r="AA33" s="52" t="str">
        <f t="shared" ca="1" si="59"/>
        <v/>
      </c>
      <c r="AB33" s="52" t="str">
        <f t="shared" ca="1" si="59"/>
        <v/>
      </c>
      <c r="AC33" s="52" t="str">
        <f t="shared" ca="1" si="59"/>
        <v/>
      </c>
      <c r="AD33" s="52" t="str">
        <f t="shared" ref="AD33:BP33" ca="1" si="60">IF(AND(AE$3&gt;=$J33, AE$3&lt;$M33), $A33, "")</f>
        <v/>
      </c>
      <c r="AE33" s="52" t="str">
        <f t="shared" ca="1" si="60"/>
        <v/>
      </c>
      <c r="AF33" s="52" t="str">
        <f t="shared" ca="1" si="60"/>
        <v/>
      </c>
      <c r="AG33" s="52" t="str">
        <f t="shared" ca="1" si="60"/>
        <v/>
      </c>
      <c r="AH33" s="52" t="str">
        <f t="shared" ca="1" si="60"/>
        <v/>
      </c>
      <c r="AI33" s="52" t="str">
        <f t="shared" ca="1" si="60"/>
        <v/>
      </c>
      <c r="AJ33" s="52" t="str">
        <f t="shared" ca="1" si="60"/>
        <v/>
      </c>
      <c r="AK33" s="52" t="str">
        <f t="shared" ca="1" si="60"/>
        <v/>
      </c>
      <c r="AL33" s="52" t="str">
        <f t="shared" ca="1" si="60"/>
        <v/>
      </c>
      <c r="AM33" s="52" t="str">
        <f t="shared" ca="1" si="60"/>
        <v/>
      </c>
      <c r="AN33" s="52" t="str">
        <f t="shared" ca="1" si="60"/>
        <v/>
      </c>
      <c r="AO33" s="52" t="str">
        <f t="shared" ca="1" si="60"/>
        <v/>
      </c>
      <c r="AP33" s="52" t="str">
        <f t="shared" ca="1" si="60"/>
        <v/>
      </c>
      <c r="AQ33" s="52" t="str">
        <f t="shared" ca="1" si="60"/>
        <v/>
      </c>
      <c r="AR33" s="52" t="str">
        <f t="shared" ca="1" si="60"/>
        <v/>
      </c>
      <c r="AS33" s="52" t="str">
        <f t="shared" ca="1" si="60"/>
        <v/>
      </c>
      <c r="AT33" s="52" t="str">
        <f t="shared" ca="1" si="60"/>
        <v/>
      </c>
      <c r="AU33" s="52" t="str">
        <f t="shared" ca="1" si="60"/>
        <v/>
      </c>
      <c r="AV33" s="52" t="str">
        <f t="shared" ca="1" si="60"/>
        <v/>
      </c>
      <c r="AW33" s="52" t="str">
        <f t="shared" ca="1" si="60"/>
        <v/>
      </c>
      <c r="AX33" s="52" t="str">
        <f t="shared" ca="1" si="60"/>
        <v/>
      </c>
      <c r="AY33" s="52" t="str">
        <f t="shared" ca="1" si="60"/>
        <v/>
      </c>
      <c r="AZ33" s="52" t="str">
        <f t="shared" ca="1" si="60"/>
        <v/>
      </c>
      <c r="BA33" s="52" t="str">
        <f t="shared" ca="1" si="60"/>
        <v/>
      </c>
      <c r="BB33" s="52" t="str">
        <f t="shared" ca="1" si="60"/>
        <v/>
      </c>
      <c r="BC33" s="52" t="str">
        <f t="shared" ca="1" si="60"/>
        <v/>
      </c>
      <c r="BD33" s="52" t="str">
        <f t="shared" ca="1" si="60"/>
        <v/>
      </c>
      <c r="BE33" s="52" t="str">
        <f t="shared" ca="1" si="60"/>
        <v/>
      </c>
      <c r="BF33" s="52" t="str">
        <f t="shared" ca="1" si="60"/>
        <v/>
      </c>
      <c r="BG33" s="52" t="str">
        <f t="shared" ca="1" si="60"/>
        <v/>
      </c>
      <c r="BH33" s="52" t="str">
        <f t="shared" ca="1" si="60"/>
        <v/>
      </c>
      <c r="BI33" s="52" t="str">
        <f t="shared" ca="1" si="60"/>
        <v/>
      </c>
      <c r="BJ33" s="52" t="str">
        <f t="shared" ca="1" si="60"/>
        <v/>
      </c>
      <c r="BK33" s="52" t="str">
        <f t="shared" ca="1" si="60"/>
        <v/>
      </c>
      <c r="BL33" s="52" t="str">
        <f t="shared" ca="1" si="60"/>
        <v/>
      </c>
      <c r="BM33" s="52" t="str">
        <f t="shared" ca="1" si="60"/>
        <v/>
      </c>
      <c r="BN33" t="str">
        <f t="shared" ca="1" si="60"/>
        <v/>
      </c>
      <c r="BO33" t="str">
        <f t="shared" ca="1" si="60"/>
        <v/>
      </c>
      <c r="BP33" t="str">
        <f t="shared" ca="1" si="60"/>
        <v/>
      </c>
    </row>
    <row r="34" spans="1:68" ht="15" customHeight="1" x14ac:dyDescent="0.3">
      <c r="A34" s="10" t="str">
        <f>IF(Job_Master!A34="","",Job_Master!A34)</f>
        <v>BJ-130</v>
      </c>
      <c r="B34" s="10">
        <f>IF($A34="","",Job_Master!B34)</f>
        <v>57</v>
      </c>
      <c r="C34" s="10" t="str">
        <f>IF($A34="","",Job_Master!C34)</f>
        <v>RW</v>
      </c>
      <c r="D34" s="10">
        <f>IF($A34="","",Job_Master!D34)</f>
        <v>2</v>
      </c>
      <c r="E34" s="48" t="str">
        <f>IF($A34="","","QC-MC-03")</f>
        <v>QC-MC-03</v>
      </c>
      <c r="F34" s="10" t="str">
        <f>IF($E34="","",IFERROR(VLOOKUP($E34,Machine_List!$B:$G,6,0),""))</f>
        <v>General Workman</v>
      </c>
      <c r="G34" s="53">
        <f>IF($E34="","",IFERROR(VLOOKUP($E34,Machine_List!$B:$C,2,0),""))</f>
        <v>46172</v>
      </c>
      <c r="H34" s="10">
        <f>IF($E34="","",IFERROR(VLOOKUP($E34,Machine_List!$B:$D,3,0),""))</f>
        <v>6</v>
      </c>
      <c r="I34" s="54"/>
      <c r="J34" s="55">
        <f ca="1">IF($A34="","",IF($I34&lt;&gt;"",$I34,MAX(FID_Plan!$M34,IFERROR(LOOKUP(2,1/($E$3:INDIRECT("E"&amp;(ROW()-1))=$E34),$M$3:INDIRECT("M"&amp;(ROW()-1))),FID_Plan!$M34))))</f>
        <v>46196.148809523795</v>
      </c>
      <c r="K34" s="10">
        <f>IF($A34="","",IFERROR(VLOOKUP(B34,CHOOSE(MATCH(C34,Settings!$L$4:$L$10,0),OPR_2P!$A$4:$I$18,SEG_6P!$A$4:$I$18,SOL_4P!$A$4:$I$18,RW_2P!$A$4:$I$18,RW2_4P!$A$4:$I$18,FLAP_4P!$A$4:$I$18,TUBE_4P!$A$4:$I$18),8,0),0))</f>
        <v>77</v>
      </c>
      <c r="L34" s="10">
        <f t="shared" si="0"/>
        <v>154</v>
      </c>
      <c r="M34" s="55">
        <f ca="1">IF($A34="","",$J34+($L34/(IF(F34="Contract Workman",Settings!$K$5,Settings!$K$4))))</f>
        <v>46203.278439153422</v>
      </c>
      <c r="N34" s="10" t="str">
        <f t="shared" ca="1" si="1"/>
        <v>Shift C</v>
      </c>
      <c r="O34" s="51" t="str">
        <f>IF(B34="","", IF(IFERROR(ISNUMBER(SEARCH(B34, VLOOKUP(E34, Machine_List!$B:$J, 9, 0))), FALSE()), "✅ Machine OK", "❌ Sug: " &amp; IFERROR(INDEX(Machine_List!$B$4:$B$50, MATCH("*"&amp;B34&amp;"*", Machine_List!$J$4:$J$50, 0)), "Check Limits")))</f>
        <v>✅ Machine OK</v>
      </c>
      <c r="P34" s="52" t="str">
        <f t="shared" ref="P34:AC34" ca="1" si="61">IF(AND(Q$3&gt;=$J34, Q$3&lt;$M34), $A34, "")</f>
        <v/>
      </c>
      <c r="Q34" s="52" t="str">
        <f t="shared" ca="1" si="61"/>
        <v/>
      </c>
      <c r="R34" s="52" t="str">
        <f t="shared" ca="1" si="61"/>
        <v/>
      </c>
      <c r="S34" s="52" t="str">
        <f t="shared" ca="1" si="61"/>
        <v/>
      </c>
      <c r="T34" s="52" t="str">
        <f t="shared" ca="1" si="61"/>
        <v/>
      </c>
      <c r="U34" s="52" t="str">
        <f t="shared" ca="1" si="61"/>
        <v/>
      </c>
      <c r="V34" s="52" t="str">
        <f t="shared" ca="1" si="61"/>
        <v/>
      </c>
      <c r="W34" s="52" t="str">
        <f t="shared" ca="1" si="61"/>
        <v/>
      </c>
      <c r="X34" s="52" t="str">
        <f t="shared" ca="1" si="61"/>
        <v/>
      </c>
      <c r="Y34" s="52" t="str">
        <f t="shared" ca="1" si="61"/>
        <v/>
      </c>
      <c r="Z34" s="52" t="str">
        <f t="shared" ca="1" si="61"/>
        <v/>
      </c>
      <c r="AA34" s="52" t="str">
        <f t="shared" ca="1" si="61"/>
        <v/>
      </c>
      <c r="AB34" s="52" t="str">
        <f t="shared" ca="1" si="61"/>
        <v/>
      </c>
      <c r="AC34" s="52" t="str">
        <f t="shared" ca="1" si="61"/>
        <v/>
      </c>
      <c r="AD34" s="52" t="str">
        <f t="shared" ref="AD34:BP34" ca="1" si="62">IF(AND(AE$3&gt;=$J34, AE$3&lt;$M34), $A34, "")</f>
        <v/>
      </c>
      <c r="AE34" s="52" t="str">
        <f t="shared" ca="1" si="62"/>
        <v/>
      </c>
      <c r="AF34" s="52" t="str">
        <f t="shared" ca="1" si="62"/>
        <v/>
      </c>
      <c r="AG34" s="52" t="str">
        <f t="shared" ca="1" si="62"/>
        <v/>
      </c>
      <c r="AH34" s="52" t="str">
        <f t="shared" ca="1" si="62"/>
        <v/>
      </c>
      <c r="AI34" s="52" t="str">
        <f t="shared" ca="1" si="62"/>
        <v/>
      </c>
      <c r="AJ34" s="52" t="str">
        <f t="shared" ca="1" si="62"/>
        <v/>
      </c>
      <c r="AK34" s="52" t="str">
        <f t="shared" ca="1" si="62"/>
        <v/>
      </c>
      <c r="AL34" s="52" t="str">
        <f t="shared" ca="1" si="62"/>
        <v/>
      </c>
      <c r="AM34" s="52" t="str">
        <f t="shared" ca="1" si="62"/>
        <v/>
      </c>
      <c r="AN34" s="52" t="str">
        <f t="shared" ca="1" si="62"/>
        <v/>
      </c>
      <c r="AO34" s="52" t="str">
        <f t="shared" ca="1" si="62"/>
        <v/>
      </c>
      <c r="AP34" s="52" t="str">
        <f t="shared" ca="1" si="62"/>
        <v/>
      </c>
      <c r="AQ34" s="52" t="str">
        <f t="shared" ca="1" si="62"/>
        <v/>
      </c>
      <c r="AR34" s="52" t="str">
        <f t="shared" ca="1" si="62"/>
        <v/>
      </c>
      <c r="AS34" s="52" t="str">
        <f t="shared" ca="1" si="62"/>
        <v/>
      </c>
      <c r="AT34" s="52" t="str">
        <f t="shared" ca="1" si="62"/>
        <v/>
      </c>
      <c r="AU34" s="52" t="str">
        <f t="shared" ca="1" si="62"/>
        <v/>
      </c>
      <c r="AV34" s="52" t="str">
        <f t="shared" ca="1" si="62"/>
        <v/>
      </c>
      <c r="AW34" s="52" t="str">
        <f t="shared" ca="1" si="62"/>
        <v/>
      </c>
      <c r="AX34" s="52" t="str">
        <f t="shared" ca="1" si="62"/>
        <v/>
      </c>
      <c r="AY34" s="52" t="str">
        <f t="shared" ca="1" si="62"/>
        <v/>
      </c>
      <c r="AZ34" s="52" t="str">
        <f t="shared" ca="1" si="62"/>
        <v/>
      </c>
      <c r="BA34" s="52" t="str">
        <f t="shared" ca="1" si="62"/>
        <v/>
      </c>
      <c r="BB34" s="52" t="str">
        <f t="shared" ca="1" si="62"/>
        <v/>
      </c>
      <c r="BC34" s="52" t="str">
        <f t="shared" ca="1" si="62"/>
        <v/>
      </c>
      <c r="BD34" s="52" t="str">
        <f t="shared" ca="1" si="62"/>
        <v/>
      </c>
      <c r="BE34" s="52" t="str">
        <f t="shared" ca="1" si="62"/>
        <v/>
      </c>
      <c r="BF34" s="52" t="str">
        <f t="shared" ca="1" si="62"/>
        <v/>
      </c>
      <c r="BG34" s="52" t="str">
        <f t="shared" ca="1" si="62"/>
        <v/>
      </c>
      <c r="BH34" s="52" t="str">
        <f t="shared" ca="1" si="62"/>
        <v/>
      </c>
      <c r="BI34" s="52" t="str">
        <f t="shared" ca="1" si="62"/>
        <v/>
      </c>
      <c r="BJ34" s="52" t="str">
        <f t="shared" ca="1" si="62"/>
        <v/>
      </c>
      <c r="BK34" s="52" t="str">
        <f t="shared" ca="1" si="62"/>
        <v/>
      </c>
      <c r="BL34" s="52" t="str">
        <f t="shared" ca="1" si="62"/>
        <v/>
      </c>
      <c r="BM34" s="52" t="str">
        <f t="shared" ca="1" si="62"/>
        <v/>
      </c>
      <c r="BN34" t="str">
        <f t="shared" ca="1" si="62"/>
        <v/>
      </c>
      <c r="BO34" t="str">
        <f t="shared" ca="1" si="62"/>
        <v/>
      </c>
      <c r="BP34" t="str">
        <f t="shared" ca="1" si="62"/>
        <v/>
      </c>
    </row>
    <row r="35" spans="1:68" ht="15" customHeight="1" x14ac:dyDescent="0.3">
      <c r="A35" s="10" t="str">
        <f>IF(Job_Master!A35="","",Job_Master!A35)</f>
        <v>BJ-133</v>
      </c>
      <c r="B35" s="10">
        <f>IF($A35="","",Job_Master!B35)</f>
        <v>25</v>
      </c>
      <c r="C35" s="10" t="str">
        <f>IF($A35="","",Job_Master!C35)</f>
        <v>RW</v>
      </c>
      <c r="D35" s="10">
        <f>IF($A35="","",Job_Master!D35)</f>
        <v>2</v>
      </c>
      <c r="E35" s="48" t="str">
        <f>IF($A35="","","QC-MC-05")</f>
        <v>QC-MC-05</v>
      </c>
      <c r="F35" s="10" t="str">
        <f>IF($E35="","",IFERROR(VLOOKUP($E35,Machine_List!$B:$G,6,0),""))</f>
        <v>General Workman</v>
      </c>
      <c r="G35" s="53">
        <f>IF($E35="","",IFERROR(VLOOKUP($E35,Machine_List!$B:$C,2,0),""))</f>
        <v>46373</v>
      </c>
      <c r="H35" s="10">
        <f>IF($E35="","",IFERROR(VLOOKUP($E35,Machine_List!$B:$D,3,0),""))</f>
        <v>6</v>
      </c>
      <c r="I35" s="54"/>
      <c r="J35" s="55">
        <f ca="1">IF($A35="","",IF($I35&lt;&gt;"",$I35,MAX(FID_Plan!$M35,IFERROR(LOOKUP(2,1/($E$3:INDIRECT("E"&amp;(ROW()-1))=$E35),$M$3:INDIRECT("M"&amp;(ROW()-1))),FID_Plan!$M35))))</f>
        <v>46168.820767195757</v>
      </c>
      <c r="K35" s="10">
        <f>IF($A35="","",IFERROR(VLOOKUP(B35,CHOOSE(MATCH(C35,Settings!$L$4:$L$10,0),OPR_2P!$A$4:$I$18,SEG_6P!$A$4:$I$18,SOL_4P!$A$4:$I$18,RW_2P!$A$4:$I$18,RW2_4P!$A$4:$I$18,FLAP_4P!$A$4:$I$18,TUBE_4P!$A$4:$I$18),8,0),0))</f>
        <v>16</v>
      </c>
      <c r="L35" s="10">
        <f t="shared" si="0"/>
        <v>32</v>
      </c>
      <c r="M35" s="55">
        <f ca="1">IF($A35="","",$J35+($L35/(IF(F35="Contract Workman",Settings!$K$5,Settings!$K$4))))</f>
        <v>46170.302248677239</v>
      </c>
      <c r="N35" s="10" t="str">
        <f t="shared" ca="1" si="1"/>
        <v>Shift A</v>
      </c>
      <c r="O35" s="51" t="str">
        <f>IF(B35="","", IF(IFERROR(ISNUMBER(SEARCH(B35, VLOOKUP(E35, Machine_List!$B:$J, 9, 0))), FALSE()), "✅ Machine OK", "❌ Sug: " &amp; IFERROR(INDEX(Machine_List!$B$4:$B$50, MATCH("*"&amp;B35&amp;"*", Machine_List!$J$4:$J$50, 0)), "Check Limits")))</f>
        <v>✅ Machine OK</v>
      </c>
      <c r="P35" s="52" t="str">
        <f t="shared" ref="P35:AC35" ca="1" si="63">IF(AND(Q$3&gt;=$J35, Q$3&lt;$M35), $A35, "")</f>
        <v/>
      </c>
      <c r="Q35" s="52" t="str">
        <f t="shared" ca="1" si="63"/>
        <v/>
      </c>
      <c r="R35" s="52" t="str">
        <f t="shared" ca="1" si="63"/>
        <v/>
      </c>
      <c r="S35" s="52" t="str">
        <f t="shared" ca="1" si="63"/>
        <v/>
      </c>
      <c r="T35" s="52" t="str">
        <f t="shared" ca="1" si="63"/>
        <v/>
      </c>
      <c r="U35" s="52" t="str">
        <f t="shared" ca="1" si="63"/>
        <v/>
      </c>
      <c r="V35" s="52" t="str">
        <f t="shared" ca="1" si="63"/>
        <v/>
      </c>
      <c r="W35" s="52" t="str">
        <f t="shared" ca="1" si="63"/>
        <v/>
      </c>
      <c r="X35" s="52" t="str">
        <f t="shared" ca="1" si="63"/>
        <v/>
      </c>
      <c r="Y35" s="52" t="str">
        <f t="shared" ca="1" si="63"/>
        <v/>
      </c>
      <c r="Z35" s="52" t="str">
        <f t="shared" ca="1" si="63"/>
        <v/>
      </c>
      <c r="AA35" s="52" t="str">
        <f t="shared" ca="1" si="63"/>
        <v/>
      </c>
      <c r="AB35" s="52" t="str">
        <f t="shared" ca="1" si="63"/>
        <v/>
      </c>
      <c r="AC35" s="52" t="str">
        <f t="shared" ca="1" si="63"/>
        <v/>
      </c>
      <c r="AD35" s="52" t="str">
        <f t="shared" ref="AD35:BP35" ca="1" si="64">IF(AND(AE$3&gt;=$J35, AE$3&lt;$M35), $A35, "")</f>
        <v/>
      </c>
      <c r="AE35" s="52" t="str">
        <f t="shared" ca="1" si="64"/>
        <v/>
      </c>
      <c r="AF35" s="52" t="str">
        <f t="shared" ca="1" si="64"/>
        <v/>
      </c>
      <c r="AG35" s="52" t="str">
        <f t="shared" ca="1" si="64"/>
        <v/>
      </c>
      <c r="AH35" s="52" t="str">
        <f t="shared" ca="1" si="64"/>
        <v/>
      </c>
      <c r="AI35" s="52" t="str">
        <f t="shared" ca="1" si="64"/>
        <v/>
      </c>
      <c r="AJ35" s="52" t="str">
        <f t="shared" ca="1" si="64"/>
        <v/>
      </c>
      <c r="AK35" s="52" t="str">
        <f t="shared" ca="1" si="64"/>
        <v/>
      </c>
      <c r="AL35" s="52" t="str">
        <f t="shared" ca="1" si="64"/>
        <v/>
      </c>
      <c r="AM35" s="52" t="str">
        <f t="shared" ca="1" si="64"/>
        <v/>
      </c>
      <c r="AN35" s="52" t="str">
        <f t="shared" ca="1" si="64"/>
        <v/>
      </c>
      <c r="AO35" s="52" t="str">
        <f t="shared" ca="1" si="64"/>
        <v/>
      </c>
      <c r="AP35" s="52" t="str">
        <f t="shared" ca="1" si="64"/>
        <v/>
      </c>
      <c r="AQ35" s="52" t="str">
        <f t="shared" ca="1" si="64"/>
        <v/>
      </c>
      <c r="AR35" s="52" t="str">
        <f t="shared" ca="1" si="64"/>
        <v/>
      </c>
      <c r="AS35" s="52" t="str">
        <f t="shared" ca="1" si="64"/>
        <v/>
      </c>
      <c r="AT35" s="52" t="str">
        <f t="shared" ca="1" si="64"/>
        <v/>
      </c>
      <c r="AU35" s="52" t="str">
        <f t="shared" ca="1" si="64"/>
        <v/>
      </c>
      <c r="AV35" s="52" t="str">
        <f t="shared" ca="1" si="64"/>
        <v/>
      </c>
      <c r="AW35" s="52" t="str">
        <f t="shared" ca="1" si="64"/>
        <v/>
      </c>
      <c r="AX35" s="52" t="str">
        <f t="shared" ca="1" si="64"/>
        <v/>
      </c>
      <c r="AY35" s="52" t="str">
        <f t="shared" ca="1" si="64"/>
        <v/>
      </c>
      <c r="AZ35" s="52" t="str">
        <f t="shared" ca="1" si="64"/>
        <v/>
      </c>
      <c r="BA35" s="52" t="str">
        <f t="shared" ca="1" si="64"/>
        <v/>
      </c>
      <c r="BB35" s="52" t="str">
        <f t="shared" ca="1" si="64"/>
        <v/>
      </c>
      <c r="BC35" s="52" t="str">
        <f t="shared" ca="1" si="64"/>
        <v/>
      </c>
      <c r="BD35" s="52" t="str">
        <f t="shared" ca="1" si="64"/>
        <v/>
      </c>
      <c r="BE35" s="52" t="str">
        <f t="shared" ca="1" si="64"/>
        <v/>
      </c>
      <c r="BF35" s="52" t="str">
        <f t="shared" ca="1" si="64"/>
        <v/>
      </c>
      <c r="BG35" s="52" t="str">
        <f t="shared" ca="1" si="64"/>
        <v/>
      </c>
      <c r="BH35" s="52" t="str">
        <f t="shared" ca="1" si="64"/>
        <v/>
      </c>
      <c r="BI35" s="52" t="str">
        <f t="shared" ca="1" si="64"/>
        <v/>
      </c>
      <c r="BJ35" s="52" t="str">
        <f t="shared" ca="1" si="64"/>
        <v/>
      </c>
      <c r="BK35" s="52" t="str">
        <f t="shared" ca="1" si="64"/>
        <v/>
      </c>
      <c r="BL35" s="52" t="str">
        <f t="shared" ca="1" si="64"/>
        <v/>
      </c>
      <c r="BM35" s="52" t="str">
        <f t="shared" ca="1" si="64"/>
        <v/>
      </c>
      <c r="BN35" t="str">
        <f t="shared" ca="1" si="64"/>
        <v/>
      </c>
      <c r="BO35" t="str">
        <f t="shared" ca="1" si="64"/>
        <v/>
      </c>
      <c r="BP35" t="str">
        <f t="shared" ca="1" si="64"/>
        <v/>
      </c>
    </row>
    <row r="36" spans="1:68" ht="15" customHeight="1" x14ac:dyDescent="0.3">
      <c r="A36" s="10" t="str">
        <f>IF(Job_Master!A36="","",Job_Master!A36)</f>
        <v>BJ-131</v>
      </c>
      <c r="B36" s="10">
        <f>IF($A36="","",Job_Master!B36)</f>
        <v>70</v>
      </c>
      <c r="C36" s="10" t="str">
        <f>IF($A36="","",Job_Master!C36)</f>
        <v>2P</v>
      </c>
      <c r="D36" s="10">
        <f>IF($A36="","",Job_Master!D36)</f>
        <v>2</v>
      </c>
      <c r="E36" s="48" t="str">
        <f>IF($A36="","","QC-MC-03")</f>
        <v>QC-MC-03</v>
      </c>
      <c r="F36" s="10" t="str">
        <f>IF($E36="","",IFERROR(VLOOKUP($E36,Machine_List!$B:$G,6,0),""))</f>
        <v>General Workman</v>
      </c>
      <c r="G36" s="53">
        <f>IF($E36="","",IFERROR(VLOOKUP($E36,Machine_List!$B:$C,2,0),""))</f>
        <v>46172</v>
      </c>
      <c r="H36" s="10">
        <f>IF($E36="","",IFERROR(VLOOKUP($E36,Machine_List!$B:$D,3,0),""))</f>
        <v>6</v>
      </c>
      <c r="I36" s="54"/>
      <c r="J36" s="55">
        <f ca="1">IF($A36="","",IF($I36&lt;&gt;"",$I36,MAX(FID_Plan!$M36,IFERROR(LOOKUP(2,1/($E$3:INDIRECT("E"&amp;(ROW()-1))=$E36),$M$3:INDIRECT("M"&amp;(ROW()-1))),FID_Plan!$M36))))</f>
        <v>46208.966269841265</v>
      </c>
      <c r="K36" s="10">
        <f>IF($A36="","",IFERROR(VLOOKUP(B36,CHOOSE(MATCH(C36,Settings!$L$4:$L$10,0),OPR_2P!$A$4:$I$18,SEG_6P!$A$4:$I$18,SOL_4P!$A$4:$I$18,RW_2P!$A$4:$I$18,RW2_4P!$A$4:$I$18,FLAP_4P!$A$4:$I$18,TUBE_4P!$A$4:$I$18),8,0),0))</f>
        <v>80</v>
      </c>
      <c r="L36" s="10">
        <f t="shared" si="0"/>
        <v>160</v>
      </c>
      <c r="M36" s="55">
        <f ca="1">IF($A36="","",$J36+($L36/(IF(F36="Contract Workman",Settings!$K$5,Settings!$K$4))))</f>
        <v>46216.373677248674</v>
      </c>
      <c r="N36" s="10" t="str">
        <f t="shared" ref="N36:N67" ca="1" si="65">IF($A36="","",IF(F36="Contract Workman",IF(AND(MOD(M36,1)&gt;=8/24,MOD(M36,1)&lt;20/24),"Shift S1","Shift S2"),IF(AND(MOD(M36,1)&gt;=7/24,MOD(M36,1)&lt;15/24),"Shift A",IF(AND(MOD(M36,1)&gt;=15/24,MOD(M36,1)&lt;23/24),"Shift B","Shift C"))))</f>
        <v>Shift A</v>
      </c>
      <c r="O36" s="51" t="str">
        <f>IF(B36="","", IF(IFERROR(ISNUMBER(SEARCH(B36, VLOOKUP(E36, Machine_List!$B:$J, 9, 0))), FALSE()), "✅ Machine OK", "❌ Sug: " &amp; IFERROR(INDEX(Machine_List!$B$4:$B$50, MATCH("*"&amp;B36&amp;"*", Machine_List!$J$4:$J$50, 0)), "Check Limits")))</f>
        <v>✅ Machine OK</v>
      </c>
      <c r="P36" s="52" t="str">
        <f t="shared" ref="P36:AC36" ca="1" si="66">IF(AND(Q$3&gt;=$J36, Q$3&lt;$M36), $A36, "")</f>
        <v/>
      </c>
      <c r="Q36" s="52" t="str">
        <f t="shared" ca="1" si="66"/>
        <v/>
      </c>
      <c r="R36" s="52" t="str">
        <f t="shared" ca="1" si="66"/>
        <v/>
      </c>
      <c r="S36" s="52" t="str">
        <f t="shared" ca="1" si="66"/>
        <v/>
      </c>
      <c r="T36" s="52" t="str">
        <f t="shared" ca="1" si="66"/>
        <v/>
      </c>
      <c r="U36" s="52" t="str">
        <f t="shared" ca="1" si="66"/>
        <v/>
      </c>
      <c r="V36" s="52" t="str">
        <f t="shared" ca="1" si="66"/>
        <v/>
      </c>
      <c r="W36" s="52" t="str">
        <f t="shared" ca="1" si="66"/>
        <v/>
      </c>
      <c r="X36" s="52" t="str">
        <f t="shared" ca="1" si="66"/>
        <v/>
      </c>
      <c r="Y36" s="52" t="str">
        <f t="shared" ca="1" si="66"/>
        <v/>
      </c>
      <c r="Z36" s="52" t="str">
        <f t="shared" ca="1" si="66"/>
        <v/>
      </c>
      <c r="AA36" s="52" t="str">
        <f t="shared" ca="1" si="66"/>
        <v/>
      </c>
      <c r="AB36" s="52" t="str">
        <f t="shared" ca="1" si="66"/>
        <v/>
      </c>
      <c r="AC36" s="52" t="str">
        <f t="shared" ca="1" si="66"/>
        <v/>
      </c>
      <c r="AD36" s="52" t="str">
        <f t="shared" ref="AD36:BP36" ca="1" si="67">IF(AND(AE$3&gt;=$J36, AE$3&lt;$M36), $A36, "")</f>
        <v/>
      </c>
      <c r="AE36" s="52" t="str">
        <f t="shared" ca="1" si="67"/>
        <v/>
      </c>
      <c r="AF36" s="52" t="str">
        <f t="shared" ca="1" si="67"/>
        <v/>
      </c>
      <c r="AG36" s="52" t="str">
        <f t="shared" ca="1" si="67"/>
        <v/>
      </c>
      <c r="AH36" s="52" t="str">
        <f t="shared" ca="1" si="67"/>
        <v/>
      </c>
      <c r="AI36" s="52" t="str">
        <f t="shared" ca="1" si="67"/>
        <v/>
      </c>
      <c r="AJ36" s="52" t="str">
        <f t="shared" ca="1" si="67"/>
        <v/>
      </c>
      <c r="AK36" s="52" t="str">
        <f t="shared" ca="1" si="67"/>
        <v/>
      </c>
      <c r="AL36" s="52" t="str">
        <f t="shared" ca="1" si="67"/>
        <v/>
      </c>
      <c r="AM36" s="52" t="str">
        <f t="shared" ca="1" si="67"/>
        <v/>
      </c>
      <c r="AN36" s="52" t="str">
        <f t="shared" ca="1" si="67"/>
        <v/>
      </c>
      <c r="AO36" s="52" t="str">
        <f t="shared" ca="1" si="67"/>
        <v/>
      </c>
      <c r="AP36" s="52" t="str">
        <f t="shared" ca="1" si="67"/>
        <v/>
      </c>
      <c r="AQ36" s="52" t="str">
        <f t="shared" ca="1" si="67"/>
        <v/>
      </c>
      <c r="AR36" s="52" t="str">
        <f t="shared" ca="1" si="67"/>
        <v/>
      </c>
      <c r="AS36" s="52" t="str">
        <f t="shared" ca="1" si="67"/>
        <v/>
      </c>
      <c r="AT36" s="52" t="str">
        <f t="shared" ca="1" si="67"/>
        <v/>
      </c>
      <c r="AU36" s="52" t="str">
        <f t="shared" ca="1" si="67"/>
        <v/>
      </c>
      <c r="AV36" s="52" t="str">
        <f t="shared" ca="1" si="67"/>
        <v/>
      </c>
      <c r="AW36" s="52" t="str">
        <f t="shared" ca="1" si="67"/>
        <v/>
      </c>
      <c r="AX36" s="52" t="str">
        <f t="shared" ca="1" si="67"/>
        <v/>
      </c>
      <c r="AY36" s="52" t="str">
        <f t="shared" ca="1" si="67"/>
        <v/>
      </c>
      <c r="AZ36" s="52" t="str">
        <f t="shared" ca="1" si="67"/>
        <v/>
      </c>
      <c r="BA36" s="52" t="str">
        <f t="shared" ca="1" si="67"/>
        <v/>
      </c>
      <c r="BB36" s="52" t="str">
        <f t="shared" ca="1" si="67"/>
        <v/>
      </c>
      <c r="BC36" s="52" t="str">
        <f t="shared" ca="1" si="67"/>
        <v/>
      </c>
      <c r="BD36" s="52" t="str">
        <f t="shared" ca="1" si="67"/>
        <v/>
      </c>
      <c r="BE36" s="52" t="str">
        <f t="shared" ca="1" si="67"/>
        <v/>
      </c>
      <c r="BF36" s="52" t="str">
        <f t="shared" ca="1" si="67"/>
        <v/>
      </c>
      <c r="BG36" s="52" t="str">
        <f t="shared" ca="1" si="67"/>
        <v/>
      </c>
      <c r="BH36" s="52" t="str">
        <f t="shared" ca="1" si="67"/>
        <v/>
      </c>
      <c r="BI36" s="52" t="str">
        <f t="shared" ca="1" si="67"/>
        <v/>
      </c>
      <c r="BJ36" s="52" t="str">
        <f t="shared" ca="1" si="67"/>
        <v/>
      </c>
      <c r="BK36" s="52" t="str">
        <f t="shared" ca="1" si="67"/>
        <v/>
      </c>
      <c r="BL36" s="52" t="str">
        <f t="shared" ca="1" si="67"/>
        <v/>
      </c>
      <c r="BM36" s="52" t="str">
        <f t="shared" ca="1" si="67"/>
        <v/>
      </c>
      <c r="BN36" t="str">
        <f t="shared" ca="1" si="67"/>
        <v/>
      </c>
      <c r="BO36" t="str">
        <f t="shared" ca="1" si="67"/>
        <v/>
      </c>
      <c r="BP36" t="str">
        <f t="shared" ca="1" si="67"/>
        <v/>
      </c>
    </row>
    <row r="37" spans="1:68" ht="15" customHeight="1" x14ac:dyDescent="0.3">
      <c r="A37" s="10" t="str">
        <f>IF(Job_Master!A37="","",Job_Master!A37)</f>
        <v>BJ-134</v>
      </c>
      <c r="B37" s="10">
        <f>IF($A37="","",Job_Master!B37)</f>
        <v>15</v>
      </c>
      <c r="C37" s="10" t="str">
        <f>IF($A37="","",Job_Master!C37)</f>
        <v>RW</v>
      </c>
      <c r="D37" s="10">
        <f>IF($A37="","",Job_Master!D37)</f>
        <v>2</v>
      </c>
      <c r="E37" s="48" t="str">
        <f>IF($A37="","","QC-MC-05")</f>
        <v>QC-MC-05</v>
      </c>
      <c r="F37" s="10" t="str">
        <f>IF($E37="","",IFERROR(VLOOKUP($E37,Machine_List!$B:$G,6,0),""))</f>
        <v>General Workman</v>
      </c>
      <c r="G37" s="53">
        <f>IF($E37="","",IFERROR(VLOOKUP($E37,Machine_List!$B:$C,2,0),""))</f>
        <v>46373</v>
      </c>
      <c r="H37" s="10">
        <f>IF($E37="","",IFERROR(VLOOKUP($E37,Machine_List!$B:$D,3,0),""))</f>
        <v>6</v>
      </c>
      <c r="I37" s="54"/>
      <c r="J37" s="55">
        <f ca="1">IF($A37="","",IF($I37&lt;&gt;"",$I37,MAX(FID_Plan!$M37,IFERROR(LOOKUP(2,1/($E$3:INDIRECT("E"&amp;(ROW()-1))=$E37),$M$3:INDIRECT("M"&amp;(ROW()-1))),FID_Plan!$M37))))</f>
        <v>46170.302248677239</v>
      </c>
      <c r="K37" s="10">
        <f>IF($A37="","",IFERROR(VLOOKUP(B37,CHOOSE(MATCH(C37,Settings!$L$4:$L$10,0),OPR_2P!$A$4:$I$18,SEG_6P!$A$4:$I$18,SOL_4P!$A$4:$I$18,RW_2P!$A$4:$I$18,RW2_4P!$A$4:$I$18,FLAP_4P!$A$4:$I$18,TUBE_4P!$A$4:$I$18),8,0),0))</f>
        <v>7</v>
      </c>
      <c r="L37" s="10">
        <f t="shared" si="0"/>
        <v>14</v>
      </c>
      <c r="M37" s="55">
        <f ca="1">IF($A37="","",$J37+($L37/(IF(F37="Contract Workman",Settings!$K$5,Settings!$K$4))))</f>
        <v>46170.950396825385</v>
      </c>
      <c r="N37" s="10" t="str">
        <f t="shared" ca="1" si="65"/>
        <v>Shift B</v>
      </c>
      <c r="O37" s="51" t="str">
        <f>IF(B37="","", IF(IFERROR(ISNUMBER(SEARCH(B37, VLOOKUP(E37, Machine_List!$B:$J, 9, 0))), FALSE()), "✅ Machine OK", "❌ Sug: " &amp; IFERROR(INDEX(Machine_List!$B$4:$B$50, MATCH("*"&amp;B37&amp;"*", Machine_List!$J$4:$J$50, 0)), "Check Limits")))</f>
        <v>✅ Machine OK</v>
      </c>
      <c r="P37" s="52" t="str">
        <f t="shared" ref="P37:AC37" ca="1" si="68">IF(AND(Q$3&gt;=$J37, Q$3&lt;$M37), $A37, "")</f>
        <v/>
      </c>
      <c r="Q37" s="52" t="str">
        <f t="shared" ca="1" si="68"/>
        <v/>
      </c>
      <c r="R37" s="52" t="str">
        <f t="shared" ca="1" si="68"/>
        <v/>
      </c>
      <c r="S37" s="52" t="str">
        <f t="shared" ca="1" si="68"/>
        <v/>
      </c>
      <c r="T37" s="52" t="str">
        <f t="shared" ca="1" si="68"/>
        <v/>
      </c>
      <c r="U37" s="52" t="str">
        <f t="shared" ca="1" si="68"/>
        <v/>
      </c>
      <c r="V37" s="52" t="str">
        <f t="shared" ca="1" si="68"/>
        <v/>
      </c>
      <c r="W37" s="52" t="str">
        <f t="shared" ca="1" si="68"/>
        <v/>
      </c>
      <c r="X37" s="52" t="str">
        <f t="shared" ca="1" si="68"/>
        <v/>
      </c>
      <c r="Y37" s="52" t="str">
        <f t="shared" ca="1" si="68"/>
        <v/>
      </c>
      <c r="Z37" s="52" t="str">
        <f t="shared" ca="1" si="68"/>
        <v/>
      </c>
      <c r="AA37" s="52" t="str">
        <f t="shared" ca="1" si="68"/>
        <v/>
      </c>
      <c r="AB37" s="52" t="str">
        <f t="shared" ca="1" si="68"/>
        <v/>
      </c>
      <c r="AC37" s="52" t="str">
        <f t="shared" ca="1" si="68"/>
        <v/>
      </c>
      <c r="AD37" s="52" t="str">
        <f t="shared" ref="AD37:BP37" ca="1" si="69">IF(AND(AE$3&gt;=$J37, AE$3&lt;$M37), $A37, "")</f>
        <v/>
      </c>
      <c r="AE37" s="52" t="str">
        <f t="shared" ca="1" si="69"/>
        <v/>
      </c>
      <c r="AF37" s="52" t="str">
        <f t="shared" ca="1" si="69"/>
        <v/>
      </c>
      <c r="AG37" s="52" t="str">
        <f t="shared" ca="1" si="69"/>
        <v/>
      </c>
      <c r="AH37" s="52" t="str">
        <f t="shared" ca="1" si="69"/>
        <v/>
      </c>
      <c r="AI37" s="52" t="str">
        <f t="shared" ca="1" si="69"/>
        <v/>
      </c>
      <c r="AJ37" s="52" t="str">
        <f t="shared" ca="1" si="69"/>
        <v/>
      </c>
      <c r="AK37" s="52" t="str">
        <f t="shared" ca="1" si="69"/>
        <v/>
      </c>
      <c r="AL37" s="52" t="str">
        <f t="shared" ca="1" si="69"/>
        <v/>
      </c>
      <c r="AM37" s="52" t="str">
        <f t="shared" ca="1" si="69"/>
        <v/>
      </c>
      <c r="AN37" s="52" t="str">
        <f t="shared" ca="1" si="69"/>
        <v/>
      </c>
      <c r="AO37" s="52" t="str">
        <f t="shared" ca="1" si="69"/>
        <v/>
      </c>
      <c r="AP37" s="52" t="str">
        <f t="shared" ca="1" si="69"/>
        <v/>
      </c>
      <c r="AQ37" s="52" t="str">
        <f t="shared" ca="1" si="69"/>
        <v/>
      </c>
      <c r="AR37" s="52" t="str">
        <f t="shared" ca="1" si="69"/>
        <v/>
      </c>
      <c r="AS37" s="52" t="str">
        <f t="shared" ca="1" si="69"/>
        <v/>
      </c>
      <c r="AT37" s="52" t="str">
        <f t="shared" ca="1" si="69"/>
        <v/>
      </c>
      <c r="AU37" s="52" t="str">
        <f t="shared" ca="1" si="69"/>
        <v/>
      </c>
      <c r="AV37" s="52" t="str">
        <f t="shared" ca="1" si="69"/>
        <v/>
      </c>
      <c r="AW37" s="52" t="str">
        <f t="shared" ca="1" si="69"/>
        <v/>
      </c>
      <c r="AX37" s="52" t="str">
        <f t="shared" ca="1" si="69"/>
        <v/>
      </c>
      <c r="AY37" s="52" t="str">
        <f t="shared" ca="1" si="69"/>
        <v/>
      </c>
      <c r="AZ37" s="52" t="str">
        <f t="shared" ca="1" si="69"/>
        <v/>
      </c>
      <c r="BA37" s="52" t="str">
        <f t="shared" ca="1" si="69"/>
        <v/>
      </c>
      <c r="BB37" s="52" t="str">
        <f t="shared" ca="1" si="69"/>
        <v/>
      </c>
      <c r="BC37" s="52" t="str">
        <f t="shared" ca="1" si="69"/>
        <v/>
      </c>
      <c r="BD37" s="52" t="str">
        <f t="shared" ca="1" si="69"/>
        <v/>
      </c>
      <c r="BE37" s="52" t="str">
        <f t="shared" ca="1" si="69"/>
        <v/>
      </c>
      <c r="BF37" s="52" t="str">
        <f t="shared" ca="1" si="69"/>
        <v/>
      </c>
      <c r="BG37" s="52" t="str">
        <f t="shared" ca="1" si="69"/>
        <v/>
      </c>
      <c r="BH37" s="52" t="str">
        <f t="shared" ca="1" si="69"/>
        <v/>
      </c>
      <c r="BI37" s="52" t="str">
        <f t="shared" ca="1" si="69"/>
        <v/>
      </c>
      <c r="BJ37" s="52" t="str">
        <f t="shared" ca="1" si="69"/>
        <v/>
      </c>
      <c r="BK37" s="52" t="str">
        <f t="shared" ca="1" si="69"/>
        <v/>
      </c>
      <c r="BL37" s="52" t="str">
        <f t="shared" ca="1" si="69"/>
        <v/>
      </c>
      <c r="BM37" s="52" t="str">
        <f t="shared" ca="1" si="69"/>
        <v/>
      </c>
      <c r="BN37" t="str">
        <f t="shared" ca="1" si="69"/>
        <v/>
      </c>
      <c r="BO37" t="str">
        <f t="shared" ca="1" si="69"/>
        <v/>
      </c>
      <c r="BP37" t="str">
        <f t="shared" ca="1" si="69"/>
        <v/>
      </c>
    </row>
    <row r="38" spans="1:68" ht="15" customHeight="1" x14ac:dyDescent="0.3">
      <c r="A38" s="10" t="str">
        <f>IF(Job_Master!A38="","",Job_Master!A38)</f>
        <v>BJ-135</v>
      </c>
      <c r="B38" s="10">
        <f>IF($A38="","",Job_Master!B38)</f>
        <v>28</v>
      </c>
      <c r="C38" s="10" t="str">
        <f>IF($A38="","",Job_Master!C38)</f>
        <v>2P</v>
      </c>
      <c r="D38" s="10">
        <f>IF($A38="","",Job_Master!D38)</f>
        <v>2</v>
      </c>
      <c r="E38" s="48" t="str">
        <f>IF($A38="","","QC-MC-05")</f>
        <v>QC-MC-05</v>
      </c>
      <c r="F38" s="10" t="str">
        <f>IF($E38="","",IFERROR(VLOOKUP($E38,Machine_List!$B:$G,6,0),""))</f>
        <v>General Workman</v>
      </c>
      <c r="G38" s="53">
        <f>IF($E38="","",IFERROR(VLOOKUP($E38,Machine_List!$B:$C,2,0),""))</f>
        <v>46373</v>
      </c>
      <c r="H38" s="10">
        <f>IF($E38="","",IFERROR(VLOOKUP($E38,Machine_List!$B:$D,3,0),""))</f>
        <v>6</v>
      </c>
      <c r="I38" s="54"/>
      <c r="J38" s="55">
        <f ca="1">IF($A38="","",IF($I38&lt;&gt;"",$I38,MAX(FID_Plan!$M38,IFERROR(LOOKUP(2,1/($E$3:INDIRECT("E"&amp;(ROW()-1))=$E38),$M$3:INDIRECT("M"&amp;(ROW()-1))),FID_Plan!$M38))))</f>
        <v>46173.08002645502</v>
      </c>
      <c r="K38" s="10">
        <f>IF($A38="","",IFERROR(VLOOKUP(B38,CHOOSE(MATCH(C38,Settings!$L$4:$L$10,0),OPR_2P!$A$4:$I$18,SEG_6P!$A$4:$I$18,SOL_4P!$A$4:$I$18,RW_2P!$A$4:$I$18,RW2_4P!$A$4:$I$18,FLAP_4P!$A$4:$I$18,TUBE_4P!$A$4:$I$18),8,0),0))</f>
        <v>17</v>
      </c>
      <c r="L38" s="10">
        <f t="shared" si="0"/>
        <v>34</v>
      </c>
      <c r="M38" s="55">
        <f ca="1">IF($A38="","",$J38+($L38/(IF(F38="Contract Workman",Settings!$K$5,Settings!$K$4))))</f>
        <v>46174.654100529093</v>
      </c>
      <c r="N38" s="10" t="str">
        <f t="shared" ca="1" si="65"/>
        <v>Shift B</v>
      </c>
      <c r="O38" s="51" t="str">
        <f>IF(B38="","", IF(IFERROR(ISNUMBER(SEARCH(B38, VLOOKUP(E38, Machine_List!$B:$J, 9, 0))), FALSE()), "✅ Machine OK", "❌ Sug: " &amp; IFERROR(INDEX(Machine_List!$B$4:$B$50, MATCH("*"&amp;B38&amp;"*", Machine_List!$J$4:$J$50, 0)), "Check Limits")))</f>
        <v>✅ Machine OK</v>
      </c>
      <c r="P38" s="52" t="str">
        <f t="shared" ref="P38:AC38" ca="1" si="70">IF(AND(Q$3&gt;=$J38, Q$3&lt;$M38), $A38, "")</f>
        <v/>
      </c>
      <c r="Q38" s="52" t="str">
        <f t="shared" ca="1" si="70"/>
        <v/>
      </c>
      <c r="R38" s="52" t="str">
        <f t="shared" ca="1" si="70"/>
        <v/>
      </c>
      <c r="S38" s="52" t="str">
        <f t="shared" ca="1" si="70"/>
        <v/>
      </c>
      <c r="T38" s="52" t="str">
        <f t="shared" ca="1" si="70"/>
        <v/>
      </c>
      <c r="U38" s="52" t="str">
        <f t="shared" ca="1" si="70"/>
        <v/>
      </c>
      <c r="V38" s="52" t="str">
        <f t="shared" ca="1" si="70"/>
        <v/>
      </c>
      <c r="W38" s="52" t="str">
        <f t="shared" ca="1" si="70"/>
        <v/>
      </c>
      <c r="X38" s="52" t="str">
        <f t="shared" ca="1" si="70"/>
        <v/>
      </c>
      <c r="Y38" s="52" t="str">
        <f t="shared" ca="1" si="70"/>
        <v/>
      </c>
      <c r="Z38" s="52" t="str">
        <f t="shared" ca="1" si="70"/>
        <v/>
      </c>
      <c r="AA38" s="52" t="str">
        <f t="shared" ca="1" si="70"/>
        <v/>
      </c>
      <c r="AB38" s="52" t="str">
        <f t="shared" ca="1" si="70"/>
        <v/>
      </c>
      <c r="AC38" s="52" t="str">
        <f t="shared" ca="1" si="70"/>
        <v/>
      </c>
      <c r="AD38" s="52" t="str">
        <f t="shared" ref="AD38:BP38" ca="1" si="71">IF(AND(AE$3&gt;=$J38, AE$3&lt;$M38), $A38, "")</f>
        <v/>
      </c>
      <c r="AE38" s="52" t="str">
        <f t="shared" ca="1" si="71"/>
        <v/>
      </c>
      <c r="AF38" s="52" t="str">
        <f t="shared" ca="1" si="71"/>
        <v/>
      </c>
      <c r="AG38" s="52" t="str">
        <f t="shared" ca="1" si="71"/>
        <v/>
      </c>
      <c r="AH38" s="52" t="str">
        <f t="shared" ca="1" si="71"/>
        <v/>
      </c>
      <c r="AI38" s="52" t="str">
        <f t="shared" ca="1" si="71"/>
        <v/>
      </c>
      <c r="AJ38" s="52" t="str">
        <f t="shared" ca="1" si="71"/>
        <v/>
      </c>
      <c r="AK38" s="52" t="str">
        <f t="shared" ca="1" si="71"/>
        <v/>
      </c>
      <c r="AL38" s="52" t="str">
        <f t="shared" ca="1" si="71"/>
        <v/>
      </c>
      <c r="AM38" s="52" t="str">
        <f t="shared" ca="1" si="71"/>
        <v/>
      </c>
      <c r="AN38" s="52" t="str">
        <f t="shared" ca="1" si="71"/>
        <v/>
      </c>
      <c r="AO38" s="52" t="str">
        <f t="shared" ca="1" si="71"/>
        <v/>
      </c>
      <c r="AP38" s="52" t="str">
        <f t="shared" ca="1" si="71"/>
        <v/>
      </c>
      <c r="AQ38" s="52" t="str">
        <f t="shared" ca="1" si="71"/>
        <v/>
      </c>
      <c r="AR38" s="52" t="str">
        <f t="shared" ca="1" si="71"/>
        <v/>
      </c>
      <c r="AS38" s="52" t="str">
        <f t="shared" ca="1" si="71"/>
        <v/>
      </c>
      <c r="AT38" s="52" t="str">
        <f t="shared" ca="1" si="71"/>
        <v/>
      </c>
      <c r="AU38" s="52" t="str">
        <f t="shared" ca="1" si="71"/>
        <v/>
      </c>
      <c r="AV38" s="52" t="str">
        <f t="shared" ca="1" si="71"/>
        <v/>
      </c>
      <c r="AW38" s="52" t="str">
        <f t="shared" ca="1" si="71"/>
        <v/>
      </c>
      <c r="AX38" s="52" t="str">
        <f t="shared" ca="1" si="71"/>
        <v/>
      </c>
      <c r="AY38" s="52" t="str">
        <f t="shared" ca="1" si="71"/>
        <v/>
      </c>
      <c r="AZ38" s="52" t="str">
        <f t="shared" ca="1" si="71"/>
        <v/>
      </c>
      <c r="BA38" s="52" t="str">
        <f t="shared" ca="1" si="71"/>
        <v/>
      </c>
      <c r="BB38" s="52" t="str">
        <f t="shared" ca="1" si="71"/>
        <v/>
      </c>
      <c r="BC38" s="52" t="str">
        <f t="shared" ca="1" si="71"/>
        <v/>
      </c>
      <c r="BD38" s="52" t="str">
        <f t="shared" ca="1" si="71"/>
        <v/>
      </c>
      <c r="BE38" s="52" t="str">
        <f t="shared" ca="1" si="71"/>
        <v/>
      </c>
      <c r="BF38" s="52" t="str">
        <f t="shared" ca="1" si="71"/>
        <v/>
      </c>
      <c r="BG38" s="52" t="str">
        <f t="shared" ca="1" si="71"/>
        <v/>
      </c>
      <c r="BH38" s="52" t="str">
        <f t="shared" ca="1" si="71"/>
        <v/>
      </c>
      <c r="BI38" s="52" t="str">
        <f t="shared" ca="1" si="71"/>
        <v/>
      </c>
      <c r="BJ38" s="52" t="str">
        <f t="shared" ca="1" si="71"/>
        <v/>
      </c>
      <c r="BK38" s="52" t="str">
        <f t="shared" ca="1" si="71"/>
        <v/>
      </c>
      <c r="BL38" s="52" t="str">
        <f t="shared" ca="1" si="71"/>
        <v/>
      </c>
      <c r="BM38" s="52" t="str">
        <f t="shared" ca="1" si="71"/>
        <v/>
      </c>
      <c r="BN38" t="str">
        <f t="shared" ca="1" si="71"/>
        <v/>
      </c>
      <c r="BO38" t="str">
        <f t="shared" ca="1" si="71"/>
        <v/>
      </c>
      <c r="BP38" t="str">
        <f t="shared" ca="1" si="71"/>
        <v/>
      </c>
    </row>
    <row r="39" spans="1:68" ht="15" customHeight="1" x14ac:dyDescent="0.3">
      <c r="A39" s="10" t="str">
        <f>IF(Job_Master!A39="","",Job_Master!A39)</f>
        <v>BJ-132</v>
      </c>
      <c r="B39" s="10">
        <f>IF($A39="","",Job_Master!B39)</f>
        <v>57</v>
      </c>
      <c r="C39" s="10" t="str">
        <f>IF($A39="","",Job_Master!C39)</f>
        <v>SOL</v>
      </c>
      <c r="D39" s="10">
        <f>IF($A39="","",Job_Master!D39)</f>
        <v>4</v>
      </c>
      <c r="E39" s="48" t="str">
        <f>IF($A39="","","QC-MC-01")</f>
        <v>QC-MC-01</v>
      </c>
      <c r="F39" s="10" t="str">
        <f>IF($E39="","",IFERROR(VLOOKUP($E39,Machine_List!$B:$G,6,0),""))</f>
        <v>General Workman</v>
      </c>
      <c r="G39" s="53">
        <f>IF($E39="","",IFERROR(VLOOKUP($E39,Machine_List!$B:$C,2,0),""))</f>
        <v>46518</v>
      </c>
      <c r="H39" s="10">
        <f>IF($E39="","",IFERROR(VLOOKUP($E39,Machine_List!$B:$D,3,0),""))</f>
        <v>6</v>
      </c>
      <c r="I39" s="54"/>
      <c r="J39" s="55">
        <f ca="1">IF($A39="","",IF($I39&lt;&gt;"",$I39,MAX(FID_Plan!$M39,IFERROR(LOOKUP(2,1/($E$3:INDIRECT("E"&amp;(ROW()-1))=$E39),$M$3:INDIRECT("M"&amp;(ROW()-1))),FID_Plan!$M39))))</f>
        <v>46261.056216931203</v>
      </c>
      <c r="K39" s="10">
        <f>IF($A39="","",IFERROR(VLOOKUP(B39,CHOOSE(MATCH(C39,Settings!$L$4:$L$10,0),OPR_2P!$A$4:$I$18,SEG_6P!$A$4:$I$18,SOL_4P!$A$4:$I$18,RW_2P!$A$4:$I$18,RW2_4P!$A$4:$I$18,FLAP_4P!$A$4:$I$18,TUBE_4P!$A$4:$I$18),8,0),0))</f>
        <v>55</v>
      </c>
      <c r="L39" s="10">
        <f t="shared" si="0"/>
        <v>220</v>
      </c>
      <c r="M39" s="55">
        <f ca="1">IF($A39="","",$J39+($L39/(IF(F39="Contract Workman",Settings!$K$5,Settings!$K$4))))</f>
        <v>46271.241402116386</v>
      </c>
      <c r="N39" s="10" t="str">
        <f t="shared" ca="1" si="65"/>
        <v>Shift C</v>
      </c>
      <c r="O39" s="51" t="str">
        <f>IF(B39="","", IF(IFERROR(ISNUMBER(SEARCH(B39, VLOOKUP(E39, Machine_List!$B:$J, 9, 0))), FALSE()), "✅ Machine OK", "❌ Sug: " &amp; IFERROR(INDEX(Machine_List!$B$4:$B$50, MATCH("*"&amp;B39&amp;"*", Machine_List!$J$4:$J$50, 0)), "Check Limits")))</f>
        <v>✅ Machine OK</v>
      </c>
      <c r="P39" s="52" t="str">
        <f t="shared" ref="P39:AC39" ca="1" si="72">IF(AND(Q$3&gt;=$J39, Q$3&lt;$M39), $A39, "")</f>
        <v/>
      </c>
      <c r="Q39" s="52" t="str">
        <f t="shared" ca="1" si="72"/>
        <v/>
      </c>
      <c r="R39" s="52" t="str">
        <f t="shared" ca="1" si="72"/>
        <v/>
      </c>
      <c r="S39" s="52" t="str">
        <f t="shared" ca="1" si="72"/>
        <v/>
      </c>
      <c r="T39" s="52" t="str">
        <f t="shared" ca="1" si="72"/>
        <v/>
      </c>
      <c r="U39" s="52" t="str">
        <f t="shared" ca="1" si="72"/>
        <v/>
      </c>
      <c r="V39" s="52" t="str">
        <f t="shared" ca="1" si="72"/>
        <v/>
      </c>
      <c r="W39" s="52" t="str">
        <f t="shared" ca="1" si="72"/>
        <v/>
      </c>
      <c r="X39" s="52" t="str">
        <f t="shared" ca="1" si="72"/>
        <v/>
      </c>
      <c r="Y39" s="52" t="str">
        <f t="shared" ca="1" si="72"/>
        <v/>
      </c>
      <c r="Z39" s="52" t="str">
        <f t="shared" ca="1" si="72"/>
        <v/>
      </c>
      <c r="AA39" s="52" t="str">
        <f t="shared" ca="1" si="72"/>
        <v/>
      </c>
      <c r="AB39" s="52" t="str">
        <f t="shared" ca="1" si="72"/>
        <v/>
      </c>
      <c r="AC39" s="52" t="str">
        <f t="shared" ca="1" si="72"/>
        <v/>
      </c>
      <c r="AD39" s="52" t="str">
        <f t="shared" ref="AD39:BP39" ca="1" si="73">IF(AND(AE$3&gt;=$J39, AE$3&lt;$M39), $A39, "")</f>
        <v/>
      </c>
      <c r="AE39" s="52" t="str">
        <f t="shared" ca="1" si="73"/>
        <v/>
      </c>
      <c r="AF39" s="52" t="str">
        <f t="shared" ca="1" si="73"/>
        <v/>
      </c>
      <c r="AG39" s="52" t="str">
        <f t="shared" ca="1" si="73"/>
        <v/>
      </c>
      <c r="AH39" s="52" t="str">
        <f t="shared" ca="1" si="73"/>
        <v/>
      </c>
      <c r="AI39" s="52" t="str">
        <f t="shared" ca="1" si="73"/>
        <v/>
      </c>
      <c r="AJ39" s="52" t="str">
        <f t="shared" ca="1" si="73"/>
        <v/>
      </c>
      <c r="AK39" s="52" t="str">
        <f t="shared" ca="1" si="73"/>
        <v/>
      </c>
      <c r="AL39" s="52" t="str">
        <f t="shared" ca="1" si="73"/>
        <v/>
      </c>
      <c r="AM39" s="52" t="str">
        <f t="shared" ca="1" si="73"/>
        <v/>
      </c>
      <c r="AN39" s="52" t="str">
        <f t="shared" ca="1" si="73"/>
        <v/>
      </c>
      <c r="AO39" s="52" t="str">
        <f t="shared" ca="1" si="73"/>
        <v/>
      </c>
      <c r="AP39" s="52" t="str">
        <f t="shared" ca="1" si="73"/>
        <v/>
      </c>
      <c r="AQ39" s="52" t="str">
        <f t="shared" ca="1" si="73"/>
        <v/>
      </c>
      <c r="AR39" s="52" t="str">
        <f t="shared" ca="1" si="73"/>
        <v/>
      </c>
      <c r="AS39" s="52" t="str">
        <f t="shared" ca="1" si="73"/>
        <v/>
      </c>
      <c r="AT39" s="52" t="str">
        <f t="shared" ca="1" si="73"/>
        <v/>
      </c>
      <c r="AU39" s="52" t="str">
        <f t="shared" ca="1" si="73"/>
        <v/>
      </c>
      <c r="AV39" s="52" t="str">
        <f t="shared" ca="1" si="73"/>
        <v/>
      </c>
      <c r="AW39" s="52" t="str">
        <f t="shared" ca="1" si="73"/>
        <v/>
      </c>
      <c r="AX39" s="52" t="str">
        <f t="shared" ca="1" si="73"/>
        <v/>
      </c>
      <c r="AY39" s="52" t="str">
        <f t="shared" ca="1" si="73"/>
        <v/>
      </c>
      <c r="AZ39" s="52" t="str">
        <f t="shared" ca="1" si="73"/>
        <v/>
      </c>
      <c r="BA39" s="52" t="str">
        <f t="shared" ca="1" si="73"/>
        <v/>
      </c>
      <c r="BB39" s="52" t="str">
        <f t="shared" ca="1" si="73"/>
        <v/>
      </c>
      <c r="BC39" s="52" t="str">
        <f t="shared" ca="1" si="73"/>
        <v/>
      </c>
      <c r="BD39" s="52" t="str">
        <f t="shared" ca="1" si="73"/>
        <v/>
      </c>
      <c r="BE39" s="52" t="str">
        <f t="shared" ca="1" si="73"/>
        <v/>
      </c>
      <c r="BF39" s="52" t="str">
        <f t="shared" ca="1" si="73"/>
        <v/>
      </c>
      <c r="BG39" s="52" t="str">
        <f t="shared" ca="1" si="73"/>
        <v/>
      </c>
      <c r="BH39" s="52" t="str">
        <f t="shared" ca="1" si="73"/>
        <v/>
      </c>
      <c r="BI39" s="52" t="str">
        <f t="shared" ca="1" si="73"/>
        <v/>
      </c>
      <c r="BJ39" s="52" t="str">
        <f t="shared" ca="1" si="73"/>
        <v/>
      </c>
      <c r="BK39" s="52" t="str">
        <f t="shared" ca="1" si="73"/>
        <v/>
      </c>
      <c r="BL39" s="52" t="str">
        <f t="shared" ca="1" si="73"/>
        <v/>
      </c>
      <c r="BM39" s="52" t="str">
        <f t="shared" ca="1" si="73"/>
        <v/>
      </c>
      <c r="BN39" t="str">
        <f t="shared" ca="1" si="73"/>
        <v/>
      </c>
      <c r="BO39" t="str">
        <f t="shared" ca="1" si="73"/>
        <v/>
      </c>
      <c r="BP39" t="str">
        <f t="shared" ca="1" si="73"/>
        <v/>
      </c>
    </row>
    <row r="40" spans="1:68" ht="15" customHeight="1" x14ac:dyDescent="0.3">
      <c r="A40" s="10" t="str">
        <f>IF(Job_Master!A40="","",Job_Master!A40)</f>
        <v>BJ-136</v>
      </c>
      <c r="B40" s="10">
        <f>IF($A40="","",Job_Master!B40)</f>
        <v>20</v>
      </c>
      <c r="C40" s="10" t="str">
        <f>IF($A40="","",Job_Master!C40)</f>
        <v>RW</v>
      </c>
      <c r="D40" s="10">
        <f>IF($A40="","",Job_Master!D40)</f>
        <v>2</v>
      </c>
      <c r="E40" s="48" t="str">
        <f>IF($A40="","","QC-MC-05")</f>
        <v>QC-MC-05</v>
      </c>
      <c r="F40" s="10" t="str">
        <f>IF($E40="","",IFERROR(VLOOKUP($E40,Machine_List!$B:$G,6,0),""))</f>
        <v>General Workman</v>
      </c>
      <c r="G40" s="53">
        <f>IF($E40="","",IFERROR(VLOOKUP($E40,Machine_List!$B:$C,2,0),""))</f>
        <v>46373</v>
      </c>
      <c r="H40" s="10">
        <f>IF($E40="","",IFERROR(VLOOKUP($E40,Machine_List!$B:$D,3,0),""))</f>
        <v>6</v>
      </c>
      <c r="I40" s="54"/>
      <c r="J40" s="55">
        <f ca="1">IF($A40="","",IF($I40&lt;&gt;"",$I40,MAX(FID_Plan!$M40,IFERROR(LOOKUP(2,1/($E$3:INDIRECT("E"&amp;(ROW()-1))=$E40),$M$3:INDIRECT("M"&amp;(ROW()-1))),FID_Plan!$M40))))</f>
        <v>46174.654100529093</v>
      </c>
      <c r="K40" s="10">
        <f>IF($A40="","",IFERROR(VLOOKUP(B40,CHOOSE(MATCH(C40,Settings!$L$4:$L$10,0),OPR_2P!$A$4:$I$18,SEG_6P!$A$4:$I$18,SOL_4P!$A$4:$I$18,RW_2P!$A$4:$I$18,RW2_4P!$A$4:$I$18,FLAP_4P!$A$4:$I$18,TUBE_4P!$A$4:$I$18),8,0),0))</f>
        <v>19</v>
      </c>
      <c r="L40" s="10">
        <f t="shared" si="0"/>
        <v>38</v>
      </c>
      <c r="M40" s="55">
        <f ca="1">IF($A40="","",$J40+($L40/(IF(F40="Contract Workman",Settings!$K$5,Settings!$K$4))))</f>
        <v>46176.413359788356</v>
      </c>
      <c r="N40" s="10" t="str">
        <f t="shared" ca="1" si="65"/>
        <v>Shift A</v>
      </c>
      <c r="O40" s="51" t="str">
        <f>IF(B40="","", IF(IFERROR(ISNUMBER(SEARCH(B40, VLOOKUP(E40, Machine_List!$B:$J, 9, 0))), FALSE()), "✅ Machine OK", "❌ Sug: " &amp; IFERROR(INDEX(Machine_List!$B$4:$B$50, MATCH("*"&amp;B40&amp;"*", Machine_List!$J$4:$J$50, 0)), "Check Limits")))</f>
        <v>✅ Machine OK</v>
      </c>
      <c r="P40" s="52" t="str">
        <f t="shared" ref="P40:AC40" ca="1" si="74">IF(AND(Q$3&gt;=$J40, Q$3&lt;$M40), $A40, "")</f>
        <v/>
      </c>
      <c r="Q40" s="52" t="str">
        <f t="shared" ca="1" si="74"/>
        <v/>
      </c>
      <c r="R40" s="52" t="str">
        <f t="shared" ca="1" si="74"/>
        <v/>
      </c>
      <c r="S40" s="52" t="str">
        <f t="shared" ca="1" si="74"/>
        <v/>
      </c>
      <c r="T40" s="52" t="str">
        <f t="shared" ca="1" si="74"/>
        <v/>
      </c>
      <c r="U40" s="52" t="str">
        <f t="shared" ca="1" si="74"/>
        <v/>
      </c>
      <c r="V40" s="52" t="str">
        <f t="shared" ca="1" si="74"/>
        <v/>
      </c>
      <c r="W40" s="52" t="str">
        <f t="shared" ca="1" si="74"/>
        <v/>
      </c>
      <c r="X40" s="52" t="str">
        <f t="shared" ca="1" si="74"/>
        <v/>
      </c>
      <c r="Y40" s="52" t="str">
        <f t="shared" ca="1" si="74"/>
        <v/>
      </c>
      <c r="Z40" s="52" t="str">
        <f t="shared" ca="1" si="74"/>
        <v/>
      </c>
      <c r="AA40" s="52" t="str">
        <f t="shared" ca="1" si="74"/>
        <v/>
      </c>
      <c r="AB40" s="52" t="str">
        <f t="shared" ca="1" si="74"/>
        <v/>
      </c>
      <c r="AC40" s="52" t="str">
        <f t="shared" ca="1" si="74"/>
        <v/>
      </c>
      <c r="AD40" s="52" t="str">
        <f t="shared" ref="AD40:BP40" ca="1" si="75">IF(AND(AE$3&gt;=$J40, AE$3&lt;$M40), $A40, "")</f>
        <v/>
      </c>
      <c r="AE40" s="52" t="str">
        <f t="shared" ca="1" si="75"/>
        <v/>
      </c>
      <c r="AF40" s="52" t="str">
        <f t="shared" ca="1" si="75"/>
        <v/>
      </c>
      <c r="AG40" s="52" t="str">
        <f t="shared" ca="1" si="75"/>
        <v/>
      </c>
      <c r="AH40" s="52" t="str">
        <f t="shared" ca="1" si="75"/>
        <v/>
      </c>
      <c r="AI40" s="52" t="str">
        <f t="shared" ca="1" si="75"/>
        <v/>
      </c>
      <c r="AJ40" s="52" t="str">
        <f t="shared" ca="1" si="75"/>
        <v/>
      </c>
      <c r="AK40" s="52" t="str">
        <f t="shared" ca="1" si="75"/>
        <v/>
      </c>
      <c r="AL40" s="52" t="str">
        <f t="shared" ca="1" si="75"/>
        <v/>
      </c>
      <c r="AM40" s="52" t="str">
        <f t="shared" ca="1" si="75"/>
        <v/>
      </c>
      <c r="AN40" s="52" t="str">
        <f t="shared" ca="1" si="75"/>
        <v/>
      </c>
      <c r="AO40" s="52" t="str">
        <f t="shared" ca="1" si="75"/>
        <v/>
      </c>
      <c r="AP40" s="52" t="str">
        <f t="shared" ca="1" si="75"/>
        <v/>
      </c>
      <c r="AQ40" s="52" t="str">
        <f t="shared" ca="1" si="75"/>
        <v/>
      </c>
      <c r="AR40" s="52" t="str">
        <f t="shared" ca="1" si="75"/>
        <v/>
      </c>
      <c r="AS40" s="52" t="str">
        <f t="shared" ca="1" si="75"/>
        <v/>
      </c>
      <c r="AT40" s="52" t="str">
        <f t="shared" ca="1" si="75"/>
        <v/>
      </c>
      <c r="AU40" s="52" t="str">
        <f t="shared" ca="1" si="75"/>
        <v/>
      </c>
      <c r="AV40" s="52" t="str">
        <f t="shared" ca="1" si="75"/>
        <v/>
      </c>
      <c r="AW40" s="52" t="str">
        <f t="shared" ca="1" si="75"/>
        <v/>
      </c>
      <c r="AX40" s="52" t="str">
        <f t="shared" ca="1" si="75"/>
        <v/>
      </c>
      <c r="AY40" s="52" t="str">
        <f t="shared" ca="1" si="75"/>
        <v/>
      </c>
      <c r="AZ40" s="52" t="str">
        <f t="shared" ca="1" si="75"/>
        <v/>
      </c>
      <c r="BA40" s="52" t="str">
        <f t="shared" ca="1" si="75"/>
        <v/>
      </c>
      <c r="BB40" s="52" t="str">
        <f t="shared" ca="1" si="75"/>
        <v/>
      </c>
      <c r="BC40" s="52" t="str">
        <f t="shared" ca="1" si="75"/>
        <v/>
      </c>
      <c r="BD40" s="52" t="str">
        <f t="shared" ca="1" si="75"/>
        <v/>
      </c>
      <c r="BE40" s="52" t="str">
        <f t="shared" ca="1" si="75"/>
        <v/>
      </c>
      <c r="BF40" s="52" t="str">
        <f t="shared" ca="1" si="75"/>
        <v/>
      </c>
      <c r="BG40" s="52" t="str">
        <f t="shared" ca="1" si="75"/>
        <v/>
      </c>
      <c r="BH40" s="52" t="str">
        <f t="shared" ca="1" si="75"/>
        <v/>
      </c>
      <c r="BI40" s="52" t="str">
        <f t="shared" ca="1" si="75"/>
        <v/>
      </c>
      <c r="BJ40" s="52" t="str">
        <f t="shared" ca="1" si="75"/>
        <v/>
      </c>
      <c r="BK40" s="52" t="str">
        <f t="shared" ca="1" si="75"/>
        <v/>
      </c>
      <c r="BL40" s="52" t="str">
        <f t="shared" ca="1" si="75"/>
        <v/>
      </c>
      <c r="BM40" s="52" t="str">
        <f t="shared" ca="1" si="75"/>
        <v/>
      </c>
      <c r="BN40" t="str">
        <f t="shared" ca="1" si="75"/>
        <v/>
      </c>
      <c r="BO40" t="str">
        <f t="shared" ca="1" si="75"/>
        <v/>
      </c>
      <c r="BP40" t="str">
        <f t="shared" ca="1" si="75"/>
        <v/>
      </c>
    </row>
    <row r="41" spans="1:68" ht="15" customHeight="1" x14ac:dyDescent="0.3">
      <c r="A41" s="10" t="str">
        <f>IF(Job_Master!A41="","",Job_Master!A41)</f>
        <v>BJ-137</v>
      </c>
      <c r="B41" s="10">
        <f>IF($A41="","",Job_Master!B41)</f>
        <v>34</v>
      </c>
      <c r="C41" s="10" t="str">
        <f>IF($A41="","",Job_Master!C41)</f>
        <v>RW</v>
      </c>
      <c r="D41" s="10">
        <f>IF($A41="","",Job_Master!D41)</f>
        <v>2</v>
      </c>
      <c r="E41" s="48" t="str">
        <f>IF($A41="","","QC-MC-04")</f>
        <v>QC-MC-04</v>
      </c>
      <c r="F41" s="10" t="str">
        <f>IF($E41="","",IFERROR(VLOOKUP($E41,Machine_List!$B:$G,6,0),""))</f>
        <v>General Workman</v>
      </c>
      <c r="G41" s="53">
        <f>IF($E41="","",IFERROR(VLOOKUP($E41,Machine_List!$B:$C,2,0),""))</f>
        <v>46195</v>
      </c>
      <c r="H41" s="10">
        <f>IF($E41="","",IFERROR(VLOOKUP($E41,Machine_List!$B:$D,3,0),""))</f>
        <v>6</v>
      </c>
      <c r="I41" s="54"/>
      <c r="J41" s="55">
        <f ca="1">IF($A41="","",IF($I41&lt;&gt;"",$I41,MAX(FID_Plan!$M41,IFERROR(LOOKUP(2,1/($E$3:INDIRECT("E"&amp;(ROW()-1))=$E41),$M$3:INDIRECT("M"&amp;(ROW()-1))),FID_Plan!$M41))))</f>
        <v>46181.119047619046</v>
      </c>
      <c r="K41" s="10">
        <f>IF($A41="","",IFERROR(VLOOKUP(B41,CHOOSE(MATCH(C41,Settings!$L$4:$L$10,0),OPR_2P!$A$4:$I$18,SEG_6P!$A$4:$I$18,SOL_4P!$A$4:$I$18,RW_2P!$A$4:$I$18,RW2_4P!$A$4:$I$18,FLAP_4P!$A$4:$I$18,TUBE_4P!$A$4:$I$18),8,0),0))</f>
        <v>28</v>
      </c>
      <c r="L41" s="10">
        <f t="shared" si="0"/>
        <v>56</v>
      </c>
      <c r="M41" s="55">
        <f ca="1">IF($A41="","",$J41+($L41/(IF(F41="Contract Workman",Settings!$K$5,Settings!$K$4))))</f>
        <v>46183.711640211637</v>
      </c>
      <c r="N41" s="10" t="str">
        <f t="shared" ca="1" si="65"/>
        <v>Shift B</v>
      </c>
      <c r="O41" s="51" t="str">
        <f>IF(B41="","", IF(IFERROR(ISNUMBER(SEARCH(B41, VLOOKUP(E41, Machine_List!$B:$J, 9, 0))), FALSE()), "✅ Machine OK", "❌ Sug: " &amp; IFERROR(INDEX(Machine_List!$B$4:$B$50, MATCH("*"&amp;B41&amp;"*", Machine_List!$J$4:$J$50, 0)), "Check Limits")))</f>
        <v>✅ Machine OK</v>
      </c>
      <c r="P41" s="52" t="str">
        <f t="shared" ref="P41:AC41" ca="1" si="76">IF(AND(Q$3&gt;=$J41, Q$3&lt;$M41), $A41, "")</f>
        <v/>
      </c>
      <c r="Q41" s="52" t="str">
        <f t="shared" ca="1" si="76"/>
        <v/>
      </c>
      <c r="R41" s="52" t="str">
        <f t="shared" ca="1" si="76"/>
        <v/>
      </c>
      <c r="S41" s="52" t="str">
        <f t="shared" ca="1" si="76"/>
        <v/>
      </c>
      <c r="T41" s="52" t="str">
        <f t="shared" ca="1" si="76"/>
        <v/>
      </c>
      <c r="U41" s="52" t="str">
        <f t="shared" ca="1" si="76"/>
        <v/>
      </c>
      <c r="V41" s="52" t="str">
        <f t="shared" ca="1" si="76"/>
        <v/>
      </c>
      <c r="W41" s="52" t="str">
        <f t="shared" ca="1" si="76"/>
        <v/>
      </c>
      <c r="X41" s="52" t="str">
        <f t="shared" ca="1" si="76"/>
        <v/>
      </c>
      <c r="Y41" s="52" t="str">
        <f t="shared" ca="1" si="76"/>
        <v/>
      </c>
      <c r="Z41" s="52" t="str">
        <f t="shared" ca="1" si="76"/>
        <v/>
      </c>
      <c r="AA41" s="52" t="str">
        <f t="shared" ca="1" si="76"/>
        <v/>
      </c>
      <c r="AB41" s="52" t="str">
        <f t="shared" ca="1" si="76"/>
        <v/>
      </c>
      <c r="AC41" s="52" t="str">
        <f t="shared" ca="1" si="76"/>
        <v/>
      </c>
      <c r="AD41" s="52" t="str">
        <f t="shared" ref="AD41:BP41" ca="1" si="77">IF(AND(AE$3&gt;=$J41, AE$3&lt;$M41), $A41, "")</f>
        <v/>
      </c>
      <c r="AE41" s="52" t="str">
        <f t="shared" ca="1" si="77"/>
        <v/>
      </c>
      <c r="AF41" s="52" t="str">
        <f t="shared" ca="1" si="77"/>
        <v/>
      </c>
      <c r="AG41" s="52" t="str">
        <f t="shared" ca="1" si="77"/>
        <v/>
      </c>
      <c r="AH41" s="52" t="str">
        <f t="shared" ca="1" si="77"/>
        <v/>
      </c>
      <c r="AI41" s="52" t="str">
        <f t="shared" ca="1" si="77"/>
        <v/>
      </c>
      <c r="AJ41" s="52" t="str">
        <f t="shared" ca="1" si="77"/>
        <v/>
      </c>
      <c r="AK41" s="52" t="str">
        <f t="shared" ca="1" si="77"/>
        <v/>
      </c>
      <c r="AL41" s="52" t="str">
        <f t="shared" ca="1" si="77"/>
        <v/>
      </c>
      <c r="AM41" s="52" t="str">
        <f t="shared" ca="1" si="77"/>
        <v/>
      </c>
      <c r="AN41" s="52" t="str">
        <f t="shared" ca="1" si="77"/>
        <v/>
      </c>
      <c r="AO41" s="52" t="str">
        <f t="shared" ca="1" si="77"/>
        <v/>
      </c>
      <c r="AP41" s="52" t="str">
        <f t="shared" ca="1" si="77"/>
        <v/>
      </c>
      <c r="AQ41" s="52" t="str">
        <f t="shared" ca="1" si="77"/>
        <v/>
      </c>
      <c r="AR41" s="52" t="str">
        <f t="shared" ca="1" si="77"/>
        <v/>
      </c>
      <c r="AS41" s="52" t="str">
        <f t="shared" ca="1" si="77"/>
        <v/>
      </c>
      <c r="AT41" s="52" t="str">
        <f t="shared" ca="1" si="77"/>
        <v/>
      </c>
      <c r="AU41" s="52" t="str">
        <f t="shared" ca="1" si="77"/>
        <v/>
      </c>
      <c r="AV41" s="52" t="str">
        <f t="shared" ca="1" si="77"/>
        <v/>
      </c>
      <c r="AW41" s="52" t="str">
        <f t="shared" ca="1" si="77"/>
        <v/>
      </c>
      <c r="AX41" s="52" t="str">
        <f t="shared" ca="1" si="77"/>
        <v/>
      </c>
      <c r="AY41" s="52" t="str">
        <f t="shared" ca="1" si="77"/>
        <v/>
      </c>
      <c r="AZ41" s="52" t="str">
        <f t="shared" ca="1" si="77"/>
        <v/>
      </c>
      <c r="BA41" s="52" t="str">
        <f t="shared" ca="1" si="77"/>
        <v/>
      </c>
      <c r="BB41" s="52" t="str">
        <f t="shared" ca="1" si="77"/>
        <v/>
      </c>
      <c r="BC41" s="52" t="str">
        <f t="shared" ca="1" si="77"/>
        <v/>
      </c>
      <c r="BD41" s="52" t="str">
        <f t="shared" ca="1" si="77"/>
        <v/>
      </c>
      <c r="BE41" s="52" t="str">
        <f t="shared" ca="1" si="77"/>
        <v/>
      </c>
      <c r="BF41" s="52" t="str">
        <f t="shared" ca="1" si="77"/>
        <v/>
      </c>
      <c r="BG41" s="52" t="str">
        <f t="shared" ca="1" si="77"/>
        <v/>
      </c>
      <c r="BH41" s="52" t="str">
        <f t="shared" ca="1" si="77"/>
        <v/>
      </c>
      <c r="BI41" s="52" t="str">
        <f t="shared" ca="1" si="77"/>
        <v/>
      </c>
      <c r="BJ41" s="52" t="str">
        <f t="shared" ca="1" si="77"/>
        <v/>
      </c>
      <c r="BK41" s="52" t="str">
        <f t="shared" ca="1" si="77"/>
        <v/>
      </c>
      <c r="BL41" s="52" t="str">
        <f t="shared" ca="1" si="77"/>
        <v/>
      </c>
      <c r="BM41" s="52" t="str">
        <f t="shared" ca="1" si="77"/>
        <v/>
      </c>
      <c r="BN41" t="str">
        <f t="shared" ca="1" si="77"/>
        <v/>
      </c>
      <c r="BO41" t="str">
        <f t="shared" ca="1" si="77"/>
        <v/>
      </c>
      <c r="BP41" t="str">
        <f t="shared" ca="1" si="77"/>
        <v/>
      </c>
    </row>
    <row r="42" spans="1:68" ht="15" customHeight="1" x14ac:dyDescent="0.3">
      <c r="A42" s="10" t="str">
        <f>IF(Job_Master!A42="","",Job_Master!A42)</f>
        <v>BJ-140</v>
      </c>
      <c r="B42" s="10">
        <f>IF($A42="","",Job_Master!B42)</f>
        <v>54</v>
      </c>
      <c r="C42" s="10" t="str">
        <f>IF($A42="","",Job_Master!C42)</f>
        <v>RW</v>
      </c>
      <c r="D42" s="10">
        <f>IF($A42="","",Job_Master!D42)</f>
        <v>2</v>
      </c>
      <c r="E42" s="48" t="str">
        <f>IF($A42="","","QC-MC-04")</f>
        <v>QC-MC-04</v>
      </c>
      <c r="F42" s="10" t="str">
        <f>IF($E42="","",IFERROR(VLOOKUP($E42,Machine_List!$B:$G,6,0),""))</f>
        <v>General Workman</v>
      </c>
      <c r="G42" s="53">
        <f>IF($E42="","",IFERROR(VLOOKUP($E42,Machine_List!$B:$C,2,0),""))</f>
        <v>46195</v>
      </c>
      <c r="H42" s="10">
        <f>IF($E42="","",IFERROR(VLOOKUP($E42,Machine_List!$B:$D,3,0),""))</f>
        <v>6</v>
      </c>
      <c r="I42" s="54"/>
      <c r="J42" s="55">
        <f ca="1">IF($A42="","",IF($I42&lt;&gt;"",$I42,MAX(FID_Plan!$M42,IFERROR(LOOKUP(2,1/($E$3:INDIRECT("E"&amp;(ROW()-1))=$E42),$M$3:INDIRECT("M"&amp;(ROW()-1))),FID_Plan!$M42))))</f>
        <v>46200.606481481489</v>
      </c>
      <c r="K42" s="10">
        <f>IF($A42="","",IFERROR(VLOOKUP(B42,CHOOSE(MATCH(C42,Settings!$L$4:$L$10,0),OPR_2P!$A$4:$I$18,SEG_6P!$A$4:$I$18,SOL_4P!$A$4:$I$18,RW_2P!$A$4:$I$18,RW2_4P!$A$4:$I$18,FLAP_4P!$A$4:$I$18,TUBE_4P!$A$4:$I$18),8,0),0))</f>
        <v>68</v>
      </c>
      <c r="L42" s="10">
        <f t="shared" si="0"/>
        <v>136</v>
      </c>
      <c r="M42" s="55">
        <f ca="1">IF($A42="","",$J42+($L42/(IF(F42="Contract Workman",Settings!$K$5,Settings!$K$4))))</f>
        <v>46206.902777777788</v>
      </c>
      <c r="N42" s="10" t="str">
        <f t="shared" ca="1" si="65"/>
        <v>Shift B</v>
      </c>
      <c r="O42" s="51" t="str">
        <f>IF(B42="","", IF(IFERROR(ISNUMBER(SEARCH(B42, VLOOKUP(E42, Machine_List!$B:$J, 9, 0))), FALSE()), "✅ Machine OK", "❌ Sug: " &amp; IFERROR(INDEX(Machine_List!$B$4:$B$50, MATCH("*"&amp;B42&amp;"*", Machine_List!$J$4:$J$50, 0)), "Check Limits")))</f>
        <v>✅ Machine OK</v>
      </c>
      <c r="P42" s="52" t="str">
        <f t="shared" ref="P42:AC42" ca="1" si="78">IF(AND(Q$3&gt;=$J42, Q$3&lt;$M42), $A42, "")</f>
        <v/>
      </c>
      <c r="Q42" s="52" t="str">
        <f t="shared" ca="1" si="78"/>
        <v/>
      </c>
      <c r="R42" s="52" t="str">
        <f t="shared" ca="1" si="78"/>
        <v/>
      </c>
      <c r="S42" s="52" t="str">
        <f t="shared" ca="1" si="78"/>
        <v/>
      </c>
      <c r="T42" s="52" t="str">
        <f t="shared" ca="1" si="78"/>
        <v/>
      </c>
      <c r="U42" s="52" t="str">
        <f t="shared" ca="1" si="78"/>
        <v/>
      </c>
      <c r="V42" s="52" t="str">
        <f t="shared" ca="1" si="78"/>
        <v/>
      </c>
      <c r="W42" s="52" t="str">
        <f t="shared" ca="1" si="78"/>
        <v/>
      </c>
      <c r="X42" s="52" t="str">
        <f t="shared" ca="1" si="78"/>
        <v/>
      </c>
      <c r="Y42" s="52" t="str">
        <f t="shared" ca="1" si="78"/>
        <v/>
      </c>
      <c r="Z42" s="52" t="str">
        <f t="shared" ca="1" si="78"/>
        <v/>
      </c>
      <c r="AA42" s="52" t="str">
        <f t="shared" ca="1" si="78"/>
        <v/>
      </c>
      <c r="AB42" s="52" t="str">
        <f t="shared" ca="1" si="78"/>
        <v/>
      </c>
      <c r="AC42" s="52" t="str">
        <f t="shared" ca="1" si="78"/>
        <v/>
      </c>
      <c r="AD42" s="52" t="str">
        <f t="shared" ref="AD42:BP42" ca="1" si="79">IF(AND(AE$3&gt;=$J42, AE$3&lt;$M42), $A42, "")</f>
        <v/>
      </c>
      <c r="AE42" s="52" t="str">
        <f t="shared" ca="1" si="79"/>
        <v/>
      </c>
      <c r="AF42" s="52" t="str">
        <f t="shared" ca="1" si="79"/>
        <v/>
      </c>
      <c r="AG42" s="52" t="str">
        <f t="shared" ca="1" si="79"/>
        <v/>
      </c>
      <c r="AH42" s="52" t="str">
        <f t="shared" ca="1" si="79"/>
        <v/>
      </c>
      <c r="AI42" s="52" t="str">
        <f t="shared" ca="1" si="79"/>
        <v/>
      </c>
      <c r="AJ42" s="52" t="str">
        <f t="shared" ca="1" si="79"/>
        <v/>
      </c>
      <c r="AK42" s="52" t="str">
        <f t="shared" ca="1" si="79"/>
        <v/>
      </c>
      <c r="AL42" s="52" t="str">
        <f t="shared" ca="1" si="79"/>
        <v/>
      </c>
      <c r="AM42" s="52" t="str">
        <f t="shared" ca="1" si="79"/>
        <v/>
      </c>
      <c r="AN42" s="52" t="str">
        <f t="shared" ca="1" si="79"/>
        <v/>
      </c>
      <c r="AO42" s="52" t="str">
        <f t="shared" ca="1" si="79"/>
        <v/>
      </c>
      <c r="AP42" s="52" t="str">
        <f t="shared" ca="1" si="79"/>
        <v/>
      </c>
      <c r="AQ42" s="52" t="str">
        <f t="shared" ca="1" si="79"/>
        <v/>
      </c>
      <c r="AR42" s="52" t="str">
        <f t="shared" ca="1" si="79"/>
        <v/>
      </c>
      <c r="AS42" s="52" t="str">
        <f t="shared" ca="1" si="79"/>
        <v/>
      </c>
      <c r="AT42" s="52" t="str">
        <f t="shared" ca="1" si="79"/>
        <v/>
      </c>
      <c r="AU42" s="52" t="str">
        <f t="shared" ca="1" si="79"/>
        <v/>
      </c>
      <c r="AV42" s="52" t="str">
        <f t="shared" ca="1" si="79"/>
        <v/>
      </c>
      <c r="AW42" s="52" t="str">
        <f t="shared" ca="1" si="79"/>
        <v/>
      </c>
      <c r="AX42" s="52" t="str">
        <f t="shared" ca="1" si="79"/>
        <v/>
      </c>
      <c r="AY42" s="52" t="str">
        <f t="shared" ca="1" si="79"/>
        <v/>
      </c>
      <c r="AZ42" s="52" t="str">
        <f t="shared" ca="1" si="79"/>
        <v/>
      </c>
      <c r="BA42" s="52" t="str">
        <f t="shared" ca="1" si="79"/>
        <v/>
      </c>
      <c r="BB42" s="52" t="str">
        <f t="shared" ca="1" si="79"/>
        <v/>
      </c>
      <c r="BC42" s="52" t="str">
        <f t="shared" ca="1" si="79"/>
        <v/>
      </c>
      <c r="BD42" s="52" t="str">
        <f t="shared" ca="1" si="79"/>
        <v/>
      </c>
      <c r="BE42" s="52" t="str">
        <f t="shared" ca="1" si="79"/>
        <v/>
      </c>
      <c r="BF42" s="52" t="str">
        <f t="shared" ca="1" si="79"/>
        <v/>
      </c>
      <c r="BG42" s="52" t="str">
        <f t="shared" ca="1" si="79"/>
        <v/>
      </c>
      <c r="BH42" s="52" t="str">
        <f t="shared" ca="1" si="79"/>
        <v/>
      </c>
      <c r="BI42" s="52" t="str">
        <f t="shared" ca="1" si="79"/>
        <v/>
      </c>
      <c r="BJ42" s="52" t="str">
        <f t="shared" ca="1" si="79"/>
        <v/>
      </c>
      <c r="BK42" s="52" t="str">
        <f t="shared" ca="1" si="79"/>
        <v/>
      </c>
      <c r="BL42" s="52" t="str">
        <f t="shared" ca="1" si="79"/>
        <v/>
      </c>
      <c r="BM42" s="52" t="str">
        <f t="shared" ca="1" si="79"/>
        <v/>
      </c>
      <c r="BN42" t="str">
        <f t="shared" ca="1" si="79"/>
        <v/>
      </c>
      <c r="BO42" t="str">
        <f t="shared" ca="1" si="79"/>
        <v/>
      </c>
      <c r="BP42" t="str">
        <f t="shared" ca="1" si="79"/>
        <v/>
      </c>
    </row>
    <row r="43" spans="1:68" ht="15" customHeight="1" x14ac:dyDescent="0.3">
      <c r="A43" s="10" t="str">
        <f>IF(Job_Master!A43="","",Job_Master!A43)</f>
        <v>BJ-138</v>
      </c>
      <c r="B43" s="10">
        <f>IF($A43="","",Job_Master!B43)</f>
        <v>9</v>
      </c>
      <c r="C43" s="10" t="str">
        <f>IF($A43="","",Job_Master!C43)</f>
        <v>RW</v>
      </c>
      <c r="D43" s="10">
        <f>IF($A43="","",Job_Master!D43)</f>
        <v>2</v>
      </c>
      <c r="E43" s="48" t="str">
        <f>IF($A43="","","QC-MC-05")</f>
        <v>QC-MC-05</v>
      </c>
      <c r="F43" s="10" t="str">
        <f>IF($E43="","",IFERROR(VLOOKUP($E43,Machine_List!$B:$G,6,0),""))</f>
        <v>General Workman</v>
      </c>
      <c r="G43" s="53">
        <f>IF($E43="","",IFERROR(VLOOKUP($E43,Machine_List!$B:$C,2,0),""))</f>
        <v>46373</v>
      </c>
      <c r="H43" s="10">
        <f>IF($E43="","",IFERROR(VLOOKUP($E43,Machine_List!$B:$D,3,0),""))</f>
        <v>6</v>
      </c>
      <c r="I43" s="54"/>
      <c r="J43" s="55">
        <f ca="1">IF($A43="","",IF($I43&lt;&gt;"",$I43,MAX(FID_Plan!$M43,IFERROR(LOOKUP(2,1/($E$3:INDIRECT("E"&amp;(ROW()-1))=$E43),$M$3:INDIRECT("M"&amp;(ROW()-1))),FID_Plan!$M43))))</f>
        <v>46176.413359788356</v>
      </c>
      <c r="K43" s="10">
        <f>IF($A43="","",IFERROR(VLOOKUP(B43,CHOOSE(MATCH(C43,Settings!$L$4:$L$10,0),OPR_2P!$A$4:$I$18,SEG_6P!$A$4:$I$18,SOL_4P!$A$4:$I$18,RW_2P!$A$4:$I$18,RW2_4P!$A$4:$I$18,FLAP_4P!$A$4:$I$18,TUBE_4P!$A$4:$I$18),8,0),0))</f>
        <v>5</v>
      </c>
      <c r="L43" s="10">
        <f t="shared" si="0"/>
        <v>10</v>
      </c>
      <c r="M43" s="55">
        <f ca="1">IF($A43="","",$J43+($L43/(IF(F43="Contract Workman",Settings!$K$5,Settings!$K$4))))</f>
        <v>46176.876322751319</v>
      </c>
      <c r="N43" s="10" t="str">
        <f t="shared" ca="1" si="65"/>
        <v>Shift B</v>
      </c>
      <c r="O43" s="51" t="str">
        <f>IF(B43="","", IF(IFERROR(ISNUMBER(SEARCH(B43, VLOOKUP(E43, Machine_List!$B:$J, 9, 0))), FALSE()), "✅ Machine OK", "❌ Sug: " &amp; IFERROR(INDEX(Machine_List!$B$4:$B$50, MATCH("*"&amp;B43&amp;"*", Machine_List!$J$4:$J$50, 0)), "Check Limits")))</f>
        <v>✅ Machine OK</v>
      </c>
      <c r="P43" s="52" t="str">
        <f t="shared" ref="P43:AC43" ca="1" si="80">IF(AND(Q$3&gt;=$J43, Q$3&lt;$M43), $A43, "")</f>
        <v/>
      </c>
      <c r="Q43" s="52" t="str">
        <f t="shared" ca="1" si="80"/>
        <v/>
      </c>
      <c r="R43" s="52" t="str">
        <f t="shared" ca="1" si="80"/>
        <v/>
      </c>
      <c r="S43" s="52" t="str">
        <f t="shared" ca="1" si="80"/>
        <v/>
      </c>
      <c r="T43" s="52" t="str">
        <f t="shared" ca="1" si="80"/>
        <v/>
      </c>
      <c r="U43" s="52" t="str">
        <f t="shared" ca="1" si="80"/>
        <v/>
      </c>
      <c r="V43" s="52" t="str">
        <f t="shared" ca="1" si="80"/>
        <v/>
      </c>
      <c r="W43" s="52" t="str">
        <f t="shared" ca="1" si="80"/>
        <v/>
      </c>
      <c r="X43" s="52" t="str">
        <f t="shared" ca="1" si="80"/>
        <v/>
      </c>
      <c r="Y43" s="52" t="str">
        <f t="shared" ca="1" si="80"/>
        <v/>
      </c>
      <c r="Z43" s="52" t="str">
        <f t="shared" ca="1" si="80"/>
        <v/>
      </c>
      <c r="AA43" s="52" t="str">
        <f t="shared" ca="1" si="80"/>
        <v/>
      </c>
      <c r="AB43" s="52" t="str">
        <f t="shared" ca="1" si="80"/>
        <v/>
      </c>
      <c r="AC43" s="52" t="str">
        <f t="shared" ca="1" si="80"/>
        <v/>
      </c>
      <c r="AD43" s="52" t="str">
        <f t="shared" ref="AD43:BP43" ca="1" si="81">IF(AND(AE$3&gt;=$J43, AE$3&lt;$M43), $A43, "")</f>
        <v/>
      </c>
      <c r="AE43" s="52" t="str">
        <f t="shared" ca="1" si="81"/>
        <v/>
      </c>
      <c r="AF43" s="52" t="str">
        <f t="shared" ca="1" si="81"/>
        <v/>
      </c>
      <c r="AG43" s="52" t="str">
        <f t="shared" ca="1" si="81"/>
        <v/>
      </c>
      <c r="AH43" s="52" t="str">
        <f t="shared" ca="1" si="81"/>
        <v/>
      </c>
      <c r="AI43" s="52" t="str">
        <f t="shared" ca="1" si="81"/>
        <v/>
      </c>
      <c r="AJ43" s="52" t="str">
        <f t="shared" ca="1" si="81"/>
        <v/>
      </c>
      <c r="AK43" s="52" t="str">
        <f t="shared" ca="1" si="81"/>
        <v/>
      </c>
      <c r="AL43" s="52" t="str">
        <f t="shared" ca="1" si="81"/>
        <v/>
      </c>
      <c r="AM43" s="52" t="str">
        <f t="shared" ca="1" si="81"/>
        <v/>
      </c>
      <c r="AN43" s="52" t="str">
        <f t="shared" ca="1" si="81"/>
        <v/>
      </c>
      <c r="AO43" s="52" t="str">
        <f t="shared" ca="1" si="81"/>
        <v/>
      </c>
      <c r="AP43" s="52" t="str">
        <f t="shared" ca="1" si="81"/>
        <v/>
      </c>
      <c r="AQ43" s="52" t="str">
        <f t="shared" ca="1" si="81"/>
        <v/>
      </c>
      <c r="AR43" s="52" t="str">
        <f t="shared" ca="1" si="81"/>
        <v/>
      </c>
      <c r="AS43" s="52" t="str">
        <f t="shared" ca="1" si="81"/>
        <v/>
      </c>
      <c r="AT43" s="52" t="str">
        <f t="shared" ca="1" si="81"/>
        <v/>
      </c>
      <c r="AU43" s="52" t="str">
        <f t="shared" ca="1" si="81"/>
        <v/>
      </c>
      <c r="AV43" s="52" t="str">
        <f t="shared" ca="1" si="81"/>
        <v/>
      </c>
      <c r="AW43" s="52" t="str">
        <f t="shared" ca="1" si="81"/>
        <v/>
      </c>
      <c r="AX43" s="52" t="str">
        <f t="shared" ca="1" si="81"/>
        <v/>
      </c>
      <c r="AY43" s="52" t="str">
        <f t="shared" ca="1" si="81"/>
        <v/>
      </c>
      <c r="AZ43" s="52" t="str">
        <f t="shared" ca="1" si="81"/>
        <v/>
      </c>
      <c r="BA43" s="52" t="str">
        <f t="shared" ca="1" si="81"/>
        <v/>
      </c>
      <c r="BB43" s="52" t="str">
        <f t="shared" ca="1" si="81"/>
        <v/>
      </c>
      <c r="BC43" s="52" t="str">
        <f t="shared" ca="1" si="81"/>
        <v/>
      </c>
      <c r="BD43" s="52" t="str">
        <f t="shared" ca="1" si="81"/>
        <v/>
      </c>
      <c r="BE43" s="52" t="str">
        <f t="shared" ca="1" si="81"/>
        <v/>
      </c>
      <c r="BF43" s="52" t="str">
        <f t="shared" ca="1" si="81"/>
        <v/>
      </c>
      <c r="BG43" s="52" t="str">
        <f t="shared" ca="1" si="81"/>
        <v/>
      </c>
      <c r="BH43" s="52" t="str">
        <f t="shared" ca="1" si="81"/>
        <v/>
      </c>
      <c r="BI43" s="52" t="str">
        <f t="shared" ca="1" si="81"/>
        <v/>
      </c>
      <c r="BJ43" s="52" t="str">
        <f t="shared" ca="1" si="81"/>
        <v/>
      </c>
      <c r="BK43" s="52" t="str">
        <f t="shared" ca="1" si="81"/>
        <v/>
      </c>
      <c r="BL43" s="52" t="str">
        <f t="shared" ca="1" si="81"/>
        <v/>
      </c>
      <c r="BM43" s="52" t="str">
        <f t="shared" ca="1" si="81"/>
        <v/>
      </c>
      <c r="BN43" t="str">
        <f t="shared" ca="1" si="81"/>
        <v/>
      </c>
      <c r="BO43" t="str">
        <f t="shared" ca="1" si="81"/>
        <v/>
      </c>
      <c r="BP43" t="str">
        <f t="shared" ca="1" si="81"/>
        <v/>
      </c>
    </row>
    <row r="44" spans="1:68" ht="15" customHeight="1" x14ac:dyDescent="0.3">
      <c r="A44" s="10" t="str">
        <f>IF(Job_Master!A44="","",Job_Master!A44)</f>
        <v>BJ-144</v>
      </c>
      <c r="B44" s="10">
        <f>IF($A44="","",Job_Master!B44)</f>
        <v>63</v>
      </c>
      <c r="C44" s="10" t="str">
        <f>IF($A44="","",Job_Master!C44)</f>
        <v>RW</v>
      </c>
      <c r="D44" s="10">
        <f>IF($A44="","",Job_Master!D44)</f>
        <v>2</v>
      </c>
      <c r="E44" s="48" t="str">
        <f>IF($A44="","","QC-MC-03")</f>
        <v>QC-MC-03</v>
      </c>
      <c r="F44" s="10" t="str">
        <f>IF($E44="","",IFERROR(VLOOKUP($E44,Machine_List!$B:$G,6,0),""))</f>
        <v>General Workman</v>
      </c>
      <c r="G44" s="53">
        <f>IF($E44="","",IFERROR(VLOOKUP($E44,Machine_List!$B:$C,2,0),""))</f>
        <v>46172</v>
      </c>
      <c r="H44" s="10">
        <f>IF($E44="","",IFERROR(VLOOKUP($E44,Machine_List!$B:$D,3,0),""))</f>
        <v>6</v>
      </c>
      <c r="I44" s="54"/>
      <c r="J44" s="55">
        <f ca="1">IF($A44="","",IF($I44&lt;&gt;"",$I44,MAX(FID_Plan!$M44,IFERROR(LOOKUP(2,1/($E$3:INDIRECT("E"&amp;(ROW()-1))=$E44),$M$3:INDIRECT("M"&amp;(ROW()-1))),FID_Plan!$M44))))</f>
        <v>46234.320105820101</v>
      </c>
      <c r="K44" s="10">
        <f>IF($A44="","",IFERROR(VLOOKUP(B44,CHOOSE(MATCH(C44,Settings!$L$4:$L$10,0),OPR_2P!$A$4:$I$18,SEG_6P!$A$4:$I$18,SOL_4P!$A$4:$I$18,RW_2P!$A$4:$I$18,RW2_4P!$A$4:$I$18,FLAP_4P!$A$4:$I$18,TUBE_4P!$A$4:$I$18),8,0),0))</f>
        <v>55</v>
      </c>
      <c r="L44" s="10">
        <f t="shared" si="0"/>
        <v>110</v>
      </c>
      <c r="M44" s="55">
        <f ca="1">IF($A44="","",$J44+($L44/(IF(F44="Contract Workman",Settings!$K$5,Settings!$K$4))))</f>
        <v>46239.412698412692</v>
      </c>
      <c r="N44" s="10" t="str">
        <f t="shared" ca="1" si="65"/>
        <v>Shift A</v>
      </c>
      <c r="O44" s="51" t="str">
        <f>IF(B44="","", IF(IFERROR(ISNUMBER(SEARCH(B44, VLOOKUP(E44, Machine_List!$B:$J, 9, 0))), FALSE()), "✅ Machine OK", "❌ Sug: " &amp; IFERROR(INDEX(Machine_List!$B$4:$B$50, MATCH("*"&amp;B44&amp;"*", Machine_List!$J$4:$J$50, 0)), "Check Limits")))</f>
        <v>✅ Machine OK</v>
      </c>
      <c r="P44" s="52" t="str">
        <f t="shared" ref="P44:AC44" ca="1" si="82">IF(AND(Q$3&gt;=$J44, Q$3&lt;$M44), $A44, "")</f>
        <v/>
      </c>
      <c r="Q44" s="52" t="str">
        <f t="shared" ca="1" si="82"/>
        <v/>
      </c>
      <c r="R44" s="52" t="str">
        <f t="shared" ca="1" si="82"/>
        <v/>
      </c>
      <c r="S44" s="52" t="str">
        <f t="shared" ca="1" si="82"/>
        <v/>
      </c>
      <c r="T44" s="52" t="str">
        <f t="shared" ca="1" si="82"/>
        <v/>
      </c>
      <c r="U44" s="52" t="str">
        <f t="shared" ca="1" si="82"/>
        <v/>
      </c>
      <c r="V44" s="52" t="str">
        <f t="shared" ca="1" si="82"/>
        <v/>
      </c>
      <c r="W44" s="52" t="str">
        <f t="shared" ca="1" si="82"/>
        <v/>
      </c>
      <c r="X44" s="52" t="str">
        <f t="shared" ca="1" si="82"/>
        <v/>
      </c>
      <c r="Y44" s="52" t="str">
        <f t="shared" ca="1" si="82"/>
        <v/>
      </c>
      <c r="Z44" s="52" t="str">
        <f t="shared" ca="1" si="82"/>
        <v/>
      </c>
      <c r="AA44" s="52" t="str">
        <f t="shared" ca="1" si="82"/>
        <v/>
      </c>
      <c r="AB44" s="52" t="str">
        <f t="shared" ca="1" si="82"/>
        <v/>
      </c>
      <c r="AC44" s="52" t="str">
        <f t="shared" ca="1" si="82"/>
        <v/>
      </c>
      <c r="AD44" s="52" t="str">
        <f t="shared" ref="AD44:BP44" ca="1" si="83">IF(AND(AE$3&gt;=$J44, AE$3&lt;$M44), $A44, "")</f>
        <v/>
      </c>
      <c r="AE44" s="52" t="str">
        <f t="shared" ca="1" si="83"/>
        <v/>
      </c>
      <c r="AF44" s="52" t="str">
        <f t="shared" ca="1" si="83"/>
        <v/>
      </c>
      <c r="AG44" s="52" t="str">
        <f t="shared" ca="1" si="83"/>
        <v/>
      </c>
      <c r="AH44" s="52" t="str">
        <f t="shared" ca="1" si="83"/>
        <v/>
      </c>
      <c r="AI44" s="52" t="str">
        <f t="shared" ca="1" si="83"/>
        <v/>
      </c>
      <c r="AJ44" s="52" t="str">
        <f t="shared" ca="1" si="83"/>
        <v/>
      </c>
      <c r="AK44" s="52" t="str">
        <f t="shared" ca="1" si="83"/>
        <v/>
      </c>
      <c r="AL44" s="52" t="str">
        <f t="shared" ca="1" si="83"/>
        <v/>
      </c>
      <c r="AM44" s="52" t="str">
        <f t="shared" ca="1" si="83"/>
        <v/>
      </c>
      <c r="AN44" s="52" t="str">
        <f t="shared" ca="1" si="83"/>
        <v/>
      </c>
      <c r="AO44" s="52" t="str">
        <f t="shared" ca="1" si="83"/>
        <v/>
      </c>
      <c r="AP44" s="52" t="str">
        <f t="shared" ca="1" si="83"/>
        <v/>
      </c>
      <c r="AQ44" s="52" t="str">
        <f t="shared" ca="1" si="83"/>
        <v/>
      </c>
      <c r="AR44" s="52" t="str">
        <f t="shared" ca="1" si="83"/>
        <v/>
      </c>
      <c r="AS44" s="52" t="str">
        <f t="shared" ca="1" si="83"/>
        <v/>
      </c>
      <c r="AT44" s="52" t="str">
        <f t="shared" ca="1" si="83"/>
        <v/>
      </c>
      <c r="AU44" s="52" t="str">
        <f t="shared" ca="1" si="83"/>
        <v/>
      </c>
      <c r="AV44" s="52" t="str">
        <f t="shared" ca="1" si="83"/>
        <v/>
      </c>
      <c r="AW44" s="52" t="str">
        <f t="shared" ca="1" si="83"/>
        <v/>
      </c>
      <c r="AX44" s="52" t="str">
        <f t="shared" ca="1" si="83"/>
        <v/>
      </c>
      <c r="AY44" s="52" t="str">
        <f t="shared" ca="1" si="83"/>
        <v/>
      </c>
      <c r="AZ44" s="52" t="str">
        <f t="shared" ca="1" si="83"/>
        <v/>
      </c>
      <c r="BA44" s="52" t="str">
        <f t="shared" ca="1" si="83"/>
        <v/>
      </c>
      <c r="BB44" s="52" t="str">
        <f t="shared" ca="1" si="83"/>
        <v/>
      </c>
      <c r="BC44" s="52" t="str">
        <f t="shared" ca="1" si="83"/>
        <v/>
      </c>
      <c r="BD44" s="52" t="str">
        <f t="shared" ca="1" si="83"/>
        <v/>
      </c>
      <c r="BE44" s="52" t="str">
        <f t="shared" ca="1" si="83"/>
        <v/>
      </c>
      <c r="BF44" s="52" t="str">
        <f t="shared" ca="1" si="83"/>
        <v/>
      </c>
      <c r="BG44" s="52" t="str">
        <f t="shared" ca="1" si="83"/>
        <v/>
      </c>
      <c r="BH44" s="52" t="str">
        <f t="shared" ca="1" si="83"/>
        <v/>
      </c>
      <c r="BI44" s="52" t="str">
        <f t="shared" ca="1" si="83"/>
        <v/>
      </c>
      <c r="BJ44" s="52" t="str">
        <f t="shared" ca="1" si="83"/>
        <v/>
      </c>
      <c r="BK44" s="52" t="str">
        <f t="shared" ca="1" si="83"/>
        <v/>
      </c>
      <c r="BL44" s="52" t="str">
        <f t="shared" ca="1" si="83"/>
        <v/>
      </c>
      <c r="BM44" s="52" t="str">
        <f t="shared" ca="1" si="83"/>
        <v/>
      </c>
      <c r="BN44" t="str">
        <f t="shared" ca="1" si="83"/>
        <v/>
      </c>
      <c r="BO44" t="str">
        <f t="shared" ca="1" si="83"/>
        <v/>
      </c>
      <c r="BP44" t="str">
        <f t="shared" ca="1" si="83"/>
        <v/>
      </c>
    </row>
    <row r="45" spans="1:68" ht="15" customHeight="1" x14ac:dyDescent="0.3">
      <c r="A45" s="10" t="str">
        <f>IF(Job_Master!A45="","",Job_Master!A45)</f>
        <v>BJ-146</v>
      </c>
      <c r="B45" s="10">
        <f>IF($A45="","",Job_Master!B45)</f>
        <v>20</v>
      </c>
      <c r="C45" s="10" t="str">
        <f>IF($A45="","",Job_Master!C45)</f>
        <v>RW</v>
      </c>
      <c r="D45" s="10">
        <f>IF($A45="","",Job_Master!D45)</f>
        <v>2</v>
      </c>
      <c r="E45" s="48" t="str">
        <f>IF($A45="","","QC-MC-05")</f>
        <v>QC-MC-05</v>
      </c>
      <c r="F45" s="10" t="str">
        <f>IF($E45="","",IFERROR(VLOOKUP($E45,Machine_List!$B:$G,6,0),""))</f>
        <v>General Workman</v>
      </c>
      <c r="G45" s="53">
        <f>IF($E45="","",IFERROR(VLOOKUP($E45,Machine_List!$B:$C,2,0),""))</f>
        <v>46373</v>
      </c>
      <c r="H45" s="10">
        <f>IF($E45="","",IFERROR(VLOOKUP($E45,Machine_List!$B:$D,3,0),""))</f>
        <v>6</v>
      </c>
      <c r="I45" s="54"/>
      <c r="J45" s="55">
        <f ca="1">IF($A45="","",IF($I45&lt;&gt;"",$I45,MAX(FID_Plan!$M45,IFERROR(LOOKUP(2,1/($E$3:INDIRECT("E"&amp;(ROW()-1))=$E45),$M$3:INDIRECT("M"&amp;(ROW()-1))),FID_Plan!$M45))))</f>
        <v>46176.876322751319</v>
      </c>
      <c r="K45" s="10">
        <f>IF($A45="","",IFERROR(VLOOKUP(B45,CHOOSE(MATCH(C45,Settings!$L$4:$L$10,0),OPR_2P!$A$4:$I$18,SEG_6P!$A$4:$I$18,SOL_4P!$A$4:$I$18,RW_2P!$A$4:$I$18,RW2_4P!$A$4:$I$18,FLAP_4P!$A$4:$I$18,TUBE_4P!$A$4:$I$18),8,0),0))</f>
        <v>19</v>
      </c>
      <c r="L45" s="10">
        <f t="shared" si="0"/>
        <v>38</v>
      </c>
      <c r="M45" s="55">
        <f ca="1">IF($A45="","",$J45+($L45/(IF(F45="Contract Workman",Settings!$K$5,Settings!$K$4))))</f>
        <v>46178.635582010582</v>
      </c>
      <c r="N45" s="10" t="str">
        <f t="shared" ca="1" si="65"/>
        <v>Shift B</v>
      </c>
      <c r="O45" s="51" t="str">
        <f>IF(B45="","", IF(IFERROR(ISNUMBER(SEARCH(B45, VLOOKUP(E45, Machine_List!$B:$J, 9, 0))), FALSE()), "✅ Machine OK", "❌ Sug: " &amp; IFERROR(INDEX(Machine_List!$B$4:$B$50, MATCH("*"&amp;B45&amp;"*", Machine_List!$J$4:$J$50, 0)), "Check Limits")))</f>
        <v>✅ Machine OK</v>
      </c>
      <c r="P45" s="52" t="str">
        <f t="shared" ref="P45:AC45" ca="1" si="84">IF(AND(Q$3&gt;=$J45, Q$3&lt;$M45), $A45, "")</f>
        <v/>
      </c>
      <c r="Q45" s="52" t="str">
        <f t="shared" ca="1" si="84"/>
        <v/>
      </c>
      <c r="R45" s="52" t="str">
        <f t="shared" ca="1" si="84"/>
        <v/>
      </c>
      <c r="S45" s="52" t="str">
        <f t="shared" ca="1" si="84"/>
        <v/>
      </c>
      <c r="T45" s="52" t="str">
        <f t="shared" ca="1" si="84"/>
        <v/>
      </c>
      <c r="U45" s="52" t="str">
        <f t="shared" ca="1" si="84"/>
        <v/>
      </c>
      <c r="V45" s="52" t="str">
        <f t="shared" ca="1" si="84"/>
        <v/>
      </c>
      <c r="W45" s="52" t="str">
        <f t="shared" ca="1" si="84"/>
        <v/>
      </c>
      <c r="X45" s="52" t="str">
        <f t="shared" ca="1" si="84"/>
        <v/>
      </c>
      <c r="Y45" s="52" t="str">
        <f t="shared" ca="1" si="84"/>
        <v/>
      </c>
      <c r="Z45" s="52" t="str">
        <f t="shared" ca="1" si="84"/>
        <v/>
      </c>
      <c r="AA45" s="52" t="str">
        <f t="shared" ca="1" si="84"/>
        <v/>
      </c>
      <c r="AB45" s="52" t="str">
        <f t="shared" ca="1" si="84"/>
        <v/>
      </c>
      <c r="AC45" s="52" t="str">
        <f t="shared" ca="1" si="84"/>
        <v/>
      </c>
      <c r="AD45" s="52" t="str">
        <f t="shared" ref="AD45:BP45" ca="1" si="85">IF(AND(AE$3&gt;=$J45, AE$3&lt;$M45), $A45, "")</f>
        <v/>
      </c>
      <c r="AE45" s="52" t="str">
        <f t="shared" ca="1" si="85"/>
        <v/>
      </c>
      <c r="AF45" s="52" t="str">
        <f t="shared" ca="1" si="85"/>
        <v/>
      </c>
      <c r="AG45" s="52" t="str">
        <f t="shared" ca="1" si="85"/>
        <v/>
      </c>
      <c r="AH45" s="52" t="str">
        <f t="shared" ca="1" si="85"/>
        <v/>
      </c>
      <c r="AI45" s="52" t="str">
        <f t="shared" ca="1" si="85"/>
        <v/>
      </c>
      <c r="AJ45" s="52" t="str">
        <f t="shared" ca="1" si="85"/>
        <v/>
      </c>
      <c r="AK45" s="52" t="str">
        <f t="shared" ca="1" si="85"/>
        <v/>
      </c>
      <c r="AL45" s="52" t="str">
        <f t="shared" ca="1" si="85"/>
        <v/>
      </c>
      <c r="AM45" s="52" t="str">
        <f t="shared" ca="1" si="85"/>
        <v/>
      </c>
      <c r="AN45" s="52" t="str">
        <f t="shared" ca="1" si="85"/>
        <v/>
      </c>
      <c r="AO45" s="52" t="str">
        <f t="shared" ca="1" si="85"/>
        <v/>
      </c>
      <c r="AP45" s="52" t="str">
        <f t="shared" ca="1" si="85"/>
        <v/>
      </c>
      <c r="AQ45" s="52" t="str">
        <f t="shared" ca="1" si="85"/>
        <v/>
      </c>
      <c r="AR45" s="52" t="str">
        <f t="shared" ca="1" si="85"/>
        <v/>
      </c>
      <c r="AS45" s="52" t="str">
        <f t="shared" ca="1" si="85"/>
        <v/>
      </c>
      <c r="AT45" s="52" t="str">
        <f t="shared" ca="1" si="85"/>
        <v/>
      </c>
      <c r="AU45" s="52" t="str">
        <f t="shared" ca="1" si="85"/>
        <v/>
      </c>
      <c r="AV45" s="52" t="str">
        <f t="shared" ca="1" si="85"/>
        <v/>
      </c>
      <c r="AW45" s="52" t="str">
        <f t="shared" ca="1" si="85"/>
        <v/>
      </c>
      <c r="AX45" s="52" t="str">
        <f t="shared" ca="1" si="85"/>
        <v/>
      </c>
      <c r="AY45" s="52" t="str">
        <f t="shared" ca="1" si="85"/>
        <v/>
      </c>
      <c r="AZ45" s="52" t="str">
        <f t="shared" ca="1" si="85"/>
        <v/>
      </c>
      <c r="BA45" s="52" t="str">
        <f t="shared" ca="1" si="85"/>
        <v/>
      </c>
      <c r="BB45" s="52" t="str">
        <f t="shared" ca="1" si="85"/>
        <v/>
      </c>
      <c r="BC45" s="52" t="str">
        <f t="shared" ca="1" si="85"/>
        <v/>
      </c>
      <c r="BD45" s="52" t="str">
        <f t="shared" ca="1" si="85"/>
        <v/>
      </c>
      <c r="BE45" s="52" t="str">
        <f t="shared" ca="1" si="85"/>
        <v/>
      </c>
      <c r="BF45" s="52" t="str">
        <f t="shared" ca="1" si="85"/>
        <v/>
      </c>
      <c r="BG45" s="52" t="str">
        <f t="shared" ca="1" si="85"/>
        <v/>
      </c>
      <c r="BH45" s="52" t="str">
        <f t="shared" ca="1" si="85"/>
        <v/>
      </c>
      <c r="BI45" s="52" t="str">
        <f t="shared" ca="1" si="85"/>
        <v/>
      </c>
      <c r="BJ45" s="52" t="str">
        <f t="shared" ca="1" si="85"/>
        <v/>
      </c>
      <c r="BK45" s="52" t="str">
        <f t="shared" ca="1" si="85"/>
        <v/>
      </c>
      <c r="BL45" s="52" t="str">
        <f t="shared" ca="1" si="85"/>
        <v/>
      </c>
      <c r="BM45" s="52" t="str">
        <f t="shared" ca="1" si="85"/>
        <v/>
      </c>
      <c r="BN45" t="str">
        <f t="shared" ca="1" si="85"/>
        <v/>
      </c>
      <c r="BO45" t="str">
        <f t="shared" ca="1" si="85"/>
        <v/>
      </c>
      <c r="BP45" t="str">
        <f t="shared" ca="1" si="85"/>
        <v/>
      </c>
    </row>
    <row r="46" spans="1:68" ht="15" customHeight="1" x14ac:dyDescent="0.3">
      <c r="A46" s="10" t="str">
        <f>IF(Job_Master!A46="","",Job_Master!A46)</f>
        <v>BJ-139</v>
      </c>
      <c r="B46" s="10">
        <f>IF($A46="","",Job_Master!B46)</f>
        <v>15</v>
      </c>
      <c r="C46" s="10" t="str">
        <f>IF($A46="","",Job_Master!C46)</f>
        <v>RW</v>
      </c>
      <c r="D46" s="10">
        <f>IF($A46="","",Job_Master!D46)</f>
        <v>2</v>
      </c>
      <c r="E46" s="48" t="str">
        <f>IF($A46="","","QC-MC-05")</f>
        <v>QC-MC-05</v>
      </c>
      <c r="F46" s="10" t="str">
        <f>IF($E46="","",IFERROR(VLOOKUP($E46,Machine_List!$B:$G,6,0),""))</f>
        <v>General Workman</v>
      </c>
      <c r="G46" s="53">
        <f>IF($E46="","",IFERROR(VLOOKUP($E46,Machine_List!$B:$C,2,0),""))</f>
        <v>46373</v>
      </c>
      <c r="H46" s="10">
        <f>IF($E46="","",IFERROR(VLOOKUP($E46,Machine_List!$B:$D,3,0),""))</f>
        <v>6</v>
      </c>
      <c r="I46" s="54"/>
      <c r="J46" s="55">
        <f ca="1">IF($A46="","",IF($I46&lt;&gt;"",$I46,MAX(FID_Plan!$M46,IFERROR(LOOKUP(2,1/($E$3:INDIRECT("E"&amp;(ROW()-1))=$E46),$M$3:INDIRECT("M"&amp;(ROW()-1))),FID_Plan!$M46))))</f>
        <v>46178.635582010582</v>
      </c>
      <c r="K46" s="10">
        <f>IF($A46="","",IFERROR(VLOOKUP(B46,CHOOSE(MATCH(C46,Settings!$L$4:$L$10,0),OPR_2P!$A$4:$I$18,SEG_6P!$A$4:$I$18,SOL_4P!$A$4:$I$18,RW_2P!$A$4:$I$18,RW2_4P!$A$4:$I$18,FLAP_4P!$A$4:$I$18,TUBE_4P!$A$4:$I$18),8,0),0))</f>
        <v>7</v>
      </c>
      <c r="L46" s="10">
        <f t="shared" si="0"/>
        <v>14</v>
      </c>
      <c r="M46" s="55">
        <f ca="1">IF($A46="","",$J46+($L46/(IF(F46="Contract Workman",Settings!$K$5,Settings!$K$4))))</f>
        <v>46179.283730158728</v>
      </c>
      <c r="N46" s="10" t="str">
        <f t="shared" ca="1" si="65"/>
        <v>Shift C</v>
      </c>
      <c r="O46" s="51" t="str">
        <f>IF(B46="","", IF(IFERROR(ISNUMBER(SEARCH(B46, VLOOKUP(E46, Machine_List!$B:$J, 9, 0))), FALSE()), "✅ Machine OK", "❌ Sug: " &amp; IFERROR(INDEX(Machine_List!$B$4:$B$50, MATCH("*"&amp;B46&amp;"*", Machine_List!$J$4:$J$50, 0)), "Check Limits")))</f>
        <v>✅ Machine OK</v>
      </c>
      <c r="P46" s="52" t="str">
        <f t="shared" ref="P46:AC46" ca="1" si="86">IF(AND(Q$3&gt;=$J46, Q$3&lt;$M46), $A46, "")</f>
        <v/>
      </c>
      <c r="Q46" s="52" t="str">
        <f t="shared" ca="1" si="86"/>
        <v/>
      </c>
      <c r="R46" s="52" t="str">
        <f t="shared" ca="1" si="86"/>
        <v/>
      </c>
      <c r="S46" s="52" t="str">
        <f t="shared" ca="1" si="86"/>
        <v/>
      </c>
      <c r="T46" s="52" t="str">
        <f t="shared" ca="1" si="86"/>
        <v/>
      </c>
      <c r="U46" s="52" t="str">
        <f t="shared" ca="1" si="86"/>
        <v/>
      </c>
      <c r="V46" s="52" t="str">
        <f t="shared" ca="1" si="86"/>
        <v/>
      </c>
      <c r="W46" s="52" t="str">
        <f t="shared" ca="1" si="86"/>
        <v/>
      </c>
      <c r="X46" s="52" t="str">
        <f t="shared" ca="1" si="86"/>
        <v/>
      </c>
      <c r="Y46" s="52" t="str">
        <f t="shared" ca="1" si="86"/>
        <v/>
      </c>
      <c r="Z46" s="52" t="str">
        <f t="shared" ca="1" si="86"/>
        <v/>
      </c>
      <c r="AA46" s="52" t="str">
        <f t="shared" ca="1" si="86"/>
        <v/>
      </c>
      <c r="AB46" s="52" t="str">
        <f t="shared" ca="1" si="86"/>
        <v/>
      </c>
      <c r="AC46" s="52" t="str">
        <f t="shared" ca="1" si="86"/>
        <v/>
      </c>
      <c r="AD46" s="52" t="str">
        <f t="shared" ref="AD46:BP46" ca="1" si="87">IF(AND(AE$3&gt;=$J46, AE$3&lt;$M46), $A46, "")</f>
        <v/>
      </c>
      <c r="AE46" s="52" t="str">
        <f t="shared" ca="1" si="87"/>
        <v/>
      </c>
      <c r="AF46" s="52" t="str">
        <f t="shared" ca="1" si="87"/>
        <v/>
      </c>
      <c r="AG46" s="52" t="str">
        <f t="shared" ca="1" si="87"/>
        <v/>
      </c>
      <c r="AH46" s="52" t="str">
        <f t="shared" ca="1" si="87"/>
        <v/>
      </c>
      <c r="AI46" s="52" t="str">
        <f t="shared" ca="1" si="87"/>
        <v/>
      </c>
      <c r="AJ46" s="52" t="str">
        <f t="shared" ca="1" si="87"/>
        <v/>
      </c>
      <c r="AK46" s="52" t="str">
        <f t="shared" ca="1" si="87"/>
        <v/>
      </c>
      <c r="AL46" s="52" t="str">
        <f t="shared" ca="1" si="87"/>
        <v/>
      </c>
      <c r="AM46" s="52" t="str">
        <f t="shared" ca="1" si="87"/>
        <v/>
      </c>
      <c r="AN46" s="52" t="str">
        <f t="shared" ca="1" si="87"/>
        <v/>
      </c>
      <c r="AO46" s="52" t="str">
        <f t="shared" ca="1" si="87"/>
        <v/>
      </c>
      <c r="AP46" s="52" t="str">
        <f t="shared" ca="1" si="87"/>
        <v/>
      </c>
      <c r="AQ46" s="52" t="str">
        <f t="shared" ca="1" si="87"/>
        <v/>
      </c>
      <c r="AR46" s="52" t="str">
        <f t="shared" ca="1" si="87"/>
        <v/>
      </c>
      <c r="AS46" s="52" t="str">
        <f t="shared" ca="1" si="87"/>
        <v/>
      </c>
      <c r="AT46" s="52" t="str">
        <f t="shared" ca="1" si="87"/>
        <v/>
      </c>
      <c r="AU46" s="52" t="str">
        <f t="shared" ca="1" si="87"/>
        <v/>
      </c>
      <c r="AV46" s="52" t="str">
        <f t="shared" ca="1" si="87"/>
        <v/>
      </c>
      <c r="AW46" s="52" t="str">
        <f t="shared" ca="1" si="87"/>
        <v/>
      </c>
      <c r="AX46" s="52" t="str">
        <f t="shared" ca="1" si="87"/>
        <v/>
      </c>
      <c r="AY46" s="52" t="str">
        <f t="shared" ca="1" si="87"/>
        <v/>
      </c>
      <c r="AZ46" s="52" t="str">
        <f t="shared" ca="1" si="87"/>
        <v/>
      </c>
      <c r="BA46" s="52" t="str">
        <f t="shared" ca="1" si="87"/>
        <v/>
      </c>
      <c r="BB46" s="52" t="str">
        <f t="shared" ca="1" si="87"/>
        <v/>
      </c>
      <c r="BC46" s="52" t="str">
        <f t="shared" ca="1" si="87"/>
        <v/>
      </c>
      <c r="BD46" s="52" t="str">
        <f t="shared" ca="1" si="87"/>
        <v/>
      </c>
      <c r="BE46" s="52" t="str">
        <f t="shared" ca="1" si="87"/>
        <v/>
      </c>
      <c r="BF46" s="52" t="str">
        <f t="shared" ca="1" si="87"/>
        <v/>
      </c>
      <c r="BG46" s="52" t="str">
        <f t="shared" ca="1" si="87"/>
        <v/>
      </c>
      <c r="BH46" s="52" t="str">
        <f t="shared" ca="1" si="87"/>
        <v/>
      </c>
      <c r="BI46" s="52" t="str">
        <f t="shared" ca="1" si="87"/>
        <v/>
      </c>
      <c r="BJ46" s="52" t="str">
        <f t="shared" ca="1" si="87"/>
        <v/>
      </c>
      <c r="BK46" s="52" t="str">
        <f t="shared" ca="1" si="87"/>
        <v/>
      </c>
      <c r="BL46" s="52" t="str">
        <f t="shared" ca="1" si="87"/>
        <v/>
      </c>
      <c r="BM46" s="52" t="str">
        <f t="shared" ca="1" si="87"/>
        <v/>
      </c>
      <c r="BN46" t="str">
        <f t="shared" ca="1" si="87"/>
        <v/>
      </c>
      <c r="BO46" t="str">
        <f t="shared" ca="1" si="87"/>
        <v/>
      </c>
      <c r="BP46" t="str">
        <f t="shared" ca="1" si="87"/>
        <v/>
      </c>
    </row>
    <row r="47" spans="1:68" ht="15" customHeight="1" x14ac:dyDescent="0.3">
      <c r="A47" s="10" t="str">
        <f>IF(Job_Master!A47="","",Job_Master!A47)</f>
        <v>BJ-141</v>
      </c>
      <c r="B47" s="10">
        <f>IF($A47="","",Job_Master!B47)</f>
        <v>50</v>
      </c>
      <c r="C47" s="10" t="str">
        <f>IF($A47="","",Job_Master!C47)</f>
        <v>SOL</v>
      </c>
      <c r="D47" s="10">
        <f>IF($A47="","",Job_Master!D47)</f>
        <v>4</v>
      </c>
      <c r="E47" s="48" t="str">
        <f>IF($A47="","","QC-MC-02")</f>
        <v>QC-MC-02</v>
      </c>
      <c r="F47" s="10" t="str">
        <f>IF($E47="","",IFERROR(VLOOKUP($E47,Machine_List!$B:$G,6,0),""))</f>
        <v>General Workman</v>
      </c>
      <c r="G47" s="53">
        <f>IF($E47="","",IFERROR(VLOOKUP($E47,Machine_List!$B:$C,2,0),""))</f>
        <v>46115</v>
      </c>
      <c r="H47" s="10">
        <f>IF($E47="","",IFERROR(VLOOKUP($E47,Machine_List!$B:$D,3,0),""))</f>
        <v>6</v>
      </c>
      <c r="I47" s="54"/>
      <c r="J47" s="55">
        <f ca="1">IF($A47="","",IF($I47&lt;&gt;"",$I47,MAX(FID_Plan!$M47,IFERROR(LOOKUP(2,1/($E$3:INDIRECT("E"&amp;(ROW()-1))=$E47),$M$3:INDIRECT("M"&amp;(ROW()-1))),FID_Plan!$M47))))</f>
        <v>46273.734788359776</v>
      </c>
      <c r="K47" s="10">
        <f>IF($A47="","",IFERROR(VLOOKUP(B47,CHOOSE(MATCH(C47,Settings!$L$4:$L$10,0),OPR_2P!$A$4:$I$18,SEG_6P!$A$4:$I$18,SOL_4P!$A$4:$I$18,RW_2P!$A$4:$I$18,RW2_4P!$A$4:$I$18,FLAP_4P!$A$4:$I$18,TUBE_4P!$A$4:$I$18),8,0),0))</f>
        <v>47</v>
      </c>
      <c r="L47" s="10">
        <f t="shared" si="0"/>
        <v>188</v>
      </c>
      <c r="M47" s="55">
        <f ca="1">IF($A47="","",$J47+($L47/(IF(F47="Contract Workman",Settings!$K$5,Settings!$K$4))))</f>
        <v>46282.438492063477</v>
      </c>
      <c r="N47" s="10" t="str">
        <f t="shared" ca="1" si="65"/>
        <v>Shift A</v>
      </c>
      <c r="O47" s="51" t="str">
        <f>IF(B47="","", IF(IFERROR(ISNUMBER(SEARCH(B47, VLOOKUP(E47, Machine_List!$B:$J, 9, 0))), FALSE()), "✅ Machine OK", "❌ Sug: " &amp; IFERROR(INDEX(Machine_List!$B$4:$B$50, MATCH("*"&amp;B47&amp;"*", Machine_List!$J$4:$J$50, 0)), "Check Limits")))</f>
        <v>✅ Machine OK</v>
      </c>
      <c r="P47" s="52" t="str">
        <f t="shared" ref="P47:AC47" ca="1" si="88">IF(AND(Q$3&gt;=$J47, Q$3&lt;$M47), $A47, "")</f>
        <v/>
      </c>
      <c r="Q47" s="52" t="str">
        <f t="shared" ca="1" si="88"/>
        <v/>
      </c>
      <c r="R47" s="52" t="str">
        <f t="shared" ca="1" si="88"/>
        <v/>
      </c>
      <c r="S47" s="52" t="str">
        <f t="shared" ca="1" si="88"/>
        <v/>
      </c>
      <c r="T47" s="52" t="str">
        <f t="shared" ca="1" si="88"/>
        <v/>
      </c>
      <c r="U47" s="52" t="str">
        <f t="shared" ca="1" si="88"/>
        <v/>
      </c>
      <c r="V47" s="52" t="str">
        <f t="shared" ca="1" si="88"/>
        <v/>
      </c>
      <c r="W47" s="52" t="str">
        <f t="shared" ca="1" si="88"/>
        <v/>
      </c>
      <c r="X47" s="52" t="str">
        <f t="shared" ca="1" si="88"/>
        <v/>
      </c>
      <c r="Y47" s="52" t="str">
        <f t="shared" ca="1" si="88"/>
        <v/>
      </c>
      <c r="Z47" s="52" t="str">
        <f t="shared" ca="1" si="88"/>
        <v/>
      </c>
      <c r="AA47" s="52" t="str">
        <f t="shared" ca="1" si="88"/>
        <v/>
      </c>
      <c r="AB47" s="52" t="str">
        <f t="shared" ca="1" si="88"/>
        <v/>
      </c>
      <c r="AC47" s="52" t="str">
        <f t="shared" ca="1" si="88"/>
        <v/>
      </c>
      <c r="AD47" s="52" t="str">
        <f t="shared" ref="AD47:BP47" ca="1" si="89">IF(AND(AE$3&gt;=$J47, AE$3&lt;$M47), $A47, "")</f>
        <v/>
      </c>
      <c r="AE47" s="52" t="str">
        <f t="shared" ca="1" si="89"/>
        <v/>
      </c>
      <c r="AF47" s="52" t="str">
        <f t="shared" ca="1" si="89"/>
        <v/>
      </c>
      <c r="AG47" s="52" t="str">
        <f t="shared" ca="1" si="89"/>
        <v/>
      </c>
      <c r="AH47" s="52" t="str">
        <f t="shared" ca="1" si="89"/>
        <v/>
      </c>
      <c r="AI47" s="52" t="str">
        <f t="shared" ca="1" si="89"/>
        <v/>
      </c>
      <c r="AJ47" s="52" t="str">
        <f t="shared" ca="1" si="89"/>
        <v/>
      </c>
      <c r="AK47" s="52" t="str">
        <f t="shared" ca="1" si="89"/>
        <v/>
      </c>
      <c r="AL47" s="52" t="str">
        <f t="shared" ca="1" si="89"/>
        <v/>
      </c>
      <c r="AM47" s="52" t="str">
        <f t="shared" ca="1" si="89"/>
        <v/>
      </c>
      <c r="AN47" s="52" t="str">
        <f t="shared" ca="1" si="89"/>
        <v/>
      </c>
      <c r="AO47" s="52" t="str">
        <f t="shared" ca="1" si="89"/>
        <v/>
      </c>
      <c r="AP47" s="52" t="str">
        <f t="shared" ca="1" si="89"/>
        <v/>
      </c>
      <c r="AQ47" s="52" t="str">
        <f t="shared" ca="1" si="89"/>
        <v/>
      </c>
      <c r="AR47" s="52" t="str">
        <f t="shared" ca="1" si="89"/>
        <v/>
      </c>
      <c r="AS47" s="52" t="str">
        <f t="shared" ca="1" si="89"/>
        <v/>
      </c>
      <c r="AT47" s="52" t="str">
        <f t="shared" ca="1" si="89"/>
        <v/>
      </c>
      <c r="AU47" s="52" t="str">
        <f t="shared" ca="1" si="89"/>
        <v/>
      </c>
      <c r="AV47" s="52" t="str">
        <f t="shared" ca="1" si="89"/>
        <v/>
      </c>
      <c r="AW47" s="52" t="str">
        <f t="shared" ca="1" si="89"/>
        <v/>
      </c>
      <c r="AX47" s="52" t="str">
        <f t="shared" ca="1" si="89"/>
        <v/>
      </c>
      <c r="AY47" s="52" t="str">
        <f t="shared" ca="1" si="89"/>
        <v/>
      </c>
      <c r="AZ47" s="52" t="str">
        <f t="shared" ca="1" si="89"/>
        <v/>
      </c>
      <c r="BA47" s="52" t="str">
        <f t="shared" ca="1" si="89"/>
        <v/>
      </c>
      <c r="BB47" s="52" t="str">
        <f t="shared" ca="1" si="89"/>
        <v/>
      </c>
      <c r="BC47" s="52" t="str">
        <f t="shared" ca="1" si="89"/>
        <v/>
      </c>
      <c r="BD47" s="52" t="str">
        <f t="shared" ca="1" si="89"/>
        <v/>
      </c>
      <c r="BE47" s="52" t="str">
        <f t="shared" ca="1" si="89"/>
        <v/>
      </c>
      <c r="BF47" s="52" t="str">
        <f t="shared" ca="1" si="89"/>
        <v/>
      </c>
      <c r="BG47" s="52" t="str">
        <f t="shared" ca="1" si="89"/>
        <v/>
      </c>
      <c r="BH47" s="52" t="str">
        <f t="shared" ca="1" si="89"/>
        <v/>
      </c>
      <c r="BI47" s="52" t="str">
        <f t="shared" ca="1" si="89"/>
        <v/>
      </c>
      <c r="BJ47" s="52" t="str">
        <f t="shared" ca="1" si="89"/>
        <v/>
      </c>
      <c r="BK47" s="52" t="str">
        <f t="shared" ca="1" si="89"/>
        <v/>
      </c>
      <c r="BL47" s="52" t="str">
        <f t="shared" ca="1" si="89"/>
        <v/>
      </c>
      <c r="BM47" s="52" t="str">
        <f t="shared" ca="1" si="89"/>
        <v/>
      </c>
      <c r="BN47" t="str">
        <f t="shared" ca="1" si="89"/>
        <v/>
      </c>
      <c r="BO47" t="str">
        <f t="shared" ca="1" si="89"/>
        <v/>
      </c>
      <c r="BP47" t="str">
        <f t="shared" ca="1" si="89"/>
        <v/>
      </c>
    </row>
    <row r="48" spans="1:68" ht="15" customHeight="1" x14ac:dyDescent="0.3">
      <c r="A48" s="10" t="str">
        <f>IF(Job_Master!A48="","",Job_Master!A48)</f>
        <v>BJ-142</v>
      </c>
      <c r="B48" s="10">
        <f>IF($A48="","",Job_Master!B48)</f>
        <v>9</v>
      </c>
      <c r="C48" s="10" t="str">
        <f>IF($A48="","",Job_Master!C48)</f>
        <v>RW</v>
      </c>
      <c r="D48" s="10">
        <f>IF($A48="","",Job_Master!D48)</f>
        <v>2</v>
      </c>
      <c r="E48" s="48" t="str">
        <f>IF($A48="","","QC-MC-05")</f>
        <v>QC-MC-05</v>
      </c>
      <c r="F48" s="10" t="str">
        <f>IF($E48="","",IFERROR(VLOOKUP($E48,Machine_List!$B:$G,6,0),""))</f>
        <v>General Workman</v>
      </c>
      <c r="G48" s="53">
        <f>IF($E48="","",IFERROR(VLOOKUP($E48,Machine_List!$B:$C,2,0),""))</f>
        <v>46373</v>
      </c>
      <c r="H48" s="10">
        <f>IF($E48="","",IFERROR(VLOOKUP($E48,Machine_List!$B:$D,3,0),""))</f>
        <v>6</v>
      </c>
      <c r="I48" s="54"/>
      <c r="J48" s="55">
        <f ca="1">IF($A48="","",IF($I48&lt;&gt;"",$I48,MAX(FID_Plan!$M48,IFERROR(LOOKUP(2,1/($E$3:INDIRECT("E"&amp;(ROW()-1))=$E48),$M$3:INDIRECT("M"&amp;(ROW()-1))),FID_Plan!$M48))))</f>
        <v>46179.283730158728</v>
      </c>
      <c r="K48" s="10">
        <f>IF($A48="","",IFERROR(VLOOKUP(B48,CHOOSE(MATCH(C48,Settings!$L$4:$L$10,0),OPR_2P!$A$4:$I$18,SEG_6P!$A$4:$I$18,SOL_4P!$A$4:$I$18,RW_2P!$A$4:$I$18,RW2_4P!$A$4:$I$18,FLAP_4P!$A$4:$I$18,TUBE_4P!$A$4:$I$18),8,0),0))</f>
        <v>5</v>
      </c>
      <c r="L48" s="10">
        <f t="shared" si="0"/>
        <v>10</v>
      </c>
      <c r="M48" s="55">
        <f ca="1">IF($A48="","",$J48+($L48/(IF(F48="Contract Workman",Settings!$K$5,Settings!$K$4))))</f>
        <v>46179.746693121691</v>
      </c>
      <c r="N48" s="10" t="str">
        <f t="shared" ca="1" si="65"/>
        <v>Shift B</v>
      </c>
      <c r="O48" s="51" t="str">
        <f>IF(B48="","", IF(IFERROR(ISNUMBER(SEARCH(B48, VLOOKUP(E48, Machine_List!$B:$J, 9, 0))), FALSE()), "✅ Machine OK", "❌ Sug: " &amp; IFERROR(INDEX(Machine_List!$B$4:$B$50, MATCH("*"&amp;B48&amp;"*", Machine_List!$J$4:$J$50, 0)), "Check Limits")))</f>
        <v>✅ Machine OK</v>
      </c>
      <c r="P48" s="52" t="str">
        <f t="shared" ref="P48:AC48" ca="1" si="90">IF(AND(Q$3&gt;=$J48, Q$3&lt;$M48), $A48, "")</f>
        <v/>
      </c>
      <c r="Q48" s="52" t="str">
        <f t="shared" ca="1" si="90"/>
        <v/>
      </c>
      <c r="R48" s="52" t="str">
        <f t="shared" ca="1" si="90"/>
        <v/>
      </c>
      <c r="S48" s="52" t="str">
        <f t="shared" ca="1" si="90"/>
        <v/>
      </c>
      <c r="T48" s="52" t="str">
        <f t="shared" ca="1" si="90"/>
        <v/>
      </c>
      <c r="U48" s="52" t="str">
        <f t="shared" ca="1" si="90"/>
        <v/>
      </c>
      <c r="V48" s="52" t="str">
        <f t="shared" ca="1" si="90"/>
        <v/>
      </c>
      <c r="W48" s="52" t="str">
        <f t="shared" ca="1" si="90"/>
        <v/>
      </c>
      <c r="X48" s="52" t="str">
        <f t="shared" ca="1" si="90"/>
        <v/>
      </c>
      <c r="Y48" s="52" t="str">
        <f t="shared" ca="1" si="90"/>
        <v/>
      </c>
      <c r="Z48" s="52" t="str">
        <f t="shared" ca="1" si="90"/>
        <v/>
      </c>
      <c r="AA48" s="52" t="str">
        <f t="shared" ca="1" si="90"/>
        <v/>
      </c>
      <c r="AB48" s="52" t="str">
        <f t="shared" ca="1" si="90"/>
        <v/>
      </c>
      <c r="AC48" s="52" t="str">
        <f t="shared" ca="1" si="90"/>
        <v/>
      </c>
      <c r="AD48" s="52" t="str">
        <f t="shared" ref="AD48:BP48" ca="1" si="91">IF(AND(AE$3&gt;=$J48, AE$3&lt;$M48), $A48, "")</f>
        <v/>
      </c>
      <c r="AE48" s="52" t="str">
        <f t="shared" ca="1" si="91"/>
        <v/>
      </c>
      <c r="AF48" s="52" t="str">
        <f t="shared" ca="1" si="91"/>
        <v/>
      </c>
      <c r="AG48" s="52" t="str">
        <f t="shared" ca="1" si="91"/>
        <v/>
      </c>
      <c r="AH48" s="52" t="str">
        <f t="shared" ca="1" si="91"/>
        <v/>
      </c>
      <c r="AI48" s="52" t="str">
        <f t="shared" ca="1" si="91"/>
        <v/>
      </c>
      <c r="AJ48" s="52" t="str">
        <f t="shared" ca="1" si="91"/>
        <v/>
      </c>
      <c r="AK48" s="52" t="str">
        <f t="shared" ca="1" si="91"/>
        <v/>
      </c>
      <c r="AL48" s="52" t="str">
        <f t="shared" ca="1" si="91"/>
        <v/>
      </c>
      <c r="AM48" s="52" t="str">
        <f t="shared" ca="1" si="91"/>
        <v/>
      </c>
      <c r="AN48" s="52" t="str">
        <f t="shared" ca="1" si="91"/>
        <v/>
      </c>
      <c r="AO48" s="52" t="str">
        <f t="shared" ca="1" si="91"/>
        <v/>
      </c>
      <c r="AP48" s="52" t="str">
        <f t="shared" ca="1" si="91"/>
        <v/>
      </c>
      <c r="AQ48" s="52" t="str">
        <f t="shared" ca="1" si="91"/>
        <v/>
      </c>
      <c r="AR48" s="52" t="str">
        <f t="shared" ca="1" si="91"/>
        <v/>
      </c>
      <c r="AS48" s="52" t="str">
        <f t="shared" ca="1" si="91"/>
        <v/>
      </c>
      <c r="AT48" s="52" t="str">
        <f t="shared" ca="1" si="91"/>
        <v/>
      </c>
      <c r="AU48" s="52" t="str">
        <f t="shared" ca="1" si="91"/>
        <v/>
      </c>
      <c r="AV48" s="52" t="str">
        <f t="shared" ca="1" si="91"/>
        <v/>
      </c>
      <c r="AW48" s="52" t="str">
        <f t="shared" ca="1" si="91"/>
        <v/>
      </c>
      <c r="AX48" s="52" t="str">
        <f t="shared" ca="1" si="91"/>
        <v/>
      </c>
      <c r="AY48" s="52" t="str">
        <f t="shared" ca="1" si="91"/>
        <v/>
      </c>
      <c r="AZ48" s="52" t="str">
        <f t="shared" ca="1" si="91"/>
        <v/>
      </c>
      <c r="BA48" s="52" t="str">
        <f t="shared" ca="1" si="91"/>
        <v/>
      </c>
      <c r="BB48" s="52" t="str">
        <f t="shared" ca="1" si="91"/>
        <v/>
      </c>
      <c r="BC48" s="52" t="str">
        <f t="shared" ca="1" si="91"/>
        <v/>
      </c>
      <c r="BD48" s="52" t="str">
        <f t="shared" ca="1" si="91"/>
        <v/>
      </c>
      <c r="BE48" s="52" t="str">
        <f t="shared" ca="1" si="91"/>
        <v/>
      </c>
      <c r="BF48" s="52" t="str">
        <f t="shared" ca="1" si="91"/>
        <v/>
      </c>
      <c r="BG48" s="52" t="str">
        <f t="shared" ca="1" si="91"/>
        <v/>
      </c>
      <c r="BH48" s="52" t="str">
        <f t="shared" ca="1" si="91"/>
        <v/>
      </c>
      <c r="BI48" s="52" t="str">
        <f t="shared" ca="1" si="91"/>
        <v/>
      </c>
      <c r="BJ48" s="52" t="str">
        <f t="shared" ca="1" si="91"/>
        <v/>
      </c>
      <c r="BK48" s="52" t="str">
        <f t="shared" ca="1" si="91"/>
        <v/>
      </c>
      <c r="BL48" s="52" t="str">
        <f t="shared" ca="1" si="91"/>
        <v/>
      </c>
      <c r="BM48" s="52" t="str">
        <f t="shared" ca="1" si="91"/>
        <v/>
      </c>
      <c r="BN48" t="str">
        <f t="shared" ca="1" si="91"/>
        <v/>
      </c>
      <c r="BO48" t="str">
        <f t="shared" ca="1" si="91"/>
        <v/>
      </c>
      <c r="BP48" t="str">
        <f t="shared" ca="1" si="91"/>
        <v/>
      </c>
    </row>
    <row r="49" spans="1:68" ht="15" customHeight="1" x14ac:dyDescent="0.3">
      <c r="A49" s="10" t="str">
        <f>IF(Job_Master!A49="","",Job_Master!A49)</f>
        <v>BJ-147</v>
      </c>
      <c r="B49" s="10">
        <f>IF($A49="","",Job_Master!B49)</f>
        <v>34</v>
      </c>
      <c r="C49" s="10" t="str">
        <f>IF($A49="","",Job_Master!C49)</f>
        <v>SOL</v>
      </c>
      <c r="D49" s="10">
        <f>IF($A49="","",Job_Master!D49)</f>
        <v>4</v>
      </c>
      <c r="E49" s="48" t="str">
        <f>IF($A49="","","QC-MC-05")</f>
        <v>QC-MC-05</v>
      </c>
      <c r="F49" s="10" t="str">
        <f>IF($E49="","",IFERROR(VLOOKUP($E49,Machine_List!$B:$G,6,0),""))</f>
        <v>General Workman</v>
      </c>
      <c r="G49" s="53">
        <f>IF($E49="","",IFERROR(VLOOKUP($E49,Machine_List!$B:$C,2,0),""))</f>
        <v>46373</v>
      </c>
      <c r="H49" s="10">
        <f>IF($E49="","",IFERROR(VLOOKUP($E49,Machine_List!$B:$D,3,0),""))</f>
        <v>6</v>
      </c>
      <c r="I49" s="54"/>
      <c r="J49" s="55">
        <f ca="1">IF($A49="","",IF($I49&lt;&gt;"",$I49,MAX(FID_Plan!$M49,IFERROR(LOOKUP(2,1/($E$3:INDIRECT("E"&amp;(ROW()-1))=$E49),$M$3:INDIRECT("M"&amp;(ROW()-1))),FID_Plan!$M49))))</f>
        <v>46203.986111111124</v>
      </c>
      <c r="K49" s="10">
        <f>IF($A49="","",IFERROR(VLOOKUP(B49,CHOOSE(MATCH(C49,Settings!$L$4:$L$10,0),OPR_2P!$A$4:$I$18,SEG_6P!$A$4:$I$18,SOL_4P!$A$4:$I$18,RW_2P!$A$4:$I$18,RW2_4P!$A$4:$I$18,FLAP_4P!$A$4:$I$18,TUBE_4P!$A$4:$I$18),8,0),0))</f>
        <v>32</v>
      </c>
      <c r="L49" s="10">
        <f t="shared" si="0"/>
        <v>128</v>
      </c>
      <c r="M49" s="55">
        <f ca="1">IF($A49="","",$J49+($L49/(IF(F49="Contract Workman",Settings!$K$5,Settings!$K$4))))</f>
        <v>46209.912037037051</v>
      </c>
      <c r="N49" s="10" t="str">
        <f t="shared" ca="1" si="65"/>
        <v>Shift B</v>
      </c>
      <c r="O49" s="51" t="str">
        <f>IF(B49="","", IF(IFERROR(ISNUMBER(SEARCH(B49, VLOOKUP(E49, Machine_List!$B:$J, 9, 0))), FALSE()), "✅ Machine OK", "❌ Sug: " &amp; IFERROR(INDEX(Machine_List!$B$4:$B$50, MATCH("*"&amp;B49&amp;"*", Machine_List!$J$4:$J$50, 0)), "Check Limits")))</f>
        <v>✅ Machine OK</v>
      </c>
      <c r="P49" s="52" t="str">
        <f t="shared" ref="P49:AC49" ca="1" si="92">IF(AND(Q$3&gt;=$J49, Q$3&lt;$M49), $A49, "")</f>
        <v/>
      </c>
      <c r="Q49" s="52" t="str">
        <f t="shared" ca="1" si="92"/>
        <v/>
      </c>
      <c r="R49" s="52" t="str">
        <f t="shared" ca="1" si="92"/>
        <v/>
      </c>
      <c r="S49" s="52" t="str">
        <f t="shared" ca="1" si="92"/>
        <v/>
      </c>
      <c r="T49" s="52" t="str">
        <f t="shared" ca="1" si="92"/>
        <v/>
      </c>
      <c r="U49" s="52" t="str">
        <f t="shared" ca="1" si="92"/>
        <v/>
      </c>
      <c r="V49" s="52" t="str">
        <f t="shared" ca="1" si="92"/>
        <v/>
      </c>
      <c r="W49" s="52" t="str">
        <f t="shared" ca="1" si="92"/>
        <v/>
      </c>
      <c r="X49" s="52" t="str">
        <f t="shared" ca="1" si="92"/>
        <v/>
      </c>
      <c r="Y49" s="52" t="str">
        <f t="shared" ca="1" si="92"/>
        <v/>
      </c>
      <c r="Z49" s="52" t="str">
        <f t="shared" ca="1" si="92"/>
        <v/>
      </c>
      <c r="AA49" s="52" t="str">
        <f t="shared" ca="1" si="92"/>
        <v/>
      </c>
      <c r="AB49" s="52" t="str">
        <f t="shared" ca="1" si="92"/>
        <v/>
      </c>
      <c r="AC49" s="52" t="str">
        <f t="shared" ca="1" si="92"/>
        <v/>
      </c>
      <c r="AD49" s="52" t="str">
        <f t="shared" ref="AD49:BP49" ca="1" si="93">IF(AND(AE$3&gt;=$J49, AE$3&lt;$M49), $A49, "")</f>
        <v/>
      </c>
      <c r="AE49" s="52" t="str">
        <f t="shared" ca="1" si="93"/>
        <v/>
      </c>
      <c r="AF49" s="52" t="str">
        <f t="shared" ca="1" si="93"/>
        <v/>
      </c>
      <c r="AG49" s="52" t="str">
        <f t="shared" ca="1" si="93"/>
        <v/>
      </c>
      <c r="AH49" s="52" t="str">
        <f t="shared" ca="1" si="93"/>
        <v/>
      </c>
      <c r="AI49" s="52" t="str">
        <f t="shared" ca="1" si="93"/>
        <v/>
      </c>
      <c r="AJ49" s="52" t="str">
        <f t="shared" ca="1" si="93"/>
        <v/>
      </c>
      <c r="AK49" s="52" t="str">
        <f t="shared" ca="1" si="93"/>
        <v/>
      </c>
      <c r="AL49" s="52" t="str">
        <f t="shared" ca="1" si="93"/>
        <v/>
      </c>
      <c r="AM49" s="52" t="str">
        <f t="shared" ca="1" si="93"/>
        <v/>
      </c>
      <c r="AN49" s="52" t="str">
        <f t="shared" ca="1" si="93"/>
        <v/>
      </c>
      <c r="AO49" s="52" t="str">
        <f t="shared" ca="1" si="93"/>
        <v/>
      </c>
      <c r="AP49" s="52" t="str">
        <f t="shared" ca="1" si="93"/>
        <v/>
      </c>
      <c r="AQ49" s="52" t="str">
        <f t="shared" ca="1" si="93"/>
        <v/>
      </c>
      <c r="AR49" s="52" t="str">
        <f t="shared" ca="1" si="93"/>
        <v/>
      </c>
      <c r="AS49" s="52" t="str">
        <f t="shared" ca="1" si="93"/>
        <v/>
      </c>
      <c r="AT49" s="52" t="str">
        <f t="shared" ca="1" si="93"/>
        <v/>
      </c>
      <c r="AU49" s="52" t="str">
        <f t="shared" ca="1" si="93"/>
        <v/>
      </c>
      <c r="AV49" s="52" t="str">
        <f t="shared" ca="1" si="93"/>
        <v/>
      </c>
      <c r="AW49" s="52" t="str">
        <f t="shared" ca="1" si="93"/>
        <v/>
      </c>
      <c r="AX49" s="52" t="str">
        <f t="shared" ca="1" si="93"/>
        <v/>
      </c>
      <c r="AY49" s="52" t="str">
        <f t="shared" ca="1" si="93"/>
        <v/>
      </c>
      <c r="AZ49" s="52" t="str">
        <f t="shared" ca="1" si="93"/>
        <v/>
      </c>
      <c r="BA49" s="52" t="str">
        <f t="shared" ca="1" si="93"/>
        <v/>
      </c>
      <c r="BB49" s="52" t="str">
        <f t="shared" ca="1" si="93"/>
        <v/>
      </c>
      <c r="BC49" s="52" t="str">
        <f t="shared" ca="1" si="93"/>
        <v/>
      </c>
      <c r="BD49" s="52" t="str">
        <f t="shared" ca="1" si="93"/>
        <v/>
      </c>
      <c r="BE49" s="52" t="str">
        <f t="shared" ca="1" si="93"/>
        <v/>
      </c>
      <c r="BF49" s="52" t="str">
        <f t="shared" ca="1" si="93"/>
        <v/>
      </c>
      <c r="BG49" s="52" t="str">
        <f t="shared" ca="1" si="93"/>
        <v/>
      </c>
      <c r="BH49" s="52" t="str">
        <f t="shared" ca="1" si="93"/>
        <v/>
      </c>
      <c r="BI49" s="52" t="str">
        <f t="shared" ca="1" si="93"/>
        <v/>
      </c>
      <c r="BJ49" s="52" t="str">
        <f t="shared" ca="1" si="93"/>
        <v/>
      </c>
      <c r="BK49" s="52" t="str">
        <f t="shared" ca="1" si="93"/>
        <v/>
      </c>
      <c r="BL49" s="52" t="str">
        <f t="shared" ca="1" si="93"/>
        <v/>
      </c>
      <c r="BM49" s="52" t="str">
        <f t="shared" ca="1" si="93"/>
        <v/>
      </c>
      <c r="BN49" t="str">
        <f t="shared" ca="1" si="93"/>
        <v/>
      </c>
      <c r="BO49" t="str">
        <f t="shared" ca="1" si="93"/>
        <v/>
      </c>
      <c r="BP49" t="str">
        <f t="shared" ca="1" si="93"/>
        <v/>
      </c>
    </row>
    <row r="50" spans="1:68" ht="15" customHeight="1" x14ac:dyDescent="0.3">
      <c r="A50" s="10" t="str">
        <f>IF(Job_Master!A50="","",Job_Master!A50)</f>
        <v>BJ-150</v>
      </c>
      <c r="B50" s="10">
        <f>IF($A50="","",Job_Master!B50)</f>
        <v>34</v>
      </c>
      <c r="C50" s="10" t="str">
        <f>IF($A50="","",Job_Master!C50)</f>
        <v>SOL</v>
      </c>
      <c r="D50" s="10">
        <f>IF($A50="","",Job_Master!D50)</f>
        <v>4</v>
      </c>
      <c r="E50" s="48" t="str">
        <f>IF($A50="","","QC-MC-05")</f>
        <v>QC-MC-05</v>
      </c>
      <c r="F50" s="10" t="str">
        <f>IF($E50="","",IFERROR(VLOOKUP($E50,Machine_List!$B:$G,6,0),""))</f>
        <v>General Workman</v>
      </c>
      <c r="G50" s="53">
        <f>IF($E50="","",IFERROR(VLOOKUP($E50,Machine_List!$B:$C,2,0),""))</f>
        <v>46373</v>
      </c>
      <c r="H50" s="10">
        <f>IF($E50="","",IFERROR(VLOOKUP($E50,Machine_List!$B:$D,3,0),""))</f>
        <v>6</v>
      </c>
      <c r="I50" s="54"/>
      <c r="J50" s="55">
        <f ca="1">IF($A50="","",IF($I50&lt;&gt;"",$I50,MAX(FID_Plan!$M50,IFERROR(LOOKUP(2,1/($E$3:INDIRECT("E"&amp;(ROW()-1))=$E50),$M$3:INDIRECT("M"&amp;(ROW()-1))),FID_Plan!$M50))))</f>
        <v>46216.023148148161</v>
      </c>
      <c r="K50" s="10">
        <f>IF($A50="","",IFERROR(VLOOKUP(B50,CHOOSE(MATCH(C50,Settings!$L$4:$L$10,0),OPR_2P!$A$4:$I$18,SEG_6P!$A$4:$I$18,SOL_4P!$A$4:$I$18,RW_2P!$A$4:$I$18,RW2_4P!$A$4:$I$18,FLAP_4P!$A$4:$I$18,TUBE_4P!$A$4:$I$18),8,0),0))</f>
        <v>32</v>
      </c>
      <c r="L50" s="10">
        <f t="shared" si="0"/>
        <v>128</v>
      </c>
      <c r="M50" s="55">
        <f ca="1">IF($A50="","",$J50+($L50/(IF(F50="Contract Workman",Settings!$K$5,Settings!$K$4))))</f>
        <v>46221.949074074088</v>
      </c>
      <c r="N50" s="10" t="str">
        <f t="shared" ca="1" si="65"/>
        <v>Shift B</v>
      </c>
      <c r="O50" s="51" t="str">
        <f>IF(B50="","", IF(IFERROR(ISNUMBER(SEARCH(B50, VLOOKUP(E50, Machine_List!$B:$J, 9, 0))), FALSE()), "✅ Machine OK", "❌ Sug: " &amp; IFERROR(INDEX(Machine_List!$B$4:$B$50, MATCH("*"&amp;B50&amp;"*", Machine_List!$J$4:$J$50, 0)), "Check Limits")))</f>
        <v>✅ Machine OK</v>
      </c>
      <c r="P50" s="52" t="str">
        <f t="shared" ref="P50:AC50" ca="1" si="94">IF(AND(Q$3&gt;=$J50, Q$3&lt;$M50), $A50, "")</f>
        <v/>
      </c>
      <c r="Q50" s="52" t="str">
        <f t="shared" ca="1" si="94"/>
        <v/>
      </c>
      <c r="R50" s="52" t="str">
        <f t="shared" ca="1" si="94"/>
        <v/>
      </c>
      <c r="S50" s="52" t="str">
        <f t="shared" ca="1" si="94"/>
        <v/>
      </c>
      <c r="T50" s="52" t="str">
        <f t="shared" ca="1" si="94"/>
        <v/>
      </c>
      <c r="U50" s="52" t="str">
        <f t="shared" ca="1" si="94"/>
        <v/>
      </c>
      <c r="V50" s="52" t="str">
        <f t="shared" ca="1" si="94"/>
        <v/>
      </c>
      <c r="W50" s="52" t="str">
        <f t="shared" ca="1" si="94"/>
        <v/>
      </c>
      <c r="X50" s="52" t="str">
        <f t="shared" ca="1" si="94"/>
        <v/>
      </c>
      <c r="Y50" s="52" t="str">
        <f t="shared" ca="1" si="94"/>
        <v/>
      </c>
      <c r="Z50" s="52" t="str">
        <f t="shared" ca="1" si="94"/>
        <v/>
      </c>
      <c r="AA50" s="52" t="str">
        <f t="shared" ca="1" si="94"/>
        <v/>
      </c>
      <c r="AB50" s="52" t="str">
        <f t="shared" ca="1" si="94"/>
        <v/>
      </c>
      <c r="AC50" s="52" t="str">
        <f t="shared" ca="1" si="94"/>
        <v/>
      </c>
      <c r="AD50" s="52" t="str">
        <f t="shared" ref="AD50:BP50" ca="1" si="95">IF(AND(AE$3&gt;=$J50, AE$3&lt;$M50), $A50, "")</f>
        <v/>
      </c>
      <c r="AE50" s="52" t="str">
        <f t="shared" ca="1" si="95"/>
        <v/>
      </c>
      <c r="AF50" s="52" t="str">
        <f t="shared" ca="1" si="95"/>
        <v/>
      </c>
      <c r="AG50" s="52" t="str">
        <f t="shared" ca="1" si="95"/>
        <v/>
      </c>
      <c r="AH50" s="52" t="str">
        <f t="shared" ca="1" si="95"/>
        <v/>
      </c>
      <c r="AI50" s="52" t="str">
        <f t="shared" ca="1" si="95"/>
        <v/>
      </c>
      <c r="AJ50" s="52" t="str">
        <f t="shared" ca="1" si="95"/>
        <v/>
      </c>
      <c r="AK50" s="52" t="str">
        <f t="shared" ca="1" si="95"/>
        <v/>
      </c>
      <c r="AL50" s="52" t="str">
        <f t="shared" ca="1" si="95"/>
        <v/>
      </c>
      <c r="AM50" s="52" t="str">
        <f t="shared" ca="1" si="95"/>
        <v/>
      </c>
      <c r="AN50" s="52" t="str">
        <f t="shared" ca="1" si="95"/>
        <v/>
      </c>
      <c r="AO50" s="52" t="str">
        <f t="shared" ca="1" si="95"/>
        <v/>
      </c>
      <c r="AP50" s="52" t="str">
        <f t="shared" ca="1" si="95"/>
        <v/>
      </c>
      <c r="AQ50" s="52" t="str">
        <f t="shared" ca="1" si="95"/>
        <v/>
      </c>
      <c r="AR50" s="52" t="str">
        <f t="shared" ca="1" si="95"/>
        <v/>
      </c>
      <c r="AS50" s="52" t="str">
        <f t="shared" ca="1" si="95"/>
        <v/>
      </c>
      <c r="AT50" s="52" t="str">
        <f t="shared" ca="1" si="95"/>
        <v/>
      </c>
      <c r="AU50" s="52" t="str">
        <f t="shared" ca="1" si="95"/>
        <v/>
      </c>
      <c r="AV50" s="52" t="str">
        <f t="shared" ca="1" si="95"/>
        <v/>
      </c>
      <c r="AW50" s="52" t="str">
        <f t="shared" ca="1" si="95"/>
        <v/>
      </c>
      <c r="AX50" s="52" t="str">
        <f t="shared" ca="1" si="95"/>
        <v/>
      </c>
      <c r="AY50" s="52" t="str">
        <f t="shared" ca="1" si="95"/>
        <v/>
      </c>
      <c r="AZ50" s="52" t="str">
        <f t="shared" ca="1" si="95"/>
        <v/>
      </c>
      <c r="BA50" s="52" t="str">
        <f t="shared" ca="1" si="95"/>
        <v/>
      </c>
      <c r="BB50" s="52" t="str">
        <f t="shared" ca="1" si="95"/>
        <v/>
      </c>
      <c r="BC50" s="52" t="str">
        <f t="shared" ca="1" si="95"/>
        <v/>
      </c>
      <c r="BD50" s="52" t="str">
        <f t="shared" ca="1" si="95"/>
        <v/>
      </c>
      <c r="BE50" s="52" t="str">
        <f t="shared" ca="1" si="95"/>
        <v/>
      </c>
      <c r="BF50" s="52" t="str">
        <f t="shared" ca="1" si="95"/>
        <v/>
      </c>
      <c r="BG50" s="52" t="str">
        <f t="shared" ca="1" si="95"/>
        <v/>
      </c>
      <c r="BH50" s="52" t="str">
        <f t="shared" ca="1" si="95"/>
        <v/>
      </c>
      <c r="BI50" s="52" t="str">
        <f t="shared" ca="1" si="95"/>
        <v/>
      </c>
      <c r="BJ50" s="52" t="str">
        <f t="shared" ca="1" si="95"/>
        <v/>
      </c>
      <c r="BK50" s="52" t="str">
        <f t="shared" ca="1" si="95"/>
        <v/>
      </c>
      <c r="BL50" s="52" t="str">
        <f t="shared" ca="1" si="95"/>
        <v/>
      </c>
      <c r="BM50" s="52" t="str">
        <f t="shared" ca="1" si="95"/>
        <v/>
      </c>
      <c r="BN50" t="str">
        <f t="shared" ca="1" si="95"/>
        <v/>
      </c>
      <c r="BO50" t="str">
        <f t="shared" ca="1" si="95"/>
        <v/>
      </c>
      <c r="BP50" t="str">
        <f t="shared" ca="1" si="95"/>
        <v/>
      </c>
    </row>
    <row r="51" spans="1:68" ht="15" customHeight="1" x14ac:dyDescent="0.3">
      <c r="A51" s="10" t="str">
        <f>IF(Job_Master!A51="","",Job_Master!A51)</f>
        <v>BJ-151</v>
      </c>
      <c r="B51" s="10">
        <f>IF($A51="","",Job_Master!B51)</f>
        <v>25</v>
      </c>
      <c r="C51" s="10" t="str">
        <f>IF($A51="","",Job_Master!C51)</f>
        <v>SOL</v>
      </c>
      <c r="D51" s="10">
        <f>IF($A51="","",Job_Master!D51)</f>
        <v>4</v>
      </c>
      <c r="E51" s="48" t="str">
        <f>IF($A51="","","QC-MC-05")</f>
        <v>QC-MC-05</v>
      </c>
      <c r="F51" s="10" t="str">
        <f>IF($E51="","",IFERROR(VLOOKUP($E51,Machine_List!$B:$G,6,0),""))</f>
        <v>General Workman</v>
      </c>
      <c r="G51" s="53">
        <f>IF($E51="","",IFERROR(VLOOKUP($E51,Machine_List!$B:$C,2,0),""))</f>
        <v>46373</v>
      </c>
      <c r="H51" s="10">
        <f>IF($E51="","",IFERROR(VLOOKUP($E51,Machine_List!$B:$D,3,0),""))</f>
        <v>6</v>
      </c>
      <c r="I51" s="54"/>
      <c r="J51" s="55">
        <f ca="1">IF($A51="","",IF($I51&lt;&gt;"",$I51,MAX(FID_Plan!$M51,IFERROR(LOOKUP(2,1/($E$3:INDIRECT("E"&amp;(ROW()-1))=$E51),$M$3:INDIRECT("M"&amp;(ROW()-1))),FID_Plan!$M51))))</f>
        <v>46221.949074074088</v>
      </c>
      <c r="K51" s="10">
        <f>IF($A51="","",IFERROR(VLOOKUP(B51,CHOOSE(MATCH(C51,Settings!$L$4:$L$10,0),OPR_2P!$A$4:$I$18,SEG_6P!$A$4:$I$18,SOL_4P!$A$4:$I$18,RW_2P!$A$4:$I$18,RW2_4P!$A$4:$I$18,FLAP_4P!$A$4:$I$18,TUBE_4P!$A$4:$I$18),8,0),0))</f>
        <v>23</v>
      </c>
      <c r="L51" s="10">
        <f t="shared" si="0"/>
        <v>92</v>
      </c>
      <c r="M51" s="55">
        <f ca="1">IF($A51="","",$J51+($L51/(IF(F51="Contract Workman",Settings!$K$5,Settings!$K$4))))</f>
        <v>46226.20833333335</v>
      </c>
      <c r="N51" s="10" t="str">
        <f t="shared" ca="1" si="65"/>
        <v>Shift C</v>
      </c>
      <c r="O51" s="51" t="str">
        <f>IF(B51="","", IF(IFERROR(ISNUMBER(SEARCH(B51, VLOOKUP(E51, Machine_List!$B:$J, 9, 0))), FALSE()), "✅ Machine OK", "❌ Sug: " &amp; IFERROR(INDEX(Machine_List!$B$4:$B$50, MATCH("*"&amp;B51&amp;"*", Machine_List!$J$4:$J$50, 0)), "Check Limits")))</f>
        <v>✅ Machine OK</v>
      </c>
      <c r="P51" s="52" t="str">
        <f t="shared" ref="P51:AC51" ca="1" si="96">IF(AND(Q$3&gt;=$J51, Q$3&lt;$M51), $A51, "")</f>
        <v/>
      </c>
      <c r="Q51" s="52" t="str">
        <f t="shared" ca="1" si="96"/>
        <v/>
      </c>
      <c r="R51" s="52" t="str">
        <f t="shared" ca="1" si="96"/>
        <v/>
      </c>
      <c r="S51" s="52" t="str">
        <f t="shared" ca="1" si="96"/>
        <v/>
      </c>
      <c r="T51" s="52" t="str">
        <f t="shared" ca="1" si="96"/>
        <v/>
      </c>
      <c r="U51" s="52" t="str">
        <f t="shared" ca="1" si="96"/>
        <v/>
      </c>
      <c r="V51" s="52" t="str">
        <f t="shared" ca="1" si="96"/>
        <v/>
      </c>
      <c r="W51" s="52" t="str">
        <f t="shared" ca="1" si="96"/>
        <v/>
      </c>
      <c r="X51" s="52" t="str">
        <f t="shared" ca="1" si="96"/>
        <v/>
      </c>
      <c r="Y51" s="52" t="str">
        <f t="shared" ca="1" si="96"/>
        <v/>
      </c>
      <c r="Z51" s="52" t="str">
        <f t="shared" ca="1" si="96"/>
        <v/>
      </c>
      <c r="AA51" s="52" t="str">
        <f t="shared" ca="1" si="96"/>
        <v/>
      </c>
      <c r="AB51" s="52" t="str">
        <f t="shared" ca="1" si="96"/>
        <v/>
      </c>
      <c r="AC51" s="52" t="str">
        <f t="shared" ca="1" si="96"/>
        <v/>
      </c>
      <c r="AD51" s="52" t="str">
        <f t="shared" ref="AD51:BP51" ca="1" si="97">IF(AND(AE$3&gt;=$J51, AE$3&lt;$M51), $A51, "")</f>
        <v/>
      </c>
      <c r="AE51" s="52" t="str">
        <f t="shared" ca="1" si="97"/>
        <v/>
      </c>
      <c r="AF51" s="52" t="str">
        <f t="shared" ca="1" si="97"/>
        <v/>
      </c>
      <c r="AG51" s="52" t="str">
        <f t="shared" ca="1" si="97"/>
        <v/>
      </c>
      <c r="AH51" s="52" t="str">
        <f t="shared" ca="1" si="97"/>
        <v/>
      </c>
      <c r="AI51" s="52" t="str">
        <f t="shared" ca="1" si="97"/>
        <v/>
      </c>
      <c r="AJ51" s="52" t="str">
        <f t="shared" ca="1" si="97"/>
        <v/>
      </c>
      <c r="AK51" s="52" t="str">
        <f t="shared" ca="1" si="97"/>
        <v/>
      </c>
      <c r="AL51" s="52" t="str">
        <f t="shared" ca="1" si="97"/>
        <v/>
      </c>
      <c r="AM51" s="52" t="str">
        <f t="shared" ca="1" si="97"/>
        <v/>
      </c>
      <c r="AN51" s="52" t="str">
        <f t="shared" ca="1" si="97"/>
        <v/>
      </c>
      <c r="AO51" s="52" t="str">
        <f t="shared" ca="1" si="97"/>
        <v/>
      </c>
      <c r="AP51" s="52" t="str">
        <f t="shared" ca="1" si="97"/>
        <v/>
      </c>
      <c r="AQ51" s="52" t="str">
        <f t="shared" ca="1" si="97"/>
        <v/>
      </c>
      <c r="AR51" s="52" t="str">
        <f t="shared" ca="1" si="97"/>
        <v/>
      </c>
      <c r="AS51" s="52" t="str">
        <f t="shared" ca="1" si="97"/>
        <v/>
      </c>
      <c r="AT51" s="52" t="str">
        <f t="shared" ca="1" si="97"/>
        <v/>
      </c>
      <c r="AU51" s="52" t="str">
        <f t="shared" ca="1" si="97"/>
        <v/>
      </c>
      <c r="AV51" s="52" t="str">
        <f t="shared" ca="1" si="97"/>
        <v/>
      </c>
      <c r="AW51" s="52" t="str">
        <f t="shared" ca="1" si="97"/>
        <v/>
      </c>
      <c r="AX51" s="52" t="str">
        <f t="shared" ca="1" si="97"/>
        <v/>
      </c>
      <c r="AY51" s="52" t="str">
        <f t="shared" ca="1" si="97"/>
        <v/>
      </c>
      <c r="AZ51" s="52" t="str">
        <f t="shared" ca="1" si="97"/>
        <v/>
      </c>
      <c r="BA51" s="52" t="str">
        <f t="shared" ca="1" si="97"/>
        <v/>
      </c>
      <c r="BB51" s="52" t="str">
        <f t="shared" ca="1" si="97"/>
        <v/>
      </c>
      <c r="BC51" s="52" t="str">
        <f t="shared" ca="1" si="97"/>
        <v/>
      </c>
      <c r="BD51" s="52" t="str">
        <f t="shared" ca="1" si="97"/>
        <v/>
      </c>
      <c r="BE51" s="52" t="str">
        <f t="shared" ca="1" si="97"/>
        <v/>
      </c>
      <c r="BF51" s="52" t="str">
        <f t="shared" ca="1" si="97"/>
        <v/>
      </c>
      <c r="BG51" s="52" t="str">
        <f t="shared" ca="1" si="97"/>
        <v/>
      </c>
      <c r="BH51" s="52" t="str">
        <f t="shared" ca="1" si="97"/>
        <v/>
      </c>
      <c r="BI51" s="52" t="str">
        <f t="shared" ca="1" si="97"/>
        <v/>
      </c>
      <c r="BJ51" s="52" t="str">
        <f t="shared" ca="1" si="97"/>
        <v/>
      </c>
      <c r="BK51" s="52" t="str">
        <f t="shared" ca="1" si="97"/>
        <v/>
      </c>
      <c r="BL51" s="52" t="str">
        <f t="shared" ca="1" si="97"/>
        <v/>
      </c>
      <c r="BM51" s="52" t="str">
        <f t="shared" ca="1" si="97"/>
        <v/>
      </c>
      <c r="BN51" t="str">
        <f t="shared" ca="1" si="97"/>
        <v/>
      </c>
      <c r="BO51" t="str">
        <f t="shared" ca="1" si="97"/>
        <v/>
      </c>
      <c r="BP51" t="str">
        <f t="shared" ca="1" si="97"/>
        <v/>
      </c>
    </row>
    <row r="52" spans="1:68" ht="15" customHeight="1" x14ac:dyDescent="0.3">
      <c r="A52" s="10" t="str">
        <f>IF(Job_Master!A52="","",Job_Master!A52)</f>
        <v>BJ-152</v>
      </c>
      <c r="B52" s="10">
        <f>IF($A52="","",Job_Master!B52)</f>
        <v>34</v>
      </c>
      <c r="C52" s="10" t="str">
        <f>IF($A52="","",Job_Master!C52)</f>
        <v>2P</v>
      </c>
      <c r="D52" s="10">
        <f>IF($A52="","",Job_Master!D52)</f>
        <v>2</v>
      </c>
      <c r="E52" s="48" t="str">
        <f>IF($A52="","","QC-MC-04")</f>
        <v>QC-MC-04</v>
      </c>
      <c r="F52" s="10" t="str">
        <f>IF($E52="","",IFERROR(VLOOKUP($E52,Machine_List!$B:$G,6,0),""))</f>
        <v>General Workman</v>
      </c>
      <c r="G52" s="53">
        <f>IF($E52="","",IFERROR(VLOOKUP($E52,Machine_List!$B:$C,2,0),""))</f>
        <v>46195</v>
      </c>
      <c r="H52" s="10">
        <f>IF($E52="","",IFERROR(VLOOKUP($E52,Machine_List!$B:$D,3,0),""))</f>
        <v>6</v>
      </c>
      <c r="I52" s="54"/>
      <c r="J52" s="55">
        <f ca="1">IF($A52="","",IF($I52&lt;&gt;"",$I52,MAX(FID_Plan!$M52,IFERROR(LOOKUP(2,1/($E$3:INDIRECT("E"&amp;(ROW()-1))=$E52),$M$3:INDIRECT("M"&amp;(ROW()-1))),FID_Plan!$M52))))</f>
        <v>46217.273148148168</v>
      </c>
      <c r="K52" s="10">
        <f>IF($A52="","",IFERROR(VLOOKUP(B52,CHOOSE(MATCH(C52,Settings!$L$4:$L$10,0),OPR_2P!$A$4:$I$18,SEG_6P!$A$4:$I$18,SOL_4P!$A$4:$I$18,RW_2P!$A$4:$I$18,RW2_4P!$A$4:$I$18,FLAP_4P!$A$4:$I$18,TUBE_4P!$A$4:$I$18),8,0),0))</f>
        <v>27</v>
      </c>
      <c r="L52" s="10">
        <f t="shared" si="0"/>
        <v>54</v>
      </c>
      <c r="M52" s="55">
        <f ca="1">IF($A52="","",$J52+($L52/(IF(F52="Contract Workman",Settings!$K$5,Settings!$K$4))))</f>
        <v>46219.773148148168</v>
      </c>
      <c r="N52" s="10" t="str">
        <f t="shared" ca="1" si="65"/>
        <v>Shift B</v>
      </c>
      <c r="O52" s="51" t="str">
        <f>IF(B52="","", IF(IFERROR(ISNUMBER(SEARCH(B52, VLOOKUP(E52, Machine_List!$B:$J, 9, 0))), FALSE()), "✅ Machine OK", "❌ Sug: " &amp; IFERROR(INDEX(Machine_List!$B$4:$B$50, MATCH("*"&amp;B52&amp;"*", Machine_List!$J$4:$J$50, 0)), "Check Limits")))</f>
        <v>✅ Machine OK</v>
      </c>
      <c r="P52" s="52" t="str">
        <f t="shared" ref="P52:AC52" ca="1" si="98">IF(AND(Q$3&gt;=$J52, Q$3&lt;$M52), $A52, "")</f>
        <v/>
      </c>
      <c r="Q52" s="52" t="str">
        <f t="shared" ca="1" si="98"/>
        <v/>
      </c>
      <c r="R52" s="52" t="str">
        <f t="shared" ca="1" si="98"/>
        <v/>
      </c>
      <c r="S52" s="52" t="str">
        <f t="shared" ca="1" si="98"/>
        <v/>
      </c>
      <c r="T52" s="52" t="str">
        <f t="shared" ca="1" si="98"/>
        <v/>
      </c>
      <c r="U52" s="52" t="str">
        <f t="shared" ca="1" si="98"/>
        <v/>
      </c>
      <c r="V52" s="52" t="str">
        <f t="shared" ca="1" si="98"/>
        <v/>
      </c>
      <c r="W52" s="52" t="str">
        <f t="shared" ca="1" si="98"/>
        <v/>
      </c>
      <c r="X52" s="52" t="str">
        <f t="shared" ca="1" si="98"/>
        <v/>
      </c>
      <c r="Y52" s="52" t="str">
        <f t="shared" ca="1" si="98"/>
        <v/>
      </c>
      <c r="Z52" s="52" t="str">
        <f t="shared" ca="1" si="98"/>
        <v/>
      </c>
      <c r="AA52" s="52" t="str">
        <f t="shared" ca="1" si="98"/>
        <v/>
      </c>
      <c r="AB52" s="52" t="str">
        <f t="shared" ca="1" si="98"/>
        <v/>
      </c>
      <c r="AC52" s="52" t="str">
        <f t="shared" ca="1" si="98"/>
        <v/>
      </c>
      <c r="AD52" s="52" t="str">
        <f t="shared" ref="AD52:BP52" ca="1" si="99">IF(AND(AE$3&gt;=$J52, AE$3&lt;$M52), $A52, "")</f>
        <v/>
      </c>
      <c r="AE52" s="52" t="str">
        <f t="shared" ca="1" si="99"/>
        <v/>
      </c>
      <c r="AF52" s="52" t="str">
        <f t="shared" ca="1" si="99"/>
        <v/>
      </c>
      <c r="AG52" s="52" t="str">
        <f t="shared" ca="1" si="99"/>
        <v/>
      </c>
      <c r="AH52" s="52" t="str">
        <f t="shared" ca="1" si="99"/>
        <v/>
      </c>
      <c r="AI52" s="52" t="str">
        <f t="shared" ca="1" si="99"/>
        <v/>
      </c>
      <c r="AJ52" s="52" t="str">
        <f t="shared" ca="1" si="99"/>
        <v/>
      </c>
      <c r="AK52" s="52" t="str">
        <f t="shared" ca="1" si="99"/>
        <v/>
      </c>
      <c r="AL52" s="52" t="str">
        <f t="shared" ca="1" si="99"/>
        <v/>
      </c>
      <c r="AM52" s="52" t="str">
        <f t="shared" ca="1" si="99"/>
        <v/>
      </c>
      <c r="AN52" s="52" t="str">
        <f t="shared" ca="1" si="99"/>
        <v/>
      </c>
      <c r="AO52" s="52" t="str">
        <f t="shared" ca="1" si="99"/>
        <v/>
      </c>
      <c r="AP52" s="52" t="str">
        <f t="shared" ca="1" si="99"/>
        <v/>
      </c>
      <c r="AQ52" s="52" t="str">
        <f t="shared" ca="1" si="99"/>
        <v/>
      </c>
      <c r="AR52" s="52" t="str">
        <f t="shared" ca="1" si="99"/>
        <v/>
      </c>
      <c r="AS52" s="52" t="str">
        <f t="shared" ca="1" si="99"/>
        <v/>
      </c>
      <c r="AT52" s="52" t="str">
        <f t="shared" ca="1" si="99"/>
        <v/>
      </c>
      <c r="AU52" s="52" t="str">
        <f t="shared" ca="1" si="99"/>
        <v/>
      </c>
      <c r="AV52" s="52" t="str">
        <f t="shared" ca="1" si="99"/>
        <v/>
      </c>
      <c r="AW52" s="52" t="str">
        <f t="shared" ca="1" si="99"/>
        <v/>
      </c>
      <c r="AX52" s="52" t="str">
        <f t="shared" ca="1" si="99"/>
        <v/>
      </c>
      <c r="AY52" s="52" t="str">
        <f t="shared" ca="1" si="99"/>
        <v/>
      </c>
      <c r="AZ52" s="52" t="str">
        <f t="shared" ca="1" si="99"/>
        <v/>
      </c>
      <c r="BA52" s="52" t="str">
        <f t="shared" ca="1" si="99"/>
        <v/>
      </c>
      <c r="BB52" s="52" t="str">
        <f t="shared" ca="1" si="99"/>
        <v/>
      </c>
      <c r="BC52" s="52" t="str">
        <f t="shared" ca="1" si="99"/>
        <v/>
      </c>
      <c r="BD52" s="52" t="str">
        <f t="shared" ca="1" si="99"/>
        <v/>
      </c>
      <c r="BE52" s="52" t="str">
        <f t="shared" ca="1" si="99"/>
        <v/>
      </c>
      <c r="BF52" s="52" t="str">
        <f t="shared" ca="1" si="99"/>
        <v/>
      </c>
      <c r="BG52" s="52" t="str">
        <f t="shared" ca="1" si="99"/>
        <v/>
      </c>
      <c r="BH52" s="52" t="str">
        <f t="shared" ca="1" si="99"/>
        <v/>
      </c>
      <c r="BI52" s="52" t="str">
        <f t="shared" ca="1" si="99"/>
        <v/>
      </c>
      <c r="BJ52" s="52" t="str">
        <f t="shared" ca="1" si="99"/>
        <v/>
      </c>
      <c r="BK52" s="52" t="str">
        <f t="shared" ca="1" si="99"/>
        <v/>
      </c>
      <c r="BL52" s="52" t="str">
        <f t="shared" ca="1" si="99"/>
        <v/>
      </c>
      <c r="BM52" s="52" t="str">
        <f t="shared" ca="1" si="99"/>
        <v/>
      </c>
      <c r="BN52" t="str">
        <f t="shared" ca="1" si="99"/>
        <v/>
      </c>
      <c r="BO52" t="str">
        <f t="shared" ca="1" si="99"/>
        <v/>
      </c>
      <c r="BP52" t="str">
        <f t="shared" ca="1" si="99"/>
        <v/>
      </c>
    </row>
    <row r="53" spans="1:68" ht="15" customHeight="1" x14ac:dyDescent="0.3">
      <c r="A53" s="10" t="str">
        <f>IF(Job_Master!A53="","",Job_Master!A53)</f>
        <v>BJ-143</v>
      </c>
      <c r="B53" s="10">
        <f>IF($A53="","",Job_Master!B53)</f>
        <v>17</v>
      </c>
      <c r="C53" s="10" t="str">
        <f>IF($A53="","",Job_Master!C53)</f>
        <v>SOL</v>
      </c>
      <c r="D53" s="10">
        <f>IF($A53="","",Job_Master!D53)</f>
        <v>4</v>
      </c>
      <c r="E53" s="48" t="str">
        <f>IF($A53="","","QC-MC-04")</f>
        <v>QC-MC-04</v>
      </c>
      <c r="F53" s="10" t="str">
        <f>IF($E53="","",IFERROR(VLOOKUP($E53,Machine_List!$B:$G,6,0),""))</f>
        <v>General Workman</v>
      </c>
      <c r="G53" s="53">
        <f>IF($E53="","",IFERROR(VLOOKUP($E53,Machine_List!$B:$C,2,0),""))</f>
        <v>46195</v>
      </c>
      <c r="H53" s="10">
        <f>IF($E53="","",IFERROR(VLOOKUP($E53,Machine_List!$B:$D,3,0),""))</f>
        <v>6</v>
      </c>
      <c r="I53" s="54"/>
      <c r="J53" s="55">
        <f ca="1">IF($A53="","",IF($I53&lt;&gt;"",$I53,MAX(FID_Plan!$M53,IFERROR(LOOKUP(2,1/($E$3:INDIRECT("E"&amp;(ROW()-1))=$E53),$M$3:INDIRECT("M"&amp;(ROW()-1))),FID_Plan!$M53))))</f>
        <v>46219.773148148168</v>
      </c>
      <c r="K53" s="10">
        <f>IF($A53="","",IFERROR(VLOOKUP(B53,CHOOSE(MATCH(C53,Settings!$L$4:$L$10,0),OPR_2P!$A$4:$I$18,SEG_6P!$A$4:$I$18,SOL_4P!$A$4:$I$18,RW_2P!$A$4:$I$18,RW2_4P!$A$4:$I$18,FLAP_4P!$A$4:$I$18,TUBE_4P!$A$4:$I$18),8,0),0))</f>
        <v>15</v>
      </c>
      <c r="L53" s="10">
        <f t="shared" si="0"/>
        <v>60</v>
      </c>
      <c r="M53" s="55">
        <f ca="1">IF($A53="","",$J53+($L53/(IF(F53="Contract Workman",Settings!$K$5,Settings!$K$4))))</f>
        <v>46222.550925925949</v>
      </c>
      <c r="N53" s="10" t="str">
        <f t="shared" ca="1" si="65"/>
        <v>Shift A</v>
      </c>
      <c r="O53" s="51" t="str">
        <f>IF(B53="","", IF(IFERROR(ISNUMBER(SEARCH(B53, VLOOKUP(E53, Machine_List!$B:$J, 9, 0))), FALSE()), "✅ Machine OK", "❌ Sug: " &amp; IFERROR(INDEX(Machine_List!$B$4:$B$50, MATCH("*"&amp;B53&amp;"*", Machine_List!$J$4:$J$50, 0)), "Check Limits")))</f>
        <v>✅ Machine OK</v>
      </c>
      <c r="P53" s="52" t="str">
        <f t="shared" ref="P53:AC53" ca="1" si="100">IF(AND(Q$3&gt;=$J53, Q$3&lt;$M53), $A53, "")</f>
        <v/>
      </c>
      <c r="Q53" s="52" t="str">
        <f t="shared" ca="1" si="100"/>
        <v/>
      </c>
      <c r="R53" s="52" t="str">
        <f t="shared" ca="1" si="100"/>
        <v/>
      </c>
      <c r="S53" s="52" t="str">
        <f t="shared" ca="1" si="100"/>
        <v/>
      </c>
      <c r="T53" s="52" t="str">
        <f t="shared" ca="1" si="100"/>
        <v/>
      </c>
      <c r="U53" s="52" t="str">
        <f t="shared" ca="1" si="100"/>
        <v/>
      </c>
      <c r="V53" s="52" t="str">
        <f t="shared" ca="1" si="100"/>
        <v/>
      </c>
      <c r="W53" s="52" t="str">
        <f t="shared" ca="1" si="100"/>
        <v/>
      </c>
      <c r="X53" s="52" t="str">
        <f t="shared" ca="1" si="100"/>
        <v/>
      </c>
      <c r="Y53" s="52" t="str">
        <f t="shared" ca="1" si="100"/>
        <v/>
      </c>
      <c r="Z53" s="52" t="str">
        <f t="shared" ca="1" si="100"/>
        <v/>
      </c>
      <c r="AA53" s="52" t="str">
        <f t="shared" ca="1" si="100"/>
        <v/>
      </c>
      <c r="AB53" s="52" t="str">
        <f t="shared" ca="1" si="100"/>
        <v/>
      </c>
      <c r="AC53" s="52" t="str">
        <f t="shared" ca="1" si="100"/>
        <v/>
      </c>
      <c r="AD53" s="52" t="str">
        <f t="shared" ref="AD53:BP53" ca="1" si="101">IF(AND(AE$3&gt;=$J53, AE$3&lt;$M53), $A53, "")</f>
        <v/>
      </c>
      <c r="AE53" s="52" t="str">
        <f t="shared" ca="1" si="101"/>
        <v/>
      </c>
      <c r="AF53" s="52" t="str">
        <f t="shared" ca="1" si="101"/>
        <v/>
      </c>
      <c r="AG53" s="52" t="str">
        <f t="shared" ca="1" si="101"/>
        <v/>
      </c>
      <c r="AH53" s="52" t="str">
        <f t="shared" ca="1" si="101"/>
        <v/>
      </c>
      <c r="AI53" s="52" t="str">
        <f t="shared" ca="1" si="101"/>
        <v/>
      </c>
      <c r="AJ53" s="52" t="str">
        <f t="shared" ca="1" si="101"/>
        <v/>
      </c>
      <c r="AK53" s="52" t="str">
        <f t="shared" ca="1" si="101"/>
        <v/>
      </c>
      <c r="AL53" s="52" t="str">
        <f t="shared" ca="1" si="101"/>
        <v/>
      </c>
      <c r="AM53" s="52" t="str">
        <f t="shared" ca="1" si="101"/>
        <v/>
      </c>
      <c r="AN53" s="52" t="str">
        <f t="shared" ca="1" si="101"/>
        <v/>
      </c>
      <c r="AO53" s="52" t="str">
        <f t="shared" ca="1" si="101"/>
        <v/>
      </c>
      <c r="AP53" s="52" t="str">
        <f t="shared" ca="1" si="101"/>
        <v/>
      </c>
      <c r="AQ53" s="52" t="str">
        <f t="shared" ca="1" si="101"/>
        <v/>
      </c>
      <c r="AR53" s="52" t="str">
        <f t="shared" ca="1" si="101"/>
        <v/>
      </c>
      <c r="AS53" s="52" t="str">
        <f t="shared" ca="1" si="101"/>
        <v/>
      </c>
      <c r="AT53" s="52" t="str">
        <f t="shared" ca="1" si="101"/>
        <v/>
      </c>
      <c r="AU53" s="52" t="str">
        <f t="shared" ca="1" si="101"/>
        <v/>
      </c>
      <c r="AV53" s="52" t="str">
        <f t="shared" ca="1" si="101"/>
        <v/>
      </c>
      <c r="AW53" s="52" t="str">
        <f t="shared" ca="1" si="101"/>
        <v/>
      </c>
      <c r="AX53" s="52" t="str">
        <f t="shared" ca="1" si="101"/>
        <v/>
      </c>
      <c r="AY53" s="52" t="str">
        <f t="shared" ca="1" si="101"/>
        <v/>
      </c>
      <c r="AZ53" s="52" t="str">
        <f t="shared" ca="1" si="101"/>
        <v/>
      </c>
      <c r="BA53" s="52" t="str">
        <f t="shared" ca="1" si="101"/>
        <v/>
      </c>
      <c r="BB53" s="52" t="str">
        <f t="shared" ca="1" si="101"/>
        <v/>
      </c>
      <c r="BC53" s="52" t="str">
        <f t="shared" ca="1" si="101"/>
        <v/>
      </c>
      <c r="BD53" s="52" t="str">
        <f t="shared" ca="1" si="101"/>
        <v/>
      </c>
      <c r="BE53" s="52" t="str">
        <f t="shared" ca="1" si="101"/>
        <v/>
      </c>
      <c r="BF53" s="52" t="str">
        <f t="shared" ca="1" si="101"/>
        <v/>
      </c>
      <c r="BG53" s="52" t="str">
        <f t="shared" ca="1" si="101"/>
        <v/>
      </c>
      <c r="BH53" s="52" t="str">
        <f t="shared" ca="1" si="101"/>
        <v/>
      </c>
      <c r="BI53" s="52" t="str">
        <f t="shared" ca="1" si="101"/>
        <v/>
      </c>
      <c r="BJ53" s="52" t="str">
        <f t="shared" ca="1" si="101"/>
        <v/>
      </c>
      <c r="BK53" s="52" t="str">
        <f t="shared" ca="1" si="101"/>
        <v/>
      </c>
      <c r="BL53" s="52" t="str">
        <f t="shared" ca="1" si="101"/>
        <v/>
      </c>
      <c r="BM53" s="52" t="str">
        <f t="shared" ca="1" si="101"/>
        <v/>
      </c>
      <c r="BN53" t="str">
        <f t="shared" ca="1" si="101"/>
        <v/>
      </c>
      <c r="BO53" t="str">
        <f t="shared" ca="1" si="101"/>
        <v/>
      </c>
      <c r="BP53" t="str">
        <f t="shared" ca="1" si="101"/>
        <v/>
      </c>
    </row>
    <row r="54" spans="1:68" ht="15" customHeight="1" x14ac:dyDescent="0.3">
      <c r="A54" s="10" t="str">
        <f>IF(Job_Master!A54="","",Job_Master!A54)</f>
        <v>BJ-154</v>
      </c>
      <c r="B54" s="10">
        <f>IF($A54="","",Job_Master!B54)</f>
        <v>25</v>
      </c>
      <c r="C54" s="10" t="str">
        <f>IF($A54="","",Job_Master!C54)</f>
        <v>RW</v>
      </c>
      <c r="D54" s="10">
        <f>IF($A54="","",Job_Master!D54)</f>
        <v>2</v>
      </c>
      <c r="E54" s="48" t="str">
        <f>IF($A54="","","QC-MC-05")</f>
        <v>QC-MC-05</v>
      </c>
      <c r="F54" s="10" t="str">
        <f>IF($E54="","",IFERROR(VLOOKUP($E54,Machine_List!$B:$G,6,0),""))</f>
        <v>General Workman</v>
      </c>
      <c r="G54" s="53">
        <f>IF($E54="","",IFERROR(VLOOKUP($E54,Machine_List!$B:$C,2,0),""))</f>
        <v>46373</v>
      </c>
      <c r="H54" s="10">
        <f>IF($E54="","",IFERROR(VLOOKUP($E54,Machine_List!$B:$D,3,0),""))</f>
        <v>6</v>
      </c>
      <c r="I54" s="54"/>
      <c r="J54" s="55">
        <f ca="1">IF($A54="","",IF($I54&lt;&gt;"",$I54,MAX(FID_Plan!$M54,IFERROR(LOOKUP(2,1/($E$3:INDIRECT("E"&amp;(ROW()-1))=$E54),$M$3:INDIRECT("M"&amp;(ROW()-1))),FID_Plan!$M54))))</f>
        <v>46226.20833333335</v>
      </c>
      <c r="K54" s="10">
        <f>IF($A54="","",IFERROR(VLOOKUP(B54,CHOOSE(MATCH(C54,Settings!$L$4:$L$10,0),OPR_2P!$A$4:$I$18,SEG_6P!$A$4:$I$18,SOL_4P!$A$4:$I$18,RW_2P!$A$4:$I$18,RW2_4P!$A$4:$I$18,FLAP_4P!$A$4:$I$18,TUBE_4P!$A$4:$I$18),8,0),0))</f>
        <v>16</v>
      </c>
      <c r="L54" s="10">
        <f t="shared" si="0"/>
        <v>32</v>
      </c>
      <c r="M54" s="55">
        <f ca="1">IF($A54="","",$J54+($L54/(IF(F54="Contract Workman",Settings!$K$5,Settings!$K$4))))</f>
        <v>46227.689814814832</v>
      </c>
      <c r="N54" s="10" t="str">
        <f t="shared" ca="1" si="65"/>
        <v>Shift B</v>
      </c>
      <c r="O54" s="51" t="str">
        <f>IF(B54="","", IF(IFERROR(ISNUMBER(SEARCH(B54, VLOOKUP(E54, Machine_List!$B:$J, 9, 0))), FALSE()), "✅ Machine OK", "❌ Sug: " &amp; IFERROR(INDEX(Machine_List!$B$4:$B$50, MATCH("*"&amp;B54&amp;"*", Machine_List!$J$4:$J$50, 0)), "Check Limits")))</f>
        <v>✅ Machine OK</v>
      </c>
      <c r="P54" s="52" t="str">
        <f t="shared" ref="P54:AC54" ca="1" si="102">IF(AND(Q$3&gt;=$J54, Q$3&lt;$M54), $A54, "")</f>
        <v/>
      </c>
      <c r="Q54" s="52" t="str">
        <f t="shared" ca="1" si="102"/>
        <v/>
      </c>
      <c r="R54" s="52" t="str">
        <f t="shared" ca="1" si="102"/>
        <v/>
      </c>
      <c r="S54" s="52" t="str">
        <f t="shared" ca="1" si="102"/>
        <v/>
      </c>
      <c r="T54" s="52" t="str">
        <f t="shared" ca="1" si="102"/>
        <v/>
      </c>
      <c r="U54" s="52" t="str">
        <f t="shared" ca="1" si="102"/>
        <v/>
      </c>
      <c r="V54" s="52" t="str">
        <f t="shared" ca="1" si="102"/>
        <v/>
      </c>
      <c r="W54" s="52" t="str">
        <f t="shared" ca="1" si="102"/>
        <v/>
      </c>
      <c r="X54" s="52" t="str">
        <f t="shared" ca="1" si="102"/>
        <v/>
      </c>
      <c r="Y54" s="52" t="str">
        <f t="shared" ca="1" si="102"/>
        <v/>
      </c>
      <c r="Z54" s="52" t="str">
        <f t="shared" ca="1" si="102"/>
        <v/>
      </c>
      <c r="AA54" s="52" t="str">
        <f t="shared" ca="1" si="102"/>
        <v/>
      </c>
      <c r="AB54" s="52" t="str">
        <f t="shared" ca="1" si="102"/>
        <v/>
      </c>
      <c r="AC54" s="52" t="str">
        <f t="shared" ca="1" si="102"/>
        <v/>
      </c>
      <c r="AD54" s="52" t="str">
        <f t="shared" ref="AD54:BP54" ca="1" si="103">IF(AND(AE$3&gt;=$J54, AE$3&lt;$M54), $A54, "")</f>
        <v/>
      </c>
      <c r="AE54" s="52" t="str">
        <f t="shared" ca="1" si="103"/>
        <v/>
      </c>
      <c r="AF54" s="52" t="str">
        <f t="shared" ca="1" si="103"/>
        <v/>
      </c>
      <c r="AG54" s="52" t="str">
        <f t="shared" ca="1" si="103"/>
        <v/>
      </c>
      <c r="AH54" s="52" t="str">
        <f t="shared" ca="1" si="103"/>
        <v/>
      </c>
      <c r="AI54" s="52" t="str">
        <f t="shared" ca="1" si="103"/>
        <v/>
      </c>
      <c r="AJ54" s="52" t="str">
        <f t="shared" ca="1" si="103"/>
        <v/>
      </c>
      <c r="AK54" s="52" t="str">
        <f t="shared" ca="1" si="103"/>
        <v/>
      </c>
      <c r="AL54" s="52" t="str">
        <f t="shared" ca="1" si="103"/>
        <v/>
      </c>
      <c r="AM54" s="52" t="str">
        <f t="shared" ca="1" si="103"/>
        <v/>
      </c>
      <c r="AN54" s="52" t="str">
        <f t="shared" ca="1" si="103"/>
        <v/>
      </c>
      <c r="AO54" s="52" t="str">
        <f t="shared" ca="1" si="103"/>
        <v/>
      </c>
      <c r="AP54" s="52" t="str">
        <f t="shared" ca="1" si="103"/>
        <v/>
      </c>
      <c r="AQ54" s="52" t="str">
        <f t="shared" ca="1" si="103"/>
        <v/>
      </c>
      <c r="AR54" s="52" t="str">
        <f t="shared" ca="1" si="103"/>
        <v/>
      </c>
      <c r="AS54" s="52" t="str">
        <f t="shared" ca="1" si="103"/>
        <v/>
      </c>
      <c r="AT54" s="52" t="str">
        <f t="shared" ca="1" si="103"/>
        <v/>
      </c>
      <c r="AU54" s="52" t="str">
        <f t="shared" ca="1" si="103"/>
        <v/>
      </c>
      <c r="AV54" s="52" t="str">
        <f t="shared" ca="1" si="103"/>
        <v/>
      </c>
      <c r="AW54" s="52" t="str">
        <f t="shared" ca="1" si="103"/>
        <v/>
      </c>
      <c r="AX54" s="52" t="str">
        <f t="shared" ca="1" si="103"/>
        <v/>
      </c>
      <c r="AY54" s="52" t="str">
        <f t="shared" ca="1" si="103"/>
        <v/>
      </c>
      <c r="AZ54" s="52" t="str">
        <f t="shared" ca="1" si="103"/>
        <v/>
      </c>
      <c r="BA54" s="52" t="str">
        <f t="shared" ca="1" si="103"/>
        <v/>
      </c>
      <c r="BB54" s="52" t="str">
        <f t="shared" ca="1" si="103"/>
        <v/>
      </c>
      <c r="BC54" s="52" t="str">
        <f t="shared" ca="1" si="103"/>
        <v/>
      </c>
      <c r="BD54" s="52" t="str">
        <f t="shared" ca="1" si="103"/>
        <v/>
      </c>
      <c r="BE54" s="52" t="str">
        <f t="shared" ca="1" si="103"/>
        <v/>
      </c>
      <c r="BF54" s="52" t="str">
        <f t="shared" ca="1" si="103"/>
        <v/>
      </c>
      <c r="BG54" s="52" t="str">
        <f t="shared" ca="1" si="103"/>
        <v/>
      </c>
      <c r="BH54" s="52" t="str">
        <f t="shared" ca="1" si="103"/>
        <v/>
      </c>
      <c r="BI54" s="52" t="str">
        <f t="shared" ca="1" si="103"/>
        <v/>
      </c>
      <c r="BJ54" s="52" t="str">
        <f t="shared" ca="1" si="103"/>
        <v/>
      </c>
      <c r="BK54" s="52" t="str">
        <f t="shared" ca="1" si="103"/>
        <v/>
      </c>
      <c r="BL54" s="52" t="str">
        <f t="shared" ca="1" si="103"/>
        <v/>
      </c>
      <c r="BM54" s="52" t="str">
        <f t="shared" ca="1" si="103"/>
        <v/>
      </c>
      <c r="BN54" t="str">
        <f t="shared" ca="1" si="103"/>
        <v/>
      </c>
      <c r="BO54" t="str">
        <f t="shared" ca="1" si="103"/>
        <v/>
      </c>
      <c r="BP54" t="str">
        <f t="shared" ca="1" si="103"/>
        <v/>
      </c>
    </row>
    <row r="55" spans="1:68" ht="15" customHeight="1" x14ac:dyDescent="0.3">
      <c r="A55" s="10" t="str">
        <f>IF(Job_Master!A55="","",Job_Master!A55)</f>
        <v>BJ-156</v>
      </c>
      <c r="B55" s="10">
        <f>IF($A55="","",Job_Master!B55)</f>
        <v>25</v>
      </c>
      <c r="C55" s="10" t="str">
        <f>IF($A55="","",Job_Master!C55)</f>
        <v>2P</v>
      </c>
      <c r="D55" s="10">
        <f>IF($A55="","",Job_Master!D55)</f>
        <v>2</v>
      </c>
      <c r="E55" s="48" t="str">
        <f>IF($A55="","","QC-MC-04")</f>
        <v>QC-MC-04</v>
      </c>
      <c r="F55" s="10" t="str">
        <f>IF($E55="","",IFERROR(VLOOKUP($E55,Machine_List!$B:$G,6,0),""))</f>
        <v>General Workman</v>
      </c>
      <c r="G55" s="53">
        <f>IF($E55="","",IFERROR(VLOOKUP($E55,Machine_List!$B:$C,2,0),""))</f>
        <v>46195</v>
      </c>
      <c r="H55" s="10">
        <f>IF($E55="","",IFERROR(VLOOKUP($E55,Machine_List!$B:$D,3,0),""))</f>
        <v>6</v>
      </c>
      <c r="I55" s="54"/>
      <c r="J55" s="55">
        <f ca="1">IF($A55="","",IF($I55&lt;&gt;"",$I55,MAX(FID_Plan!$M55,IFERROR(LOOKUP(2,1/($E$3:INDIRECT("E"&amp;(ROW()-1))=$E55),$M$3:INDIRECT("M"&amp;(ROW()-1))),FID_Plan!$M55))))</f>
        <v>46222.550925925949</v>
      </c>
      <c r="K55" s="10">
        <f>IF($A55="","",IFERROR(VLOOKUP(B55,CHOOSE(MATCH(C55,Settings!$L$4:$L$10,0),OPR_2P!$A$4:$I$18,SEG_6P!$A$4:$I$18,SOL_4P!$A$4:$I$18,RW_2P!$A$4:$I$18,RW2_4P!$A$4:$I$18,FLAP_4P!$A$4:$I$18,TUBE_4P!$A$4:$I$18),8,0),0))</f>
        <v>27</v>
      </c>
      <c r="L55" s="10">
        <f t="shared" si="0"/>
        <v>54</v>
      </c>
      <c r="M55" s="55">
        <f ca="1">IF($A55="","",$J55+($L55/(IF(F55="Contract Workman",Settings!$K$5,Settings!$K$4))))</f>
        <v>46225.050925925949</v>
      </c>
      <c r="N55" s="10" t="str">
        <f t="shared" ca="1" si="65"/>
        <v>Shift C</v>
      </c>
      <c r="O55" s="51" t="str">
        <f>IF(B55="","", IF(IFERROR(ISNUMBER(SEARCH(B55, VLOOKUP(E55, Machine_List!$B:$J, 9, 0))), FALSE()), "✅ Machine OK", "❌ Sug: " &amp; IFERROR(INDEX(Machine_List!$B$4:$B$50, MATCH("*"&amp;B55&amp;"*", Machine_List!$J$4:$J$50, 0)), "Check Limits")))</f>
        <v>✅ Machine OK</v>
      </c>
      <c r="P55" s="52" t="str">
        <f t="shared" ref="P55:AC55" ca="1" si="104">IF(AND(Q$3&gt;=$J55, Q$3&lt;$M55), $A55, "")</f>
        <v/>
      </c>
      <c r="Q55" s="52" t="str">
        <f t="shared" ca="1" si="104"/>
        <v/>
      </c>
      <c r="R55" s="52" t="str">
        <f t="shared" ca="1" si="104"/>
        <v/>
      </c>
      <c r="S55" s="52" t="str">
        <f t="shared" ca="1" si="104"/>
        <v/>
      </c>
      <c r="T55" s="52" t="str">
        <f t="shared" ca="1" si="104"/>
        <v/>
      </c>
      <c r="U55" s="52" t="str">
        <f t="shared" ca="1" si="104"/>
        <v/>
      </c>
      <c r="V55" s="52" t="str">
        <f t="shared" ca="1" si="104"/>
        <v/>
      </c>
      <c r="W55" s="52" t="str">
        <f t="shared" ca="1" si="104"/>
        <v/>
      </c>
      <c r="X55" s="52" t="str">
        <f t="shared" ca="1" si="104"/>
        <v/>
      </c>
      <c r="Y55" s="52" t="str">
        <f t="shared" ca="1" si="104"/>
        <v/>
      </c>
      <c r="Z55" s="52" t="str">
        <f t="shared" ca="1" si="104"/>
        <v/>
      </c>
      <c r="AA55" s="52" t="str">
        <f t="shared" ca="1" si="104"/>
        <v/>
      </c>
      <c r="AB55" s="52" t="str">
        <f t="shared" ca="1" si="104"/>
        <v/>
      </c>
      <c r="AC55" s="52" t="str">
        <f t="shared" ca="1" si="104"/>
        <v/>
      </c>
      <c r="AD55" s="52" t="str">
        <f t="shared" ref="AD55:BP55" ca="1" si="105">IF(AND(AE$3&gt;=$J55, AE$3&lt;$M55), $A55, "")</f>
        <v/>
      </c>
      <c r="AE55" s="52" t="str">
        <f t="shared" ca="1" si="105"/>
        <v/>
      </c>
      <c r="AF55" s="52" t="str">
        <f t="shared" ca="1" si="105"/>
        <v/>
      </c>
      <c r="AG55" s="52" t="str">
        <f t="shared" ca="1" si="105"/>
        <v/>
      </c>
      <c r="AH55" s="52" t="str">
        <f t="shared" ca="1" si="105"/>
        <v/>
      </c>
      <c r="AI55" s="52" t="str">
        <f t="shared" ca="1" si="105"/>
        <v/>
      </c>
      <c r="AJ55" s="52" t="str">
        <f t="shared" ca="1" si="105"/>
        <v/>
      </c>
      <c r="AK55" s="52" t="str">
        <f t="shared" ca="1" si="105"/>
        <v/>
      </c>
      <c r="AL55" s="52" t="str">
        <f t="shared" ca="1" si="105"/>
        <v/>
      </c>
      <c r="AM55" s="52" t="str">
        <f t="shared" ca="1" si="105"/>
        <v/>
      </c>
      <c r="AN55" s="52" t="str">
        <f t="shared" ca="1" si="105"/>
        <v/>
      </c>
      <c r="AO55" s="52" t="str">
        <f t="shared" ca="1" si="105"/>
        <v/>
      </c>
      <c r="AP55" s="52" t="str">
        <f t="shared" ca="1" si="105"/>
        <v/>
      </c>
      <c r="AQ55" s="52" t="str">
        <f t="shared" ca="1" si="105"/>
        <v/>
      </c>
      <c r="AR55" s="52" t="str">
        <f t="shared" ca="1" si="105"/>
        <v/>
      </c>
      <c r="AS55" s="52" t="str">
        <f t="shared" ca="1" si="105"/>
        <v/>
      </c>
      <c r="AT55" s="52" t="str">
        <f t="shared" ca="1" si="105"/>
        <v/>
      </c>
      <c r="AU55" s="52" t="str">
        <f t="shared" ca="1" si="105"/>
        <v/>
      </c>
      <c r="AV55" s="52" t="str">
        <f t="shared" ca="1" si="105"/>
        <v/>
      </c>
      <c r="AW55" s="52" t="str">
        <f t="shared" ca="1" si="105"/>
        <v/>
      </c>
      <c r="AX55" s="52" t="str">
        <f t="shared" ca="1" si="105"/>
        <v/>
      </c>
      <c r="AY55" s="52" t="str">
        <f t="shared" ca="1" si="105"/>
        <v/>
      </c>
      <c r="AZ55" s="52" t="str">
        <f t="shared" ca="1" si="105"/>
        <v/>
      </c>
      <c r="BA55" s="52" t="str">
        <f t="shared" ca="1" si="105"/>
        <v/>
      </c>
      <c r="BB55" s="52" t="str">
        <f t="shared" ca="1" si="105"/>
        <v/>
      </c>
      <c r="BC55" s="52" t="str">
        <f t="shared" ca="1" si="105"/>
        <v/>
      </c>
      <c r="BD55" s="52" t="str">
        <f t="shared" ca="1" si="105"/>
        <v/>
      </c>
      <c r="BE55" s="52" t="str">
        <f t="shared" ca="1" si="105"/>
        <v/>
      </c>
      <c r="BF55" s="52" t="str">
        <f t="shared" ca="1" si="105"/>
        <v/>
      </c>
      <c r="BG55" s="52" t="str">
        <f t="shared" ca="1" si="105"/>
        <v/>
      </c>
      <c r="BH55" s="52" t="str">
        <f t="shared" ca="1" si="105"/>
        <v/>
      </c>
      <c r="BI55" s="52" t="str">
        <f t="shared" ca="1" si="105"/>
        <v/>
      </c>
      <c r="BJ55" s="52" t="str">
        <f t="shared" ca="1" si="105"/>
        <v/>
      </c>
      <c r="BK55" s="52" t="str">
        <f t="shared" ca="1" si="105"/>
        <v/>
      </c>
      <c r="BL55" s="52" t="str">
        <f t="shared" ca="1" si="105"/>
        <v/>
      </c>
      <c r="BM55" s="52" t="str">
        <f t="shared" ca="1" si="105"/>
        <v/>
      </c>
      <c r="BN55" t="str">
        <f t="shared" ca="1" si="105"/>
        <v/>
      </c>
      <c r="BO55" t="str">
        <f t="shared" ca="1" si="105"/>
        <v/>
      </c>
      <c r="BP55" t="str">
        <f t="shared" ca="1" si="105"/>
        <v/>
      </c>
    </row>
    <row r="56" spans="1:68" ht="15" customHeight="1" x14ac:dyDescent="0.3">
      <c r="A56" s="10" t="str">
        <f>IF(Job_Master!A56="","",Job_Master!A56)</f>
        <v>BJ-145</v>
      </c>
      <c r="B56" s="10">
        <f>IF($A56="","",Job_Master!B56)</f>
        <v>15</v>
      </c>
      <c r="C56" s="10" t="str">
        <f>IF($A56="","",Job_Master!C56)</f>
        <v>2P</v>
      </c>
      <c r="D56" s="10">
        <f>IF($A56="","",Job_Master!D56)</f>
        <v>2</v>
      </c>
      <c r="E56" s="48" t="str">
        <f>IF($A56="","","QC-MC-05")</f>
        <v>QC-MC-05</v>
      </c>
      <c r="F56" s="10" t="str">
        <f>IF($E56="","",IFERROR(VLOOKUP($E56,Machine_List!$B:$G,6,0),""))</f>
        <v>General Workman</v>
      </c>
      <c r="G56" s="53">
        <f>IF($E56="","",IFERROR(VLOOKUP($E56,Machine_List!$B:$C,2,0),""))</f>
        <v>46373</v>
      </c>
      <c r="H56" s="10">
        <f>IF($E56="","",IFERROR(VLOOKUP($E56,Machine_List!$B:$D,3,0),""))</f>
        <v>6</v>
      </c>
      <c r="I56" s="54"/>
      <c r="J56" s="55">
        <f ca="1">IF($A56="","",IF($I56&lt;&gt;"",$I56,MAX(FID_Plan!$M56,IFERROR(LOOKUP(2,1/($E$3:INDIRECT("E"&amp;(ROW()-1))=$E56),$M$3:INDIRECT("M"&amp;(ROW()-1))),FID_Plan!$M56))))</f>
        <v>46227.689814814832</v>
      </c>
      <c r="K56" s="10">
        <f>IF($A56="","",IFERROR(VLOOKUP(B56,CHOOSE(MATCH(C56,Settings!$L$4:$L$10,0),OPR_2P!$A$4:$I$18,SEG_6P!$A$4:$I$18,SOL_4P!$A$4:$I$18,RW_2P!$A$4:$I$18,RW2_4P!$A$4:$I$18,FLAP_4P!$A$4:$I$18,TUBE_4P!$A$4:$I$18),8,0),0))</f>
        <v>13</v>
      </c>
      <c r="L56" s="10">
        <f t="shared" si="0"/>
        <v>26</v>
      </c>
      <c r="M56" s="55">
        <f ca="1">IF($A56="","",$J56+($L56/(IF(F56="Contract Workman",Settings!$K$5,Settings!$K$4))))</f>
        <v>46228.893518518533</v>
      </c>
      <c r="N56" s="10" t="str">
        <f t="shared" ca="1" si="65"/>
        <v>Shift B</v>
      </c>
      <c r="O56" s="51" t="str">
        <f>IF(B56="","", IF(IFERROR(ISNUMBER(SEARCH(B56, VLOOKUP(E56, Machine_List!$B:$J, 9, 0))), FALSE()), "✅ Machine OK", "❌ Sug: " &amp; IFERROR(INDEX(Machine_List!$B$4:$B$50, MATCH("*"&amp;B56&amp;"*", Machine_List!$J$4:$J$50, 0)), "Check Limits")))</f>
        <v>✅ Machine OK</v>
      </c>
      <c r="P56" s="52" t="str">
        <f t="shared" ref="P56:AC56" ca="1" si="106">IF(AND(Q$3&gt;=$J56, Q$3&lt;$M56), $A56, "")</f>
        <v/>
      </c>
      <c r="Q56" s="52" t="str">
        <f t="shared" ca="1" si="106"/>
        <v/>
      </c>
      <c r="R56" s="52" t="str">
        <f t="shared" ca="1" si="106"/>
        <v/>
      </c>
      <c r="S56" s="52" t="str">
        <f t="shared" ca="1" si="106"/>
        <v/>
      </c>
      <c r="T56" s="52" t="str">
        <f t="shared" ca="1" si="106"/>
        <v/>
      </c>
      <c r="U56" s="52" t="str">
        <f t="shared" ca="1" si="106"/>
        <v/>
      </c>
      <c r="V56" s="52" t="str">
        <f t="shared" ca="1" si="106"/>
        <v/>
      </c>
      <c r="W56" s="52" t="str">
        <f t="shared" ca="1" si="106"/>
        <v/>
      </c>
      <c r="X56" s="52" t="str">
        <f t="shared" ca="1" si="106"/>
        <v/>
      </c>
      <c r="Y56" s="52" t="str">
        <f t="shared" ca="1" si="106"/>
        <v/>
      </c>
      <c r="Z56" s="52" t="str">
        <f t="shared" ca="1" si="106"/>
        <v/>
      </c>
      <c r="AA56" s="52" t="str">
        <f t="shared" ca="1" si="106"/>
        <v/>
      </c>
      <c r="AB56" s="52" t="str">
        <f t="shared" ca="1" si="106"/>
        <v/>
      </c>
      <c r="AC56" s="52" t="str">
        <f t="shared" ca="1" si="106"/>
        <v/>
      </c>
      <c r="AD56" s="52" t="str">
        <f t="shared" ref="AD56:BP56" ca="1" si="107">IF(AND(AE$3&gt;=$J56, AE$3&lt;$M56), $A56, "")</f>
        <v/>
      </c>
      <c r="AE56" s="52" t="str">
        <f t="shared" ca="1" si="107"/>
        <v/>
      </c>
      <c r="AF56" s="52" t="str">
        <f t="shared" ca="1" si="107"/>
        <v/>
      </c>
      <c r="AG56" s="52" t="str">
        <f t="shared" ca="1" si="107"/>
        <v/>
      </c>
      <c r="AH56" s="52" t="str">
        <f t="shared" ca="1" si="107"/>
        <v/>
      </c>
      <c r="AI56" s="52" t="str">
        <f t="shared" ca="1" si="107"/>
        <v/>
      </c>
      <c r="AJ56" s="52" t="str">
        <f t="shared" ca="1" si="107"/>
        <v/>
      </c>
      <c r="AK56" s="52" t="str">
        <f t="shared" ca="1" si="107"/>
        <v/>
      </c>
      <c r="AL56" s="52" t="str">
        <f t="shared" ca="1" si="107"/>
        <v/>
      </c>
      <c r="AM56" s="52" t="str">
        <f t="shared" ca="1" si="107"/>
        <v/>
      </c>
      <c r="AN56" s="52" t="str">
        <f t="shared" ca="1" si="107"/>
        <v/>
      </c>
      <c r="AO56" s="52" t="str">
        <f t="shared" ca="1" si="107"/>
        <v/>
      </c>
      <c r="AP56" s="52" t="str">
        <f t="shared" ca="1" si="107"/>
        <v/>
      </c>
      <c r="AQ56" s="52" t="str">
        <f t="shared" ca="1" si="107"/>
        <v/>
      </c>
      <c r="AR56" s="52" t="str">
        <f t="shared" ca="1" si="107"/>
        <v/>
      </c>
      <c r="AS56" s="52" t="str">
        <f t="shared" ca="1" si="107"/>
        <v/>
      </c>
      <c r="AT56" s="52" t="str">
        <f t="shared" ca="1" si="107"/>
        <v/>
      </c>
      <c r="AU56" s="52" t="str">
        <f t="shared" ca="1" si="107"/>
        <v/>
      </c>
      <c r="AV56" s="52" t="str">
        <f t="shared" ca="1" si="107"/>
        <v/>
      </c>
      <c r="AW56" s="52" t="str">
        <f t="shared" ca="1" si="107"/>
        <v/>
      </c>
      <c r="AX56" s="52" t="str">
        <f t="shared" ca="1" si="107"/>
        <v/>
      </c>
      <c r="AY56" s="52" t="str">
        <f t="shared" ca="1" si="107"/>
        <v/>
      </c>
      <c r="AZ56" s="52" t="str">
        <f t="shared" ca="1" si="107"/>
        <v/>
      </c>
      <c r="BA56" s="52" t="str">
        <f t="shared" ca="1" si="107"/>
        <v/>
      </c>
      <c r="BB56" s="52" t="str">
        <f t="shared" ca="1" si="107"/>
        <v/>
      </c>
      <c r="BC56" s="52" t="str">
        <f t="shared" ca="1" si="107"/>
        <v/>
      </c>
      <c r="BD56" s="52" t="str">
        <f t="shared" ca="1" si="107"/>
        <v/>
      </c>
      <c r="BE56" s="52" t="str">
        <f t="shared" ca="1" si="107"/>
        <v/>
      </c>
      <c r="BF56" s="52" t="str">
        <f t="shared" ca="1" si="107"/>
        <v/>
      </c>
      <c r="BG56" s="52" t="str">
        <f t="shared" ca="1" si="107"/>
        <v/>
      </c>
      <c r="BH56" s="52" t="str">
        <f t="shared" ca="1" si="107"/>
        <v/>
      </c>
      <c r="BI56" s="52" t="str">
        <f t="shared" ca="1" si="107"/>
        <v/>
      </c>
      <c r="BJ56" s="52" t="str">
        <f t="shared" ca="1" si="107"/>
        <v/>
      </c>
      <c r="BK56" s="52" t="str">
        <f t="shared" ca="1" si="107"/>
        <v/>
      </c>
      <c r="BL56" s="52" t="str">
        <f t="shared" ca="1" si="107"/>
        <v/>
      </c>
      <c r="BM56" s="52" t="str">
        <f t="shared" ca="1" si="107"/>
        <v/>
      </c>
      <c r="BN56" t="str">
        <f t="shared" ca="1" si="107"/>
        <v/>
      </c>
      <c r="BO56" t="str">
        <f t="shared" ca="1" si="107"/>
        <v/>
      </c>
      <c r="BP56" t="str">
        <f t="shared" ca="1" si="107"/>
        <v/>
      </c>
    </row>
    <row r="57" spans="1:68" ht="15" customHeight="1" x14ac:dyDescent="0.3">
      <c r="A57" s="10" t="str">
        <f>IF(Job_Master!A57="","",Job_Master!A57)</f>
        <v>BJ-153</v>
      </c>
      <c r="B57" s="10">
        <f>IF($A57="","",Job_Master!B57)</f>
        <v>34</v>
      </c>
      <c r="C57" s="10" t="str">
        <f>IF($A57="","",Job_Master!C57)</f>
        <v>SEG</v>
      </c>
      <c r="D57" s="10">
        <f>IF($A57="","",Job_Master!D57)</f>
        <v>6</v>
      </c>
      <c r="E57" s="48" t="str">
        <f>IF($A57="","","QC-MC-03")</f>
        <v>QC-MC-03</v>
      </c>
      <c r="F57" s="10" t="str">
        <f>IF($E57="","",IFERROR(VLOOKUP($E57,Machine_List!$B:$G,6,0),""))</f>
        <v>General Workman</v>
      </c>
      <c r="G57" s="53">
        <f>IF($E57="","",IFERROR(VLOOKUP($E57,Machine_List!$B:$C,2,0),""))</f>
        <v>46172</v>
      </c>
      <c r="H57" s="10">
        <f>IF($E57="","",IFERROR(VLOOKUP($E57,Machine_List!$B:$D,3,0),""))</f>
        <v>6</v>
      </c>
      <c r="I57" s="54"/>
      <c r="J57" s="55">
        <f ca="1">IF($A57="","",IF($I57&lt;&gt;"",$I57,MAX(FID_Plan!$M57,IFERROR(LOOKUP(2,1/($E$3:INDIRECT("E"&amp;(ROW()-1))=$E57),$M$3:INDIRECT("M"&amp;(ROW()-1))),FID_Plan!$M57))))</f>
        <v>46246.998677248666</v>
      </c>
      <c r="K57" s="10">
        <f>IF($A57="","",IFERROR(VLOOKUP(B57,CHOOSE(MATCH(C57,Settings!$L$4:$L$10,0),OPR_2P!$A$4:$I$18,SEG_6P!$A$4:$I$18,SOL_4P!$A$4:$I$18,RW_2P!$A$4:$I$18,RW2_4P!$A$4:$I$18,FLAP_4P!$A$4:$I$18,TUBE_4P!$A$4:$I$18),8,0),0))</f>
        <v>31</v>
      </c>
      <c r="L57" s="10">
        <f t="shared" si="0"/>
        <v>186</v>
      </c>
      <c r="M57" s="55">
        <f ca="1">IF($A57="","",$J57+($L57/(IF(F57="Contract Workman",Settings!$K$5,Settings!$K$4))))</f>
        <v>46255.609788359776</v>
      </c>
      <c r="N57" s="10" t="str">
        <f t="shared" ca="1" si="65"/>
        <v>Shift A</v>
      </c>
      <c r="O57" s="51" t="str">
        <f>IF(B57="","", IF(IFERROR(ISNUMBER(SEARCH(B57, VLOOKUP(E57, Machine_List!$B:$J, 9, 0))), FALSE()), "✅ Machine OK", "❌ Sug: " &amp; IFERROR(INDEX(Machine_List!$B$4:$B$50, MATCH("*"&amp;B57&amp;"*", Machine_List!$J$4:$J$50, 0)), "Check Limits")))</f>
        <v>✅ Machine OK</v>
      </c>
      <c r="P57" s="52" t="str">
        <f t="shared" ref="P57:AC57" ca="1" si="108">IF(AND(Q$3&gt;=$J57, Q$3&lt;$M57), $A57, "")</f>
        <v/>
      </c>
      <c r="Q57" s="52" t="str">
        <f t="shared" ca="1" si="108"/>
        <v/>
      </c>
      <c r="R57" s="52" t="str">
        <f t="shared" ca="1" si="108"/>
        <v/>
      </c>
      <c r="S57" s="52" t="str">
        <f t="shared" ca="1" si="108"/>
        <v/>
      </c>
      <c r="T57" s="52" t="str">
        <f t="shared" ca="1" si="108"/>
        <v/>
      </c>
      <c r="U57" s="52" t="str">
        <f t="shared" ca="1" si="108"/>
        <v/>
      </c>
      <c r="V57" s="52" t="str">
        <f t="shared" ca="1" si="108"/>
        <v/>
      </c>
      <c r="W57" s="52" t="str">
        <f t="shared" ca="1" si="108"/>
        <v/>
      </c>
      <c r="X57" s="52" t="str">
        <f t="shared" ca="1" si="108"/>
        <v/>
      </c>
      <c r="Y57" s="52" t="str">
        <f t="shared" ca="1" si="108"/>
        <v/>
      </c>
      <c r="Z57" s="52" t="str">
        <f t="shared" ca="1" si="108"/>
        <v/>
      </c>
      <c r="AA57" s="52" t="str">
        <f t="shared" ca="1" si="108"/>
        <v/>
      </c>
      <c r="AB57" s="52" t="str">
        <f t="shared" ca="1" si="108"/>
        <v/>
      </c>
      <c r="AC57" s="52" t="str">
        <f t="shared" ca="1" si="108"/>
        <v/>
      </c>
      <c r="AD57" s="52" t="str">
        <f t="shared" ref="AD57:BP57" ca="1" si="109">IF(AND(AE$3&gt;=$J57, AE$3&lt;$M57), $A57, "")</f>
        <v/>
      </c>
      <c r="AE57" s="52" t="str">
        <f t="shared" ca="1" si="109"/>
        <v/>
      </c>
      <c r="AF57" s="52" t="str">
        <f t="shared" ca="1" si="109"/>
        <v/>
      </c>
      <c r="AG57" s="52" t="str">
        <f t="shared" ca="1" si="109"/>
        <v/>
      </c>
      <c r="AH57" s="52" t="str">
        <f t="shared" ca="1" si="109"/>
        <v/>
      </c>
      <c r="AI57" s="52" t="str">
        <f t="shared" ca="1" si="109"/>
        <v/>
      </c>
      <c r="AJ57" s="52" t="str">
        <f t="shared" ca="1" si="109"/>
        <v/>
      </c>
      <c r="AK57" s="52" t="str">
        <f t="shared" ca="1" si="109"/>
        <v/>
      </c>
      <c r="AL57" s="52" t="str">
        <f t="shared" ca="1" si="109"/>
        <v/>
      </c>
      <c r="AM57" s="52" t="str">
        <f t="shared" ca="1" si="109"/>
        <v/>
      </c>
      <c r="AN57" s="52" t="str">
        <f t="shared" ca="1" si="109"/>
        <v/>
      </c>
      <c r="AO57" s="52" t="str">
        <f t="shared" ca="1" si="109"/>
        <v/>
      </c>
      <c r="AP57" s="52" t="str">
        <f t="shared" ca="1" si="109"/>
        <v/>
      </c>
      <c r="AQ57" s="52" t="str">
        <f t="shared" ca="1" si="109"/>
        <v/>
      </c>
      <c r="AR57" s="52" t="str">
        <f t="shared" ca="1" si="109"/>
        <v/>
      </c>
      <c r="AS57" s="52" t="str">
        <f t="shared" ca="1" si="109"/>
        <v/>
      </c>
      <c r="AT57" s="52" t="str">
        <f t="shared" ca="1" si="109"/>
        <v/>
      </c>
      <c r="AU57" s="52" t="str">
        <f t="shared" ca="1" si="109"/>
        <v/>
      </c>
      <c r="AV57" s="52" t="str">
        <f t="shared" ca="1" si="109"/>
        <v/>
      </c>
      <c r="AW57" s="52" t="str">
        <f t="shared" ca="1" si="109"/>
        <v/>
      </c>
      <c r="AX57" s="52" t="str">
        <f t="shared" ca="1" si="109"/>
        <v/>
      </c>
      <c r="AY57" s="52" t="str">
        <f t="shared" ca="1" si="109"/>
        <v/>
      </c>
      <c r="AZ57" s="52" t="str">
        <f t="shared" ca="1" si="109"/>
        <v/>
      </c>
      <c r="BA57" s="52" t="str">
        <f t="shared" ca="1" si="109"/>
        <v/>
      </c>
      <c r="BB57" s="52" t="str">
        <f t="shared" ca="1" si="109"/>
        <v/>
      </c>
      <c r="BC57" s="52" t="str">
        <f t="shared" ca="1" si="109"/>
        <v/>
      </c>
      <c r="BD57" s="52" t="str">
        <f t="shared" ca="1" si="109"/>
        <v/>
      </c>
      <c r="BE57" s="52" t="str">
        <f t="shared" ca="1" si="109"/>
        <v/>
      </c>
      <c r="BF57" s="52" t="str">
        <f t="shared" ca="1" si="109"/>
        <v/>
      </c>
      <c r="BG57" s="52" t="str">
        <f t="shared" ca="1" si="109"/>
        <v/>
      </c>
      <c r="BH57" s="52" t="str">
        <f t="shared" ca="1" si="109"/>
        <v/>
      </c>
      <c r="BI57" s="52" t="str">
        <f t="shared" ca="1" si="109"/>
        <v/>
      </c>
      <c r="BJ57" s="52" t="str">
        <f t="shared" ca="1" si="109"/>
        <v/>
      </c>
      <c r="BK57" s="52" t="str">
        <f t="shared" ca="1" si="109"/>
        <v/>
      </c>
      <c r="BL57" s="52" t="str">
        <f t="shared" ca="1" si="109"/>
        <v/>
      </c>
      <c r="BM57" s="52" t="str">
        <f t="shared" ca="1" si="109"/>
        <v/>
      </c>
      <c r="BN57" t="str">
        <f t="shared" ca="1" si="109"/>
        <v/>
      </c>
      <c r="BO57" t="str">
        <f t="shared" ca="1" si="109"/>
        <v/>
      </c>
      <c r="BP57" t="str">
        <f t="shared" ca="1" si="109"/>
        <v/>
      </c>
    </row>
    <row r="58" spans="1:68" ht="15" customHeight="1" x14ac:dyDescent="0.3">
      <c r="A58" s="10" t="str">
        <f>IF(Job_Master!A58="","",Job_Master!A58)</f>
        <v>BJ-160</v>
      </c>
      <c r="B58" s="10">
        <f>IF($A58="","",Job_Master!B58)</f>
        <v>34</v>
      </c>
      <c r="C58" s="10" t="str">
        <f>IF($A58="","",Job_Master!C58)</f>
        <v>2P</v>
      </c>
      <c r="D58" s="10">
        <f>IF($A58="","",Job_Master!D58)</f>
        <v>2</v>
      </c>
      <c r="E58" s="48" t="str">
        <f>IF($A58="","","QC-MC-05")</f>
        <v>QC-MC-05</v>
      </c>
      <c r="F58" s="10" t="str">
        <f>IF($E58="","",IFERROR(VLOOKUP($E58,Machine_List!$B:$G,6,0),""))</f>
        <v>General Workman</v>
      </c>
      <c r="G58" s="53">
        <f>IF($E58="","",IFERROR(VLOOKUP($E58,Machine_List!$B:$C,2,0),""))</f>
        <v>46373</v>
      </c>
      <c r="H58" s="10">
        <f>IF($E58="","",IFERROR(VLOOKUP($E58,Machine_List!$B:$D,3,0),""))</f>
        <v>6</v>
      </c>
      <c r="I58" s="54"/>
      <c r="J58" s="55">
        <f ca="1">IF($A58="","",IF($I58&lt;&gt;"",$I58,MAX(FID_Plan!$M58,IFERROR(LOOKUP(2,1/($E$3:INDIRECT("E"&amp;(ROW()-1))=$E58),$M$3:INDIRECT("M"&amp;(ROW()-1))),FID_Plan!$M58))))</f>
        <v>46228.893518518533</v>
      </c>
      <c r="K58" s="10">
        <f>IF($A58="","",IFERROR(VLOOKUP(B58,CHOOSE(MATCH(C58,Settings!$L$4:$L$10,0),OPR_2P!$A$4:$I$18,SEG_6P!$A$4:$I$18,SOL_4P!$A$4:$I$18,RW_2P!$A$4:$I$18,RW2_4P!$A$4:$I$18,FLAP_4P!$A$4:$I$18,TUBE_4P!$A$4:$I$18),8,0),0))</f>
        <v>27</v>
      </c>
      <c r="L58" s="10">
        <f t="shared" si="0"/>
        <v>54</v>
      </c>
      <c r="M58" s="55">
        <f ca="1">IF($A58="","",$J58+($L58/(IF(F58="Contract Workman",Settings!$K$5,Settings!$K$4))))</f>
        <v>46231.393518518533</v>
      </c>
      <c r="N58" s="10" t="str">
        <f t="shared" ca="1" si="65"/>
        <v>Shift A</v>
      </c>
      <c r="O58" s="51" t="str">
        <f>IF(B58="","", IF(IFERROR(ISNUMBER(SEARCH(B58, VLOOKUP(E58, Machine_List!$B:$J, 9, 0))), FALSE()), "✅ Machine OK", "❌ Sug: " &amp; IFERROR(INDEX(Machine_List!$B$4:$B$50, MATCH("*"&amp;B58&amp;"*", Machine_List!$J$4:$J$50, 0)), "Check Limits")))</f>
        <v>✅ Machine OK</v>
      </c>
      <c r="P58" s="52" t="str">
        <f t="shared" ref="P58:AC58" ca="1" si="110">IF(AND(Q$3&gt;=$J58, Q$3&lt;$M58), $A58, "")</f>
        <v/>
      </c>
      <c r="Q58" s="52" t="str">
        <f t="shared" ca="1" si="110"/>
        <v/>
      </c>
      <c r="R58" s="52" t="str">
        <f t="shared" ca="1" si="110"/>
        <v/>
      </c>
      <c r="S58" s="52" t="str">
        <f t="shared" ca="1" si="110"/>
        <v/>
      </c>
      <c r="T58" s="52" t="str">
        <f t="shared" ca="1" si="110"/>
        <v/>
      </c>
      <c r="U58" s="52" t="str">
        <f t="shared" ca="1" si="110"/>
        <v/>
      </c>
      <c r="V58" s="52" t="str">
        <f t="shared" ca="1" si="110"/>
        <v/>
      </c>
      <c r="W58" s="52" t="str">
        <f t="shared" ca="1" si="110"/>
        <v/>
      </c>
      <c r="X58" s="52" t="str">
        <f t="shared" ca="1" si="110"/>
        <v/>
      </c>
      <c r="Y58" s="52" t="str">
        <f t="shared" ca="1" si="110"/>
        <v/>
      </c>
      <c r="Z58" s="52" t="str">
        <f t="shared" ca="1" si="110"/>
        <v/>
      </c>
      <c r="AA58" s="52" t="str">
        <f t="shared" ca="1" si="110"/>
        <v/>
      </c>
      <c r="AB58" s="52" t="str">
        <f t="shared" ca="1" si="110"/>
        <v/>
      </c>
      <c r="AC58" s="52" t="str">
        <f t="shared" ca="1" si="110"/>
        <v/>
      </c>
      <c r="AD58" s="52" t="str">
        <f t="shared" ref="AD58:BP58" ca="1" si="111">IF(AND(AE$3&gt;=$J58, AE$3&lt;$M58), $A58, "")</f>
        <v/>
      </c>
      <c r="AE58" s="52" t="str">
        <f t="shared" ca="1" si="111"/>
        <v/>
      </c>
      <c r="AF58" s="52" t="str">
        <f t="shared" ca="1" si="111"/>
        <v/>
      </c>
      <c r="AG58" s="52" t="str">
        <f t="shared" ca="1" si="111"/>
        <v/>
      </c>
      <c r="AH58" s="52" t="str">
        <f t="shared" ca="1" si="111"/>
        <v/>
      </c>
      <c r="AI58" s="52" t="str">
        <f t="shared" ca="1" si="111"/>
        <v/>
      </c>
      <c r="AJ58" s="52" t="str">
        <f t="shared" ca="1" si="111"/>
        <v/>
      </c>
      <c r="AK58" s="52" t="str">
        <f t="shared" ca="1" si="111"/>
        <v/>
      </c>
      <c r="AL58" s="52" t="str">
        <f t="shared" ca="1" si="111"/>
        <v/>
      </c>
      <c r="AM58" s="52" t="str">
        <f t="shared" ca="1" si="111"/>
        <v/>
      </c>
      <c r="AN58" s="52" t="str">
        <f t="shared" ca="1" si="111"/>
        <v/>
      </c>
      <c r="AO58" s="52" t="str">
        <f t="shared" ca="1" si="111"/>
        <v/>
      </c>
      <c r="AP58" s="52" t="str">
        <f t="shared" ca="1" si="111"/>
        <v/>
      </c>
      <c r="AQ58" s="52" t="str">
        <f t="shared" ca="1" si="111"/>
        <v/>
      </c>
      <c r="AR58" s="52" t="str">
        <f t="shared" ca="1" si="111"/>
        <v/>
      </c>
      <c r="AS58" s="52" t="str">
        <f t="shared" ca="1" si="111"/>
        <v/>
      </c>
      <c r="AT58" s="52" t="str">
        <f t="shared" ca="1" si="111"/>
        <v/>
      </c>
      <c r="AU58" s="52" t="str">
        <f t="shared" ca="1" si="111"/>
        <v/>
      </c>
      <c r="AV58" s="52" t="str">
        <f t="shared" ca="1" si="111"/>
        <v/>
      </c>
      <c r="AW58" s="52" t="str">
        <f t="shared" ca="1" si="111"/>
        <v/>
      </c>
      <c r="AX58" s="52" t="str">
        <f t="shared" ca="1" si="111"/>
        <v/>
      </c>
      <c r="AY58" s="52" t="str">
        <f t="shared" ca="1" si="111"/>
        <v/>
      </c>
      <c r="AZ58" s="52" t="str">
        <f t="shared" ca="1" si="111"/>
        <v/>
      </c>
      <c r="BA58" s="52" t="str">
        <f t="shared" ca="1" si="111"/>
        <v/>
      </c>
      <c r="BB58" s="52" t="str">
        <f t="shared" ca="1" si="111"/>
        <v/>
      </c>
      <c r="BC58" s="52" t="str">
        <f t="shared" ca="1" si="111"/>
        <v/>
      </c>
      <c r="BD58" s="52" t="str">
        <f t="shared" ca="1" si="111"/>
        <v/>
      </c>
      <c r="BE58" s="52" t="str">
        <f t="shared" ca="1" si="111"/>
        <v/>
      </c>
      <c r="BF58" s="52" t="str">
        <f t="shared" ca="1" si="111"/>
        <v/>
      </c>
      <c r="BG58" s="52" t="str">
        <f t="shared" ca="1" si="111"/>
        <v/>
      </c>
      <c r="BH58" s="52" t="str">
        <f t="shared" ca="1" si="111"/>
        <v/>
      </c>
      <c r="BI58" s="52" t="str">
        <f t="shared" ca="1" si="111"/>
        <v/>
      </c>
      <c r="BJ58" s="52" t="str">
        <f t="shared" ca="1" si="111"/>
        <v/>
      </c>
      <c r="BK58" s="52" t="str">
        <f t="shared" ca="1" si="111"/>
        <v/>
      </c>
      <c r="BL58" s="52" t="str">
        <f t="shared" ca="1" si="111"/>
        <v/>
      </c>
      <c r="BM58" s="52" t="str">
        <f t="shared" ca="1" si="111"/>
        <v/>
      </c>
      <c r="BN58" t="str">
        <f t="shared" ca="1" si="111"/>
        <v/>
      </c>
      <c r="BO58" t="str">
        <f t="shared" ca="1" si="111"/>
        <v/>
      </c>
      <c r="BP58" t="str">
        <f t="shared" ca="1" si="111"/>
        <v/>
      </c>
    </row>
    <row r="59" spans="1:68" ht="15" customHeight="1" x14ac:dyDescent="0.3">
      <c r="A59" s="10" t="str">
        <f>IF(Job_Master!A59="","",Job_Master!A59)</f>
        <v>BJ-158</v>
      </c>
      <c r="B59" s="10">
        <f>IF($A59="","",Job_Master!B59)</f>
        <v>54</v>
      </c>
      <c r="C59" s="10" t="str">
        <f>IF($A59="","",Job_Master!C59)</f>
        <v>2P</v>
      </c>
      <c r="D59" s="10">
        <f>IF($A59="","",Job_Master!D59)</f>
        <v>2</v>
      </c>
      <c r="E59" s="48" t="str">
        <f>IF($A59="","","QC-MC-04")</f>
        <v>QC-MC-04</v>
      </c>
      <c r="F59" s="10" t="str">
        <f>IF($E59="","",IFERROR(VLOOKUP($E59,Machine_List!$B:$G,6,0),""))</f>
        <v>General Workman</v>
      </c>
      <c r="G59" s="53">
        <f>IF($E59="","",IFERROR(VLOOKUP($E59,Machine_List!$B:$C,2,0),""))</f>
        <v>46195</v>
      </c>
      <c r="H59" s="10">
        <f>IF($E59="","",IFERROR(VLOOKUP($E59,Machine_List!$B:$D,3,0),""))</f>
        <v>6</v>
      </c>
      <c r="I59" s="54"/>
      <c r="J59" s="55">
        <f ca="1">IF($A59="","",IF($I59&lt;&gt;"",$I59,MAX(FID_Plan!$M59,IFERROR(LOOKUP(2,1/($E$3:INDIRECT("E"&amp;(ROW()-1))=$E59),$M$3:INDIRECT("M"&amp;(ROW()-1))),FID_Plan!$M59))))</f>
        <v>46241.195105820101</v>
      </c>
      <c r="K59" s="10">
        <f>IF($A59="","",IFERROR(VLOOKUP(B59,CHOOSE(MATCH(C59,Settings!$L$4:$L$10,0),OPR_2P!$A$4:$I$18,SEG_6P!$A$4:$I$18,SOL_4P!$A$4:$I$18,RW_2P!$A$4:$I$18,RW2_4P!$A$4:$I$18,FLAP_4P!$A$4:$I$18,TUBE_4P!$A$4:$I$18),8,0),0))</f>
        <v>67</v>
      </c>
      <c r="L59" s="10">
        <f t="shared" si="0"/>
        <v>134</v>
      </c>
      <c r="M59" s="55">
        <f ca="1">IF($A59="","",$J59+($L59/(IF(F59="Contract Workman",Settings!$K$5,Settings!$K$4))))</f>
        <v>46247.398809523802</v>
      </c>
      <c r="N59" s="10" t="str">
        <f t="shared" ca="1" si="65"/>
        <v>Shift A</v>
      </c>
      <c r="O59" s="51" t="str">
        <f>IF(B59="","", IF(IFERROR(ISNUMBER(SEARCH(B59, VLOOKUP(E59, Machine_List!$B:$J, 9, 0))), FALSE()), "✅ Machine OK", "❌ Sug: " &amp; IFERROR(INDEX(Machine_List!$B$4:$B$50, MATCH("*"&amp;B59&amp;"*", Machine_List!$J$4:$J$50, 0)), "Check Limits")))</f>
        <v>✅ Machine OK</v>
      </c>
      <c r="P59" s="52" t="str">
        <f t="shared" ref="P59:AC59" ca="1" si="112">IF(AND(Q$3&gt;=$J59, Q$3&lt;$M59), $A59, "")</f>
        <v/>
      </c>
      <c r="Q59" s="52" t="str">
        <f t="shared" ca="1" si="112"/>
        <v/>
      </c>
      <c r="R59" s="52" t="str">
        <f t="shared" ca="1" si="112"/>
        <v/>
      </c>
      <c r="S59" s="52" t="str">
        <f t="shared" ca="1" si="112"/>
        <v/>
      </c>
      <c r="T59" s="52" t="str">
        <f t="shared" ca="1" si="112"/>
        <v/>
      </c>
      <c r="U59" s="52" t="str">
        <f t="shared" ca="1" si="112"/>
        <v/>
      </c>
      <c r="V59" s="52" t="str">
        <f t="shared" ca="1" si="112"/>
        <v/>
      </c>
      <c r="W59" s="52" t="str">
        <f t="shared" ca="1" si="112"/>
        <v/>
      </c>
      <c r="X59" s="52" t="str">
        <f t="shared" ca="1" si="112"/>
        <v/>
      </c>
      <c r="Y59" s="52" t="str">
        <f t="shared" ca="1" si="112"/>
        <v/>
      </c>
      <c r="Z59" s="52" t="str">
        <f t="shared" ca="1" si="112"/>
        <v/>
      </c>
      <c r="AA59" s="52" t="str">
        <f t="shared" ca="1" si="112"/>
        <v/>
      </c>
      <c r="AB59" s="52" t="str">
        <f t="shared" ca="1" si="112"/>
        <v/>
      </c>
      <c r="AC59" s="52" t="str">
        <f t="shared" ca="1" si="112"/>
        <v/>
      </c>
      <c r="AD59" s="52" t="str">
        <f t="shared" ref="AD59:BP59" ca="1" si="113">IF(AND(AE$3&gt;=$J59, AE$3&lt;$M59), $A59, "")</f>
        <v/>
      </c>
      <c r="AE59" s="52" t="str">
        <f t="shared" ca="1" si="113"/>
        <v/>
      </c>
      <c r="AF59" s="52" t="str">
        <f t="shared" ca="1" si="113"/>
        <v/>
      </c>
      <c r="AG59" s="52" t="str">
        <f t="shared" ca="1" si="113"/>
        <v/>
      </c>
      <c r="AH59" s="52" t="str">
        <f t="shared" ca="1" si="113"/>
        <v/>
      </c>
      <c r="AI59" s="52" t="str">
        <f t="shared" ca="1" si="113"/>
        <v/>
      </c>
      <c r="AJ59" s="52" t="str">
        <f t="shared" ca="1" si="113"/>
        <v/>
      </c>
      <c r="AK59" s="52" t="str">
        <f t="shared" ca="1" si="113"/>
        <v/>
      </c>
      <c r="AL59" s="52" t="str">
        <f t="shared" ca="1" si="113"/>
        <v/>
      </c>
      <c r="AM59" s="52" t="str">
        <f t="shared" ca="1" si="113"/>
        <v/>
      </c>
      <c r="AN59" s="52" t="str">
        <f t="shared" ca="1" si="113"/>
        <v/>
      </c>
      <c r="AO59" s="52" t="str">
        <f t="shared" ca="1" si="113"/>
        <v/>
      </c>
      <c r="AP59" s="52" t="str">
        <f t="shared" ca="1" si="113"/>
        <v/>
      </c>
      <c r="AQ59" s="52" t="str">
        <f t="shared" ca="1" si="113"/>
        <v/>
      </c>
      <c r="AR59" s="52" t="str">
        <f t="shared" ca="1" si="113"/>
        <v/>
      </c>
      <c r="AS59" s="52" t="str">
        <f t="shared" ca="1" si="113"/>
        <v/>
      </c>
      <c r="AT59" s="52" t="str">
        <f t="shared" ca="1" si="113"/>
        <v/>
      </c>
      <c r="AU59" s="52" t="str">
        <f t="shared" ca="1" si="113"/>
        <v/>
      </c>
      <c r="AV59" s="52" t="str">
        <f t="shared" ca="1" si="113"/>
        <v/>
      </c>
      <c r="AW59" s="52" t="str">
        <f t="shared" ca="1" si="113"/>
        <v/>
      </c>
      <c r="AX59" s="52" t="str">
        <f t="shared" ca="1" si="113"/>
        <v/>
      </c>
      <c r="AY59" s="52" t="str">
        <f t="shared" ca="1" si="113"/>
        <v/>
      </c>
      <c r="AZ59" s="52" t="str">
        <f t="shared" ca="1" si="113"/>
        <v/>
      </c>
      <c r="BA59" s="52" t="str">
        <f t="shared" ca="1" si="113"/>
        <v/>
      </c>
      <c r="BB59" s="52" t="str">
        <f t="shared" ca="1" si="113"/>
        <v/>
      </c>
      <c r="BC59" s="52" t="str">
        <f t="shared" ca="1" si="113"/>
        <v/>
      </c>
      <c r="BD59" s="52" t="str">
        <f t="shared" ca="1" si="113"/>
        <v/>
      </c>
      <c r="BE59" s="52" t="str">
        <f t="shared" ca="1" si="113"/>
        <v/>
      </c>
      <c r="BF59" s="52" t="str">
        <f t="shared" ca="1" si="113"/>
        <v/>
      </c>
      <c r="BG59" s="52" t="str">
        <f t="shared" ca="1" si="113"/>
        <v/>
      </c>
      <c r="BH59" s="52" t="str">
        <f t="shared" ca="1" si="113"/>
        <v/>
      </c>
      <c r="BI59" s="52" t="str">
        <f t="shared" ca="1" si="113"/>
        <v/>
      </c>
      <c r="BJ59" s="52" t="str">
        <f t="shared" ca="1" si="113"/>
        <v/>
      </c>
      <c r="BK59" s="52" t="str">
        <f t="shared" ca="1" si="113"/>
        <v/>
      </c>
      <c r="BL59" s="52" t="str">
        <f t="shared" ca="1" si="113"/>
        <v/>
      </c>
      <c r="BM59" s="52" t="str">
        <f t="shared" ca="1" si="113"/>
        <v/>
      </c>
      <c r="BN59" t="str">
        <f t="shared" ca="1" si="113"/>
        <v/>
      </c>
      <c r="BO59" t="str">
        <f t="shared" ca="1" si="113"/>
        <v/>
      </c>
      <c r="BP59" t="str">
        <f t="shared" ca="1" si="113"/>
        <v/>
      </c>
    </row>
    <row r="60" spans="1:68" ht="15" customHeight="1" x14ac:dyDescent="0.3">
      <c r="A60" s="10" t="str">
        <f>IF(Job_Master!A60="","",Job_Master!A60)</f>
        <v>BJ-157</v>
      </c>
      <c r="B60" s="10">
        <f>IF($A60="","",Job_Master!B60)</f>
        <v>50</v>
      </c>
      <c r="C60" s="10" t="str">
        <f>IF($A60="","",Job_Master!C60)</f>
        <v>SEG</v>
      </c>
      <c r="D60" s="10">
        <f>IF($A60="","",Job_Master!D60)</f>
        <v>6</v>
      </c>
      <c r="E60" s="48" t="str">
        <f>IF($A60="","","QC-MC-01")</f>
        <v>QC-MC-01</v>
      </c>
      <c r="F60" s="10" t="str">
        <f>IF($E60="","",IFERROR(VLOOKUP($E60,Machine_List!$B:$G,6,0),""))</f>
        <v>General Workman</v>
      </c>
      <c r="G60" s="53">
        <f>IF($E60="","",IFERROR(VLOOKUP($E60,Machine_List!$B:$C,2,0),""))</f>
        <v>46518</v>
      </c>
      <c r="H60" s="10">
        <f>IF($E60="","",IFERROR(VLOOKUP($E60,Machine_List!$B:$D,3,0),""))</f>
        <v>6</v>
      </c>
      <c r="I60" s="54"/>
      <c r="J60" s="55">
        <f ca="1">IF($A60="","",IF($I60&lt;&gt;"",$I60,MAX(FID_Plan!$M60,IFERROR(LOOKUP(2,1/($E$3:INDIRECT("E"&amp;(ROW()-1))=$E60),$M$3:INDIRECT("M"&amp;(ROW()-1))),FID_Plan!$M60))))</f>
        <v>46306.43981481481</v>
      </c>
      <c r="K60" s="10">
        <f>IF($A60="","",IFERROR(VLOOKUP(B60,CHOOSE(MATCH(C60,Settings!$L$4:$L$10,0),OPR_2P!$A$4:$I$18,SEG_6P!$A$4:$I$18,SOL_4P!$A$4:$I$18,RW_2P!$A$4:$I$18,RW2_4P!$A$4:$I$18,FLAP_4P!$A$4:$I$18,TUBE_4P!$A$4:$I$18),8,0),0))</f>
        <v>36</v>
      </c>
      <c r="L60" s="10">
        <f t="shared" si="0"/>
        <v>216</v>
      </c>
      <c r="M60" s="55">
        <f ca="1">IF($A60="","",$J60+($L60/(IF(F60="Contract Workman",Settings!$K$5,Settings!$K$4))))</f>
        <v>46316.43981481481</v>
      </c>
      <c r="N60" s="10" t="str">
        <f t="shared" ca="1" si="65"/>
        <v>Shift A</v>
      </c>
      <c r="O60" s="51" t="str">
        <f>IF(B60="","", IF(IFERROR(ISNUMBER(SEARCH(B60, VLOOKUP(E60, Machine_List!$B:$J, 9, 0))), FALSE()), "✅ Machine OK", "❌ Sug: " &amp; IFERROR(INDEX(Machine_List!$B$4:$B$50, MATCH("*"&amp;B60&amp;"*", Machine_List!$J$4:$J$50, 0)), "Check Limits")))</f>
        <v>✅ Machine OK</v>
      </c>
      <c r="P60" s="52" t="str">
        <f t="shared" ref="P60:AC60" ca="1" si="114">IF(AND(Q$3&gt;=$J60, Q$3&lt;$M60), $A60, "")</f>
        <v/>
      </c>
      <c r="Q60" s="52" t="str">
        <f t="shared" ca="1" si="114"/>
        <v/>
      </c>
      <c r="R60" s="52" t="str">
        <f t="shared" ca="1" si="114"/>
        <v/>
      </c>
      <c r="S60" s="52" t="str">
        <f t="shared" ca="1" si="114"/>
        <v/>
      </c>
      <c r="T60" s="52" t="str">
        <f t="shared" ca="1" si="114"/>
        <v/>
      </c>
      <c r="U60" s="52" t="str">
        <f t="shared" ca="1" si="114"/>
        <v/>
      </c>
      <c r="V60" s="52" t="str">
        <f t="shared" ca="1" si="114"/>
        <v/>
      </c>
      <c r="W60" s="52" t="str">
        <f t="shared" ca="1" si="114"/>
        <v/>
      </c>
      <c r="X60" s="52" t="str">
        <f t="shared" ca="1" si="114"/>
        <v/>
      </c>
      <c r="Y60" s="52" t="str">
        <f t="shared" ca="1" si="114"/>
        <v/>
      </c>
      <c r="Z60" s="52" t="str">
        <f t="shared" ca="1" si="114"/>
        <v/>
      </c>
      <c r="AA60" s="52" t="str">
        <f t="shared" ca="1" si="114"/>
        <v/>
      </c>
      <c r="AB60" s="52" t="str">
        <f t="shared" ca="1" si="114"/>
        <v/>
      </c>
      <c r="AC60" s="52" t="str">
        <f t="shared" ca="1" si="114"/>
        <v/>
      </c>
      <c r="AD60" s="52" t="str">
        <f t="shared" ref="AD60:BP60" ca="1" si="115">IF(AND(AE$3&gt;=$J60, AE$3&lt;$M60), $A60, "")</f>
        <v/>
      </c>
      <c r="AE60" s="52" t="str">
        <f t="shared" ca="1" si="115"/>
        <v/>
      </c>
      <c r="AF60" s="52" t="str">
        <f t="shared" ca="1" si="115"/>
        <v/>
      </c>
      <c r="AG60" s="52" t="str">
        <f t="shared" ca="1" si="115"/>
        <v/>
      </c>
      <c r="AH60" s="52" t="str">
        <f t="shared" ca="1" si="115"/>
        <v/>
      </c>
      <c r="AI60" s="52" t="str">
        <f t="shared" ca="1" si="115"/>
        <v/>
      </c>
      <c r="AJ60" s="52" t="str">
        <f t="shared" ca="1" si="115"/>
        <v/>
      </c>
      <c r="AK60" s="52" t="str">
        <f t="shared" ca="1" si="115"/>
        <v/>
      </c>
      <c r="AL60" s="52" t="str">
        <f t="shared" ca="1" si="115"/>
        <v/>
      </c>
      <c r="AM60" s="52" t="str">
        <f t="shared" ca="1" si="115"/>
        <v/>
      </c>
      <c r="AN60" s="52" t="str">
        <f t="shared" ca="1" si="115"/>
        <v/>
      </c>
      <c r="AO60" s="52" t="str">
        <f t="shared" ca="1" si="115"/>
        <v/>
      </c>
      <c r="AP60" s="52" t="str">
        <f t="shared" ca="1" si="115"/>
        <v/>
      </c>
      <c r="AQ60" s="52" t="str">
        <f t="shared" ca="1" si="115"/>
        <v/>
      </c>
      <c r="AR60" s="52" t="str">
        <f t="shared" ca="1" si="115"/>
        <v/>
      </c>
      <c r="AS60" s="52" t="str">
        <f t="shared" ca="1" si="115"/>
        <v/>
      </c>
      <c r="AT60" s="52" t="str">
        <f t="shared" ca="1" si="115"/>
        <v/>
      </c>
      <c r="AU60" s="52" t="str">
        <f t="shared" ca="1" si="115"/>
        <v/>
      </c>
      <c r="AV60" s="52" t="str">
        <f t="shared" ca="1" si="115"/>
        <v/>
      </c>
      <c r="AW60" s="52" t="str">
        <f t="shared" ca="1" si="115"/>
        <v/>
      </c>
      <c r="AX60" s="52" t="str">
        <f t="shared" ca="1" si="115"/>
        <v/>
      </c>
      <c r="AY60" s="52" t="str">
        <f t="shared" ca="1" si="115"/>
        <v/>
      </c>
      <c r="AZ60" s="52" t="str">
        <f t="shared" ca="1" si="115"/>
        <v/>
      </c>
      <c r="BA60" s="52" t="str">
        <f t="shared" ca="1" si="115"/>
        <v/>
      </c>
      <c r="BB60" s="52" t="str">
        <f t="shared" ca="1" si="115"/>
        <v/>
      </c>
      <c r="BC60" s="52" t="str">
        <f t="shared" ca="1" si="115"/>
        <v/>
      </c>
      <c r="BD60" s="52" t="str">
        <f t="shared" ca="1" si="115"/>
        <v/>
      </c>
      <c r="BE60" s="52" t="str">
        <f t="shared" ca="1" si="115"/>
        <v/>
      </c>
      <c r="BF60" s="52" t="str">
        <f t="shared" ca="1" si="115"/>
        <v/>
      </c>
      <c r="BG60" s="52" t="str">
        <f t="shared" ca="1" si="115"/>
        <v/>
      </c>
      <c r="BH60" s="52" t="str">
        <f t="shared" ca="1" si="115"/>
        <v/>
      </c>
      <c r="BI60" s="52" t="str">
        <f t="shared" ca="1" si="115"/>
        <v/>
      </c>
      <c r="BJ60" s="52" t="str">
        <f t="shared" ca="1" si="115"/>
        <v/>
      </c>
      <c r="BK60" s="52" t="str">
        <f t="shared" ca="1" si="115"/>
        <v/>
      </c>
      <c r="BL60" s="52" t="str">
        <f t="shared" ca="1" si="115"/>
        <v/>
      </c>
      <c r="BM60" s="52" t="str">
        <f t="shared" ca="1" si="115"/>
        <v/>
      </c>
      <c r="BN60" t="str">
        <f t="shared" ca="1" si="115"/>
        <v/>
      </c>
      <c r="BO60" t="str">
        <f t="shared" ca="1" si="115"/>
        <v/>
      </c>
      <c r="BP60" t="str">
        <f t="shared" ca="1" si="115"/>
        <v/>
      </c>
    </row>
    <row r="61" spans="1:68" ht="15" customHeight="1" x14ac:dyDescent="0.3">
      <c r="A61" s="10" t="str">
        <f>IF(Job_Master!A61="","",Job_Master!A61)</f>
        <v>BJ-159</v>
      </c>
      <c r="B61" s="10">
        <f>IF($A61="","",Job_Master!B61)</f>
        <v>54</v>
      </c>
      <c r="C61" s="10" t="str">
        <f>IF($A61="","",Job_Master!C61)</f>
        <v>RW</v>
      </c>
      <c r="D61" s="10">
        <f>IF($A61="","",Job_Master!D61)</f>
        <v>2</v>
      </c>
      <c r="E61" s="48" t="str">
        <f>IF($A61="","","QC-MC-04")</f>
        <v>QC-MC-04</v>
      </c>
      <c r="F61" s="10" t="str">
        <f>IF($E61="","",IFERROR(VLOOKUP($E61,Machine_List!$B:$G,6,0),""))</f>
        <v>General Workman</v>
      </c>
      <c r="G61" s="53">
        <f>IF($E61="","",IFERROR(VLOOKUP($E61,Machine_List!$B:$C,2,0),""))</f>
        <v>46195</v>
      </c>
      <c r="H61" s="10">
        <f>IF($E61="","",IFERROR(VLOOKUP($E61,Machine_List!$B:$D,3,0),""))</f>
        <v>6</v>
      </c>
      <c r="I61" s="54"/>
      <c r="J61" s="55">
        <f ca="1">IF($A61="","",IF($I61&lt;&gt;"",$I61,MAX(FID_Plan!$M61,IFERROR(LOOKUP(2,1/($E$3:INDIRECT("E"&amp;(ROW()-1))=$E61),$M$3:INDIRECT("M"&amp;(ROW()-1))),FID_Plan!$M61))))</f>
        <v>46247.398809523802</v>
      </c>
      <c r="K61" s="10">
        <f>IF($A61="","",IFERROR(VLOOKUP(B61,CHOOSE(MATCH(C61,Settings!$L$4:$L$10,0),OPR_2P!$A$4:$I$18,SEG_6P!$A$4:$I$18,SOL_4P!$A$4:$I$18,RW_2P!$A$4:$I$18,RW2_4P!$A$4:$I$18,FLAP_4P!$A$4:$I$18,TUBE_4P!$A$4:$I$18),8,0),0))</f>
        <v>68</v>
      </c>
      <c r="L61" s="10">
        <f t="shared" si="0"/>
        <v>136</v>
      </c>
      <c r="M61" s="55">
        <f ca="1">IF($A61="","",$J61+($L61/(IF(F61="Contract Workman",Settings!$K$5,Settings!$K$4))))</f>
        <v>46253.695105820101</v>
      </c>
      <c r="N61" s="10" t="str">
        <f t="shared" ca="1" si="65"/>
        <v>Shift B</v>
      </c>
      <c r="O61" s="51" t="str">
        <f>IF(B61="","", IF(IFERROR(ISNUMBER(SEARCH(B61, VLOOKUP(E61, Machine_List!$B:$J, 9, 0))), FALSE()), "✅ Machine OK", "❌ Sug: " &amp; IFERROR(INDEX(Machine_List!$B$4:$B$50, MATCH("*"&amp;B61&amp;"*", Machine_List!$J$4:$J$50, 0)), "Check Limits")))</f>
        <v>✅ Machine OK</v>
      </c>
      <c r="P61" s="52" t="str">
        <f t="shared" ref="P61:AC61" ca="1" si="116">IF(AND(Q$3&gt;=$J61, Q$3&lt;$M61), $A61, "")</f>
        <v/>
      </c>
      <c r="Q61" s="52" t="str">
        <f t="shared" ca="1" si="116"/>
        <v/>
      </c>
      <c r="R61" s="52" t="str">
        <f t="shared" ca="1" si="116"/>
        <v/>
      </c>
      <c r="S61" s="52" t="str">
        <f t="shared" ca="1" si="116"/>
        <v/>
      </c>
      <c r="T61" s="52" t="str">
        <f t="shared" ca="1" si="116"/>
        <v/>
      </c>
      <c r="U61" s="52" t="str">
        <f t="shared" ca="1" si="116"/>
        <v/>
      </c>
      <c r="V61" s="52" t="str">
        <f t="shared" ca="1" si="116"/>
        <v/>
      </c>
      <c r="W61" s="52" t="str">
        <f t="shared" ca="1" si="116"/>
        <v/>
      </c>
      <c r="X61" s="52" t="str">
        <f t="shared" ca="1" si="116"/>
        <v/>
      </c>
      <c r="Y61" s="52" t="str">
        <f t="shared" ca="1" si="116"/>
        <v/>
      </c>
      <c r="Z61" s="52" t="str">
        <f t="shared" ca="1" si="116"/>
        <v/>
      </c>
      <c r="AA61" s="52" t="str">
        <f t="shared" ca="1" si="116"/>
        <v/>
      </c>
      <c r="AB61" s="52" t="str">
        <f t="shared" ca="1" si="116"/>
        <v/>
      </c>
      <c r="AC61" s="52" t="str">
        <f t="shared" ca="1" si="116"/>
        <v/>
      </c>
      <c r="AD61" s="52" t="str">
        <f t="shared" ref="AD61:BP61" ca="1" si="117">IF(AND(AE$3&gt;=$J61, AE$3&lt;$M61), $A61, "")</f>
        <v/>
      </c>
      <c r="AE61" s="52" t="str">
        <f t="shared" ca="1" si="117"/>
        <v/>
      </c>
      <c r="AF61" s="52" t="str">
        <f t="shared" ca="1" si="117"/>
        <v/>
      </c>
      <c r="AG61" s="52" t="str">
        <f t="shared" ca="1" si="117"/>
        <v/>
      </c>
      <c r="AH61" s="52" t="str">
        <f t="shared" ca="1" si="117"/>
        <v/>
      </c>
      <c r="AI61" s="52" t="str">
        <f t="shared" ca="1" si="117"/>
        <v/>
      </c>
      <c r="AJ61" s="52" t="str">
        <f t="shared" ca="1" si="117"/>
        <v/>
      </c>
      <c r="AK61" s="52" t="str">
        <f t="shared" ca="1" si="117"/>
        <v/>
      </c>
      <c r="AL61" s="52" t="str">
        <f t="shared" ca="1" si="117"/>
        <v/>
      </c>
      <c r="AM61" s="52" t="str">
        <f t="shared" ca="1" si="117"/>
        <v/>
      </c>
      <c r="AN61" s="52" t="str">
        <f t="shared" ca="1" si="117"/>
        <v/>
      </c>
      <c r="AO61" s="52" t="str">
        <f t="shared" ca="1" si="117"/>
        <v/>
      </c>
      <c r="AP61" s="52" t="str">
        <f t="shared" ca="1" si="117"/>
        <v/>
      </c>
      <c r="AQ61" s="52" t="str">
        <f t="shared" ca="1" si="117"/>
        <v/>
      </c>
      <c r="AR61" s="52" t="str">
        <f t="shared" ca="1" si="117"/>
        <v/>
      </c>
      <c r="AS61" s="52" t="str">
        <f t="shared" ca="1" si="117"/>
        <v/>
      </c>
      <c r="AT61" s="52" t="str">
        <f t="shared" ca="1" si="117"/>
        <v/>
      </c>
      <c r="AU61" s="52" t="str">
        <f t="shared" ca="1" si="117"/>
        <v/>
      </c>
      <c r="AV61" s="52" t="str">
        <f t="shared" ca="1" si="117"/>
        <v/>
      </c>
      <c r="AW61" s="52" t="str">
        <f t="shared" ca="1" si="117"/>
        <v/>
      </c>
      <c r="AX61" s="52" t="str">
        <f t="shared" ca="1" si="117"/>
        <v/>
      </c>
      <c r="AY61" s="52" t="str">
        <f t="shared" ca="1" si="117"/>
        <v/>
      </c>
      <c r="AZ61" s="52" t="str">
        <f t="shared" ca="1" si="117"/>
        <v/>
      </c>
      <c r="BA61" s="52" t="str">
        <f t="shared" ca="1" si="117"/>
        <v/>
      </c>
      <c r="BB61" s="52" t="str">
        <f t="shared" ca="1" si="117"/>
        <v/>
      </c>
      <c r="BC61" s="52" t="str">
        <f t="shared" ca="1" si="117"/>
        <v/>
      </c>
      <c r="BD61" s="52" t="str">
        <f t="shared" ca="1" si="117"/>
        <v/>
      </c>
      <c r="BE61" s="52" t="str">
        <f t="shared" ca="1" si="117"/>
        <v/>
      </c>
      <c r="BF61" s="52" t="str">
        <f t="shared" ca="1" si="117"/>
        <v/>
      </c>
      <c r="BG61" s="52" t="str">
        <f t="shared" ca="1" si="117"/>
        <v/>
      </c>
      <c r="BH61" s="52" t="str">
        <f t="shared" ca="1" si="117"/>
        <v/>
      </c>
      <c r="BI61" s="52" t="str">
        <f t="shared" ca="1" si="117"/>
        <v/>
      </c>
      <c r="BJ61" s="52" t="str">
        <f t="shared" ca="1" si="117"/>
        <v/>
      </c>
      <c r="BK61" s="52" t="str">
        <f t="shared" ca="1" si="117"/>
        <v/>
      </c>
      <c r="BL61" s="52" t="str">
        <f t="shared" ca="1" si="117"/>
        <v/>
      </c>
      <c r="BM61" s="52" t="str">
        <f t="shared" ca="1" si="117"/>
        <v/>
      </c>
      <c r="BN61" t="str">
        <f t="shared" ca="1" si="117"/>
        <v/>
      </c>
      <c r="BO61" t="str">
        <f t="shared" ca="1" si="117"/>
        <v/>
      </c>
      <c r="BP61" t="str">
        <f t="shared" ca="1" si="117"/>
        <v/>
      </c>
    </row>
    <row r="62" spans="1:68" ht="15" customHeight="1" x14ac:dyDescent="0.3">
      <c r="A62" s="10" t="str">
        <f>IF(Job_Master!A62="","",Job_Master!A62)</f>
        <v>BJ-148</v>
      </c>
      <c r="B62" s="10">
        <f>IF($A62="","",Job_Master!B62)</f>
        <v>9</v>
      </c>
      <c r="C62" s="10" t="str">
        <f>IF($A62="","",Job_Master!C62)</f>
        <v>SEG</v>
      </c>
      <c r="D62" s="10">
        <f>IF($A62="","",Job_Master!D62)</f>
        <v>6</v>
      </c>
      <c r="E62" s="48" t="str">
        <f>IF($A62="","","QC-MC-05")</f>
        <v>QC-MC-05</v>
      </c>
      <c r="F62" s="10" t="str">
        <f>IF($E62="","",IFERROR(VLOOKUP($E62,Machine_List!$B:$G,6,0),""))</f>
        <v>General Workman</v>
      </c>
      <c r="G62" s="53">
        <f>IF($E62="","",IFERROR(VLOOKUP($E62,Machine_List!$B:$C,2,0),""))</f>
        <v>46373</v>
      </c>
      <c r="H62" s="10">
        <f>IF($E62="","",IFERROR(VLOOKUP($E62,Machine_List!$B:$D,3,0),""))</f>
        <v>6</v>
      </c>
      <c r="I62" s="54"/>
      <c r="J62" s="55">
        <f ca="1">IF($A62="","",IF($I62&lt;&gt;"",$I62,MAX(FID_Plan!$M62,IFERROR(LOOKUP(2,1/($E$3:INDIRECT("E"&amp;(ROW()-1))=$E62),$M$3:INDIRECT("M"&amp;(ROW()-1))),FID_Plan!$M62))))</f>
        <v>46231.393518518533</v>
      </c>
      <c r="K62" s="10">
        <f>IF($A62="","",IFERROR(VLOOKUP(B62,CHOOSE(MATCH(C62,Settings!$L$4:$L$10,0),OPR_2P!$A$4:$I$18,SEG_6P!$A$4:$I$18,SOL_4P!$A$4:$I$18,RW_2P!$A$4:$I$18,RW2_4P!$A$4:$I$18,FLAP_4P!$A$4:$I$18,TUBE_4P!$A$4:$I$18),8,0),0))</f>
        <v>2</v>
      </c>
      <c r="L62" s="10">
        <f t="shared" si="0"/>
        <v>12</v>
      </c>
      <c r="M62" s="55">
        <f ca="1">IF($A62="","",$J62+($L62/(IF(F62="Contract Workman",Settings!$K$5,Settings!$K$4))))</f>
        <v>46231.949074074088</v>
      </c>
      <c r="N62" s="10" t="str">
        <f t="shared" ca="1" si="65"/>
        <v>Shift B</v>
      </c>
      <c r="O62" s="51" t="str">
        <f>IF(B62="","", IF(IFERROR(ISNUMBER(SEARCH(B62, VLOOKUP(E62, Machine_List!$B:$J, 9, 0))), FALSE()), "✅ Machine OK", "❌ Sug: " &amp; IFERROR(INDEX(Machine_List!$B$4:$B$50, MATCH("*"&amp;B62&amp;"*", Machine_List!$J$4:$J$50, 0)), "Check Limits")))</f>
        <v>✅ Machine OK</v>
      </c>
      <c r="P62" s="52" t="str">
        <f t="shared" ref="P62:AC62" ca="1" si="118">IF(AND(Q$3&gt;=$J62, Q$3&lt;$M62), $A62, "")</f>
        <v/>
      </c>
      <c r="Q62" s="52" t="str">
        <f t="shared" ca="1" si="118"/>
        <v/>
      </c>
      <c r="R62" s="52" t="str">
        <f t="shared" ca="1" si="118"/>
        <v/>
      </c>
      <c r="S62" s="52" t="str">
        <f t="shared" ca="1" si="118"/>
        <v/>
      </c>
      <c r="T62" s="52" t="str">
        <f t="shared" ca="1" si="118"/>
        <v/>
      </c>
      <c r="U62" s="52" t="str">
        <f t="shared" ca="1" si="118"/>
        <v/>
      </c>
      <c r="V62" s="52" t="str">
        <f t="shared" ca="1" si="118"/>
        <v/>
      </c>
      <c r="W62" s="52" t="str">
        <f t="shared" ca="1" si="118"/>
        <v/>
      </c>
      <c r="X62" s="52" t="str">
        <f t="shared" ca="1" si="118"/>
        <v/>
      </c>
      <c r="Y62" s="52" t="str">
        <f t="shared" ca="1" si="118"/>
        <v/>
      </c>
      <c r="Z62" s="52" t="str">
        <f t="shared" ca="1" si="118"/>
        <v/>
      </c>
      <c r="AA62" s="52" t="str">
        <f t="shared" ca="1" si="118"/>
        <v/>
      </c>
      <c r="AB62" s="52" t="str">
        <f t="shared" ca="1" si="118"/>
        <v/>
      </c>
      <c r="AC62" s="52" t="str">
        <f t="shared" ca="1" si="118"/>
        <v/>
      </c>
      <c r="AD62" s="52" t="str">
        <f t="shared" ref="AD62:BP62" ca="1" si="119">IF(AND(AE$3&gt;=$J62, AE$3&lt;$M62), $A62, "")</f>
        <v/>
      </c>
      <c r="AE62" s="52" t="str">
        <f t="shared" ca="1" si="119"/>
        <v/>
      </c>
      <c r="AF62" s="52" t="str">
        <f t="shared" ca="1" si="119"/>
        <v/>
      </c>
      <c r="AG62" s="52" t="str">
        <f t="shared" ca="1" si="119"/>
        <v/>
      </c>
      <c r="AH62" s="52" t="str">
        <f t="shared" ca="1" si="119"/>
        <v/>
      </c>
      <c r="AI62" s="52" t="str">
        <f t="shared" ca="1" si="119"/>
        <v/>
      </c>
      <c r="AJ62" s="52" t="str">
        <f t="shared" ca="1" si="119"/>
        <v/>
      </c>
      <c r="AK62" s="52" t="str">
        <f t="shared" ca="1" si="119"/>
        <v/>
      </c>
      <c r="AL62" s="52" t="str">
        <f t="shared" ca="1" si="119"/>
        <v/>
      </c>
      <c r="AM62" s="52" t="str">
        <f t="shared" ca="1" si="119"/>
        <v/>
      </c>
      <c r="AN62" s="52" t="str">
        <f t="shared" ca="1" si="119"/>
        <v/>
      </c>
      <c r="AO62" s="52" t="str">
        <f t="shared" ca="1" si="119"/>
        <v/>
      </c>
      <c r="AP62" s="52" t="str">
        <f t="shared" ca="1" si="119"/>
        <v/>
      </c>
      <c r="AQ62" s="52" t="str">
        <f t="shared" ca="1" si="119"/>
        <v/>
      </c>
      <c r="AR62" s="52" t="str">
        <f t="shared" ca="1" si="119"/>
        <v/>
      </c>
      <c r="AS62" s="52" t="str">
        <f t="shared" ca="1" si="119"/>
        <v/>
      </c>
      <c r="AT62" s="52" t="str">
        <f t="shared" ca="1" si="119"/>
        <v/>
      </c>
      <c r="AU62" s="52" t="str">
        <f t="shared" ca="1" si="119"/>
        <v/>
      </c>
      <c r="AV62" s="52" t="str">
        <f t="shared" ca="1" si="119"/>
        <v/>
      </c>
      <c r="AW62" s="52" t="str">
        <f t="shared" ca="1" si="119"/>
        <v/>
      </c>
      <c r="AX62" s="52" t="str">
        <f t="shared" ca="1" si="119"/>
        <v/>
      </c>
      <c r="AY62" s="52" t="str">
        <f t="shared" ca="1" si="119"/>
        <v/>
      </c>
      <c r="AZ62" s="52" t="str">
        <f t="shared" ca="1" si="119"/>
        <v/>
      </c>
      <c r="BA62" s="52" t="str">
        <f t="shared" ca="1" si="119"/>
        <v/>
      </c>
      <c r="BB62" s="52" t="str">
        <f t="shared" ca="1" si="119"/>
        <v/>
      </c>
      <c r="BC62" s="52" t="str">
        <f t="shared" ca="1" si="119"/>
        <v/>
      </c>
      <c r="BD62" s="52" t="str">
        <f t="shared" ca="1" si="119"/>
        <v/>
      </c>
      <c r="BE62" s="52" t="str">
        <f t="shared" ca="1" si="119"/>
        <v/>
      </c>
      <c r="BF62" s="52" t="str">
        <f t="shared" ca="1" si="119"/>
        <v/>
      </c>
      <c r="BG62" s="52" t="str">
        <f t="shared" ca="1" si="119"/>
        <v/>
      </c>
      <c r="BH62" s="52" t="str">
        <f t="shared" ca="1" si="119"/>
        <v/>
      </c>
      <c r="BI62" s="52" t="str">
        <f t="shared" ca="1" si="119"/>
        <v/>
      </c>
      <c r="BJ62" s="52" t="str">
        <f t="shared" ca="1" si="119"/>
        <v/>
      </c>
      <c r="BK62" s="52" t="str">
        <f t="shared" ca="1" si="119"/>
        <v/>
      </c>
      <c r="BL62" s="52" t="str">
        <f t="shared" ca="1" si="119"/>
        <v/>
      </c>
      <c r="BM62" s="52" t="str">
        <f t="shared" ca="1" si="119"/>
        <v/>
      </c>
      <c r="BN62" t="str">
        <f t="shared" ca="1" si="119"/>
        <v/>
      </c>
      <c r="BO62" t="str">
        <f t="shared" ca="1" si="119"/>
        <v/>
      </c>
      <c r="BP62" t="str">
        <f t="shared" ca="1" si="119"/>
        <v/>
      </c>
    </row>
    <row r="63" spans="1:68" ht="15" customHeight="1" x14ac:dyDescent="0.3">
      <c r="A63" s="10" t="str">
        <f>IF(Job_Master!A63="","",Job_Master!A63)</f>
        <v>BJ-161</v>
      </c>
      <c r="B63" s="10">
        <f>IF($A63="","",Job_Master!B63)</f>
        <v>30</v>
      </c>
      <c r="C63" s="10" t="str">
        <f>IF($A63="","",Job_Master!C63)</f>
        <v>SEG</v>
      </c>
      <c r="D63" s="10">
        <f>IF($A63="","",Job_Master!D63)</f>
        <v>6</v>
      </c>
      <c r="E63" s="48" t="str">
        <f>IF($A63="","","QC-MC-05")</f>
        <v>QC-MC-05</v>
      </c>
      <c r="F63" s="10" t="str">
        <f>IF($E63="","",IFERROR(VLOOKUP($E63,Machine_List!$B:$G,6,0),""))</f>
        <v>General Workman</v>
      </c>
      <c r="G63" s="53">
        <f>IF($E63="","",IFERROR(VLOOKUP($E63,Machine_List!$B:$C,2,0),""))</f>
        <v>46373</v>
      </c>
      <c r="H63" s="10">
        <f>IF($E63="","",IFERROR(VLOOKUP($E63,Machine_List!$B:$D,3,0),""))</f>
        <v>6</v>
      </c>
      <c r="I63" s="54"/>
      <c r="J63" s="55">
        <f ca="1">IF($A63="","",IF($I63&lt;&gt;"",$I63,MAX(FID_Plan!$M63,IFERROR(LOOKUP(2,1/($E$3:INDIRECT("E"&amp;(ROW()-1))=$E63),$M$3:INDIRECT("M"&amp;(ROW()-1))),FID_Plan!$M63))))</f>
        <v>46234.247354497362</v>
      </c>
      <c r="K63" s="10">
        <f>IF($A63="","",IFERROR(VLOOKUP(B63,CHOOSE(MATCH(C63,Settings!$L$4:$L$10,0),OPR_2P!$A$4:$I$18,SEG_6P!$A$4:$I$18,SOL_4P!$A$4:$I$18,RW_2P!$A$4:$I$18,RW2_4P!$A$4:$I$18,FLAP_4P!$A$4:$I$18,TUBE_4P!$A$4:$I$18),8,0),0))</f>
        <v>25</v>
      </c>
      <c r="L63" s="10">
        <f t="shared" si="0"/>
        <v>150</v>
      </c>
      <c r="M63" s="55">
        <f ca="1">IF($A63="","",$J63+($L63/(IF(F63="Contract Workman",Settings!$K$5,Settings!$K$4))))</f>
        <v>46241.191798941807</v>
      </c>
      <c r="N63" s="10" t="str">
        <f t="shared" ca="1" si="65"/>
        <v>Shift C</v>
      </c>
      <c r="O63" s="51" t="str">
        <f>IF(B63="","", IF(IFERROR(ISNUMBER(SEARCH(B63, VLOOKUP(E63, Machine_List!$B:$J, 9, 0))), FALSE()), "✅ Machine OK", "❌ Sug: " &amp; IFERROR(INDEX(Machine_List!$B$4:$B$50, MATCH("*"&amp;B63&amp;"*", Machine_List!$J$4:$J$50, 0)), "Check Limits")))</f>
        <v>✅ Machine OK</v>
      </c>
      <c r="P63" s="52" t="str">
        <f t="shared" ref="P63:AC63" ca="1" si="120">IF(AND(Q$3&gt;=$J63, Q$3&lt;$M63), $A63, "")</f>
        <v/>
      </c>
      <c r="Q63" s="52" t="str">
        <f t="shared" ca="1" si="120"/>
        <v/>
      </c>
      <c r="R63" s="52" t="str">
        <f t="shared" ca="1" si="120"/>
        <v/>
      </c>
      <c r="S63" s="52" t="str">
        <f t="shared" ca="1" si="120"/>
        <v/>
      </c>
      <c r="T63" s="52" t="str">
        <f t="shared" ca="1" si="120"/>
        <v/>
      </c>
      <c r="U63" s="52" t="str">
        <f t="shared" ca="1" si="120"/>
        <v/>
      </c>
      <c r="V63" s="52" t="str">
        <f t="shared" ca="1" si="120"/>
        <v/>
      </c>
      <c r="W63" s="52" t="str">
        <f t="shared" ca="1" si="120"/>
        <v/>
      </c>
      <c r="X63" s="52" t="str">
        <f t="shared" ca="1" si="120"/>
        <v/>
      </c>
      <c r="Y63" s="52" t="str">
        <f t="shared" ca="1" si="120"/>
        <v/>
      </c>
      <c r="Z63" s="52" t="str">
        <f t="shared" ca="1" si="120"/>
        <v/>
      </c>
      <c r="AA63" s="52" t="str">
        <f t="shared" ca="1" si="120"/>
        <v/>
      </c>
      <c r="AB63" s="52" t="str">
        <f t="shared" ca="1" si="120"/>
        <v/>
      </c>
      <c r="AC63" s="52" t="str">
        <f t="shared" ca="1" si="120"/>
        <v/>
      </c>
      <c r="AD63" s="52" t="str">
        <f t="shared" ref="AD63:BP63" ca="1" si="121">IF(AND(AE$3&gt;=$J63, AE$3&lt;$M63), $A63, "")</f>
        <v/>
      </c>
      <c r="AE63" s="52" t="str">
        <f t="shared" ca="1" si="121"/>
        <v/>
      </c>
      <c r="AF63" s="52" t="str">
        <f t="shared" ca="1" si="121"/>
        <v/>
      </c>
      <c r="AG63" s="52" t="str">
        <f t="shared" ca="1" si="121"/>
        <v/>
      </c>
      <c r="AH63" s="52" t="str">
        <f t="shared" ca="1" si="121"/>
        <v/>
      </c>
      <c r="AI63" s="52" t="str">
        <f t="shared" ca="1" si="121"/>
        <v/>
      </c>
      <c r="AJ63" s="52" t="str">
        <f t="shared" ca="1" si="121"/>
        <v/>
      </c>
      <c r="AK63" s="52" t="str">
        <f t="shared" ca="1" si="121"/>
        <v/>
      </c>
      <c r="AL63" s="52" t="str">
        <f t="shared" ca="1" si="121"/>
        <v/>
      </c>
      <c r="AM63" s="52" t="str">
        <f t="shared" ca="1" si="121"/>
        <v/>
      </c>
      <c r="AN63" s="52" t="str">
        <f t="shared" ca="1" si="121"/>
        <v/>
      </c>
      <c r="AO63" s="52" t="str">
        <f t="shared" ca="1" si="121"/>
        <v/>
      </c>
      <c r="AP63" s="52" t="str">
        <f t="shared" ca="1" si="121"/>
        <v/>
      </c>
      <c r="AQ63" s="52" t="str">
        <f t="shared" ca="1" si="121"/>
        <v/>
      </c>
      <c r="AR63" s="52" t="str">
        <f t="shared" ca="1" si="121"/>
        <v/>
      </c>
      <c r="AS63" s="52" t="str">
        <f t="shared" ca="1" si="121"/>
        <v/>
      </c>
      <c r="AT63" s="52" t="str">
        <f t="shared" ca="1" si="121"/>
        <v/>
      </c>
      <c r="AU63" s="52" t="str">
        <f t="shared" ca="1" si="121"/>
        <v/>
      </c>
      <c r="AV63" s="52" t="str">
        <f t="shared" ca="1" si="121"/>
        <v/>
      </c>
      <c r="AW63" s="52" t="str">
        <f t="shared" ca="1" si="121"/>
        <v/>
      </c>
      <c r="AX63" s="52" t="str">
        <f t="shared" ca="1" si="121"/>
        <v/>
      </c>
      <c r="AY63" s="52" t="str">
        <f t="shared" ca="1" si="121"/>
        <v/>
      </c>
      <c r="AZ63" s="52" t="str">
        <f t="shared" ca="1" si="121"/>
        <v/>
      </c>
      <c r="BA63" s="52" t="str">
        <f t="shared" ca="1" si="121"/>
        <v/>
      </c>
      <c r="BB63" s="52" t="str">
        <f t="shared" ca="1" si="121"/>
        <v/>
      </c>
      <c r="BC63" s="52" t="str">
        <f t="shared" ca="1" si="121"/>
        <v/>
      </c>
      <c r="BD63" s="52" t="str">
        <f t="shared" ca="1" si="121"/>
        <v/>
      </c>
      <c r="BE63" s="52" t="str">
        <f t="shared" ca="1" si="121"/>
        <v/>
      </c>
      <c r="BF63" s="52" t="str">
        <f t="shared" ca="1" si="121"/>
        <v/>
      </c>
      <c r="BG63" s="52" t="str">
        <f t="shared" ca="1" si="121"/>
        <v/>
      </c>
      <c r="BH63" s="52" t="str">
        <f t="shared" ca="1" si="121"/>
        <v/>
      </c>
      <c r="BI63" s="52" t="str">
        <f t="shared" ca="1" si="121"/>
        <v/>
      </c>
      <c r="BJ63" s="52" t="str">
        <f t="shared" ca="1" si="121"/>
        <v/>
      </c>
      <c r="BK63" s="52" t="str">
        <f t="shared" ca="1" si="121"/>
        <v/>
      </c>
      <c r="BL63" s="52" t="str">
        <f t="shared" ca="1" si="121"/>
        <v/>
      </c>
      <c r="BM63" s="52" t="str">
        <f t="shared" ca="1" si="121"/>
        <v/>
      </c>
      <c r="BN63" t="str">
        <f t="shared" ca="1" si="121"/>
        <v/>
      </c>
      <c r="BO63" t="str">
        <f t="shared" ca="1" si="121"/>
        <v/>
      </c>
      <c r="BP63" t="str">
        <f t="shared" ca="1" si="121"/>
        <v/>
      </c>
    </row>
    <row r="64" spans="1:68" ht="15" customHeight="1" x14ac:dyDescent="0.3">
      <c r="A64" s="10" t="str">
        <f>IF(Job_Master!A64="","",Job_Master!A64)</f>
        <v>BJ-149</v>
      </c>
      <c r="B64" s="10">
        <f>IF($A64="","",Job_Master!B64)</f>
        <v>9</v>
      </c>
      <c r="C64" s="10" t="str">
        <f>IF($A64="","",Job_Master!C64)</f>
        <v>2P</v>
      </c>
      <c r="D64" s="10">
        <f>IF($A64="","",Job_Master!D64)</f>
        <v>2</v>
      </c>
      <c r="E64" s="48" t="str">
        <f>IF($A64="","","QC-MC-04")</f>
        <v>QC-MC-04</v>
      </c>
      <c r="F64" s="10" t="str">
        <f>IF($E64="","",IFERROR(VLOOKUP($E64,Machine_List!$B:$G,6,0),""))</f>
        <v>General Workman</v>
      </c>
      <c r="G64" s="53">
        <f>IF($E64="","",IFERROR(VLOOKUP($E64,Machine_List!$B:$C,2,0),""))</f>
        <v>46195</v>
      </c>
      <c r="H64" s="10">
        <f>IF($E64="","",IFERROR(VLOOKUP($E64,Machine_List!$B:$D,3,0),""))</f>
        <v>6</v>
      </c>
      <c r="I64" s="54"/>
      <c r="J64" s="55">
        <f ca="1">IF($A64="","",IF($I64&lt;&gt;"",$I64,MAX(FID_Plan!$M64,IFERROR(LOOKUP(2,1/($E$3:INDIRECT("E"&amp;(ROW()-1))=$E64),$M$3:INDIRECT("M"&amp;(ROW()-1))),FID_Plan!$M64))))</f>
        <v>46253.695105820101</v>
      </c>
      <c r="K64" s="10">
        <f>IF($A64="","",IFERROR(VLOOKUP(B64,CHOOSE(MATCH(C64,Settings!$L$4:$L$10,0),OPR_2P!$A$4:$I$18,SEG_6P!$A$4:$I$18,SOL_4P!$A$4:$I$18,RW_2P!$A$4:$I$18,RW2_4P!$A$4:$I$18,FLAP_4P!$A$4:$I$18,TUBE_4P!$A$4:$I$18),8,0),0))</f>
        <v>5</v>
      </c>
      <c r="L64" s="10">
        <f t="shared" si="0"/>
        <v>10</v>
      </c>
      <c r="M64" s="55">
        <f ca="1">IF($A64="","",$J64+($L64/(IF(F64="Contract Workman",Settings!$K$5,Settings!$K$4))))</f>
        <v>46254.158068783065</v>
      </c>
      <c r="N64" s="10" t="str">
        <f t="shared" ca="1" si="65"/>
        <v>Shift C</v>
      </c>
      <c r="O64" s="51" t="str">
        <f>IF(B64="","", IF(IFERROR(ISNUMBER(SEARCH(B64, VLOOKUP(E64, Machine_List!$B:$J, 9, 0))), FALSE()), "✅ Machine OK", "❌ Sug: " &amp; IFERROR(INDEX(Machine_List!$B$4:$B$50, MATCH("*"&amp;B64&amp;"*", Machine_List!$J$4:$J$50, 0)), "Check Limits")))</f>
        <v>✅ Machine OK</v>
      </c>
      <c r="P64" s="52" t="str">
        <f t="shared" ref="P64:AC64" ca="1" si="122">IF(AND(Q$3&gt;=$J64, Q$3&lt;$M64), $A64, "")</f>
        <v/>
      </c>
      <c r="Q64" s="52" t="str">
        <f t="shared" ca="1" si="122"/>
        <v/>
      </c>
      <c r="R64" s="52" t="str">
        <f t="shared" ca="1" si="122"/>
        <v/>
      </c>
      <c r="S64" s="52" t="str">
        <f t="shared" ca="1" si="122"/>
        <v/>
      </c>
      <c r="T64" s="52" t="str">
        <f t="shared" ca="1" si="122"/>
        <v/>
      </c>
      <c r="U64" s="52" t="str">
        <f t="shared" ca="1" si="122"/>
        <v/>
      </c>
      <c r="V64" s="52" t="str">
        <f t="shared" ca="1" si="122"/>
        <v/>
      </c>
      <c r="W64" s="52" t="str">
        <f t="shared" ca="1" si="122"/>
        <v/>
      </c>
      <c r="X64" s="52" t="str">
        <f t="shared" ca="1" si="122"/>
        <v/>
      </c>
      <c r="Y64" s="52" t="str">
        <f t="shared" ca="1" si="122"/>
        <v/>
      </c>
      <c r="Z64" s="52" t="str">
        <f t="shared" ca="1" si="122"/>
        <v/>
      </c>
      <c r="AA64" s="52" t="str">
        <f t="shared" ca="1" si="122"/>
        <v/>
      </c>
      <c r="AB64" s="52" t="str">
        <f t="shared" ca="1" si="122"/>
        <v/>
      </c>
      <c r="AC64" s="52" t="str">
        <f t="shared" ca="1" si="122"/>
        <v/>
      </c>
      <c r="AD64" s="52" t="str">
        <f t="shared" ref="AD64:BP64" ca="1" si="123">IF(AND(AE$3&gt;=$J64, AE$3&lt;$M64), $A64, "")</f>
        <v/>
      </c>
      <c r="AE64" s="52" t="str">
        <f t="shared" ca="1" si="123"/>
        <v/>
      </c>
      <c r="AF64" s="52" t="str">
        <f t="shared" ca="1" si="123"/>
        <v/>
      </c>
      <c r="AG64" s="52" t="str">
        <f t="shared" ca="1" si="123"/>
        <v/>
      </c>
      <c r="AH64" s="52" t="str">
        <f t="shared" ca="1" si="123"/>
        <v/>
      </c>
      <c r="AI64" s="52" t="str">
        <f t="shared" ca="1" si="123"/>
        <v/>
      </c>
      <c r="AJ64" s="52" t="str">
        <f t="shared" ca="1" si="123"/>
        <v/>
      </c>
      <c r="AK64" s="52" t="str">
        <f t="shared" ca="1" si="123"/>
        <v/>
      </c>
      <c r="AL64" s="52" t="str">
        <f t="shared" ca="1" si="123"/>
        <v/>
      </c>
      <c r="AM64" s="52" t="str">
        <f t="shared" ca="1" si="123"/>
        <v/>
      </c>
      <c r="AN64" s="52" t="str">
        <f t="shared" ca="1" si="123"/>
        <v/>
      </c>
      <c r="AO64" s="52" t="str">
        <f t="shared" ca="1" si="123"/>
        <v/>
      </c>
      <c r="AP64" s="52" t="str">
        <f t="shared" ca="1" si="123"/>
        <v/>
      </c>
      <c r="AQ64" s="52" t="str">
        <f t="shared" ca="1" si="123"/>
        <v/>
      </c>
      <c r="AR64" s="52" t="str">
        <f t="shared" ca="1" si="123"/>
        <v/>
      </c>
      <c r="AS64" s="52" t="str">
        <f t="shared" ca="1" si="123"/>
        <v/>
      </c>
      <c r="AT64" s="52" t="str">
        <f t="shared" ca="1" si="123"/>
        <v/>
      </c>
      <c r="AU64" s="52" t="str">
        <f t="shared" ca="1" si="123"/>
        <v/>
      </c>
      <c r="AV64" s="52" t="str">
        <f t="shared" ca="1" si="123"/>
        <v/>
      </c>
      <c r="AW64" s="52" t="str">
        <f t="shared" ca="1" si="123"/>
        <v/>
      </c>
      <c r="AX64" s="52" t="str">
        <f t="shared" ca="1" si="123"/>
        <v/>
      </c>
      <c r="AY64" s="52" t="str">
        <f t="shared" ca="1" si="123"/>
        <v/>
      </c>
      <c r="AZ64" s="52" t="str">
        <f t="shared" ca="1" si="123"/>
        <v/>
      </c>
      <c r="BA64" s="52" t="str">
        <f t="shared" ca="1" si="123"/>
        <v/>
      </c>
      <c r="BB64" s="52" t="str">
        <f t="shared" ca="1" si="123"/>
        <v/>
      </c>
      <c r="BC64" s="52" t="str">
        <f t="shared" ca="1" si="123"/>
        <v/>
      </c>
      <c r="BD64" s="52" t="str">
        <f t="shared" ca="1" si="123"/>
        <v/>
      </c>
      <c r="BE64" s="52" t="str">
        <f t="shared" ca="1" si="123"/>
        <v/>
      </c>
      <c r="BF64" s="52" t="str">
        <f t="shared" ca="1" si="123"/>
        <v/>
      </c>
      <c r="BG64" s="52" t="str">
        <f t="shared" ca="1" si="123"/>
        <v/>
      </c>
      <c r="BH64" s="52" t="str">
        <f t="shared" ca="1" si="123"/>
        <v/>
      </c>
      <c r="BI64" s="52" t="str">
        <f t="shared" ca="1" si="123"/>
        <v/>
      </c>
      <c r="BJ64" s="52" t="str">
        <f t="shared" ca="1" si="123"/>
        <v/>
      </c>
      <c r="BK64" s="52" t="str">
        <f t="shared" ca="1" si="123"/>
        <v/>
      </c>
      <c r="BL64" s="52" t="str">
        <f t="shared" ca="1" si="123"/>
        <v/>
      </c>
      <c r="BM64" s="52" t="str">
        <f t="shared" ca="1" si="123"/>
        <v/>
      </c>
      <c r="BN64" t="str">
        <f t="shared" ca="1" si="123"/>
        <v/>
      </c>
      <c r="BO64" t="str">
        <f t="shared" ca="1" si="123"/>
        <v/>
      </c>
      <c r="BP64" t="str">
        <f t="shared" ca="1" si="123"/>
        <v/>
      </c>
    </row>
    <row r="65" spans="1:68" ht="15" customHeight="1" x14ac:dyDescent="0.3">
      <c r="A65" s="10" t="str">
        <f>IF(Job_Master!A65="","",Job_Master!A65)</f>
        <v>BJ-163</v>
      </c>
      <c r="B65" s="10">
        <f>IF($A65="","",Job_Master!B65)</f>
        <v>70</v>
      </c>
      <c r="C65" s="10" t="str">
        <f>IF($A65="","",Job_Master!C65)</f>
        <v>SOL</v>
      </c>
      <c r="D65" s="10">
        <f>IF($A65="","",Job_Master!D65)</f>
        <v>4</v>
      </c>
      <c r="E65" s="48" t="str">
        <f>IF($A65="","","QC-MC-01")</f>
        <v>QC-MC-01</v>
      </c>
      <c r="F65" s="10" t="str">
        <f>IF($E65="","",IFERROR(VLOOKUP($E65,Machine_List!$B:$G,6,0),""))</f>
        <v>General Workman</v>
      </c>
      <c r="G65" s="53">
        <f>IF($E65="","",IFERROR(VLOOKUP($E65,Machine_List!$B:$C,2,0),""))</f>
        <v>46518</v>
      </c>
      <c r="H65" s="10">
        <f>IF($E65="","",IFERROR(VLOOKUP($E65,Machine_List!$B:$D,3,0),""))</f>
        <v>6</v>
      </c>
      <c r="I65" s="54"/>
      <c r="J65" s="55">
        <f ca="1">IF($A65="","",IF($I65&lt;&gt;"",$I65,MAX(FID_Plan!$M65,IFERROR(LOOKUP(2,1/($E$3:INDIRECT("E"&amp;(ROW()-1))=$E65),$M$3:INDIRECT("M"&amp;(ROW()-1))),FID_Plan!$M65))))</f>
        <v>46321.43981481481</v>
      </c>
      <c r="K65" s="10">
        <f>IF($A65="","",IFERROR(VLOOKUP(B65,CHOOSE(MATCH(C65,Settings!$L$4:$L$10,0),OPR_2P!$A$4:$I$18,SEG_6P!$A$4:$I$18,SOL_4P!$A$4:$I$18,RW_2P!$A$4:$I$18,RW2_4P!$A$4:$I$18,FLAP_4P!$A$4:$I$18,TUBE_4P!$A$4:$I$18),8,0),0))</f>
        <v>57</v>
      </c>
      <c r="L65" s="10">
        <f t="shared" si="0"/>
        <v>228</v>
      </c>
      <c r="M65" s="55">
        <f ca="1">IF($A65="","",$J65+($L65/(IF(F65="Contract Workman",Settings!$K$5,Settings!$K$4))))</f>
        <v>46331.995370370365</v>
      </c>
      <c r="N65" s="10" t="str">
        <f t="shared" ca="1" si="65"/>
        <v>Shift C</v>
      </c>
      <c r="O65" s="51" t="str">
        <f>IF(B65="","", IF(IFERROR(ISNUMBER(SEARCH(B65, VLOOKUP(E65, Machine_List!$B:$J, 9, 0))), FALSE()), "✅ Machine OK", "❌ Sug: " &amp; IFERROR(INDEX(Machine_List!$B$4:$B$50, MATCH("*"&amp;B65&amp;"*", Machine_List!$J$4:$J$50, 0)), "Check Limits")))</f>
        <v>✅ Machine OK</v>
      </c>
      <c r="P65" s="52" t="str">
        <f t="shared" ref="P65:AC65" ca="1" si="124">IF(AND(Q$3&gt;=$J65, Q$3&lt;$M65), $A65, "")</f>
        <v/>
      </c>
      <c r="Q65" s="52" t="str">
        <f t="shared" ca="1" si="124"/>
        <v/>
      </c>
      <c r="R65" s="52" t="str">
        <f t="shared" ca="1" si="124"/>
        <v/>
      </c>
      <c r="S65" s="52" t="str">
        <f t="shared" ca="1" si="124"/>
        <v/>
      </c>
      <c r="T65" s="52" t="str">
        <f t="shared" ca="1" si="124"/>
        <v/>
      </c>
      <c r="U65" s="52" t="str">
        <f t="shared" ca="1" si="124"/>
        <v/>
      </c>
      <c r="V65" s="52" t="str">
        <f t="shared" ca="1" si="124"/>
        <v/>
      </c>
      <c r="W65" s="52" t="str">
        <f t="shared" ca="1" si="124"/>
        <v/>
      </c>
      <c r="X65" s="52" t="str">
        <f t="shared" ca="1" si="124"/>
        <v/>
      </c>
      <c r="Y65" s="52" t="str">
        <f t="shared" ca="1" si="124"/>
        <v/>
      </c>
      <c r="Z65" s="52" t="str">
        <f t="shared" ca="1" si="124"/>
        <v/>
      </c>
      <c r="AA65" s="52" t="str">
        <f t="shared" ca="1" si="124"/>
        <v/>
      </c>
      <c r="AB65" s="52" t="str">
        <f t="shared" ca="1" si="124"/>
        <v/>
      </c>
      <c r="AC65" s="52" t="str">
        <f t="shared" ca="1" si="124"/>
        <v/>
      </c>
      <c r="AD65" s="52" t="str">
        <f t="shared" ref="AD65:BP65" ca="1" si="125">IF(AND(AE$3&gt;=$J65, AE$3&lt;$M65), $A65, "")</f>
        <v/>
      </c>
      <c r="AE65" s="52" t="str">
        <f t="shared" ca="1" si="125"/>
        <v/>
      </c>
      <c r="AF65" s="52" t="str">
        <f t="shared" ca="1" si="125"/>
        <v/>
      </c>
      <c r="AG65" s="52" t="str">
        <f t="shared" ca="1" si="125"/>
        <v/>
      </c>
      <c r="AH65" s="52" t="str">
        <f t="shared" ca="1" si="125"/>
        <v/>
      </c>
      <c r="AI65" s="52" t="str">
        <f t="shared" ca="1" si="125"/>
        <v/>
      </c>
      <c r="AJ65" s="52" t="str">
        <f t="shared" ca="1" si="125"/>
        <v/>
      </c>
      <c r="AK65" s="52" t="str">
        <f t="shared" ca="1" si="125"/>
        <v/>
      </c>
      <c r="AL65" s="52" t="str">
        <f t="shared" ca="1" si="125"/>
        <v/>
      </c>
      <c r="AM65" s="52" t="str">
        <f t="shared" ca="1" si="125"/>
        <v/>
      </c>
      <c r="AN65" s="52" t="str">
        <f t="shared" ca="1" si="125"/>
        <v/>
      </c>
      <c r="AO65" s="52" t="str">
        <f t="shared" ca="1" si="125"/>
        <v/>
      </c>
      <c r="AP65" s="52" t="str">
        <f t="shared" ca="1" si="125"/>
        <v/>
      </c>
      <c r="AQ65" s="52" t="str">
        <f t="shared" ca="1" si="125"/>
        <v/>
      </c>
      <c r="AR65" s="52" t="str">
        <f t="shared" ca="1" si="125"/>
        <v/>
      </c>
      <c r="AS65" s="52" t="str">
        <f t="shared" ca="1" si="125"/>
        <v/>
      </c>
      <c r="AT65" s="52" t="str">
        <f t="shared" ca="1" si="125"/>
        <v/>
      </c>
      <c r="AU65" s="52" t="str">
        <f t="shared" ca="1" si="125"/>
        <v/>
      </c>
      <c r="AV65" s="52" t="str">
        <f t="shared" ca="1" si="125"/>
        <v/>
      </c>
      <c r="AW65" s="52" t="str">
        <f t="shared" ca="1" si="125"/>
        <v/>
      </c>
      <c r="AX65" s="52" t="str">
        <f t="shared" ca="1" si="125"/>
        <v/>
      </c>
      <c r="AY65" s="52" t="str">
        <f t="shared" ca="1" si="125"/>
        <v/>
      </c>
      <c r="AZ65" s="52" t="str">
        <f t="shared" ca="1" si="125"/>
        <v/>
      </c>
      <c r="BA65" s="52" t="str">
        <f t="shared" ca="1" si="125"/>
        <v/>
      </c>
      <c r="BB65" s="52" t="str">
        <f t="shared" ca="1" si="125"/>
        <v/>
      </c>
      <c r="BC65" s="52" t="str">
        <f t="shared" ca="1" si="125"/>
        <v/>
      </c>
      <c r="BD65" s="52" t="str">
        <f t="shared" ca="1" si="125"/>
        <v/>
      </c>
      <c r="BE65" s="52" t="str">
        <f t="shared" ca="1" si="125"/>
        <v/>
      </c>
      <c r="BF65" s="52" t="str">
        <f t="shared" ca="1" si="125"/>
        <v/>
      </c>
      <c r="BG65" s="52" t="str">
        <f t="shared" ca="1" si="125"/>
        <v/>
      </c>
      <c r="BH65" s="52" t="str">
        <f t="shared" ca="1" si="125"/>
        <v/>
      </c>
      <c r="BI65" s="52" t="str">
        <f t="shared" ca="1" si="125"/>
        <v/>
      </c>
      <c r="BJ65" s="52" t="str">
        <f t="shared" ca="1" si="125"/>
        <v/>
      </c>
      <c r="BK65" s="52" t="str">
        <f t="shared" ca="1" si="125"/>
        <v/>
      </c>
      <c r="BL65" s="52" t="str">
        <f t="shared" ca="1" si="125"/>
        <v/>
      </c>
      <c r="BM65" s="52" t="str">
        <f t="shared" ca="1" si="125"/>
        <v/>
      </c>
      <c r="BN65" t="str">
        <f t="shared" ca="1" si="125"/>
        <v/>
      </c>
      <c r="BO65" t="str">
        <f t="shared" ca="1" si="125"/>
        <v/>
      </c>
      <c r="BP65" t="str">
        <f t="shared" ca="1" si="125"/>
        <v/>
      </c>
    </row>
    <row r="66" spans="1:68" ht="15" customHeight="1" x14ac:dyDescent="0.3">
      <c r="A66" s="10" t="str">
        <f>IF(Job_Master!A66="","",Job_Master!A66)</f>
        <v>BJ-164</v>
      </c>
      <c r="B66" s="10">
        <f>IF($A66="","",Job_Master!B66)</f>
        <v>42</v>
      </c>
      <c r="C66" s="10" t="str">
        <f>IF($A66="","",Job_Master!C66)</f>
        <v>SOL</v>
      </c>
      <c r="D66" s="10">
        <f>IF($A66="","",Job_Master!D66)</f>
        <v>4</v>
      </c>
      <c r="E66" s="48" t="str">
        <f>IF($A66="","","QC-MC-04")</f>
        <v>QC-MC-04</v>
      </c>
      <c r="F66" s="10" t="str">
        <f>IF($E66="","",IFERROR(VLOOKUP($E66,Machine_List!$B:$G,6,0),""))</f>
        <v>General Workman</v>
      </c>
      <c r="G66" s="53">
        <f>IF($E66="","",IFERROR(VLOOKUP($E66,Machine_List!$B:$C,2,0),""))</f>
        <v>46195</v>
      </c>
      <c r="H66" s="10">
        <f>IF($E66="","",IFERROR(VLOOKUP($E66,Machine_List!$B:$D,3,0),""))</f>
        <v>6</v>
      </c>
      <c r="I66" s="54"/>
      <c r="J66" s="55">
        <f ca="1">IF($A66="","",IF($I66&lt;&gt;"",$I66,MAX(FID_Plan!$M66,IFERROR(LOOKUP(2,1/($E$3:INDIRECT("E"&amp;(ROW()-1))=$E66),$M$3:INDIRECT("M"&amp;(ROW()-1))),FID_Plan!$M66))))</f>
        <v>46254.320105820094</v>
      </c>
      <c r="K66" s="10">
        <f>IF($A66="","",IFERROR(VLOOKUP(B66,CHOOSE(MATCH(C66,Settings!$L$4:$L$10,0),OPR_2P!$A$4:$I$18,SEG_6P!$A$4:$I$18,SOL_4P!$A$4:$I$18,RW_2P!$A$4:$I$18,RW2_4P!$A$4:$I$18,FLAP_4P!$A$4:$I$18,TUBE_4P!$A$4:$I$18),8,0),0))</f>
        <v>33</v>
      </c>
      <c r="L66" s="10">
        <f t="shared" si="0"/>
        <v>132</v>
      </c>
      <c r="M66" s="55">
        <f ca="1">IF($A66="","",$J66+($L66/(IF(F66="Contract Workman",Settings!$K$5,Settings!$K$4))))</f>
        <v>46260.431216931203</v>
      </c>
      <c r="N66" s="10" t="str">
        <f t="shared" ca="1" si="65"/>
        <v>Shift A</v>
      </c>
      <c r="O66" s="51" t="str">
        <f>IF(B66="","", IF(IFERROR(ISNUMBER(SEARCH(B66, VLOOKUP(E66, Machine_List!$B:$J, 9, 0))), FALSE()), "✅ Machine OK", "❌ Sug: " &amp; IFERROR(INDEX(Machine_List!$B$4:$B$50, MATCH("*"&amp;B66&amp;"*", Machine_List!$J$4:$J$50, 0)), "Check Limits")))</f>
        <v>✅ Machine OK</v>
      </c>
      <c r="P66" s="52" t="str">
        <f t="shared" ref="P66:AC66" ca="1" si="126">IF(AND(Q$3&gt;=$J66, Q$3&lt;$M66), $A66, "")</f>
        <v/>
      </c>
      <c r="Q66" s="52" t="str">
        <f t="shared" ca="1" si="126"/>
        <v/>
      </c>
      <c r="R66" s="52" t="str">
        <f t="shared" ca="1" si="126"/>
        <v/>
      </c>
      <c r="S66" s="52" t="str">
        <f t="shared" ca="1" si="126"/>
        <v/>
      </c>
      <c r="T66" s="52" t="str">
        <f t="shared" ca="1" si="126"/>
        <v/>
      </c>
      <c r="U66" s="52" t="str">
        <f t="shared" ca="1" si="126"/>
        <v/>
      </c>
      <c r="V66" s="52" t="str">
        <f t="shared" ca="1" si="126"/>
        <v/>
      </c>
      <c r="W66" s="52" t="str">
        <f t="shared" ca="1" si="126"/>
        <v/>
      </c>
      <c r="X66" s="52" t="str">
        <f t="shared" ca="1" si="126"/>
        <v/>
      </c>
      <c r="Y66" s="52" t="str">
        <f t="shared" ca="1" si="126"/>
        <v/>
      </c>
      <c r="Z66" s="52" t="str">
        <f t="shared" ca="1" si="126"/>
        <v/>
      </c>
      <c r="AA66" s="52" t="str">
        <f t="shared" ca="1" si="126"/>
        <v/>
      </c>
      <c r="AB66" s="52" t="str">
        <f t="shared" ca="1" si="126"/>
        <v/>
      </c>
      <c r="AC66" s="52" t="str">
        <f t="shared" ca="1" si="126"/>
        <v/>
      </c>
      <c r="AD66" s="52" t="str">
        <f t="shared" ref="AD66:BP66" ca="1" si="127">IF(AND(AE$3&gt;=$J66, AE$3&lt;$M66), $A66, "")</f>
        <v/>
      </c>
      <c r="AE66" s="52" t="str">
        <f t="shared" ca="1" si="127"/>
        <v/>
      </c>
      <c r="AF66" s="52" t="str">
        <f t="shared" ca="1" si="127"/>
        <v/>
      </c>
      <c r="AG66" s="52" t="str">
        <f t="shared" ca="1" si="127"/>
        <v/>
      </c>
      <c r="AH66" s="52" t="str">
        <f t="shared" ca="1" si="127"/>
        <v/>
      </c>
      <c r="AI66" s="52" t="str">
        <f t="shared" ca="1" si="127"/>
        <v/>
      </c>
      <c r="AJ66" s="52" t="str">
        <f t="shared" ca="1" si="127"/>
        <v/>
      </c>
      <c r="AK66" s="52" t="str">
        <f t="shared" ca="1" si="127"/>
        <v/>
      </c>
      <c r="AL66" s="52" t="str">
        <f t="shared" ca="1" si="127"/>
        <v/>
      </c>
      <c r="AM66" s="52" t="str">
        <f t="shared" ca="1" si="127"/>
        <v/>
      </c>
      <c r="AN66" s="52" t="str">
        <f t="shared" ca="1" si="127"/>
        <v/>
      </c>
      <c r="AO66" s="52" t="str">
        <f t="shared" ca="1" si="127"/>
        <v/>
      </c>
      <c r="AP66" s="52" t="str">
        <f t="shared" ca="1" si="127"/>
        <v/>
      </c>
      <c r="AQ66" s="52" t="str">
        <f t="shared" ca="1" si="127"/>
        <v/>
      </c>
      <c r="AR66" s="52" t="str">
        <f t="shared" ca="1" si="127"/>
        <v/>
      </c>
      <c r="AS66" s="52" t="str">
        <f t="shared" ca="1" si="127"/>
        <v/>
      </c>
      <c r="AT66" s="52" t="str">
        <f t="shared" ca="1" si="127"/>
        <v/>
      </c>
      <c r="AU66" s="52" t="str">
        <f t="shared" ca="1" si="127"/>
        <v/>
      </c>
      <c r="AV66" s="52" t="str">
        <f t="shared" ca="1" si="127"/>
        <v/>
      </c>
      <c r="AW66" s="52" t="str">
        <f t="shared" ca="1" si="127"/>
        <v/>
      </c>
      <c r="AX66" s="52" t="str">
        <f t="shared" ca="1" si="127"/>
        <v/>
      </c>
      <c r="AY66" s="52" t="str">
        <f t="shared" ca="1" si="127"/>
        <v/>
      </c>
      <c r="AZ66" s="52" t="str">
        <f t="shared" ca="1" si="127"/>
        <v/>
      </c>
      <c r="BA66" s="52" t="str">
        <f t="shared" ca="1" si="127"/>
        <v/>
      </c>
      <c r="BB66" s="52" t="str">
        <f t="shared" ca="1" si="127"/>
        <v/>
      </c>
      <c r="BC66" s="52" t="str">
        <f t="shared" ca="1" si="127"/>
        <v/>
      </c>
      <c r="BD66" s="52" t="str">
        <f t="shared" ca="1" si="127"/>
        <v/>
      </c>
      <c r="BE66" s="52" t="str">
        <f t="shared" ca="1" si="127"/>
        <v/>
      </c>
      <c r="BF66" s="52" t="str">
        <f t="shared" ca="1" si="127"/>
        <v/>
      </c>
      <c r="BG66" s="52" t="str">
        <f t="shared" ca="1" si="127"/>
        <v/>
      </c>
      <c r="BH66" s="52" t="str">
        <f t="shared" ca="1" si="127"/>
        <v/>
      </c>
      <c r="BI66" s="52" t="str">
        <f t="shared" ca="1" si="127"/>
        <v/>
      </c>
      <c r="BJ66" s="52" t="str">
        <f t="shared" ca="1" si="127"/>
        <v/>
      </c>
      <c r="BK66" s="52" t="str">
        <f t="shared" ca="1" si="127"/>
        <v/>
      </c>
      <c r="BL66" s="52" t="str">
        <f t="shared" ca="1" si="127"/>
        <v/>
      </c>
      <c r="BM66" s="52" t="str">
        <f t="shared" ca="1" si="127"/>
        <v/>
      </c>
      <c r="BN66" t="str">
        <f t="shared" ca="1" si="127"/>
        <v/>
      </c>
      <c r="BO66" t="str">
        <f t="shared" ca="1" si="127"/>
        <v/>
      </c>
      <c r="BP66" t="str">
        <f t="shared" ca="1" si="127"/>
        <v/>
      </c>
    </row>
    <row r="67" spans="1:68" ht="15" customHeight="1" x14ac:dyDescent="0.3">
      <c r="A67" s="10" t="str">
        <f>IF(Job_Master!A67="","",Job_Master!A67)</f>
        <v>BJ-168</v>
      </c>
      <c r="B67" s="10">
        <f>IF($A67="","",Job_Master!B67)</f>
        <v>20</v>
      </c>
      <c r="C67" s="10" t="str">
        <f>IF($A67="","",Job_Master!C67)</f>
        <v>2P</v>
      </c>
      <c r="D67" s="10">
        <f>IF($A67="","",Job_Master!D67)</f>
        <v>2</v>
      </c>
      <c r="E67" s="48" t="str">
        <f>IF($A67="","","QC-MC-03")</f>
        <v>QC-MC-03</v>
      </c>
      <c r="F67" s="10" t="str">
        <f>IF($E67="","",IFERROR(VLOOKUP($E67,Machine_List!$B:$G,6,0),""))</f>
        <v>General Workman</v>
      </c>
      <c r="G67" s="53">
        <f>IF($E67="","",IFERROR(VLOOKUP($E67,Machine_List!$B:$C,2,0),""))</f>
        <v>46172</v>
      </c>
      <c r="H67" s="10">
        <f>IF($E67="","",IFERROR(VLOOKUP($E67,Machine_List!$B:$D,3,0),""))</f>
        <v>6</v>
      </c>
      <c r="I67" s="54"/>
      <c r="J67" s="55">
        <f ca="1">IF($A67="","",IF($I67&lt;&gt;"",$I67,MAX(FID_Plan!$M67,IFERROR(LOOKUP(2,1/($E$3:INDIRECT("E"&amp;(ROW()-1))=$E67),$M$3:INDIRECT("M"&amp;(ROW()-1))),FID_Plan!$M67))))</f>
        <v>46255.609788359776</v>
      </c>
      <c r="K67" s="10">
        <f>IF($A67="","",IFERROR(VLOOKUP(B67,CHOOSE(MATCH(C67,Settings!$L$4:$L$10,0),OPR_2P!$A$4:$I$18,SEG_6P!$A$4:$I$18,SOL_4P!$A$4:$I$18,RW_2P!$A$4:$I$18,RW2_4P!$A$4:$I$18,FLAP_4P!$A$4:$I$18,TUBE_4P!$A$4:$I$18),8,0),0))</f>
        <v>12</v>
      </c>
      <c r="L67" s="10">
        <f t="shared" si="0"/>
        <v>24</v>
      </c>
      <c r="M67" s="55">
        <f ca="1">IF($A67="","",$J67+($L67/(IF(F67="Contract Workman",Settings!$K$5,Settings!$K$4))))</f>
        <v>46256.720899470885</v>
      </c>
      <c r="N67" s="10" t="str">
        <f t="shared" ca="1" si="65"/>
        <v>Shift B</v>
      </c>
      <c r="O67" s="51" t="str">
        <f>IF(B67="","", IF(IFERROR(ISNUMBER(SEARCH(B67, VLOOKUP(E67, Machine_List!$B:$J, 9, 0))), FALSE()), "✅ Machine OK", "❌ Sug: " &amp; IFERROR(INDEX(Machine_List!$B$4:$B$50, MATCH("*"&amp;B67&amp;"*", Machine_List!$J$4:$J$50, 0)), "Check Limits")))</f>
        <v>✅ Machine OK</v>
      </c>
      <c r="P67" s="52" t="str">
        <f t="shared" ref="P67:AC67" ca="1" si="128">IF(AND(Q$3&gt;=$J67, Q$3&lt;$M67), $A67, "")</f>
        <v/>
      </c>
      <c r="Q67" s="52" t="str">
        <f t="shared" ca="1" si="128"/>
        <v/>
      </c>
      <c r="R67" s="52" t="str">
        <f t="shared" ca="1" si="128"/>
        <v/>
      </c>
      <c r="S67" s="52" t="str">
        <f t="shared" ca="1" si="128"/>
        <v/>
      </c>
      <c r="T67" s="52" t="str">
        <f t="shared" ca="1" si="128"/>
        <v/>
      </c>
      <c r="U67" s="52" t="str">
        <f t="shared" ca="1" si="128"/>
        <v/>
      </c>
      <c r="V67" s="52" t="str">
        <f t="shared" ca="1" si="128"/>
        <v/>
      </c>
      <c r="W67" s="52" t="str">
        <f t="shared" ca="1" si="128"/>
        <v/>
      </c>
      <c r="X67" s="52" t="str">
        <f t="shared" ca="1" si="128"/>
        <v/>
      </c>
      <c r="Y67" s="52" t="str">
        <f t="shared" ca="1" si="128"/>
        <v/>
      </c>
      <c r="Z67" s="52" t="str">
        <f t="shared" ca="1" si="128"/>
        <v/>
      </c>
      <c r="AA67" s="52" t="str">
        <f t="shared" ca="1" si="128"/>
        <v/>
      </c>
      <c r="AB67" s="52" t="str">
        <f t="shared" ca="1" si="128"/>
        <v/>
      </c>
      <c r="AC67" s="52" t="str">
        <f t="shared" ca="1" si="128"/>
        <v/>
      </c>
      <c r="AD67" s="52" t="str">
        <f t="shared" ref="AD67:BP67" ca="1" si="129">IF(AND(AE$3&gt;=$J67, AE$3&lt;$M67), $A67, "")</f>
        <v/>
      </c>
      <c r="AE67" s="52" t="str">
        <f t="shared" ca="1" si="129"/>
        <v/>
      </c>
      <c r="AF67" s="52" t="str">
        <f t="shared" ca="1" si="129"/>
        <v/>
      </c>
      <c r="AG67" s="52" t="str">
        <f t="shared" ca="1" si="129"/>
        <v/>
      </c>
      <c r="AH67" s="52" t="str">
        <f t="shared" ca="1" si="129"/>
        <v/>
      </c>
      <c r="AI67" s="52" t="str">
        <f t="shared" ca="1" si="129"/>
        <v/>
      </c>
      <c r="AJ67" s="52" t="str">
        <f t="shared" ca="1" si="129"/>
        <v/>
      </c>
      <c r="AK67" s="52" t="str">
        <f t="shared" ca="1" si="129"/>
        <v/>
      </c>
      <c r="AL67" s="52" t="str">
        <f t="shared" ca="1" si="129"/>
        <v/>
      </c>
      <c r="AM67" s="52" t="str">
        <f t="shared" ca="1" si="129"/>
        <v/>
      </c>
      <c r="AN67" s="52" t="str">
        <f t="shared" ca="1" si="129"/>
        <v/>
      </c>
      <c r="AO67" s="52" t="str">
        <f t="shared" ca="1" si="129"/>
        <v/>
      </c>
      <c r="AP67" s="52" t="str">
        <f t="shared" ca="1" si="129"/>
        <v/>
      </c>
      <c r="AQ67" s="52" t="str">
        <f t="shared" ca="1" si="129"/>
        <v/>
      </c>
      <c r="AR67" s="52" t="str">
        <f t="shared" ca="1" si="129"/>
        <v/>
      </c>
      <c r="AS67" s="52" t="str">
        <f t="shared" ca="1" si="129"/>
        <v/>
      </c>
      <c r="AT67" s="52" t="str">
        <f t="shared" ca="1" si="129"/>
        <v/>
      </c>
      <c r="AU67" s="52" t="str">
        <f t="shared" ca="1" si="129"/>
        <v/>
      </c>
      <c r="AV67" s="52" t="str">
        <f t="shared" ca="1" si="129"/>
        <v/>
      </c>
      <c r="AW67" s="52" t="str">
        <f t="shared" ca="1" si="129"/>
        <v/>
      </c>
      <c r="AX67" s="52" t="str">
        <f t="shared" ca="1" si="129"/>
        <v/>
      </c>
      <c r="AY67" s="52" t="str">
        <f t="shared" ca="1" si="129"/>
        <v/>
      </c>
      <c r="AZ67" s="52" t="str">
        <f t="shared" ca="1" si="129"/>
        <v/>
      </c>
      <c r="BA67" s="52" t="str">
        <f t="shared" ca="1" si="129"/>
        <v/>
      </c>
      <c r="BB67" s="52" t="str">
        <f t="shared" ca="1" si="129"/>
        <v/>
      </c>
      <c r="BC67" s="52" t="str">
        <f t="shared" ca="1" si="129"/>
        <v/>
      </c>
      <c r="BD67" s="52" t="str">
        <f t="shared" ca="1" si="129"/>
        <v/>
      </c>
      <c r="BE67" s="52" t="str">
        <f t="shared" ca="1" si="129"/>
        <v/>
      </c>
      <c r="BF67" s="52" t="str">
        <f t="shared" ca="1" si="129"/>
        <v/>
      </c>
      <c r="BG67" s="52" t="str">
        <f t="shared" ca="1" si="129"/>
        <v/>
      </c>
      <c r="BH67" s="52" t="str">
        <f t="shared" ca="1" si="129"/>
        <v/>
      </c>
      <c r="BI67" s="52" t="str">
        <f t="shared" ca="1" si="129"/>
        <v/>
      </c>
      <c r="BJ67" s="52" t="str">
        <f t="shared" ca="1" si="129"/>
        <v/>
      </c>
      <c r="BK67" s="52" t="str">
        <f t="shared" ca="1" si="129"/>
        <v/>
      </c>
      <c r="BL67" s="52" t="str">
        <f t="shared" ca="1" si="129"/>
        <v/>
      </c>
      <c r="BM67" s="52" t="str">
        <f t="shared" ca="1" si="129"/>
        <v/>
      </c>
      <c r="BN67" t="str">
        <f t="shared" ca="1" si="129"/>
        <v/>
      </c>
      <c r="BO67" t="str">
        <f t="shared" ca="1" si="129"/>
        <v/>
      </c>
      <c r="BP67" t="str">
        <f t="shared" ca="1" si="129"/>
        <v/>
      </c>
    </row>
    <row r="68" spans="1:68" ht="15" customHeight="1" x14ac:dyDescent="0.3">
      <c r="A68" s="10" t="str">
        <f>IF(Job_Master!A68="","",Job_Master!A68)</f>
        <v>BJ-155</v>
      </c>
      <c r="B68" s="10">
        <f>IF($A68="","",Job_Master!B68)</f>
        <v>17</v>
      </c>
      <c r="C68" s="10" t="str">
        <f>IF($A68="","",Job_Master!C68)</f>
        <v>RW</v>
      </c>
      <c r="D68" s="10">
        <f>IF($A68="","",Job_Master!D68)</f>
        <v>2</v>
      </c>
      <c r="E68" s="48" t="str">
        <f>IF($A68="","","QC-MC-03")</f>
        <v>QC-MC-03</v>
      </c>
      <c r="F68" s="10" t="str">
        <f>IF($E68="","",IFERROR(VLOOKUP($E68,Machine_List!$B:$G,6,0),""))</f>
        <v>General Workman</v>
      </c>
      <c r="G68" s="53">
        <f>IF($E68="","",IFERROR(VLOOKUP($E68,Machine_List!$B:$C,2,0),""))</f>
        <v>46172</v>
      </c>
      <c r="H68" s="10">
        <f>IF($E68="","",IFERROR(VLOOKUP($E68,Machine_List!$B:$D,3,0),""))</f>
        <v>6</v>
      </c>
      <c r="I68" s="54"/>
      <c r="J68" s="55">
        <f ca="1">IF($A68="","",IF($I68&lt;&gt;"",$I68,MAX(FID_Plan!$M68,IFERROR(LOOKUP(2,1/($E$3:INDIRECT("E"&amp;(ROW()-1))=$E68),$M$3:INDIRECT("M"&amp;(ROW()-1))),FID_Plan!$M68))))</f>
        <v>46256.720899470885</v>
      </c>
      <c r="K68" s="10">
        <f>IF($A68="","",IFERROR(VLOOKUP(B68,CHOOSE(MATCH(C68,Settings!$L$4:$L$10,0),OPR_2P!$A$4:$I$18,SEG_6P!$A$4:$I$18,SOL_4P!$A$4:$I$18,RW_2P!$A$4:$I$18,RW2_4P!$A$4:$I$18,FLAP_4P!$A$4:$I$18,TUBE_4P!$A$4:$I$18),8,0),0))</f>
        <v>11</v>
      </c>
      <c r="L68" s="10">
        <f t="shared" ref="L68:L131" si="130">IF($A68="","",K68*D68)</f>
        <v>22</v>
      </c>
      <c r="M68" s="55">
        <f ca="1">IF($A68="","",$J68+($L68/(IF(F68="Contract Workman",Settings!$K$5,Settings!$K$4))))</f>
        <v>46257.739417989404</v>
      </c>
      <c r="N68" s="10" t="str">
        <f t="shared" ref="N68:N99" ca="1" si="131">IF($A68="","",IF(F68="Contract Workman",IF(AND(MOD(M68,1)&gt;=8/24,MOD(M68,1)&lt;20/24),"Shift S1","Shift S2"),IF(AND(MOD(M68,1)&gt;=7/24,MOD(M68,1)&lt;15/24),"Shift A",IF(AND(MOD(M68,1)&gt;=15/24,MOD(M68,1)&lt;23/24),"Shift B","Shift C"))))</f>
        <v>Shift B</v>
      </c>
      <c r="O68" s="51" t="str">
        <f>IF(B68="","", IF(IFERROR(ISNUMBER(SEARCH(B68, VLOOKUP(E68, Machine_List!$B:$J, 9, 0))), FALSE()), "✅ Machine OK", "❌ Sug: " &amp; IFERROR(INDEX(Machine_List!$B$4:$B$50, MATCH("*"&amp;B68&amp;"*", Machine_List!$J$4:$J$50, 0)), "Check Limits")))</f>
        <v>✅ Machine OK</v>
      </c>
      <c r="P68" s="52" t="str">
        <f t="shared" ref="P68:AC68" ca="1" si="132">IF(AND(Q$3&gt;=$J68, Q$3&lt;$M68), $A68, "")</f>
        <v/>
      </c>
      <c r="Q68" s="52" t="str">
        <f t="shared" ca="1" si="132"/>
        <v/>
      </c>
      <c r="R68" s="52" t="str">
        <f t="shared" ca="1" si="132"/>
        <v/>
      </c>
      <c r="S68" s="52" t="str">
        <f t="shared" ca="1" si="132"/>
        <v/>
      </c>
      <c r="T68" s="52" t="str">
        <f t="shared" ca="1" si="132"/>
        <v/>
      </c>
      <c r="U68" s="52" t="str">
        <f t="shared" ca="1" si="132"/>
        <v/>
      </c>
      <c r="V68" s="52" t="str">
        <f t="shared" ca="1" si="132"/>
        <v/>
      </c>
      <c r="W68" s="52" t="str">
        <f t="shared" ca="1" si="132"/>
        <v/>
      </c>
      <c r="X68" s="52" t="str">
        <f t="shared" ca="1" si="132"/>
        <v/>
      </c>
      <c r="Y68" s="52" t="str">
        <f t="shared" ca="1" si="132"/>
        <v/>
      </c>
      <c r="Z68" s="52" t="str">
        <f t="shared" ca="1" si="132"/>
        <v/>
      </c>
      <c r="AA68" s="52" t="str">
        <f t="shared" ca="1" si="132"/>
        <v/>
      </c>
      <c r="AB68" s="52" t="str">
        <f t="shared" ca="1" si="132"/>
        <v/>
      </c>
      <c r="AC68" s="52" t="str">
        <f t="shared" ca="1" si="132"/>
        <v/>
      </c>
      <c r="AD68" s="52" t="str">
        <f t="shared" ref="AD68:BP68" ca="1" si="133">IF(AND(AE$3&gt;=$J68, AE$3&lt;$M68), $A68, "")</f>
        <v/>
      </c>
      <c r="AE68" s="52" t="str">
        <f t="shared" ca="1" si="133"/>
        <v/>
      </c>
      <c r="AF68" s="52" t="str">
        <f t="shared" ca="1" si="133"/>
        <v/>
      </c>
      <c r="AG68" s="52" t="str">
        <f t="shared" ca="1" si="133"/>
        <v/>
      </c>
      <c r="AH68" s="52" t="str">
        <f t="shared" ca="1" si="133"/>
        <v/>
      </c>
      <c r="AI68" s="52" t="str">
        <f t="shared" ca="1" si="133"/>
        <v/>
      </c>
      <c r="AJ68" s="52" t="str">
        <f t="shared" ca="1" si="133"/>
        <v/>
      </c>
      <c r="AK68" s="52" t="str">
        <f t="shared" ca="1" si="133"/>
        <v/>
      </c>
      <c r="AL68" s="52" t="str">
        <f t="shared" ca="1" si="133"/>
        <v/>
      </c>
      <c r="AM68" s="52" t="str">
        <f t="shared" ca="1" si="133"/>
        <v/>
      </c>
      <c r="AN68" s="52" t="str">
        <f t="shared" ca="1" si="133"/>
        <v/>
      </c>
      <c r="AO68" s="52" t="str">
        <f t="shared" ca="1" si="133"/>
        <v/>
      </c>
      <c r="AP68" s="52" t="str">
        <f t="shared" ca="1" si="133"/>
        <v/>
      </c>
      <c r="AQ68" s="52" t="str">
        <f t="shared" ca="1" si="133"/>
        <v/>
      </c>
      <c r="AR68" s="52" t="str">
        <f t="shared" ca="1" si="133"/>
        <v/>
      </c>
      <c r="AS68" s="52" t="str">
        <f t="shared" ca="1" si="133"/>
        <v/>
      </c>
      <c r="AT68" s="52" t="str">
        <f t="shared" ca="1" si="133"/>
        <v/>
      </c>
      <c r="AU68" s="52" t="str">
        <f t="shared" ca="1" si="133"/>
        <v/>
      </c>
      <c r="AV68" s="52" t="str">
        <f t="shared" ca="1" si="133"/>
        <v/>
      </c>
      <c r="AW68" s="52" t="str">
        <f t="shared" ca="1" si="133"/>
        <v/>
      </c>
      <c r="AX68" s="52" t="str">
        <f t="shared" ca="1" si="133"/>
        <v/>
      </c>
      <c r="AY68" s="52" t="str">
        <f t="shared" ca="1" si="133"/>
        <v/>
      </c>
      <c r="AZ68" s="52" t="str">
        <f t="shared" ca="1" si="133"/>
        <v/>
      </c>
      <c r="BA68" s="52" t="str">
        <f t="shared" ca="1" si="133"/>
        <v/>
      </c>
      <c r="BB68" s="52" t="str">
        <f t="shared" ca="1" si="133"/>
        <v/>
      </c>
      <c r="BC68" s="52" t="str">
        <f t="shared" ca="1" si="133"/>
        <v/>
      </c>
      <c r="BD68" s="52" t="str">
        <f t="shared" ca="1" si="133"/>
        <v/>
      </c>
      <c r="BE68" s="52" t="str">
        <f t="shared" ca="1" si="133"/>
        <v/>
      </c>
      <c r="BF68" s="52" t="str">
        <f t="shared" ca="1" si="133"/>
        <v/>
      </c>
      <c r="BG68" s="52" t="str">
        <f t="shared" ca="1" si="133"/>
        <v/>
      </c>
      <c r="BH68" s="52" t="str">
        <f t="shared" ca="1" si="133"/>
        <v/>
      </c>
      <c r="BI68" s="52" t="str">
        <f t="shared" ca="1" si="133"/>
        <v/>
      </c>
      <c r="BJ68" s="52" t="str">
        <f t="shared" ca="1" si="133"/>
        <v/>
      </c>
      <c r="BK68" s="52" t="str">
        <f t="shared" ca="1" si="133"/>
        <v/>
      </c>
      <c r="BL68" s="52" t="str">
        <f t="shared" ca="1" si="133"/>
        <v/>
      </c>
      <c r="BM68" s="52" t="str">
        <f t="shared" ca="1" si="133"/>
        <v/>
      </c>
      <c r="BN68" t="str">
        <f t="shared" ca="1" si="133"/>
        <v/>
      </c>
      <c r="BO68" t="str">
        <f t="shared" ca="1" si="133"/>
        <v/>
      </c>
      <c r="BP68" t="str">
        <f t="shared" ca="1" si="133"/>
        <v/>
      </c>
    </row>
    <row r="69" spans="1:68" ht="15" customHeight="1" x14ac:dyDescent="0.3">
      <c r="A69" s="10" t="str">
        <f>IF(Job_Master!A69="","",Job_Master!A69)</f>
        <v>BJ-167</v>
      </c>
      <c r="B69" s="10">
        <f>IF($A69="","",Job_Master!B69)</f>
        <v>54</v>
      </c>
      <c r="C69" s="10" t="str">
        <f>IF($A69="","",Job_Master!C69)</f>
        <v>2P</v>
      </c>
      <c r="D69" s="10">
        <f>IF($A69="","",Job_Master!D69)</f>
        <v>2</v>
      </c>
      <c r="E69" s="48" t="str">
        <f>IF($A69="","","QC-MC-02")</f>
        <v>QC-MC-02</v>
      </c>
      <c r="F69" s="10" t="str">
        <f>IF($E69="","",IFERROR(VLOOKUP($E69,Machine_List!$B:$G,6,0),""))</f>
        <v>General Workman</v>
      </c>
      <c r="G69" s="53">
        <f>IF($E69="","",IFERROR(VLOOKUP($E69,Machine_List!$B:$C,2,0),""))</f>
        <v>46115</v>
      </c>
      <c r="H69" s="10">
        <f>IF($E69="","",IFERROR(VLOOKUP($E69,Machine_List!$B:$D,3,0),""))</f>
        <v>6</v>
      </c>
      <c r="I69" s="54"/>
      <c r="J69" s="55">
        <f ca="1">IF($A69="","",IF($I69&lt;&gt;"",$I69,MAX(FID_Plan!$M69,IFERROR(LOOKUP(2,1/($E$3:INDIRECT("E"&amp;(ROW()-1))=$E69),$M$3:INDIRECT("M"&amp;(ROW()-1))),FID_Plan!$M69))))</f>
        <v>46282.438492063477</v>
      </c>
      <c r="K69" s="10">
        <f>IF($A69="","",IFERROR(VLOOKUP(B69,CHOOSE(MATCH(C69,Settings!$L$4:$L$10,0),OPR_2P!$A$4:$I$18,SEG_6P!$A$4:$I$18,SOL_4P!$A$4:$I$18,RW_2P!$A$4:$I$18,RW2_4P!$A$4:$I$18,FLAP_4P!$A$4:$I$18,TUBE_4P!$A$4:$I$18),8,0),0))</f>
        <v>67</v>
      </c>
      <c r="L69" s="10">
        <f t="shared" si="130"/>
        <v>134</v>
      </c>
      <c r="M69" s="55">
        <f ca="1">IF($A69="","",$J69+($L69/(IF(F69="Contract Workman",Settings!$K$5,Settings!$K$4))))</f>
        <v>46288.642195767177</v>
      </c>
      <c r="N69" s="10" t="str">
        <f t="shared" ca="1" si="131"/>
        <v>Shift B</v>
      </c>
      <c r="O69" s="51" t="str">
        <f>IF(B69="","", IF(IFERROR(ISNUMBER(SEARCH(B69, VLOOKUP(E69, Machine_List!$B:$J, 9, 0))), FALSE()), "✅ Machine OK", "❌ Sug: " &amp; IFERROR(INDEX(Machine_List!$B$4:$B$50, MATCH("*"&amp;B69&amp;"*", Machine_List!$J$4:$J$50, 0)), "Check Limits")))</f>
        <v>✅ Machine OK</v>
      </c>
      <c r="P69" s="52" t="str">
        <f t="shared" ref="P69:AC69" ca="1" si="134">IF(AND(Q$3&gt;=$J69, Q$3&lt;$M69), $A69, "")</f>
        <v/>
      </c>
      <c r="Q69" s="52" t="str">
        <f t="shared" ca="1" si="134"/>
        <v/>
      </c>
      <c r="R69" s="52" t="str">
        <f t="shared" ca="1" si="134"/>
        <v/>
      </c>
      <c r="S69" s="52" t="str">
        <f t="shared" ca="1" si="134"/>
        <v/>
      </c>
      <c r="T69" s="52" t="str">
        <f t="shared" ca="1" si="134"/>
        <v/>
      </c>
      <c r="U69" s="52" t="str">
        <f t="shared" ca="1" si="134"/>
        <v/>
      </c>
      <c r="V69" s="52" t="str">
        <f t="shared" ca="1" si="134"/>
        <v/>
      </c>
      <c r="W69" s="52" t="str">
        <f t="shared" ca="1" si="134"/>
        <v/>
      </c>
      <c r="X69" s="52" t="str">
        <f t="shared" ca="1" si="134"/>
        <v/>
      </c>
      <c r="Y69" s="52" t="str">
        <f t="shared" ca="1" si="134"/>
        <v/>
      </c>
      <c r="Z69" s="52" t="str">
        <f t="shared" ca="1" si="134"/>
        <v/>
      </c>
      <c r="AA69" s="52" t="str">
        <f t="shared" ca="1" si="134"/>
        <v/>
      </c>
      <c r="AB69" s="52" t="str">
        <f t="shared" ca="1" si="134"/>
        <v/>
      </c>
      <c r="AC69" s="52" t="str">
        <f t="shared" ca="1" si="134"/>
        <v/>
      </c>
      <c r="AD69" s="52" t="str">
        <f t="shared" ref="AD69:BP69" ca="1" si="135">IF(AND(AE$3&gt;=$J69, AE$3&lt;$M69), $A69, "")</f>
        <v/>
      </c>
      <c r="AE69" s="52" t="str">
        <f t="shared" ca="1" si="135"/>
        <v/>
      </c>
      <c r="AF69" s="52" t="str">
        <f t="shared" ca="1" si="135"/>
        <v/>
      </c>
      <c r="AG69" s="52" t="str">
        <f t="shared" ca="1" si="135"/>
        <v/>
      </c>
      <c r="AH69" s="52" t="str">
        <f t="shared" ca="1" si="135"/>
        <v/>
      </c>
      <c r="AI69" s="52" t="str">
        <f t="shared" ca="1" si="135"/>
        <v/>
      </c>
      <c r="AJ69" s="52" t="str">
        <f t="shared" ca="1" si="135"/>
        <v/>
      </c>
      <c r="AK69" s="52" t="str">
        <f t="shared" ca="1" si="135"/>
        <v/>
      </c>
      <c r="AL69" s="52" t="str">
        <f t="shared" ca="1" si="135"/>
        <v/>
      </c>
      <c r="AM69" s="52" t="str">
        <f t="shared" ca="1" si="135"/>
        <v/>
      </c>
      <c r="AN69" s="52" t="str">
        <f t="shared" ca="1" si="135"/>
        <v/>
      </c>
      <c r="AO69" s="52" t="str">
        <f t="shared" ca="1" si="135"/>
        <v/>
      </c>
      <c r="AP69" s="52" t="str">
        <f t="shared" ca="1" si="135"/>
        <v/>
      </c>
      <c r="AQ69" s="52" t="str">
        <f t="shared" ca="1" si="135"/>
        <v/>
      </c>
      <c r="AR69" s="52" t="str">
        <f t="shared" ca="1" si="135"/>
        <v/>
      </c>
      <c r="AS69" s="52" t="str">
        <f t="shared" ca="1" si="135"/>
        <v/>
      </c>
      <c r="AT69" s="52" t="str">
        <f t="shared" ca="1" si="135"/>
        <v/>
      </c>
      <c r="AU69" s="52" t="str">
        <f t="shared" ca="1" si="135"/>
        <v/>
      </c>
      <c r="AV69" s="52" t="str">
        <f t="shared" ca="1" si="135"/>
        <v/>
      </c>
      <c r="AW69" s="52" t="str">
        <f t="shared" ca="1" si="135"/>
        <v/>
      </c>
      <c r="AX69" s="52" t="str">
        <f t="shared" ca="1" si="135"/>
        <v/>
      </c>
      <c r="AY69" s="52" t="str">
        <f t="shared" ca="1" si="135"/>
        <v/>
      </c>
      <c r="AZ69" s="52" t="str">
        <f t="shared" ca="1" si="135"/>
        <v/>
      </c>
      <c r="BA69" s="52" t="str">
        <f t="shared" ca="1" si="135"/>
        <v/>
      </c>
      <c r="BB69" s="52" t="str">
        <f t="shared" ca="1" si="135"/>
        <v/>
      </c>
      <c r="BC69" s="52" t="str">
        <f t="shared" ca="1" si="135"/>
        <v/>
      </c>
      <c r="BD69" s="52" t="str">
        <f t="shared" ca="1" si="135"/>
        <v/>
      </c>
      <c r="BE69" s="52" t="str">
        <f t="shared" ca="1" si="135"/>
        <v/>
      </c>
      <c r="BF69" s="52" t="str">
        <f t="shared" ca="1" si="135"/>
        <v/>
      </c>
      <c r="BG69" s="52" t="str">
        <f t="shared" ca="1" si="135"/>
        <v/>
      </c>
      <c r="BH69" s="52" t="str">
        <f t="shared" ca="1" si="135"/>
        <v/>
      </c>
      <c r="BI69" s="52" t="str">
        <f t="shared" ca="1" si="135"/>
        <v/>
      </c>
      <c r="BJ69" s="52" t="str">
        <f t="shared" ca="1" si="135"/>
        <v/>
      </c>
      <c r="BK69" s="52" t="str">
        <f t="shared" ca="1" si="135"/>
        <v/>
      </c>
      <c r="BL69" s="52" t="str">
        <f t="shared" ca="1" si="135"/>
        <v/>
      </c>
      <c r="BM69" s="52" t="str">
        <f t="shared" ca="1" si="135"/>
        <v/>
      </c>
      <c r="BN69" t="str">
        <f t="shared" ca="1" si="135"/>
        <v/>
      </c>
      <c r="BO69" t="str">
        <f t="shared" ca="1" si="135"/>
        <v/>
      </c>
      <c r="BP69" t="str">
        <f t="shared" ca="1" si="135"/>
        <v/>
      </c>
    </row>
    <row r="70" spans="1:68" ht="15" customHeight="1" x14ac:dyDescent="0.3">
      <c r="A70" s="10" t="str">
        <f>IF(Job_Master!A70="","",Job_Master!A70)</f>
        <v>BJ-166</v>
      </c>
      <c r="B70" s="10">
        <f>IF($A70="","",Job_Master!B70)</f>
        <v>50</v>
      </c>
      <c r="C70" s="10" t="str">
        <f>IF($A70="","",Job_Master!C70)</f>
        <v>SOL</v>
      </c>
      <c r="D70" s="10">
        <f>IF($A70="","",Job_Master!D70)</f>
        <v>4</v>
      </c>
      <c r="E70" s="48" t="str">
        <f>IF($A70="","","QC-MC-02")</f>
        <v>QC-MC-02</v>
      </c>
      <c r="F70" s="10" t="str">
        <f>IF($E70="","",IFERROR(VLOOKUP($E70,Machine_List!$B:$G,6,0),""))</f>
        <v>General Workman</v>
      </c>
      <c r="G70" s="53">
        <f>IF($E70="","",IFERROR(VLOOKUP($E70,Machine_List!$B:$C,2,0),""))</f>
        <v>46115</v>
      </c>
      <c r="H70" s="10">
        <f>IF($E70="","",IFERROR(VLOOKUP($E70,Machine_List!$B:$D,3,0),""))</f>
        <v>6</v>
      </c>
      <c r="I70" s="54"/>
      <c r="J70" s="55">
        <f ca="1">IF($A70="","",IF($I70&lt;&gt;"",$I70,MAX(FID_Plan!$M70,IFERROR(LOOKUP(2,1/($E$3:INDIRECT("E"&amp;(ROW()-1))=$E70),$M$3:INDIRECT("M"&amp;(ROW()-1))),FID_Plan!$M70))))</f>
        <v>46304.323412698403</v>
      </c>
      <c r="K70" s="10">
        <f>IF($A70="","",IFERROR(VLOOKUP(B70,CHOOSE(MATCH(C70,Settings!$L$4:$L$10,0),OPR_2P!$A$4:$I$18,SEG_6P!$A$4:$I$18,SOL_4P!$A$4:$I$18,RW_2P!$A$4:$I$18,RW2_4P!$A$4:$I$18,FLAP_4P!$A$4:$I$18,TUBE_4P!$A$4:$I$18),8,0),0))</f>
        <v>47</v>
      </c>
      <c r="L70" s="10">
        <f t="shared" si="130"/>
        <v>188</v>
      </c>
      <c r="M70" s="55">
        <f ca="1">IF($A70="","",$J70+($L70/(IF(F70="Contract Workman",Settings!$K$5,Settings!$K$4))))</f>
        <v>46313.027116402103</v>
      </c>
      <c r="N70" s="10" t="str">
        <f t="shared" ca="1" si="131"/>
        <v>Shift C</v>
      </c>
      <c r="O70" s="51" t="str">
        <f>IF(B70="","", IF(IFERROR(ISNUMBER(SEARCH(B70, VLOOKUP(E70, Machine_List!$B:$J, 9, 0))), FALSE()), "✅ Machine OK", "❌ Sug: " &amp; IFERROR(INDEX(Machine_List!$B$4:$B$50, MATCH("*"&amp;B70&amp;"*", Machine_List!$J$4:$J$50, 0)), "Check Limits")))</f>
        <v>✅ Machine OK</v>
      </c>
      <c r="P70" s="52" t="str">
        <f t="shared" ref="P70:AC70" ca="1" si="136">IF(AND(Q$3&gt;=$J70, Q$3&lt;$M70), $A70, "")</f>
        <v/>
      </c>
      <c r="Q70" s="52" t="str">
        <f t="shared" ca="1" si="136"/>
        <v/>
      </c>
      <c r="R70" s="52" t="str">
        <f t="shared" ca="1" si="136"/>
        <v/>
      </c>
      <c r="S70" s="52" t="str">
        <f t="shared" ca="1" si="136"/>
        <v/>
      </c>
      <c r="T70" s="52" t="str">
        <f t="shared" ca="1" si="136"/>
        <v/>
      </c>
      <c r="U70" s="52" t="str">
        <f t="shared" ca="1" si="136"/>
        <v/>
      </c>
      <c r="V70" s="52" t="str">
        <f t="shared" ca="1" si="136"/>
        <v/>
      </c>
      <c r="W70" s="52" t="str">
        <f t="shared" ca="1" si="136"/>
        <v/>
      </c>
      <c r="X70" s="52" t="str">
        <f t="shared" ca="1" si="136"/>
        <v/>
      </c>
      <c r="Y70" s="52" t="str">
        <f t="shared" ca="1" si="136"/>
        <v/>
      </c>
      <c r="Z70" s="52" t="str">
        <f t="shared" ca="1" si="136"/>
        <v/>
      </c>
      <c r="AA70" s="52" t="str">
        <f t="shared" ca="1" si="136"/>
        <v/>
      </c>
      <c r="AB70" s="52" t="str">
        <f t="shared" ca="1" si="136"/>
        <v/>
      </c>
      <c r="AC70" s="52" t="str">
        <f t="shared" ca="1" si="136"/>
        <v/>
      </c>
      <c r="AD70" s="52" t="str">
        <f t="shared" ref="AD70:BP70" ca="1" si="137">IF(AND(AE$3&gt;=$J70, AE$3&lt;$M70), $A70, "")</f>
        <v/>
      </c>
      <c r="AE70" s="52" t="str">
        <f t="shared" ca="1" si="137"/>
        <v/>
      </c>
      <c r="AF70" s="52" t="str">
        <f t="shared" ca="1" si="137"/>
        <v/>
      </c>
      <c r="AG70" s="52" t="str">
        <f t="shared" ca="1" si="137"/>
        <v/>
      </c>
      <c r="AH70" s="52" t="str">
        <f t="shared" ca="1" si="137"/>
        <v/>
      </c>
      <c r="AI70" s="52" t="str">
        <f t="shared" ca="1" si="137"/>
        <v/>
      </c>
      <c r="AJ70" s="52" t="str">
        <f t="shared" ca="1" si="137"/>
        <v/>
      </c>
      <c r="AK70" s="52" t="str">
        <f t="shared" ca="1" si="137"/>
        <v/>
      </c>
      <c r="AL70" s="52" t="str">
        <f t="shared" ca="1" si="137"/>
        <v/>
      </c>
      <c r="AM70" s="52" t="str">
        <f t="shared" ca="1" si="137"/>
        <v/>
      </c>
      <c r="AN70" s="52" t="str">
        <f t="shared" ca="1" si="137"/>
        <v/>
      </c>
      <c r="AO70" s="52" t="str">
        <f t="shared" ca="1" si="137"/>
        <v/>
      </c>
      <c r="AP70" s="52" t="str">
        <f t="shared" ca="1" si="137"/>
        <v/>
      </c>
      <c r="AQ70" s="52" t="str">
        <f t="shared" ca="1" si="137"/>
        <v/>
      </c>
      <c r="AR70" s="52" t="str">
        <f t="shared" ca="1" si="137"/>
        <v/>
      </c>
      <c r="AS70" s="52" t="str">
        <f t="shared" ca="1" si="137"/>
        <v/>
      </c>
      <c r="AT70" s="52" t="str">
        <f t="shared" ca="1" si="137"/>
        <v/>
      </c>
      <c r="AU70" s="52" t="str">
        <f t="shared" ca="1" si="137"/>
        <v/>
      </c>
      <c r="AV70" s="52" t="str">
        <f t="shared" ca="1" si="137"/>
        <v/>
      </c>
      <c r="AW70" s="52" t="str">
        <f t="shared" ca="1" si="137"/>
        <v/>
      </c>
      <c r="AX70" s="52" t="str">
        <f t="shared" ca="1" si="137"/>
        <v/>
      </c>
      <c r="AY70" s="52" t="str">
        <f t="shared" ca="1" si="137"/>
        <v/>
      </c>
      <c r="AZ70" s="52" t="str">
        <f t="shared" ca="1" si="137"/>
        <v/>
      </c>
      <c r="BA70" s="52" t="str">
        <f t="shared" ca="1" si="137"/>
        <v/>
      </c>
      <c r="BB70" s="52" t="str">
        <f t="shared" ca="1" si="137"/>
        <v/>
      </c>
      <c r="BC70" s="52" t="str">
        <f t="shared" ca="1" si="137"/>
        <v/>
      </c>
      <c r="BD70" s="52" t="str">
        <f t="shared" ca="1" si="137"/>
        <v/>
      </c>
      <c r="BE70" s="52" t="str">
        <f t="shared" ca="1" si="137"/>
        <v/>
      </c>
      <c r="BF70" s="52" t="str">
        <f t="shared" ca="1" si="137"/>
        <v/>
      </c>
      <c r="BG70" s="52" t="str">
        <f t="shared" ca="1" si="137"/>
        <v/>
      </c>
      <c r="BH70" s="52" t="str">
        <f t="shared" ca="1" si="137"/>
        <v/>
      </c>
      <c r="BI70" s="52" t="str">
        <f t="shared" ca="1" si="137"/>
        <v/>
      </c>
      <c r="BJ70" s="52" t="str">
        <f t="shared" ca="1" si="137"/>
        <v/>
      </c>
      <c r="BK70" s="52" t="str">
        <f t="shared" ca="1" si="137"/>
        <v/>
      </c>
      <c r="BL70" s="52" t="str">
        <f t="shared" ca="1" si="137"/>
        <v/>
      </c>
      <c r="BM70" s="52" t="str">
        <f t="shared" ca="1" si="137"/>
        <v/>
      </c>
      <c r="BN70" t="str">
        <f t="shared" ca="1" si="137"/>
        <v/>
      </c>
      <c r="BO70" t="str">
        <f t="shared" ca="1" si="137"/>
        <v/>
      </c>
      <c r="BP70" t="str">
        <f t="shared" ca="1" si="137"/>
        <v/>
      </c>
    </row>
    <row r="71" spans="1:68" ht="15" customHeight="1" x14ac:dyDescent="0.3">
      <c r="A71" s="10" t="str">
        <f>IF(Job_Master!A71="","",Job_Master!A71)</f>
        <v>BJ-162</v>
      </c>
      <c r="B71" s="10">
        <f>IF($A71="","",Job_Master!B71)</f>
        <v>17</v>
      </c>
      <c r="C71" s="10" t="str">
        <f>IF($A71="","",Job_Master!C71)</f>
        <v>SOL</v>
      </c>
      <c r="D71" s="10">
        <f>IF($A71="","",Job_Master!D71)</f>
        <v>4</v>
      </c>
      <c r="E71" s="48" t="str">
        <f>IF($A71="","","QC-MC-05")</f>
        <v>QC-MC-05</v>
      </c>
      <c r="F71" s="10" t="str">
        <f>IF($E71="","",IFERROR(VLOOKUP($E71,Machine_List!$B:$G,6,0),""))</f>
        <v>General Workman</v>
      </c>
      <c r="G71" s="53">
        <f>IF($E71="","",IFERROR(VLOOKUP($E71,Machine_List!$B:$C,2,0),""))</f>
        <v>46373</v>
      </c>
      <c r="H71" s="10">
        <f>IF($E71="","",IFERROR(VLOOKUP($E71,Machine_List!$B:$D,3,0),""))</f>
        <v>6</v>
      </c>
      <c r="I71" s="54"/>
      <c r="J71" s="55">
        <f ca="1">IF($A71="","",IF($I71&lt;&gt;"",$I71,MAX(FID_Plan!$M71,IFERROR(LOOKUP(2,1/($E$3:INDIRECT("E"&amp;(ROW()-1))=$E71),$M$3:INDIRECT("M"&amp;(ROW()-1))),FID_Plan!$M71))))</f>
        <v>46241.191798941807</v>
      </c>
      <c r="K71" s="10">
        <f>IF($A71="","",IFERROR(VLOOKUP(B71,CHOOSE(MATCH(C71,Settings!$L$4:$L$10,0),OPR_2P!$A$4:$I$18,SEG_6P!$A$4:$I$18,SOL_4P!$A$4:$I$18,RW_2P!$A$4:$I$18,RW2_4P!$A$4:$I$18,FLAP_4P!$A$4:$I$18,TUBE_4P!$A$4:$I$18),8,0),0))</f>
        <v>15</v>
      </c>
      <c r="L71" s="10">
        <f t="shared" si="130"/>
        <v>60</v>
      </c>
      <c r="M71" s="55">
        <f ca="1">IF($A71="","",$J71+($L71/(IF(F71="Contract Workman",Settings!$K$5,Settings!$K$4))))</f>
        <v>46243.969576719588</v>
      </c>
      <c r="N71" s="10" t="str">
        <f t="shared" ca="1" si="131"/>
        <v>Shift C</v>
      </c>
      <c r="O71" s="51" t="str">
        <f>IF(B71="","", IF(IFERROR(ISNUMBER(SEARCH(B71, VLOOKUP(E71, Machine_List!$B:$J, 9, 0))), FALSE()), "✅ Machine OK", "❌ Sug: " &amp; IFERROR(INDEX(Machine_List!$B$4:$B$50, MATCH("*"&amp;B71&amp;"*", Machine_List!$J$4:$J$50, 0)), "Check Limits")))</f>
        <v>✅ Machine OK</v>
      </c>
      <c r="P71" s="52" t="str">
        <f t="shared" ref="P71:AC71" ca="1" si="138">IF(AND(Q$3&gt;=$J71, Q$3&lt;$M71), $A71, "")</f>
        <v/>
      </c>
      <c r="Q71" s="52" t="str">
        <f t="shared" ca="1" si="138"/>
        <v/>
      </c>
      <c r="R71" s="52" t="str">
        <f t="shared" ca="1" si="138"/>
        <v/>
      </c>
      <c r="S71" s="52" t="str">
        <f t="shared" ca="1" si="138"/>
        <v/>
      </c>
      <c r="T71" s="52" t="str">
        <f t="shared" ca="1" si="138"/>
        <v/>
      </c>
      <c r="U71" s="52" t="str">
        <f t="shared" ca="1" si="138"/>
        <v/>
      </c>
      <c r="V71" s="52" t="str">
        <f t="shared" ca="1" si="138"/>
        <v/>
      </c>
      <c r="W71" s="52" t="str">
        <f t="shared" ca="1" si="138"/>
        <v/>
      </c>
      <c r="X71" s="52" t="str">
        <f t="shared" ca="1" si="138"/>
        <v/>
      </c>
      <c r="Y71" s="52" t="str">
        <f t="shared" ca="1" si="138"/>
        <v/>
      </c>
      <c r="Z71" s="52" t="str">
        <f t="shared" ca="1" si="138"/>
        <v/>
      </c>
      <c r="AA71" s="52" t="str">
        <f t="shared" ca="1" si="138"/>
        <v/>
      </c>
      <c r="AB71" s="52" t="str">
        <f t="shared" ca="1" si="138"/>
        <v/>
      </c>
      <c r="AC71" s="52" t="str">
        <f t="shared" ca="1" si="138"/>
        <v/>
      </c>
      <c r="AD71" s="52" t="str">
        <f t="shared" ref="AD71:BP71" ca="1" si="139">IF(AND(AE$3&gt;=$J71, AE$3&lt;$M71), $A71, "")</f>
        <v/>
      </c>
      <c r="AE71" s="52" t="str">
        <f t="shared" ca="1" si="139"/>
        <v/>
      </c>
      <c r="AF71" s="52" t="str">
        <f t="shared" ca="1" si="139"/>
        <v/>
      </c>
      <c r="AG71" s="52" t="str">
        <f t="shared" ca="1" si="139"/>
        <v/>
      </c>
      <c r="AH71" s="52" t="str">
        <f t="shared" ca="1" si="139"/>
        <v/>
      </c>
      <c r="AI71" s="52" t="str">
        <f t="shared" ca="1" si="139"/>
        <v/>
      </c>
      <c r="AJ71" s="52" t="str">
        <f t="shared" ca="1" si="139"/>
        <v/>
      </c>
      <c r="AK71" s="52" t="str">
        <f t="shared" ca="1" si="139"/>
        <v/>
      </c>
      <c r="AL71" s="52" t="str">
        <f t="shared" ca="1" si="139"/>
        <v/>
      </c>
      <c r="AM71" s="52" t="str">
        <f t="shared" ca="1" si="139"/>
        <v/>
      </c>
      <c r="AN71" s="52" t="str">
        <f t="shared" ca="1" si="139"/>
        <v/>
      </c>
      <c r="AO71" s="52" t="str">
        <f t="shared" ca="1" si="139"/>
        <v/>
      </c>
      <c r="AP71" s="52" t="str">
        <f t="shared" ca="1" si="139"/>
        <v/>
      </c>
      <c r="AQ71" s="52" t="str">
        <f t="shared" ca="1" si="139"/>
        <v/>
      </c>
      <c r="AR71" s="52" t="str">
        <f t="shared" ca="1" si="139"/>
        <v/>
      </c>
      <c r="AS71" s="52" t="str">
        <f t="shared" ca="1" si="139"/>
        <v/>
      </c>
      <c r="AT71" s="52" t="str">
        <f t="shared" ca="1" si="139"/>
        <v/>
      </c>
      <c r="AU71" s="52" t="str">
        <f t="shared" ca="1" si="139"/>
        <v/>
      </c>
      <c r="AV71" s="52" t="str">
        <f t="shared" ca="1" si="139"/>
        <v/>
      </c>
      <c r="AW71" s="52" t="str">
        <f t="shared" ca="1" si="139"/>
        <v/>
      </c>
      <c r="AX71" s="52" t="str">
        <f t="shared" ca="1" si="139"/>
        <v/>
      </c>
      <c r="AY71" s="52" t="str">
        <f t="shared" ca="1" si="139"/>
        <v/>
      </c>
      <c r="AZ71" s="52" t="str">
        <f t="shared" ca="1" si="139"/>
        <v/>
      </c>
      <c r="BA71" s="52" t="str">
        <f t="shared" ca="1" si="139"/>
        <v/>
      </c>
      <c r="BB71" s="52" t="str">
        <f t="shared" ca="1" si="139"/>
        <v/>
      </c>
      <c r="BC71" s="52" t="str">
        <f t="shared" ca="1" si="139"/>
        <v/>
      </c>
      <c r="BD71" s="52" t="str">
        <f t="shared" ca="1" si="139"/>
        <v/>
      </c>
      <c r="BE71" s="52" t="str">
        <f t="shared" ca="1" si="139"/>
        <v/>
      </c>
      <c r="BF71" s="52" t="str">
        <f t="shared" ca="1" si="139"/>
        <v/>
      </c>
      <c r="BG71" s="52" t="str">
        <f t="shared" ca="1" si="139"/>
        <v/>
      </c>
      <c r="BH71" s="52" t="str">
        <f t="shared" ca="1" si="139"/>
        <v/>
      </c>
      <c r="BI71" s="52" t="str">
        <f t="shared" ca="1" si="139"/>
        <v/>
      </c>
      <c r="BJ71" s="52" t="str">
        <f t="shared" ca="1" si="139"/>
        <v/>
      </c>
      <c r="BK71" s="52" t="str">
        <f t="shared" ca="1" si="139"/>
        <v/>
      </c>
      <c r="BL71" s="52" t="str">
        <f t="shared" ca="1" si="139"/>
        <v/>
      </c>
      <c r="BM71" s="52" t="str">
        <f t="shared" ca="1" si="139"/>
        <v/>
      </c>
      <c r="BN71" t="str">
        <f t="shared" ca="1" si="139"/>
        <v/>
      </c>
      <c r="BO71" t="str">
        <f t="shared" ca="1" si="139"/>
        <v/>
      </c>
      <c r="BP71" t="str">
        <f t="shared" ca="1" si="139"/>
        <v/>
      </c>
    </row>
    <row r="72" spans="1:68" ht="15" customHeight="1" x14ac:dyDescent="0.3">
      <c r="A72" s="10" t="str">
        <f>IF(Job_Master!A72="","",Job_Master!A72)</f>
        <v>BJ-165</v>
      </c>
      <c r="B72" s="10">
        <f>IF($A72="","",Job_Master!B72)</f>
        <v>17</v>
      </c>
      <c r="C72" s="10" t="str">
        <f>IF($A72="","",Job_Master!C72)</f>
        <v>2P</v>
      </c>
      <c r="D72" s="10">
        <f>IF($A72="","",Job_Master!D72)</f>
        <v>2</v>
      </c>
      <c r="E72" s="48" t="str">
        <f>IF($A72="","","QC-MC-03")</f>
        <v>QC-MC-03</v>
      </c>
      <c r="F72" s="10" t="str">
        <f>IF($E72="","",IFERROR(VLOOKUP($E72,Machine_List!$B:$G,6,0),""))</f>
        <v>General Workman</v>
      </c>
      <c r="G72" s="53">
        <f>IF($E72="","",IFERROR(VLOOKUP($E72,Machine_List!$B:$C,2,0),""))</f>
        <v>46172</v>
      </c>
      <c r="H72" s="10">
        <f>IF($E72="","",IFERROR(VLOOKUP($E72,Machine_List!$B:$D,3,0),""))</f>
        <v>6</v>
      </c>
      <c r="I72" s="54"/>
      <c r="J72" s="55">
        <f ca="1">IF($A72="","",IF($I72&lt;&gt;"",$I72,MAX(FID_Plan!$M72,IFERROR(LOOKUP(2,1/($E$3:INDIRECT("E"&amp;(ROW()-1))=$E72),$M$3:INDIRECT("M"&amp;(ROW()-1))),FID_Plan!$M72))))</f>
        <v>46257.739417989404</v>
      </c>
      <c r="K72" s="10">
        <f>IF($A72="","",IFERROR(VLOOKUP(B72,CHOOSE(MATCH(C72,Settings!$L$4:$L$10,0),OPR_2P!$A$4:$I$18,SEG_6P!$A$4:$I$18,SOL_4P!$A$4:$I$18,RW_2P!$A$4:$I$18,RW2_4P!$A$4:$I$18,FLAP_4P!$A$4:$I$18,TUBE_4P!$A$4:$I$18),8,0),0))</f>
        <v>13</v>
      </c>
      <c r="L72" s="10">
        <f t="shared" si="130"/>
        <v>26</v>
      </c>
      <c r="M72" s="55">
        <f ca="1">IF($A72="","",$J72+($L72/(IF(F72="Contract Workman",Settings!$K$5,Settings!$K$4))))</f>
        <v>46258.943121693104</v>
      </c>
      <c r="N72" s="10" t="str">
        <f t="shared" ca="1" si="131"/>
        <v>Shift B</v>
      </c>
      <c r="O72" s="51" t="str">
        <f>IF(B72="","", IF(IFERROR(ISNUMBER(SEARCH(B72, VLOOKUP(E72, Machine_List!$B:$J, 9, 0))), FALSE()), "✅ Machine OK", "❌ Sug: " &amp; IFERROR(INDEX(Machine_List!$B$4:$B$50, MATCH("*"&amp;B72&amp;"*", Machine_List!$J$4:$J$50, 0)), "Check Limits")))</f>
        <v>✅ Machine OK</v>
      </c>
      <c r="P72" s="52" t="str">
        <f t="shared" ref="P72:AC72" ca="1" si="140">IF(AND(Q$3&gt;=$J72, Q$3&lt;$M72), $A72, "")</f>
        <v/>
      </c>
      <c r="Q72" s="52" t="str">
        <f t="shared" ca="1" si="140"/>
        <v/>
      </c>
      <c r="R72" s="52" t="str">
        <f t="shared" ca="1" si="140"/>
        <v/>
      </c>
      <c r="S72" s="52" t="str">
        <f t="shared" ca="1" si="140"/>
        <v/>
      </c>
      <c r="T72" s="52" t="str">
        <f t="shared" ca="1" si="140"/>
        <v/>
      </c>
      <c r="U72" s="52" t="str">
        <f t="shared" ca="1" si="140"/>
        <v/>
      </c>
      <c r="V72" s="52" t="str">
        <f t="shared" ca="1" si="140"/>
        <v/>
      </c>
      <c r="W72" s="52" t="str">
        <f t="shared" ca="1" si="140"/>
        <v/>
      </c>
      <c r="X72" s="52" t="str">
        <f t="shared" ca="1" si="140"/>
        <v/>
      </c>
      <c r="Y72" s="52" t="str">
        <f t="shared" ca="1" si="140"/>
        <v/>
      </c>
      <c r="Z72" s="52" t="str">
        <f t="shared" ca="1" si="140"/>
        <v/>
      </c>
      <c r="AA72" s="52" t="str">
        <f t="shared" ca="1" si="140"/>
        <v/>
      </c>
      <c r="AB72" s="52" t="str">
        <f t="shared" ca="1" si="140"/>
        <v/>
      </c>
      <c r="AC72" s="52" t="str">
        <f t="shared" ca="1" si="140"/>
        <v/>
      </c>
      <c r="AD72" s="52" t="str">
        <f t="shared" ref="AD72:BP72" ca="1" si="141">IF(AND(AE$3&gt;=$J72, AE$3&lt;$M72), $A72, "")</f>
        <v/>
      </c>
      <c r="AE72" s="52" t="str">
        <f t="shared" ca="1" si="141"/>
        <v/>
      </c>
      <c r="AF72" s="52" t="str">
        <f t="shared" ca="1" si="141"/>
        <v/>
      </c>
      <c r="AG72" s="52" t="str">
        <f t="shared" ca="1" si="141"/>
        <v/>
      </c>
      <c r="AH72" s="52" t="str">
        <f t="shared" ca="1" si="141"/>
        <v/>
      </c>
      <c r="AI72" s="52" t="str">
        <f t="shared" ca="1" si="141"/>
        <v/>
      </c>
      <c r="AJ72" s="52" t="str">
        <f t="shared" ca="1" si="141"/>
        <v/>
      </c>
      <c r="AK72" s="52" t="str">
        <f t="shared" ca="1" si="141"/>
        <v/>
      </c>
      <c r="AL72" s="52" t="str">
        <f t="shared" ca="1" si="141"/>
        <v/>
      </c>
      <c r="AM72" s="52" t="str">
        <f t="shared" ca="1" si="141"/>
        <v/>
      </c>
      <c r="AN72" s="52" t="str">
        <f t="shared" ca="1" si="141"/>
        <v/>
      </c>
      <c r="AO72" s="52" t="str">
        <f t="shared" ca="1" si="141"/>
        <v/>
      </c>
      <c r="AP72" s="52" t="str">
        <f t="shared" ca="1" si="141"/>
        <v/>
      </c>
      <c r="AQ72" s="52" t="str">
        <f t="shared" ca="1" si="141"/>
        <v/>
      </c>
      <c r="AR72" s="52" t="str">
        <f t="shared" ca="1" si="141"/>
        <v/>
      </c>
      <c r="AS72" s="52" t="str">
        <f t="shared" ca="1" si="141"/>
        <v/>
      </c>
      <c r="AT72" s="52" t="str">
        <f t="shared" ca="1" si="141"/>
        <v/>
      </c>
      <c r="AU72" s="52" t="str">
        <f t="shared" ca="1" si="141"/>
        <v/>
      </c>
      <c r="AV72" s="52" t="str">
        <f t="shared" ca="1" si="141"/>
        <v/>
      </c>
      <c r="AW72" s="52" t="str">
        <f t="shared" ca="1" si="141"/>
        <v/>
      </c>
      <c r="AX72" s="52" t="str">
        <f t="shared" ca="1" si="141"/>
        <v/>
      </c>
      <c r="AY72" s="52" t="str">
        <f t="shared" ca="1" si="141"/>
        <v/>
      </c>
      <c r="AZ72" s="52" t="str">
        <f t="shared" ca="1" si="141"/>
        <v/>
      </c>
      <c r="BA72" s="52" t="str">
        <f t="shared" ca="1" si="141"/>
        <v/>
      </c>
      <c r="BB72" s="52" t="str">
        <f t="shared" ca="1" si="141"/>
        <v/>
      </c>
      <c r="BC72" s="52" t="str">
        <f t="shared" ca="1" si="141"/>
        <v/>
      </c>
      <c r="BD72" s="52" t="str">
        <f t="shared" ca="1" si="141"/>
        <v/>
      </c>
      <c r="BE72" s="52" t="str">
        <f t="shared" ca="1" si="141"/>
        <v/>
      </c>
      <c r="BF72" s="52" t="str">
        <f t="shared" ca="1" si="141"/>
        <v/>
      </c>
      <c r="BG72" s="52" t="str">
        <f t="shared" ca="1" si="141"/>
        <v/>
      </c>
      <c r="BH72" s="52" t="str">
        <f t="shared" ca="1" si="141"/>
        <v/>
      </c>
      <c r="BI72" s="52" t="str">
        <f t="shared" ca="1" si="141"/>
        <v/>
      </c>
      <c r="BJ72" s="52" t="str">
        <f t="shared" ca="1" si="141"/>
        <v/>
      </c>
      <c r="BK72" s="52" t="str">
        <f t="shared" ca="1" si="141"/>
        <v/>
      </c>
      <c r="BL72" s="52" t="str">
        <f t="shared" ca="1" si="141"/>
        <v/>
      </c>
      <c r="BM72" s="52" t="str">
        <f t="shared" ca="1" si="141"/>
        <v/>
      </c>
      <c r="BN72" t="str">
        <f t="shared" ca="1" si="141"/>
        <v/>
      </c>
      <c r="BO72" t="str">
        <f t="shared" ca="1" si="141"/>
        <v/>
      </c>
      <c r="BP72" t="str">
        <f t="shared" ca="1" si="141"/>
        <v/>
      </c>
    </row>
    <row r="73" spans="1:68" ht="15" customHeight="1" x14ac:dyDescent="0.3">
      <c r="A73" s="10" t="str">
        <f>IF(Job_Master!A73="","",Job_Master!A73)</f>
        <v>BJ-169</v>
      </c>
      <c r="B73" s="10">
        <f>IF($A73="","",Job_Master!B73)</f>
        <v>17</v>
      </c>
      <c r="C73" s="10" t="str">
        <f>IF($A73="","",Job_Master!C73)</f>
        <v>SEG</v>
      </c>
      <c r="D73" s="10">
        <f>IF($A73="","",Job_Master!D73)</f>
        <v>6</v>
      </c>
      <c r="E73" s="48" t="str">
        <f>IF($A73="","","QC-MC-03")</f>
        <v>QC-MC-03</v>
      </c>
      <c r="F73" s="10" t="str">
        <f>IF($E73="","",IFERROR(VLOOKUP($E73,Machine_List!$B:$G,6,0),""))</f>
        <v>General Workman</v>
      </c>
      <c r="G73" s="53">
        <f>IF($E73="","",IFERROR(VLOOKUP($E73,Machine_List!$B:$C,2,0),""))</f>
        <v>46172</v>
      </c>
      <c r="H73" s="10">
        <f>IF($E73="","",IFERROR(VLOOKUP($E73,Machine_List!$B:$D,3,0),""))</f>
        <v>6</v>
      </c>
      <c r="I73" s="54"/>
      <c r="J73" s="55">
        <f ca="1">IF($A73="","",IF($I73&lt;&gt;"",$I73,MAX(FID_Plan!$M73,IFERROR(LOOKUP(2,1/($E$3:INDIRECT("E"&amp;(ROW()-1))=$E73),$M$3:INDIRECT("M"&amp;(ROW()-1))),FID_Plan!$M73))))</f>
        <v>46258.943121693104</v>
      </c>
      <c r="K73" s="10">
        <f>IF($A73="","",IFERROR(VLOOKUP(B73,CHOOSE(MATCH(C73,Settings!$L$4:$L$10,0),OPR_2P!$A$4:$I$18,SEG_6P!$A$4:$I$18,SOL_4P!$A$4:$I$18,RW_2P!$A$4:$I$18,RW2_4P!$A$4:$I$18,FLAP_4P!$A$4:$I$18,TUBE_4P!$A$4:$I$18),8,0),0))</f>
        <v>11</v>
      </c>
      <c r="L73" s="10">
        <f t="shared" si="130"/>
        <v>66</v>
      </c>
      <c r="M73" s="55">
        <f ca="1">IF($A73="","",$J73+($L73/(IF(F73="Contract Workman",Settings!$K$5,Settings!$K$4))))</f>
        <v>46261.998677248659</v>
      </c>
      <c r="N73" s="10" t="str">
        <f t="shared" ca="1" si="131"/>
        <v>Shift C</v>
      </c>
      <c r="O73" s="51" t="str">
        <f>IF(B73="","", IF(IFERROR(ISNUMBER(SEARCH(B73, VLOOKUP(E73, Machine_List!$B:$J, 9, 0))), FALSE()), "✅ Machine OK", "❌ Sug: " &amp; IFERROR(INDEX(Machine_List!$B$4:$B$50, MATCH("*"&amp;B73&amp;"*", Machine_List!$J$4:$J$50, 0)), "Check Limits")))</f>
        <v>✅ Machine OK</v>
      </c>
      <c r="P73" s="52" t="str">
        <f t="shared" ref="P73:AC73" ca="1" si="142">IF(AND(Q$3&gt;=$J73, Q$3&lt;$M73), $A73, "")</f>
        <v/>
      </c>
      <c r="Q73" s="52" t="str">
        <f t="shared" ca="1" si="142"/>
        <v/>
      </c>
      <c r="R73" s="52" t="str">
        <f t="shared" ca="1" si="142"/>
        <v/>
      </c>
      <c r="S73" s="52" t="str">
        <f t="shared" ca="1" si="142"/>
        <v/>
      </c>
      <c r="T73" s="52" t="str">
        <f t="shared" ca="1" si="142"/>
        <v/>
      </c>
      <c r="U73" s="52" t="str">
        <f t="shared" ca="1" si="142"/>
        <v/>
      </c>
      <c r="V73" s="52" t="str">
        <f t="shared" ca="1" si="142"/>
        <v/>
      </c>
      <c r="W73" s="52" t="str">
        <f t="shared" ca="1" si="142"/>
        <v/>
      </c>
      <c r="X73" s="52" t="str">
        <f t="shared" ca="1" si="142"/>
        <v/>
      </c>
      <c r="Y73" s="52" t="str">
        <f t="shared" ca="1" si="142"/>
        <v/>
      </c>
      <c r="Z73" s="52" t="str">
        <f t="shared" ca="1" si="142"/>
        <v/>
      </c>
      <c r="AA73" s="52" t="str">
        <f t="shared" ca="1" si="142"/>
        <v/>
      </c>
      <c r="AB73" s="52" t="str">
        <f t="shared" ca="1" si="142"/>
        <v/>
      </c>
      <c r="AC73" s="52" t="str">
        <f t="shared" ca="1" si="142"/>
        <v/>
      </c>
      <c r="AD73" s="52" t="str">
        <f t="shared" ref="AD73:BP73" ca="1" si="143">IF(AND(AE$3&gt;=$J73, AE$3&lt;$M73), $A73, "")</f>
        <v/>
      </c>
      <c r="AE73" s="52" t="str">
        <f t="shared" ca="1" si="143"/>
        <v/>
      </c>
      <c r="AF73" s="52" t="str">
        <f t="shared" ca="1" si="143"/>
        <v/>
      </c>
      <c r="AG73" s="52" t="str">
        <f t="shared" ca="1" si="143"/>
        <v/>
      </c>
      <c r="AH73" s="52" t="str">
        <f t="shared" ca="1" si="143"/>
        <v/>
      </c>
      <c r="AI73" s="52" t="str">
        <f t="shared" ca="1" si="143"/>
        <v/>
      </c>
      <c r="AJ73" s="52" t="str">
        <f t="shared" ca="1" si="143"/>
        <v/>
      </c>
      <c r="AK73" s="52" t="str">
        <f t="shared" ca="1" si="143"/>
        <v/>
      </c>
      <c r="AL73" s="52" t="str">
        <f t="shared" ca="1" si="143"/>
        <v/>
      </c>
      <c r="AM73" s="52" t="str">
        <f t="shared" ca="1" si="143"/>
        <v/>
      </c>
      <c r="AN73" s="52" t="str">
        <f t="shared" ca="1" si="143"/>
        <v/>
      </c>
      <c r="AO73" s="52" t="str">
        <f t="shared" ca="1" si="143"/>
        <v/>
      </c>
      <c r="AP73" s="52" t="str">
        <f t="shared" ca="1" si="143"/>
        <v/>
      </c>
      <c r="AQ73" s="52" t="str">
        <f t="shared" ca="1" si="143"/>
        <v/>
      </c>
      <c r="AR73" s="52" t="str">
        <f t="shared" ca="1" si="143"/>
        <v/>
      </c>
      <c r="AS73" s="52" t="str">
        <f t="shared" ca="1" si="143"/>
        <v/>
      </c>
      <c r="AT73" s="52" t="str">
        <f t="shared" ca="1" si="143"/>
        <v/>
      </c>
      <c r="AU73" s="52" t="str">
        <f t="shared" ca="1" si="143"/>
        <v/>
      </c>
      <c r="AV73" s="52" t="str">
        <f t="shared" ca="1" si="143"/>
        <v/>
      </c>
      <c r="AW73" s="52" t="str">
        <f t="shared" ca="1" si="143"/>
        <v/>
      </c>
      <c r="AX73" s="52" t="str">
        <f t="shared" ca="1" si="143"/>
        <v/>
      </c>
      <c r="AY73" s="52" t="str">
        <f t="shared" ca="1" si="143"/>
        <v/>
      </c>
      <c r="AZ73" s="52" t="str">
        <f t="shared" ca="1" si="143"/>
        <v/>
      </c>
      <c r="BA73" s="52" t="str">
        <f t="shared" ca="1" si="143"/>
        <v/>
      </c>
      <c r="BB73" s="52" t="str">
        <f t="shared" ca="1" si="143"/>
        <v/>
      </c>
      <c r="BC73" s="52" t="str">
        <f t="shared" ca="1" si="143"/>
        <v/>
      </c>
      <c r="BD73" s="52" t="str">
        <f t="shared" ca="1" si="143"/>
        <v/>
      </c>
      <c r="BE73" s="52" t="str">
        <f t="shared" ca="1" si="143"/>
        <v/>
      </c>
      <c r="BF73" s="52" t="str">
        <f t="shared" ca="1" si="143"/>
        <v/>
      </c>
      <c r="BG73" s="52" t="str">
        <f t="shared" ca="1" si="143"/>
        <v/>
      </c>
      <c r="BH73" s="52" t="str">
        <f t="shared" ca="1" si="143"/>
        <v/>
      </c>
      <c r="BI73" s="52" t="str">
        <f t="shared" ca="1" si="143"/>
        <v/>
      </c>
      <c r="BJ73" s="52" t="str">
        <f t="shared" ca="1" si="143"/>
        <v/>
      </c>
      <c r="BK73" s="52" t="str">
        <f t="shared" ca="1" si="143"/>
        <v/>
      </c>
      <c r="BL73" s="52" t="str">
        <f t="shared" ca="1" si="143"/>
        <v/>
      </c>
      <c r="BM73" s="52" t="str">
        <f t="shared" ca="1" si="143"/>
        <v/>
      </c>
      <c r="BN73" t="str">
        <f t="shared" ca="1" si="143"/>
        <v/>
      </c>
      <c r="BO73" t="str">
        <f t="shared" ca="1" si="143"/>
        <v/>
      </c>
      <c r="BP73" t="str">
        <f t="shared" ca="1" si="143"/>
        <v/>
      </c>
    </row>
    <row r="74" spans="1:68" ht="15" customHeight="1" x14ac:dyDescent="0.3">
      <c r="A74" s="10" t="str">
        <f>IF(Job_Master!A74="","",Job_Master!A74)</f>
        <v>BJ-170</v>
      </c>
      <c r="B74" s="10">
        <f>IF($A74="","",Job_Master!B74)</f>
        <v>20</v>
      </c>
      <c r="C74" s="10" t="str">
        <f>IF($A74="","",Job_Master!C74)</f>
        <v>SOL</v>
      </c>
      <c r="D74" s="10">
        <f>IF($A74="","",Job_Master!D74)</f>
        <v>4</v>
      </c>
      <c r="E74" s="48" t="str">
        <f>IF($A74="","",IFERROR(INDEX(Machine_List!$B$82:$B$86,MATCH("*"&amp;$B74&amp;"*",Machine_List!$J$82:$J$86,0)),"NO COMPATIBLE MACHINE"))</f>
        <v>QC-MC-01</v>
      </c>
      <c r="F74" s="10" t="str">
        <f>IF($E74="","",IFERROR(VLOOKUP($E74,Machine_List!$B:$G,6,0),""))</f>
        <v>General Workman</v>
      </c>
      <c r="G74" s="53">
        <f>IF($E74="","",IFERROR(VLOOKUP($E74,Machine_List!$B:$C,2,0),""))</f>
        <v>46518</v>
      </c>
      <c r="H74" s="10">
        <f>IF($E74="","",IFERROR(VLOOKUP($E74,Machine_List!$B:$D,3,0),""))</f>
        <v>6</v>
      </c>
      <c r="I74" s="54"/>
      <c r="J74" s="55">
        <f ca="1">IF($A74="","",IF($I74&lt;&gt;"",$I74,MAX(FID_Plan!$M74,IFERROR(LOOKUP(2,1/($E$3:INDIRECT("E"&amp;(ROW()-1))=$E74),$M$3:INDIRECT("M"&amp;(ROW()-1))),FID_Plan!$M74))))</f>
        <v>46331.995370370365</v>
      </c>
      <c r="K74" s="10">
        <f>IF($A74="","",IFERROR(VLOOKUP(B74,CHOOSE(MATCH(C74,Settings!$L$4:$L$10,0),OPR_2P!$A$4:$I$18,SEG_6P!$A$4:$I$18,SOL_4P!$A$4:$I$18,RW_2P!$A$4:$I$18,RW2_4P!$A$4:$I$18,FLAP_4P!$A$4:$I$18,TUBE_4P!$A$4:$I$18),8,0),0))</f>
        <v>16</v>
      </c>
      <c r="L74" s="10">
        <f t="shared" si="130"/>
        <v>64</v>
      </c>
      <c r="M74" s="55">
        <f ca="1">IF($A74="","",$J74+($L74/(IF(F74="Contract Workman",Settings!$K$5,Settings!$K$4))))</f>
        <v>46334.958333333328</v>
      </c>
      <c r="N74" s="10" t="str">
        <f t="shared" ca="1" si="131"/>
        <v>Shift B</v>
      </c>
      <c r="O74" s="51" t="str">
        <f>IF(B74="","", IF(IFERROR(ISNUMBER(SEARCH(B74, VLOOKUP(E74, Machine_List!$B:$J, 9, 0))), FALSE()), "✅ Machine OK", "❌ Sug: " &amp; IFERROR(INDEX(Machine_List!$B$4:$B$50, MATCH("*"&amp;B74&amp;"*", Machine_List!$J$4:$J$50, 0)), "Check Limits")))</f>
        <v>✅ Machine OK</v>
      </c>
      <c r="P74" s="52" t="str">
        <f t="shared" ref="P74:AC74" ca="1" si="144">IF(AND(Q$3&gt;=$J74, Q$3&lt;$M74), $A74, "")</f>
        <v/>
      </c>
      <c r="Q74" s="52" t="str">
        <f t="shared" ca="1" si="144"/>
        <v/>
      </c>
      <c r="R74" s="52" t="str">
        <f t="shared" ca="1" si="144"/>
        <v/>
      </c>
      <c r="S74" s="52" t="str">
        <f t="shared" ca="1" si="144"/>
        <v/>
      </c>
      <c r="T74" s="52" t="str">
        <f t="shared" ca="1" si="144"/>
        <v/>
      </c>
      <c r="U74" s="52" t="str">
        <f t="shared" ca="1" si="144"/>
        <v/>
      </c>
      <c r="V74" s="52" t="str">
        <f t="shared" ca="1" si="144"/>
        <v/>
      </c>
      <c r="W74" s="52" t="str">
        <f t="shared" ca="1" si="144"/>
        <v/>
      </c>
      <c r="X74" s="52" t="str">
        <f t="shared" ca="1" si="144"/>
        <v/>
      </c>
      <c r="Y74" s="52" t="str">
        <f t="shared" ca="1" si="144"/>
        <v/>
      </c>
      <c r="Z74" s="52" t="str">
        <f t="shared" ca="1" si="144"/>
        <v/>
      </c>
      <c r="AA74" s="52" t="str">
        <f t="shared" ca="1" si="144"/>
        <v/>
      </c>
      <c r="AB74" s="52" t="str">
        <f t="shared" ca="1" si="144"/>
        <v/>
      </c>
      <c r="AC74" s="52" t="str">
        <f t="shared" ca="1" si="144"/>
        <v/>
      </c>
      <c r="AD74" s="52" t="str">
        <f t="shared" ref="AD74:BP74" ca="1" si="145">IF(AND(AE$3&gt;=$J74, AE$3&lt;$M74), $A74, "")</f>
        <v/>
      </c>
      <c r="AE74" s="52" t="str">
        <f t="shared" ca="1" si="145"/>
        <v/>
      </c>
      <c r="AF74" s="52" t="str">
        <f t="shared" ca="1" si="145"/>
        <v/>
      </c>
      <c r="AG74" s="52" t="str">
        <f t="shared" ca="1" si="145"/>
        <v/>
      </c>
      <c r="AH74" s="52" t="str">
        <f t="shared" ca="1" si="145"/>
        <v/>
      </c>
      <c r="AI74" s="52" t="str">
        <f t="shared" ca="1" si="145"/>
        <v/>
      </c>
      <c r="AJ74" s="52" t="str">
        <f t="shared" ca="1" si="145"/>
        <v/>
      </c>
      <c r="AK74" s="52" t="str">
        <f t="shared" ca="1" si="145"/>
        <v/>
      </c>
      <c r="AL74" s="52" t="str">
        <f t="shared" ca="1" si="145"/>
        <v/>
      </c>
      <c r="AM74" s="52" t="str">
        <f t="shared" ca="1" si="145"/>
        <v/>
      </c>
      <c r="AN74" s="52" t="str">
        <f t="shared" ca="1" si="145"/>
        <v/>
      </c>
      <c r="AO74" s="52" t="str">
        <f t="shared" ca="1" si="145"/>
        <v/>
      </c>
      <c r="AP74" s="52" t="str">
        <f t="shared" ca="1" si="145"/>
        <v/>
      </c>
      <c r="AQ74" s="52" t="str">
        <f t="shared" ca="1" si="145"/>
        <v/>
      </c>
      <c r="AR74" s="52" t="str">
        <f t="shared" ca="1" si="145"/>
        <v/>
      </c>
      <c r="AS74" s="52" t="str">
        <f t="shared" ca="1" si="145"/>
        <v/>
      </c>
      <c r="AT74" s="52" t="str">
        <f t="shared" ca="1" si="145"/>
        <v/>
      </c>
      <c r="AU74" s="52" t="str">
        <f t="shared" ca="1" si="145"/>
        <v/>
      </c>
      <c r="AV74" s="52" t="str">
        <f t="shared" ca="1" si="145"/>
        <v/>
      </c>
      <c r="AW74" s="52" t="str">
        <f t="shared" ca="1" si="145"/>
        <v/>
      </c>
      <c r="AX74" s="52" t="str">
        <f t="shared" ca="1" si="145"/>
        <v/>
      </c>
      <c r="AY74" s="52" t="str">
        <f t="shared" ca="1" si="145"/>
        <v/>
      </c>
      <c r="AZ74" s="52" t="str">
        <f t="shared" ca="1" si="145"/>
        <v/>
      </c>
      <c r="BA74" s="52" t="str">
        <f t="shared" ca="1" si="145"/>
        <v/>
      </c>
      <c r="BB74" s="52" t="str">
        <f t="shared" ca="1" si="145"/>
        <v/>
      </c>
      <c r="BC74" s="52" t="str">
        <f t="shared" ca="1" si="145"/>
        <v/>
      </c>
      <c r="BD74" s="52" t="str">
        <f t="shared" ca="1" si="145"/>
        <v/>
      </c>
      <c r="BE74" s="52" t="str">
        <f t="shared" ca="1" si="145"/>
        <v/>
      </c>
      <c r="BF74" s="52" t="str">
        <f t="shared" ca="1" si="145"/>
        <v/>
      </c>
      <c r="BG74" s="52" t="str">
        <f t="shared" ca="1" si="145"/>
        <v/>
      </c>
      <c r="BH74" s="52" t="str">
        <f t="shared" ca="1" si="145"/>
        <v/>
      </c>
      <c r="BI74" s="52" t="str">
        <f t="shared" ca="1" si="145"/>
        <v/>
      </c>
      <c r="BJ74" s="52" t="str">
        <f t="shared" ca="1" si="145"/>
        <v/>
      </c>
      <c r="BK74" s="52" t="str">
        <f t="shared" ca="1" si="145"/>
        <v/>
      </c>
      <c r="BL74" s="52" t="str">
        <f t="shared" ca="1" si="145"/>
        <v/>
      </c>
      <c r="BM74" s="52" t="str">
        <f t="shared" ca="1" si="145"/>
        <v/>
      </c>
      <c r="BN74" t="str">
        <f t="shared" ca="1" si="145"/>
        <v/>
      </c>
      <c r="BO74" t="str">
        <f t="shared" ca="1" si="145"/>
        <v/>
      </c>
      <c r="BP74" t="str">
        <f t="shared" ca="1" si="145"/>
        <v/>
      </c>
    </row>
    <row r="75" spans="1:68" ht="15" customHeight="1" x14ac:dyDescent="0.3">
      <c r="A75" s="10" t="str">
        <f>IF(Job_Master!A75="","",Job_Master!A75)</f>
        <v/>
      </c>
      <c r="B75" s="10" t="str">
        <f>IF($A75="","",Job_Master!B75)</f>
        <v/>
      </c>
      <c r="C75" s="10" t="str">
        <f>IF($A75="","",Job_Master!C75)</f>
        <v/>
      </c>
      <c r="D75" s="10" t="str">
        <f>IF($A75="","",Job_Master!D75)</f>
        <v/>
      </c>
      <c r="E75" s="48" t="str">
        <f>IF($A75="","",IFERROR(INDEX(Machine_List!$B$82:$B$86,MATCH("*"&amp;$B75&amp;"*",Machine_List!$J$82:$J$86,0)),"NO COMPATIBLE MACHINE"))</f>
        <v/>
      </c>
      <c r="F75" s="10" t="str">
        <f>IF($E75="","",IFERROR(VLOOKUP($E75,Machine_List!$B:$G,6,0),""))</f>
        <v/>
      </c>
      <c r="G75" s="53" t="str">
        <f>IF($E75="","",IFERROR(VLOOKUP($E75,Machine_List!$B:$C,2,0),""))</f>
        <v/>
      </c>
      <c r="H75" s="10" t="str">
        <f>IF($E75="","",IFERROR(VLOOKUP($E75,Machine_List!$B:$D,3,0),""))</f>
        <v/>
      </c>
      <c r="I75" s="54"/>
      <c r="J75" s="55" t="str">
        <f ca="1">IF($A75="","",IF($I75&lt;&gt;"",$I75,MAX(FID_Plan!$M75,IFERROR(LOOKUP(2,1/($E$3:INDIRECT("E"&amp;(ROW()-1))=$E75),$M$3:INDIRECT("M"&amp;(ROW()-1))),FID_Plan!$M75))))</f>
        <v/>
      </c>
      <c r="K75" s="10" t="str">
        <f>IF($A75="","",IFERROR(VLOOKUP(B75,CHOOSE(MATCH(C75,Settings!$L$4:$L$10,0),OPR_2P!$A$4:$I$18,SEG_6P!$A$4:$I$18,SOL_4P!$A$4:$I$18,RW_2P!$A$4:$I$18,RW2_4P!$A$4:$I$18,FLAP_4P!$A$4:$I$18,TUBE_4P!$A$4:$I$18),8,0),0))</f>
        <v/>
      </c>
      <c r="L75" s="10" t="str">
        <f t="shared" si="130"/>
        <v/>
      </c>
      <c r="M75" s="55" t="str">
        <f>IF($A75="","",$J75+($L75/(IF(F75="Contract Workman",Settings!$K$5,Settings!$K$4))))</f>
        <v/>
      </c>
      <c r="N75" s="10" t="str">
        <f t="shared" si="131"/>
        <v/>
      </c>
      <c r="O75" s="51" t="str">
        <f>IF(B75="","", IF(IFERROR(ISNUMBER(SEARCH(B75, VLOOKUP(E75, Machine_List!$B:$J, 9, 0))), FALSE()), "✅ Machine OK", "❌ Sug: " &amp; IFERROR(INDEX(Machine_List!$B$4:$B$50, MATCH("*"&amp;B75&amp;"*", Machine_List!$J$4:$J$50, 0)), "Check Limits")))</f>
        <v/>
      </c>
      <c r="P75" s="52" t="str">
        <f t="shared" ref="P75:AC75" ca="1" si="146">IF(AND(Q$3&gt;=$J75, Q$3&lt;$M75), $A75, "")</f>
        <v/>
      </c>
      <c r="Q75" s="52" t="str">
        <f t="shared" ca="1" si="146"/>
        <v/>
      </c>
      <c r="R75" s="52" t="str">
        <f t="shared" ca="1" si="146"/>
        <v/>
      </c>
      <c r="S75" s="52" t="str">
        <f t="shared" ca="1" si="146"/>
        <v/>
      </c>
      <c r="T75" s="52" t="str">
        <f t="shared" ca="1" si="146"/>
        <v/>
      </c>
      <c r="U75" s="52" t="str">
        <f t="shared" ca="1" si="146"/>
        <v/>
      </c>
      <c r="V75" s="52" t="str">
        <f t="shared" ca="1" si="146"/>
        <v/>
      </c>
      <c r="W75" s="52" t="str">
        <f t="shared" ca="1" si="146"/>
        <v/>
      </c>
      <c r="X75" s="52" t="str">
        <f t="shared" ca="1" si="146"/>
        <v/>
      </c>
      <c r="Y75" s="52" t="str">
        <f t="shared" ca="1" si="146"/>
        <v/>
      </c>
      <c r="Z75" s="52" t="str">
        <f t="shared" ca="1" si="146"/>
        <v/>
      </c>
      <c r="AA75" s="52" t="str">
        <f t="shared" ca="1" si="146"/>
        <v/>
      </c>
      <c r="AB75" s="52" t="str">
        <f t="shared" ca="1" si="146"/>
        <v/>
      </c>
      <c r="AC75" s="52" t="str">
        <f t="shared" ca="1" si="146"/>
        <v/>
      </c>
      <c r="AD75" s="52" t="str">
        <f t="shared" ref="AD75:BP75" ca="1" si="147">IF(AND(AE$3&gt;=$J75, AE$3&lt;$M75), $A75, "")</f>
        <v/>
      </c>
      <c r="AE75" s="52" t="str">
        <f t="shared" ca="1" si="147"/>
        <v/>
      </c>
      <c r="AF75" s="52" t="str">
        <f t="shared" ca="1" si="147"/>
        <v/>
      </c>
      <c r="AG75" s="52" t="str">
        <f t="shared" ca="1" si="147"/>
        <v/>
      </c>
      <c r="AH75" s="52" t="str">
        <f t="shared" ca="1" si="147"/>
        <v/>
      </c>
      <c r="AI75" s="52" t="str">
        <f t="shared" ca="1" si="147"/>
        <v/>
      </c>
      <c r="AJ75" s="52" t="str">
        <f t="shared" ca="1" si="147"/>
        <v/>
      </c>
      <c r="AK75" s="52" t="str">
        <f t="shared" ca="1" si="147"/>
        <v/>
      </c>
      <c r="AL75" s="52" t="str">
        <f t="shared" ca="1" si="147"/>
        <v/>
      </c>
      <c r="AM75" s="52" t="str">
        <f t="shared" ca="1" si="147"/>
        <v/>
      </c>
      <c r="AN75" s="52" t="str">
        <f t="shared" ca="1" si="147"/>
        <v/>
      </c>
      <c r="AO75" s="52" t="str">
        <f t="shared" ca="1" si="147"/>
        <v/>
      </c>
      <c r="AP75" s="52" t="str">
        <f t="shared" ca="1" si="147"/>
        <v/>
      </c>
      <c r="AQ75" s="52" t="str">
        <f t="shared" ca="1" si="147"/>
        <v/>
      </c>
      <c r="AR75" s="52" t="str">
        <f t="shared" ca="1" si="147"/>
        <v/>
      </c>
      <c r="AS75" s="52" t="str">
        <f t="shared" ca="1" si="147"/>
        <v/>
      </c>
      <c r="AT75" s="52" t="str">
        <f t="shared" ca="1" si="147"/>
        <v/>
      </c>
      <c r="AU75" s="52" t="str">
        <f t="shared" ca="1" si="147"/>
        <v/>
      </c>
      <c r="AV75" s="52" t="str">
        <f t="shared" ca="1" si="147"/>
        <v/>
      </c>
      <c r="AW75" s="52" t="str">
        <f t="shared" ca="1" si="147"/>
        <v/>
      </c>
      <c r="AX75" s="52" t="str">
        <f t="shared" ca="1" si="147"/>
        <v/>
      </c>
      <c r="AY75" s="52" t="str">
        <f t="shared" ca="1" si="147"/>
        <v/>
      </c>
      <c r="AZ75" s="52" t="str">
        <f t="shared" ca="1" si="147"/>
        <v/>
      </c>
      <c r="BA75" s="52" t="str">
        <f t="shared" ca="1" si="147"/>
        <v/>
      </c>
      <c r="BB75" s="52" t="str">
        <f t="shared" ca="1" si="147"/>
        <v/>
      </c>
      <c r="BC75" s="52" t="str">
        <f t="shared" ca="1" si="147"/>
        <v/>
      </c>
      <c r="BD75" s="52" t="str">
        <f t="shared" ca="1" si="147"/>
        <v/>
      </c>
      <c r="BE75" s="52" t="str">
        <f t="shared" ca="1" si="147"/>
        <v/>
      </c>
      <c r="BF75" s="52" t="str">
        <f t="shared" ca="1" si="147"/>
        <v/>
      </c>
      <c r="BG75" s="52" t="str">
        <f t="shared" ca="1" si="147"/>
        <v/>
      </c>
      <c r="BH75" s="52" t="str">
        <f t="shared" ca="1" si="147"/>
        <v/>
      </c>
      <c r="BI75" s="52" t="str">
        <f t="shared" ca="1" si="147"/>
        <v/>
      </c>
      <c r="BJ75" s="52" t="str">
        <f t="shared" ca="1" si="147"/>
        <v/>
      </c>
      <c r="BK75" s="52" t="str">
        <f t="shared" ca="1" si="147"/>
        <v/>
      </c>
      <c r="BL75" s="52" t="str">
        <f t="shared" ca="1" si="147"/>
        <v/>
      </c>
      <c r="BM75" s="52" t="str">
        <f t="shared" ca="1" si="147"/>
        <v/>
      </c>
      <c r="BN75" t="str">
        <f t="shared" ca="1" si="147"/>
        <v/>
      </c>
      <c r="BO75" t="str">
        <f t="shared" ca="1" si="147"/>
        <v/>
      </c>
      <c r="BP75" t="str">
        <f t="shared" ca="1" si="147"/>
        <v/>
      </c>
    </row>
    <row r="76" spans="1:68" ht="15" customHeight="1" x14ac:dyDescent="0.3">
      <c r="A76" s="10" t="str">
        <f>IF(Job_Master!A76="","",Job_Master!A76)</f>
        <v/>
      </c>
      <c r="B76" s="10" t="str">
        <f>IF($A76="","",Job_Master!B76)</f>
        <v/>
      </c>
      <c r="C76" s="10" t="str">
        <f>IF($A76="","",Job_Master!C76)</f>
        <v/>
      </c>
      <c r="D76" s="10" t="str">
        <f>IF($A76="","",Job_Master!D76)</f>
        <v/>
      </c>
      <c r="E76" s="48" t="str">
        <f>IF($A76="","",IFERROR(INDEX(Machine_List!$B$82:$B$86,MATCH("*"&amp;$B76&amp;"*",Machine_List!$J$82:$J$86,0)),"NO COMPATIBLE MACHINE"))</f>
        <v/>
      </c>
      <c r="F76" s="10" t="str">
        <f>IF($E76="","",IFERROR(VLOOKUP($E76,Machine_List!$B:$G,6,0),""))</f>
        <v/>
      </c>
      <c r="G76" s="53" t="str">
        <f>IF($E76="","",IFERROR(VLOOKUP($E76,Machine_List!$B:$C,2,0),""))</f>
        <v/>
      </c>
      <c r="H76" s="10" t="str">
        <f>IF($E76="","",IFERROR(VLOOKUP($E76,Machine_List!$B:$D,3,0),""))</f>
        <v/>
      </c>
      <c r="I76" s="54"/>
      <c r="J76" s="55" t="str">
        <f ca="1">IF($A76="","",IF($I76&lt;&gt;"",$I76,MAX(FID_Plan!$M76,IFERROR(LOOKUP(2,1/($E$3:INDIRECT("E"&amp;(ROW()-1))=$E76),$M$3:INDIRECT("M"&amp;(ROW()-1))),FID_Plan!$M76))))</f>
        <v/>
      </c>
      <c r="K76" s="10" t="str">
        <f>IF($A76="","",IFERROR(VLOOKUP(B76,CHOOSE(MATCH(C76,Settings!$L$4:$L$10,0),OPR_2P!$A$4:$I$18,SEG_6P!$A$4:$I$18,SOL_4P!$A$4:$I$18,RW_2P!$A$4:$I$18,RW2_4P!$A$4:$I$18,FLAP_4P!$A$4:$I$18,TUBE_4P!$A$4:$I$18),8,0),0))</f>
        <v/>
      </c>
      <c r="L76" s="10" t="str">
        <f t="shared" si="130"/>
        <v/>
      </c>
      <c r="M76" s="55" t="str">
        <f>IF($A76="","",$J76+($L76/(IF(F76="Contract Workman",Settings!$K$5,Settings!$K$4))))</f>
        <v/>
      </c>
      <c r="N76" s="10" t="str">
        <f t="shared" si="131"/>
        <v/>
      </c>
      <c r="O76" s="51" t="str">
        <f>IF(B76="","", IF(IFERROR(ISNUMBER(SEARCH(B76, VLOOKUP(E76, Machine_List!$B:$J, 9, 0))), FALSE()), "✅ Machine OK", "❌ Sug: " &amp; IFERROR(INDEX(Machine_List!$B$4:$B$50, MATCH("*"&amp;B76&amp;"*", Machine_List!$J$4:$J$50, 0)), "Check Limits")))</f>
        <v/>
      </c>
      <c r="P76" s="52" t="str">
        <f t="shared" ref="P76:AC76" ca="1" si="148">IF(AND(Q$3&gt;=$J76, Q$3&lt;$M76), $A76, "")</f>
        <v/>
      </c>
      <c r="Q76" s="52" t="str">
        <f t="shared" ca="1" si="148"/>
        <v/>
      </c>
      <c r="R76" s="52" t="str">
        <f t="shared" ca="1" si="148"/>
        <v/>
      </c>
      <c r="S76" s="52" t="str">
        <f t="shared" ca="1" si="148"/>
        <v/>
      </c>
      <c r="T76" s="52" t="str">
        <f t="shared" ca="1" si="148"/>
        <v/>
      </c>
      <c r="U76" s="52" t="str">
        <f t="shared" ca="1" si="148"/>
        <v/>
      </c>
      <c r="V76" s="52" t="str">
        <f t="shared" ca="1" si="148"/>
        <v/>
      </c>
      <c r="W76" s="52" t="str">
        <f t="shared" ca="1" si="148"/>
        <v/>
      </c>
      <c r="X76" s="52" t="str">
        <f t="shared" ca="1" si="148"/>
        <v/>
      </c>
      <c r="Y76" s="52" t="str">
        <f t="shared" ca="1" si="148"/>
        <v/>
      </c>
      <c r="Z76" s="52" t="str">
        <f t="shared" ca="1" si="148"/>
        <v/>
      </c>
      <c r="AA76" s="52" t="str">
        <f t="shared" ca="1" si="148"/>
        <v/>
      </c>
      <c r="AB76" s="52" t="str">
        <f t="shared" ca="1" si="148"/>
        <v/>
      </c>
      <c r="AC76" s="52" t="str">
        <f t="shared" ca="1" si="148"/>
        <v/>
      </c>
      <c r="AD76" s="52" t="str">
        <f t="shared" ref="AD76:BP76" ca="1" si="149">IF(AND(AE$3&gt;=$J76, AE$3&lt;$M76), $A76, "")</f>
        <v/>
      </c>
      <c r="AE76" s="52" t="str">
        <f t="shared" ca="1" si="149"/>
        <v/>
      </c>
      <c r="AF76" s="52" t="str">
        <f t="shared" ca="1" si="149"/>
        <v/>
      </c>
      <c r="AG76" s="52" t="str">
        <f t="shared" ca="1" si="149"/>
        <v/>
      </c>
      <c r="AH76" s="52" t="str">
        <f t="shared" ca="1" si="149"/>
        <v/>
      </c>
      <c r="AI76" s="52" t="str">
        <f t="shared" ca="1" si="149"/>
        <v/>
      </c>
      <c r="AJ76" s="52" t="str">
        <f t="shared" ca="1" si="149"/>
        <v/>
      </c>
      <c r="AK76" s="52" t="str">
        <f t="shared" ca="1" si="149"/>
        <v/>
      </c>
      <c r="AL76" s="52" t="str">
        <f t="shared" ca="1" si="149"/>
        <v/>
      </c>
      <c r="AM76" s="52" t="str">
        <f t="shared" ca="1" si="149"/>
        <v/>
      </c>
      <c r="AN76" s="52" t="str">
        <f t="shared" ca="1" si="149"/>
        <v/>
      </c>
      <c r="AO76" s="52" t="str">
        <f t="shared" ca="1" si="149"/>
        <v/>
      </c>
      <c r="AP76" s="52" t="str">
        <f t="shared" ca="1" si="149"/>
        <v/>
      </c>
      <c r="AQ76" s="52" t="str">
        <f t="shared" ca="1" si="149"/>
        <v/>
      </c>
      <c r="AR76" s="52" t="str">
        <f t="shared" ca="1" si="149"/>
        <v/>
      </c>
      <c r="AS76" s="52" t="str">
        <f t="shared" ca="1" si="149"/>
        <v/>
      </c>
      <c r="AT76" s="52" t="str">
        <f t="shared" ca="1" si="149"/>
        <v/>
      </c>
      <c r="AU76" s="52" t="str">
        <f t="shared" ca="1" si="149"/>
        <v/>
      </c>
      <c r="AV76" s="52" t="str">
        <f t="shared" ca="1" si="149"/>
        <v/>
      </c>
      <c r="AW76" s="52" t="str">
        <f t="shared" ca="1" si="149"/>
        <v/>
      </c>
      <c r="AX76" s="52" t="str">
        <f t="shared" ca="1" si="149"/>
        <v/>
      </c>
      <c r="AY76" s="52" t="str">
        <f t="shared" ca="1" si="149"/>
        <v/>
      </c>
      <c r="AZ76" s="52" t="str">
        <f t="shared" ca="1" si="149"/>
        <v/>
      </c>
      <c r="BA76" s="52" t="str">
        <f t="shared" ca="1" si="149"/>
        <v/>
      </c>
      <c r="BB76" s="52" t="str">
        <f t="shared" ca="1" si="149"/>
        <v/>
      </c>
      <c r="BC76" s="52" t="str">
        <f t="shared" ca="1" si="149"/>
        <v/>
      </c>
      <c r="BD76" s="52" t="str">
        <f t="shared" ca="1" si="149"/>
        <v/>
      </c>
      <c r="BE76" s="52" t="str">
        <f t="shared" ca="1" si="149"/>
        <v/>
      </c>
      <c r="BF76" s="52" t="str">
        <f t="shared" ca="1" si="149"/>
        <v/>
      </c>
      <c r="BG76" s="52" t="str">
        <f t="shared" ca="1" si="149"/>
        <v/>
      </c>
      <c r="BH76" s="52" t="str">
        <f t="shared" ca="1" si="149"/>
        <v/>
      </c>
      <c r="BI76" s="52" t="str">
        <f t="shared" ca="1" si="149"/>
        <v/>
      </c>
      <c r="BJ76" s="52" t="str">
        <f t="shared" ca="1" si="149"/>
        <v/>
      </c>
      <c r="BK76" s="52" t="str">
        <f t="shared" ca="1" si="149"/>
        <v/>
      </c>
      <c r="BL76" s="52" t="str">
        <f t="shared" ca="1" si="149"/>
        <v/>
      </c>
      <c r="BM76" s="52" t="str">
        <f t="shared" ca="1" si="149"/>
        <v/>
      </c>
      <c r="BN76" t="str">
        <f t="shared" ca="1" si="149"/>
        <v/>
      </c>
      <c r="BO76" t="str">
        <f t="shared" ca="1" si="149"/>
        <v/>
      </c>
      <c r="BP76" t="str">
        <f t="shared" ca="1" si="149"/>
        <v/>
      </c>
    </row>
    <row r="77" spans="1:68" ht="15" customHeight="1" x14ac:dyDescent="0.3">
      <c r="A77" s="10" t="str">
        <f>IF(Job_Master!A77="","",Job_Master!A77)</f>
        <v/>
      </c>
      <c r="B77" s="10" t="str">
        <f>IF($A77="","",Job_Master!B77)</f>
        <v/>
      </c>
      <c r="C77" s="10" t="str">
        <f>IF($A77="","",Job_Master!C77)</f>
        <v/>
      </c>
      <c r="D77" s="10" t="str">
        <f>IF($A77="","",Job_Master!D77)</f>
        <v/>
      </c>
      <c r="E77" s="48" t="str">
        <f>IF($A77="","",IFERROR(INDEX(Machine_List!$B$82:$B$86,MATCH("*"&amp;$B77&amp;"*",Machine_List!$J$82:$J$86,0)),"NO COMPATIBLE MACHINE"))</f>
        <v/>
      </c>
      <c r="F77" s="10" t="str">
        <f>IF($E77="","",IFERROR(VLOOKUP($E77,Machine_List!$B:$G,6,0),""))</f>
        <v/>
      </c>
      <c r="G77" s="53" t="str">
        <f>IF($E77="","",IFERROR(VLOOKUP($E77,Machine_List!$B:$C,2,0),""))</f>
        <v/>
      </c>
      <c r="H77" s="10" t="str">
        <f>IF($E77="","",IFERROR(VLOOKUP($E77,Machine_List!$B:$D,3,0),""))</f>
        <v/>
      </c>
      <c r="I77" s="54"/>
      <c r="J77" s="55" t="str">
        <f ca="1">IF($A77="","",IF($I77&lt;&gt;"",$I77,MAX(FID_Plan!$M77,IFERROR(LOOKUP(2,1/($E$3:INDIRECT("E"&amp;(ROW()-1))=$E77),$M$3:INDIRECT("M"&amp;(ROW()-1))),FID_Plan!$M77))))</f>
        <v/>
      </c>
      <c r="K77" s="10" t="str">
        <f>IF($A77="","",IFERROR(VLOOKUP(B77,CHOOSE(MATCH(C77,Settings!$L$4:$L$10,0),OPR_2P!$A$4:$I$18,SEG_6P!$A$4:$I$18,SOL_4P!$A$4:$I$18,RW_2P!$A$4:$I$18,RW2_4P!$A$4:$I$18,FLAP_4P!$A$4:$I$18,TUBE_4P!$A$4:$I$18),8,0),0))</f>
        <v/>
      </c>
      <c r="L77" s="10" t="str">
        <f t="shared" si="130"/>
        <v/>
      </c>
      <c r="M77" s="55" t="str">
        <f>IF($A77="","",$J77+($L77/(IF(F77="Contract Workman",Settings!$K$5,Settings!$K$4))))</f>
        <v/>
      </c>
      <c r="N77" s="10" t="str">
        <f t="shared" si="131"/>
        <v/>
      </c>
      <c r="O77" s="51" t="str">
        <f>IF(B77="","", IF(IFERROR(ISNUMBER(SEARCH(B77, VLOOKUP(E77, Machine_List!$B:$J, 9, 0))), FALSE()), "✅ Machine OK", "❌ Sug: " &amp; IFERROR(INDEX(Machine_List!$B$4:$B$50, MATCH("*"&amp;B77&amp;"*", Machine_List!$J$4:$J$50, 0)), "Check Limits")))</f>
        <v/>
      </c>
      <c r="P77" s="52" t="str">
        <f t="shared" ref="P77:AC77" ca="1" si="150">IF(AND(Q$3&gt;=$J77, Q$3&lt;$M77), $A77, "")</f>
        <v/>
      </c>
      <c r="Q77" s="52" t="str">
        <f t="shared" ca="1" si="150"/>
        <v/>
      </c>
      <c r="R77" s="52" t="str">
        <f t="shared" ca="1" si="150"/>
        <v/>
      </c>
      <c r="S77" s="52" t="str">
        <f t="shared" ca="1" si="150"/>
        <v/>
      </c>
      <c r="T77" s="52" t="str">
        <f t="shared" ca="1" si="150"/>
        <v/>
      </c>
      <c r="U77" s="52" t="str">
        <f t="shared" ca="1" si="150"/>
        <v/>
      </c>
      <c r="V77" s="52" t="str">
        <f t="shared" ca="1" si="150"/>
        <v/>
      </c>
      <c r="W77" s="52" t="str">
        <f t="shared" ca="1" si="150"/>
        <v/>
      </c>
      <c r="X77" s="52" t="str">
        <f t="shared" ca="1" si="150"/>
        <v/>
      </c>
      <c r="Y77" s="52" t="str">
        <f t="shared" ca="1" si="150"/>
        <v/>
      </c>
      <c r="Z77" s="52" t="str">
        <f t="shared" ca="1" si="150"/>
        <v/>
      </c>
      <c r="AA77" s="52" t="str">
        <f t="shared" ca="1" si="150"/>
        <v/>
      </c>
      <c r="AB77" s="52" t="str">
        <f t="shared" ca="1" si="150"/>
        <v/>
      </c>
      <c r="AC77" s="52" t="str">
        <f t="shared" ca="1" si="150"/>
        <v/>
      </c>
      <c r="AD77" s="52" t="str">
        <f t="shared" ref="AD77:BP77" ca="1" si="151">IF(AND(AE$3&gt;=$J77, AE$3&lt;$M77), $A77, "")</f>
        <v/>
      </c>
      <c r="AE77" s="52" t="str">
        <f t="shared" ca="1" si="151"/>
        <v/>
      </c>
      <c r="AF77" s="52" t="str">
        <f t="shared" ca="1" si="151"/>
        <v/>
      </c>
      <c r="AG77" s="52" t="str">
        <f t="shared" ca="1" si="151"/>
        <v/>
      </c>
      <c r="AH77" s="52" t="str">
        <f t="shared" ca="1" si="151"/>
        <v/>
      </c>
      <c r="AI77" s="52" t="str">
        <f t="shared" ca="1" si="151"/>
        <v/>
      </c>
      <c r="AJ77" s="52" t="str">
        <f t="shared" ca="1" si="151"/>
        <v/>
      </c>
      <c r="AK77" s="52" t="str">
        <f t="shared" ca="1" si="151"/>
        <v/>
      </c>
      <c r="AL77" s="52" t="str">
        <f t="shared" ca="1" si="151"/>
        <v/>
      </c>
      <c r="AM77" s="52" t="str">
        <f t="shared" ca="1" si="151"/>
        <v/>
      </c>
      <c r="AN77" s="52" t="str">
        <f t="shared" ca="1" si="151"/>
        <v/>
      </c>
      <c r="AO77" s="52" t="str">
        <f t="shared" ca="1" si="151"/>
        <v/>
      </c>
      <c r="AP77" s="52" t="str">
        <f t="shared" ca="1" si="151"/>
        <v/>
      </c>
      <c r="AQ77" s="52" t="str">
        <f t="shared" ca="1" si="151"/>
        <v/>
      </c>
      <c r="AR77" s="52" t="str">
        <f t="shared" ca="1" si="151"/>
        <v/>
      </c>
      <c r="AS77" s="52" t="str">
        <f t="shared" ca="1" si="151"/>
        <v/>
      </c>
      <c r="AT77" s="52" t="str">
        <f t="shared" ca="1" si="151"/>
        <v/>
      </c>
      <c r="AU77" s="52" t="str">
        <f t="shared" ca="1" si="151"/>
        <v/>
      </c>
      <c r="AV77" s="52" t="str">
        <f t="shared" ca="1" si="151"/>
        <v/>
      </c>
      <c r="AW77" s="52" t="str">
        <f t="shared" ca="1" si="151"/>
        <v/>
      </c>
      <c r="AX77" s="52" t="str">
        <f t="shared" ca="1" si="151"/>
        <v/>
      </c>
      <c r="AY77" s="52" t="str">
        <f t="shared" ca="1" si="151"/>
        <v/>
      </c>
      <c r="AZ77" s="52" t="str">
        <f t="shared" ca="1" si="151"/>
        <v/>
      </c>
      <c r="BA77" s="52" t="str">
        <f t="shared" ca="1" si="151"/>
        <v/>
      </c>
      <c r="BB77" s="52" t="str">
        <f t="shared" ca="1" si="151"/>
        <v/>
      </c>
      <c r="BC77" s="52" t="str">
        <f t="shared" ca="1" si="151"/>
        <v/>
      </c>
      <c r="BD77" s="52" t="str">
        <f t="shared" ca="1" si="151"/>
        <v/>
      </c>
      <c r="BE77" s="52" t="str">
        <f t="shared" ca="1" si="151"/>
        <v/>
      </c>
      <c r="BF77" s="52" t="str">
        <f t="shared" ca="1" si="151"/>
        <v/>
      </c>
      <c r="BG77" s="52" t="str">
        <f t="shared" ca="1" si="151"/>
        <v/>
      </c>
      <c r="BH77" s="52" t="str">
        <f t="shared" ca="1" si="151"/>
        <v/>
      </c>
      <c r="BI77" s="52" t="str">
        <f t="shared" ca="1" si="151"/>
        <v/>
      </c>
      <c r="BJ77" s="52" t="str">
        <f t="shared" ca="1" si="151"/>
        <v/>
      </c>
      <c r="BK77" s="52" t="str">
        <f t="shared" ca="1" si="151"/>
        <v/>
      </c>
      <c r="BL77" s="52" t="str">
        <f t="shared" ca="1" si="151"/>
        <v/>
      </c>
      <c r="BM77" s="52" t="str">
        <f t="shared" ca="1" si="151"/>
        <v/>
      </c>
      <c r="BN77" t="str">
        <f t="shared" ca="1" si="151"/>
        <v/>
      </c>
      <c r="BO77" t="str">
        <f t="shared" ca="1" si="151"/>
        <v/>
      </c>
      <c r="BP77" t="str">
        <f t="shared" ca="1" si="151"/>
        <v/>
      </c>
    </row>
    <row r="78" spans="1:68" ht="15" customHeight="1" x14ac:dyDescent="0.3">
      <c r="A78" s="10" t="str">
        <f>IF(Job_Master!A78="","",Job_Master!A78)</f>
        <v/>
      </c>
      <c r="B78" s="10" t="str">
        <f>IF($A78="","",Job_Master!B78)</f>
        <v/>
      </c>
      <c r="C78" s="10" t="str">
        <f>IF($A78="","",Job_Master!C78)</f>
        <v/>
      </c>
      <c r="D78" s="10" t="str">
        <f>IF($A78="","",Job_Master!D78)</f>
        <v/>
      </c>
      <c r="E78" s="48" t="str">
        <f>IF($A78="","",IFERROR(INDEX(Machine_List!$B$82:$B$86,MATCH("*"&amp;$B78&amp;"*",Machine_List!$J$82:$J$86,0)),"NO COMPATIBLE MACHINE"))</f>
        <v/>
      </c>
      <c r="F78" s="10" t="str">
        <f>IF($E78="","",IFERROR(VLOOKUP($E78,Machine_List!$B:$G,6,0),""))</f>
        <v/>
      </c>
      <c r="G78" s="53" t="str">
        <f>IF($E78="","",IFERROR(VLOOKUP($E78,Machine_List!$B:$C,2,0),""))</f>
        <v/>
      </c>
      <c r="H78" s="10" t="str">
        <f>IF($E78="","",IFERROR(VLOOKUP($E78,Machine_List!$B:$D,3,0),""))</f>
        <v/>
      </c>
      <c r="I78" s="54"/>
      <c r="J78" s="55" t="str">
        <f ca="1">IF($A78="","",IF($I78&lt;&gt;"",$I78,MAX(FID_Plan!$M78,IFERROR(LOOKUP(2,1/($E$3:INDIRECT("E"&amp;(ROW()-1))=$E78),$M$3:INDIRECT("M"&amp;(ROW()-1))),FID_Plan!$M78))))</f>
        <v/>
      </c>
      <c r="K78" s="10" t="str">
        <f>IF($A78="","",IFERROR(VLOOKUP(B78,CHOOSE(MATCH(C78,Settings!$L$4:$L$10,0),OPR_2P!$A$4:$I$18,SEG_6P!$A$4:$I$18,SOL_4P!$A$4:$I$18,RW_2P!$A$4:$I$18,RW2_4P!$A$4:$I$18,FLAP_4P!$A$4:$I$18,TUBE_4P!$A$4:$I$18),8,0),0))</f>
        <v/>
      </c>
      <c r="L78" s="10" t="str">
        <f t="shared" si="130"/>
        <v/>
      </c>
      <c r="M78" s="55" t="str">
        <f>IF($A78="","",$J78+($L78/(IF(F78="Contract Workman",Settings!$K$5,Settings!$K$4))))</f>
        <v/>
      </c>
      <c r="N78" s="10" t="str">
        <f t="shared" si="131"/>
        <v/>
      </c>
      <c r="O78" s="51" t="str">
        <f>IF(B78="","", IF(IFERROR(ISNUMBER(SEARCH(B78, VLOOKUP(E78, Machine_List!$B:$J, 9, 0))), FALSE()), "✅ Machine OK", "❌ Sug: " &amp; IFERROR(INDEX(Machine_List!$B$4:$B$50, MATCH("*"&amp;B78&amp;"*", Machine_List!$J$4:$J$50, 0)), "Check Limits")))</f>
        <v/>
      </c>
      <c r="P78" s="52" t="str">
        <f t="shared" ref="P78:AC78" ca="1" si="152">IF(AND(Q$3&gt;=$J78, Q$3&lt;$M78), $A78, "")</f>
        <v/>
      </c>
      <c r="Q78" s="52" t="str">
        <f t="shared" ca="1" si="152"/>
        <v/>
      </c>
      <c r="R78" s="52" t="str">
        <f t="shared" ca="1" si="152"/>
        <v/>
      </c>
      <c r="S78" s="52" t="str">
        <f t="shared" ca="1" si="152"/>
        <v/>
      </c>
      <c r="T78" s="52" t="str">
        <f t="shared" ca="1" si="152"/>
        <v/>
      </c>
      <c r="U78" s="52" t="str">
        <f t="shared" ca="1" si="152"/>
        <v/>
      </c>
      <c r="V78" s="52" t="str">
        <f t="shared" ca="1" si="152"/>
        <v/>
      </c>
      <c r="W78" s="52" t="str">
        <f t="shared" ca="1" si="152"/>
        <v/>
      </c>
      <c r="X78" s="52" t="str">
        <f t="shared" ca="1" si="152"/>
        <v/>
      </c>
      <c r="Y78" s="52" t="str">
        <f t="shared" ca="1" si="152"/>
        <v/>
      </c>
      <c r="Z78" s="52" t="str">
        <f t="shared" ca="1" si="152"/>
        <v/>
      </c>
      <c r="AA78" s="52" t="str">
        <f t="shared" ca="1" si="152"/>
        <v/>
      </c>
      <c r="AB78" s="52" t="str">
        <f t="shared" ca="1" si="152"/>
        <v/>
      </c>
      <c r="AC78" s="52" t="str">
        <f t="shared" ca="1" si="152"/>
        <v/>
      </c>
      <c r="AD78" s="52" t="str">
        <f t="shared" ref="AD78:BP78" ca="1" si="153">IF(AND(AE$3&gt;=$J78, AE$3&lt;$M78), $A78, "")</f>
        <v/>
      </c>
      <c r="AE78" s="52" t="str">
        <f t="shared" ca="1" si="153"/>
        <v/>
      </c>
      <c r="AF78" s="52" t="str">
        <f t="shared" ca="1" si="153"/>
        <v/>
      </c>
      <c r="AG78" s="52" t="str">
        <f t="shared" ca="1" si="153"/>
        <v/>
      </c>
      <c r="AH78" s="52" t="str">
        <f t="shared" ca="1" si="153"/>
        <v/>
      </c>
      <c r="AI78" s="52" t="str">
        <f t="shared" ca="1" si="153"/>
        <v/>
      </c>
      <c r="AJ78" s="52" t="str">
        <f t="shared" ca="1" si="153"/>
        <v/>
      </c>
      <c r="AK78" s="52" t="str">
        <f t="shared" ca="1" si="153"/>
        <v/>
      </c>
      <c r="AL78" s="52" t="str">
        <f t="shared" ca="1" si="153"/>
        <v/>
      </c>
      <c r="AM78" s="52" t="str">
        <f t="shared" ca="1" si="153"/>
        <v/>
      </c>
      <c r="AN78" s="52" t="str">
        <f t="shared" ca="1" si="153"/>
        <v/>
      </c>
      <c r="AO78" s="52" t="str">
        <f t="shared" ca="1" si="153"/>
        <v/>
      </c>
      <c r="AP78" s="52" t="str">
        <f t="shared" ca="1" si="153"/>
        <v/>
      </c>
      <c r="AQ78" s="52" t="str">
        <f t="shared" ca="1" si="153"/>
        <v/>
      </c>
      <c r="AR78" s="52" t="str">
        <f t="shared" ca="1" si="153"/>
        <v/>
      </c>
      <c r="AS78" s="52" t="str">
        <f t="shared" ca="1" si="153"/>
        <v/>
      </c>
      <c r="AT78" s="52" t="str">
        <f t="shared" ca="1" si="153"/>
        <v/>
      </c>
      <c r="AU78" s="52" t="str">
        <f t="shared" ca="1" si="153"/>
        <v/>
      </c>
      <c r="AV78" s="52" t="str">
        <f t="shared" ca="1" si="153"/>
        <v/>
      </c>
      <c r="AW78" s="52" t="str">
        <f t="shared" ca="1" si="153"/>
        <v/>
      </c>
      <c r="AX78" s="52" t="str">
        <f t="shared" ca="1" si="153"/>
        <v/>
      </c>
      <c r="AY78" s="52" t="str">
        <f t="shared" ca="1" si="153"/>
        <v/>
      </c>
      <c r="AZ78" s="52" t="str">
        <f t="shared" ca="1" si="153"/>
        <v/>
      </c>
      <c r="BA78" s="52" t="str">
        <f t="shared" ca="1" si="153"/>
        <v/>
      </c>
      <c r="BB78" s="52" t="str">
        <f t="shared" ca="1" si="153"/>
        <v/>
      </c>
      <c r="BC78" s="52" t="str">
        <f t="shared" ca="1" si="153"/>
        <v/>
      </c>
      <c r="BD78" s="52" t="str">
        <f t="shared" ca="1" si="153"/>
        <v/>
      </c>
      <c r="BE78" s="52" t="str">
        <f t="shared" ca="1" si="153"/>
        <v/>
      </c>
      <c r="BF78" s="52" t="str">
        <f t="shared" ca="1" si="153"/>
        <v/>
      </c>
      <c r="BG78" s="52" t="str">
        <f t="shared" ca="1" si="153"/>
        <v/>
      </c>
      <c r="BH78" s="52" t="str">
        <f t="shared" ca="1" si="153"/>
        <v/>
      </c>
      <c r="BI78" s="52" t="str">
        <f t="shared" ca="1" si="153"/>
        <v/>
      </c>
      <c r="BJ78" s="52" t="str">
        <f t="shared" ca="1" si="153"/>
        <v/>
      </c>
      <c r="BK78" s="52" t="str">
        <f t="shared" ca="1" si="153"/>
        <v/>
      </c>
      <c r="BL78" s="52" t="str">
        <f t="shared" ca="1" si="153"/>
        <v/>
      </c>
      <c r="BM78" s="52" t="str">
        <f t="shared" ca="1" si="153"/>
        <v/>
      </c>
      <c r="BN78" t="str">
        <f t="shared" ca="1" si="153"/>
        <v/>
      </c>
      <c r="BO78" t="str">
        <f t="shared" ca="1" si="153"/>
        <v/>
      </c>
      <c r="BP78" t="str">
        <f t="shared" ca="1" si="153"/>
        <v/>
      </c>
    </row>
    <row r="79" spans="1:68" ht="15" customHeight="1" x14ac:dyDescent="0.3">
      <c r="A79" s="10" t="str">
        <f>IF(Job_Master!A79="","",Job_Master!A79)</f>
        <v/>
      </c>
      <c r="B79" s="10" t="str">
        <f>IF($A79="","",Job_Master!B79)</f>
        <v/>
      </c>
      <c r="C79" s="10" t="str">
        <f>IF($A79="","",Job_Master!C79)</f>
        <v/>
      </c>
      <c r="D79" s="10" t="str">
        <f>IF($A79="","",Job_Master!D79)</f>
        <v/>
      </c>
      <c r="E79" s="48" t="str">
        <f>IF($A79="","",IFERROR(INDEX(Machine_List!$B$82:$B$86,MATCH("*"&amp;$B79&amp;"*",Machine_List!$J$82:$J$86,0)),"NO COMPATIBLE MACHINE"))</f>
        <v/>
      </c>
      <c r="F79" s="10" t="str">
        <f>IF($E79="","",IFERROR(VLOOKUP($E79,Machine_List!$B:$G,6,0),""))</f>
        <v/>
      </c>
      <c r="G79" s="53" t="str">
        <f>IF($E79="","",IFERROR(VLOOKUP($E79,Machine_List!$B:$C,2,0),""))</f>
        <v/>
      </c>
      <c r="H79" s="10" t="str">
        <f>IF($E79="","",IFERROR(VLOOKUP($E79,Machine_List!$B:$D,3,0),""))</f>
        <v/>
      </c>
      <c r="I79" s="54"/>
      <c r="J79" s="55" t="str">
        <f ca="1">IF($A79="","",IF($I79&lt;&gt;"",$I79,MAX(FID_Plan!$M79,IFERROR(LOOKUP(2,1/($E$3:INDIRECT("E"&amp;(ROW()-1))=$E79),$M$3:INDIRECT("M"&amp;(ROW()-1))),FID_Plan!$M79))))</f>
        <v/>
      </c>
      <c r="K79" s="10" t="str">
        <f>IF($A79="","",IFERROR(VLOOKUP(B79,CHOOSE(MATCH(C79,Settings!$L$4:$L$10,0),OPR_2P!$A$4:$I$18,SEG_6P!$A$4:$I$18,SOL_4P!$A$4:$I$18,RW_2P!$A$4:$I$18,RW2_4P!$A$4:$I$18,FLAP_4P!$A$4:$I$18,TUBE_4P!$A$4:$I$18),8,0),0))</f>
        <v/>
      </c>
      <c r="L79" s="10" t="str">
        <f t="shared" si="130"/>
        <v/>
      </c>
      <c r="M79" s="55" t="str">
        <f>IF($A79="","",$J79+($L79/(IF(F79="Contract Workman",Settings!$K$5,Settings!$K$4))))</f>
        <v/>
      </c>
      <c r="N79" s="10" t="str">
        <f t="shared" si="131"/>
        <v/>
      </c>
      <c r="O79" s="51" t="str">
        <f>IF(B79="","", IF(IFERROR(ISNUMBER(SEARCH(B79, VLOOKUP(E79, Machine_List!$B:$J, 9, 0))), FALSE()), "✅ Machine OK", "❌ Sug: " &amp; IFERROR(INDEX(Machine_List!$B$4:$B$50, MATCH("*"&amp;B79&amp;"*", Machine_List!$J$4:$J$50, 0)), "Check Limits")))</f>
        <v/>
      </c>
      <c r="P79" s="52" t="str">
        <f t="shared" ref="P79:AC79" ca="1" si="154">IF(AND(Q$3&gt;=$J79, Q$3&lt;$M79), $A79, "")</f>
        <v/>
      </c>
      <c r="Q79" s="52" t="str">
        <f t="shared" ca="1" si="154"/>
        <v/>
      </c>
      <c r="R79" s="52" t="str">
        <f t="shared" ca="1" si="154"/>
        <v/>
      </c>
      <c r="S79" s="52" t="str">
        <f t="shared" ca="1" si="154"/>
        <v/>
      </c>
      <c r="T79" s="52" t="str">
        <f t="shared" ca="1" si="154"/>
        <v/>
      </c>
      <c r="U79" s="52" t="str">
        <f t="shared" ca="1" si="154"/>
        <v/>
      </c>
      <c r="V79" s="52" t="str">
        <f t="shared" ca="1" si="154"/>
        <v/>
      </c>
      <c r="W79" s="52" t="str">
        <f t="shared" ca="1" si="154"/>
        <v/>
      </c>
      <c r="X79" s="52" t="str">
        <f t="shared" ca="1" si="154"/>
        <v/>
      </c>
      <c r="Y79" s="52" t="str">
        <f t="shared" ca="1" si="154"/>
        <v/>
      </c>
      <c r="Z79" s="52" t="str">
        <f t="shared" ca="1" si="154"/>
        <v/>
      </c>
      <c r="AA79" s="52" t="str">
        <f t="shared" ca="1" si="154"/>
        <v/>
      </c>
      <c r="AB79" s="52" t="str">
        <f t="shared" ca="1" si="154"/>
        <v/>
      </c>
      <c r="AC79" s="52" t="str">
        <f t="shared" ca="1" si="154"/>
        <v/>
      </c>
      <c r="AD79" s="52" t="str">
        <f t="shared" ref="AD79:BP79" ca="1" si="155">IF(AND(AE$3&gt;=$J79, AE$3&lt;$M79), $A79, "")</f>
        <v/>
      </c>
      <c r="AE79" s="52" t="str">
        <f t="shared" ca="1" si="155"/>
        <v/>
      </c>
      <c r="AF79" s="52" t="str">
        <f t="shared" ca="1" si="155"/>
        <v/>
      </c>
      <c r="AG79" s="52" t="str">
        <f t="shared" ca="1" si="155"/>
        <v/>
      </c>
      <c r="AH79" s="52" t="str">
        <f t="shared" ca="1" si="155"/>
        <v/>
      </c>
      <c r="AI79" s="52" t="str">
        <f t="shared" ca="1" si="155"/>
        <v/>
      </c>
      <c r="AJ79" s="52" t="str">
        <f t="shared" ca="1" si="155"/>
        <v/>
      </c>
      <c r="AK79" s="52" t="str">
        <f t="shared" ca="1" si="155"/>
        <v/>
      </c>
      <c r="AL79" s="52" t="str">
        <f t="shared" ca="1" si="155"/>
        <v/>
      </c>
      <c r="AM79" s="52" t="str">
        <f t="shared" ca="1" si="155"/>
        <v/>
      </c>
      <c r="AN79" s="52" t="str">
        <f t="shared" ca="1" si="155"/>
        <v/>
      </c>
      <c r="AO79" s="52" t="str">
        <f t="shared" ca="1" si="155"/>
        <v/>
      </c>
      <c r="AP79" s="52" t="str">
        <f t="shared" ca="1" si="155"/>
        <v/>
      </c>
      <c r="AQ79" s="52" t="str">
        <f t="shared" ca="1" si="155"/>
        <v/>
      </c>
      <c r="AR79" s="52" t="str">
        <f t="shared" ca="1" si="155"/>
        <v/>
      </c>
      <c r="AS79" s="52" t="str">
        <f t="shared" ca="1" si="155"/>
        <v/>
      </c>
      <c r="AT79" s="52" t="str">
        <f t="shared" ca="1" si="155"/>
        <v/>
      </c>
      <c r="AU79" s="52" t="str">
        <f t="shared" ca="1" si="155"/>
        <v/>
      </c>
      <c r="AV79" s="52" t="str">
        <f t="shared" ca="1" si="155"/>
        <v/>
      </c>
      <c r="AW79" s="52" t="str">
        <f t="shared" ca="1" si="155"/>
        <v/>
      </c>
      <c r="AX79" s="52" t="str">
        <f t="shared" ca="1" si="155"/>
        <v/>
      </c>
      <c r="AY79" s="52" t="str">
        <f t="shared" ca="1" si="155"/>
        <v/>
      </c>
      <c r="AZ79" s="52" t="str">
        <f t="shared" ca="1" si="155"/>
        <v/>
      </c>
      <c r="BA79" s="52" t="str">
        <f t="shared" ca="1" si="155"/>
        <v/>
      </c>
      <c r="BB79" s="52" t="str">
        <f t="shared" ca="1" si="155"/>
        <v/>
      </c>
      <c r="BC79" s="52" t="str">
        <f t="shared" ca="1" si="155"/>
        <v/>
      </c>
      <c r="BD79" s="52" t="str">
        <f t="shared" ca="1" si="155"/>
        <v/>
      </c>
      <c r="BE79" s="52" t="str">
        <f t="shared" ca="1" si="155"/>
        <v/>
      </c>
      <c r="BF79" s="52" t="str">
        <f t="shared" ca="1" si="155"/>
        <v/>
      </c>
      <c r="BG79" s="52" t="str">
        <f t="shared" ca="1" si="155"/>
        <v/>
      </c>
      <c r="BH79" s="52" t="str">
        <f t="shared" ca="1" si="155"/>
        <v/>
      </c>
      <c r="BI79" s="52" t="str">
        <f t="shared" ca="1" si="155"/>
        <v/>
      </c>
      <c r="BJ79" s="52" t="str">
        <f t="shared" ca="1" si="155"/>
        <v/>
      </c>
      <c r="BK79" s="52" t="str">
        <f t="shared" ca="1" si="155"/>
        <v/>
      </c>
      <c r="BL79" s="52" t="str">
        <f t="shared" ca="1" si="155"/>
        <v/>
      </c>
      <c r="BM79" s="52" t="str">
        <f t="shared" ca="1" si="155"/>
        <v/>
      </c>
      <c r="BN79" t="str">
        <f t="shared" ca="1" si="155"/>
        <v/>
      </c>
      <c r="BO79" t="str">
        <f t="shared" ca="1" si="155"/>
        <v/>
      </c>
      <c r="BP79" t="str">
        <f t="shared" ca="1" si="155"/>
        <v/>
      </c>
    </row>
    <row r="80" spans="1:68" ht="15" customHeight="1" x14ac:dyDescent="0.3">
      <c r="A80" s="10" t="str">
        <f>IF(Job_Master!A80="","",Job_Master!A80)</f>
        <v/>
      </c>
      <c r="B80" s="10" t="str">
        <f>IF($A80="","",Job_Master!B80)</f>
        <v/>
      </c>
      <c r="C80" s="10" t="str">
        <f>IF($A80="","",Job_Master!C80)</f>
        <v/>
      </c>
      <c r="D80" s="10" t="str">
        <f>IF($A80="","",Job_Master!D80)</f>
        <v/>
      </c>
      <c r="E80" s="48" t="str">
        <f>IF($A80="","",IFERROR(INDEX(Machine_List!$B$82:$B$86,MATCH("*"&amp;$B80&amp;"*",Machine_List!$J$82:$J$86,0)),"NO COMPATIBLE MACHINE"))</f>
        <v/>
      </c>
      <c r="F80" s="10" t="str">
        <f>IF($E80="","",IFERROR(VLOOKUP($E80,Machine_List!$B:$G,6,0),""))</f>
        <v/>
      </c>
      <c r="G80" s="53" t="str">
        <f>IF($E80="","",IFERROR(VLOOKUP($E80,Machine_List!$B:$C,2,0),""))</f>
        <v/>
      </c>
      <c r="H80" s="10" t="str">
        <f>IF($E80="","",IFERROR(VLOOKUP($E80,Machine_List!$B:$D,3,0),""))</f>
        <v/>
      </c>
      <c r="I80" s="54"/>
      <c r="J80" s="55" t="str">
        <f ca="1">IF($A80="","",IF($I80&lt;&gt;"",$I80,MAX(FID_Plan!$M80,IFERROR(LOOKUP(2,1/($E$3:INDIRECT("E"&amp;(ROW()-1))=$E80),$M$3:INDIRECT("M"&amp;(ROW()-1))),FID_Plan!$M80))))</f>
        <v/>
      </c>
      <c r="K80" s="10" t="str">
        <f>IF($A80="","",IFERROR(VLOOKUP(B80,CHOOSE(MATCH(C80,Settings!$L$4:$L$10,0),OPR_2P!$A$4:$I$18,SEG_6P!$A$4:$I$18,SOL_4P!$A$4:$I$18,RW_2P!$A$4:$I$18,RW2_4P!$A$4:$I$18,FLAP_4P!$A$4:$I$18,TUBE_4P!$A$4:$I$18),8,0),0))</f>
        <v/>
      </c>
      <c r="L80" s="10" t="str">
        <f t="shared" si="130"/>
        <v/>
      </c>
      <c r="M80" s="55" t="str">
        <f>IF($A80="","",$J80+($L80/(IF(F80="Contract Workman",Settings!$K$5,Settings!$K$4))))</f>
        <v/>
      </c>
      <c r="N80" s="10" t="str">
        <f t="shared" si="131"/>
        <v/>
      </c>
      <c r="O80" s="51" t="str">
        <f>IF(B80="","", IF(IFERROR(ISNUMBER(SEARCH(B80, VLOOKUP(E80, Machine_List!$B:$J, 9, 0))), FALSE()), "✅ Machine OK", "❌ Sug: " &amp; IFERROR(INDEX(Machine_List!$B$4:$B$50, MATCH("*"&amp;B80&amp;"*", Machine_List!$J$4:$J$50, 0)), "Check Limits")))</f>
        <v/>
      </c>
      <c r="P80" s="52" t="str">
        <f t="shared" ref="P80:AC80" ca="1" si="156">IF(AND(Q$3&gt;=$J80, Q$3&lt;$M80), $A80, "")</f>
        <v/>
      </c>
      <c r="Q80" s="52" t="str">
        <f t="shared" ca="1" si="156"/>
        <v/>
      </c>
      <c r="R80" s="52" t="str">
        <f t="shared" ca="1" si="156"/>
        <v/>
      </c>
      <c r="S80" s="52" t="str">
        <f t="shared" ca="1" si="156"/>
        <v/>
      </c>
      <c r="T80" s="52" t="str">
        <f t="shared" ca="1" si="156"/>
        <v/>
      </c>
      <c r="U80" s="52" t="str">
        <f t="shared" ca="1" si="156"/>
        <v/>
      </c>
      <c r="V80" s="52" t="str">
        <f t="shared" ca="1" si="156"/>
        <v/>
      </c>
      <c r="W80" s="52" t="str">
        <f t="shared" ca="1" si="156"/>
        <v/>
      </c>
      <c r="X80" s="52" t="str">
        <f t="shared" ca="1" si="156"/>
        <v/>
      </c>
      <c r="Y80" s="52" t="str">
        <f t="shared" ca="1" si="156"/>
        <v/>
      </c>
      <c r="Z80" s="52" t="str">
        <f t="shared" ca="1" si="156"/>
        <v/>
      </c>
      <c r="AA80" s="52" t="str">
        <f t="shared" ca="1" si="156"/>
        <v/>
      </c>
      <c r="AB80" s="52" t="str">
        <f t="shared" ca="1" si="156"/>
        <v/>
      </c>
      <c r="AC80" s="52" t="str">
        <f t="shared" ca="1" si="156"/>
        <v/>
      </c>
      <c r="AD80" s="52" t="str">
        <f t="shared" ref="AD80:BP80" ca="1" si="157">IF(AND(AE$3&gt;=$J80, AE$3&lt;$M80), $A80, "")</f>
        <v/>
      </c>
      <c r="AE80" s="52" t="str">
        <f t="shared" ca="1" si="157"/>
        <v/>
      </c>
      <c r="AF80" s="52" t="str">
        <f t="shared" ca="1" si="157"/>
        <v/>
      </c>
      <c r="AG80" s="52" t="str">
        <f t="shared" ca="1" si="157"/>
        <v/>
      </c>
      <c r="AH80" s="52" t="str">
        <f t="shared" ca="1" si="157"/>
        <v/>
      </c>
      <c r="AI80" s="52" t="str">
        <f t="shared" ca="1" si="157"/>
        <v/>
      </c>
      <c r="AJ80" s="52" t="str">
        <f t="shared" ca="1" si="157"/>
        <v/>
      </c>
      <c r="AK80" s="52" t="str">
        <f t="shared" ca="1" si="157"/>
        <v/>
      </c>
      <c r="AL80" s="52" t="str">
        <f t="shared" ca="1" si="157"/>
        <v/>
      </c>
      <c r="AM80" s="52" t="str">
        <f t="shared" ca="1" si="157"/>
        <v/>
      </c>
      <c r="AN80" s="52" t="str">
        <f t="shared" ca="1" si="157"/>
        <v/>
      </c>
      <c r="AO80" s="52" t="str">
        <f t="shared" ca="1" si="157"/>
        <v/>
      </c>
      <c r="AP80" s="52" t="str">
        <f t="shared" ca="1" si="157"/>
        <v/>
      </c>
      <c r="AQ80" s="52" t="str">
        <f t="shared" ca="1" si="157"/>
        <v/>
      </c>
      <c r="AR80" s="52" t="str">
        <f t="shared" ca="1" si="157"/>
        <v/>
      </c>
      <c r="AS80" s="52" t="str">
        <f t="shared" ca="1" si="157"/>
        <v/>
      </c>
      <c r="AT80" s="52" t="str">
        <f t="shared" ca="1" si="157"/>
        <v/>
      </c>
      <c r="AU80" s="52" t="str">
        <f t="shared" ca="1" si="157"/>
        <v/>
      </c>
      <c r="AV80" s="52" t="str">
        <f t="shared" ca="1" si="157"/>
        <v/>
      </c>
      <c r="AW80" s="52" t="str">
        <f t="shared" ca="1" si="157"/>
        <v/>
      </c>
      <c r="AX80" s="52" t="str">
        <f t="shared" ca="1" si="157"/>
        <v/>
      </c>
      <c r="AY80" s="52" t="str">
        <f t="shared" ca="1" si="157"/>
        <v/>
      </c>
      <c r="AZ80" s="52" t="str">
        <f t="shared" ca="1" si="157"/>
        <v/>
      </c>
      <c r="BA80" s="52" t="str">
        <f t="shared" ca="1" si="157"/>
        <v/>
      </c>
      <c r="BB80" s="52" t="str">
        <f t="shared" ca="1" si="157"/>
        <v/>
      </c>
      <c r="BC80" s="52" t="str">
        <f t="shared" ca="1" si="157"/>
        <v/>
      </c>
      <c r="BD80" s="52" t="str">
        <f t="shared" ca="1" si="157"/>
        <v/>
      </c>
      <c r="BE80" s="52" t="str">
        <f t="shared" ca="1" si="157"/>
        <v/>
      </c>
      <c r="BF80" s="52" t="str">
        <f t="shared" ca="1" si="157"/>
        <v/>
      </c>
      <c r="BG80" s="52" t="str">
        <f t="shared" ca="1" si="157"/>
        <v/>
      </c>
      <c r="BH80" s="52" t="str">
        <f t="shared" ca="1" si="157"/>
        <v/>
      </c>
      <c r="BI80" s="52" t="str">
        <f t="shared" ca="1" si="157"/>
        <v/>
      </c>
      <c r="BJ80" s="52" t="str">
        <f t="shared" ca="1" si="157"/>
        <v/>
      </c>
      <c r="BK80" s="52" t="str">
        <f t="shared" ca="1" si="157"/>
        <v/>
      </c>
      <c r="BL80" s="52" t="str">
        <f t="shared" ca="1" si="157"/>
        <v/>
      </c>
      <c r="BM80" s="52" t="str">
        <f t="shared" ca="1" si="157"/>
        <v/>
      </c>
      <c r="BN80" t="str">
        <f t="shared" ca="1" si="157"/>
        <v/>
      </c>
      <c r="BO80" t="str">
        <f t="shared" ca="1" si="157"/>
        <v/>
      </c>
      <c r="BP80" t="str">
        <f t="shared" ca="1" si="157"/>
        <v/>
      </c>
    </row>
    <row r="81" spans="1:68" ht="15" customHeight="1" x14ac:dyDescent="0.3">
      <c r="A81" s="10" t="str">
        <f>IF(Job_Master!A81="","",Job_Master!A81)</f>
        <v/>
      </c>
      <c r="B81" s="10" t="str">
        <f>IF($A81="","",Job_Master!B81)</f>
        <v/>
      </c>
      <c r="C81" s="10" t="str">
        <f>IF($A81="","",Job_Master!C81)</f>
        <v/>
      </c>
      <c r="D81" s="10" t="str">
        <f>IF($A81="","",Job_Master!D81)</f>
        <v/>
      </c>
      <c r="E81" s="48" t="str">
        <f>IF($A81="","",IFERROR(INDEX(Machine_List!$B$82:$B$86,MATCH("*"&amp;$B81&amp;"*",Machine_List!$J$82:$J$86,0)),"NO COMPATIBLE MACHINE"))</f>
        <v/>
      </c>
      <c r="F81" s="10" t="str">
        <f>IF($E81="","",IFERROR(VLOOKUP($E81,Machine_List!$B:$G,6,0),""))</f>
        <v/>
      </c>
      <c r="G81" s="53" t="str">
        <f>IF($E81="","",IFERROR(VLOOKUP($E81,Machine_List!$B:$C,2,0),""))</f>
        <v/>
      </c>
      <c r="H81" s="10" t="str">
        <f>IF($E81="","",IFERROR(VLOOKUP($E81,Machine_List!$B:$D,3,0),""))</f>
        <v/>
      </c>
      <c r="I81" s="54"/>
      <c r="J81" s="55" t="str">
        <f ca="1">IF($A81="","",IF($I81&lt;&gt;"",$I81,MAX(FID_Plan!$M81,IFERROR(LOOKUP(2,1/($E$3:INDIRECT("E"&amp;(ROW()-1))=$E81),$M$3:INDIRECT("M"&amp;(ROW()-1))),FID_Plan!$M81))))</f>
        <v/>
      </c>
      <c r="K81" s="10" t="str">
        <f>IF($A81="","",IFERROR(VLOOKUP(B81,CHOOSE(MATCH(C81,Settings!$L$4:$L$10,0),OPR_2P!$A$4:$I$18,SEG_6P!$A$4:$I$18,SOL_4P!$A$4:$I$18,RW_2P!$A$4:$I$18,RW2_4P!$A$4:$I$18,FLAP_4P!$A$4:$I$18,TUBE_4P!$A$4:$I$18),8,0),0))</f>
        <v/>
      </c>
      <c r="L81" s="10" t="str">
        <f t="shared" si="130"/>
        <v/>
      </c>
      <c r="M81" s="55" t="str">
        <f>IF($A81="","",$J81+($L81/(IF(F81="Contract Workman",Settings!$K$5,Settings!$K$4))))</f>
        <v/>
      </c>
      <c r="N81" s="10" t="str">
        <f t="shared" si="131"/>
        <v/>
      </c>
      <c r="O81" s="51" t="str">
        <f>IF(B81="","", IF(IFERROR(ISNUMBER(SEARCH(B81, VLOOKUP(E81, Machine_List!$B:$J, 9, 0))), FALSE()), "✅ Machine OK", "❌ Sug: " &amp; IFERROR(INDEX(Machine_List!$B$4:$B$50, MATCH("*"&amp;B81&amp;"*", Machine_List!$J$4:$J$50, 0)), "Check Limits")))</f>
        <v/>
      </c>
      <c r="P81" s="52" t="str">
        <f t="shared" ref="P81:AC81" ca="1" si="158">IF(AND(Q$3&gt;=$J81, Q$3&lt;$M81), $A81, "")</f>
        <v/>
      </c>
      <c r="Q81" s="52" t="str">
        <f t="shared" ca="1" si="158"/>
        <v/>
      </c>
      <c r="R81" s="52" t="str">
        <f t="shared" ca="1" si="158"/>
        <v/>
      </c>
      <c r="S81" s="52" t="str">
        <f t="shared" ca="1" si="158"/>
        <v/>
      </c>
      <c r="T81" s="52" t="str">
        <f t="shared" ca="1" si="158"/>
        <v/>
      </c>
      <c r="U81" s="52" t="str">
        <f t="shared" ca="1" si="158"/>
        <v/>
      </c>
      <c r="V81" s="52" t="str">
        <f t="shared" ca="1" si="158"/>
        <v/>
      </c>
      <c r="W81" s="52" t="str">
        <f t="shared" ca="1" si="158"/>
        <v/>
      </c>
      <c r="X81" s="52" t="str">
        <f t="shared" ca="1" si="158"/>
        <v/>
      </c>
      <c r="Y81" s="52" t="str">
        <f t="shared" ca="1" si="158"/>
        <v/>
      </c>
      <c r="Z81" s="52" t="str">
        <f t="shared" ca="1" si="158"/>
        <v/>
      </c>
      <c r="AA81" s="52" t="str">
        <f t="shared" ca="1" si="158"/>
        <v/>
      </c>
      <c r="AB81" s="52" t="str">
        <f t="shared" ca="1" si="158"/>
        <v/>
      </c>
      <c r="AC81" s="52" t="str">
        <f t="shared" ca="1" si="158"/>
        <v/>
      </c>
      <c r="AD81" s="52" t="str">
        <f t="shared" ref="AD81:BP81" ca="1" si="159">IF(AND(AE$3&gt;=$J81, AE$3&lt;$M81), $A81, "")</f>
        <v/>
      </c>
      <c r="AE81" s="52" t="str">
        <f t="shared" ca="1" si="159"/>
        <v/>
      </c>
      <c r="AF81" s="52" t="str">
        <f t="shared" ca="1" si="159"/>
        <v/>
      </c>
      <c r="AG81" s="52" t="str">
        <f t="shared" ca="1" si="159"/>
        <v/>
      </c>
      <c r="AH81" s="52" t="str">
        <f t="shared" ca="1" si="159"/>
        <v/>
      </c>
      <c r="AI81" s="52" t="str">
        <f t="shared" ca="1" si="159"/>
        <v/>
      </c>
      <c r="AJ81" s="52" t="str">
        <f t="shared" ca="1" si="159"/>
        <v/>
      </c>
      <c r="AK81" s="52" t="str">
        <f t="shared" ca="1" si="159"/>
        <v/>
      </c>
      <c r="AL81" s="52" t="str">
        <f t="shared" ca="1" si="159"/>
        <v/>
      </c>
      <c r="AM81" s="52" t="str">
        <f t="shared" ca="1" si="159"/>
        <v/>
      </c>
      <c r="AN81" s="52" t="str">
        <f t="shared" ca="1" si="159"/>
        <v/>
      </c>
      <c r="AO81" s="52" t="str">
        <f t="shared" ca="1" si="159"/>
        <v/>
      </c>
      <c r="AP81" s="52" t="str">
        <f t="shared" ca="1" si="159"/>
        <v/>
      </c>
      <c r="AQ81" s="52" t="str">
        <f t="shared" ca="1" si="159"/>
        <v/>
      </c>
      <c r="AR81" s="52" t="str">
        <f t="shared" ca="1" si="159"/>
        <v/>
      </c>
      <c r="AS81" s="52" t="str">
        <f t="shared" ca="1" si="159"/>
        <v/>
      </c>
      <c r="AT81" s="52" t="str">
        <f t="shared" ca="1" si="159"/>
        <v/>
      </c>
      <c r="AU81" s="52" t="str">
        <f t="shared" ca="1" si="159"/>
        <v/>
      </c>
      <c r="AV81" s="52" t="str">
        <f t="shared" ca="1" si="159"/>
        <v/>
      </c>
      <c r="AW81" s="52" t="str">
        <f t="shared" ca="1" si="159"/>
        <v/>
      </c>
      <c r="AX81" s="52" t="str">
        <f t="shared" ca="1" si="159"/>
        <v/>
      </c>
      <c r="AY81" s="52" t="str">
        <f t="shared" ca="1" si="159"/>
        <v/>
      </c>
      <c r="AZ81" s="52" t="str">
        <f t="shared" ca="1" si="159"/>
        <v/>
      </c>
      <c r="BA81" s="52" t="str">
        <f t="shared" ca="1" si="159"/>
        <v/>
      </c>
      <c r="BB81" s="52" t="str">
        <f t="shared" ca="1" si="159"/>
        <v/>
      </c>
      <c r="BC81" s="52" t="str">
        <f t="shared" ca="1" si="159"/>
        <v/>
      </c>
      <c r="BD81" s="52" t="str">
        <f t="shared" ca="1" si="159"/>
        <v/>
      </c>
      <c r="BE81" s="52" t="str">
        <f t="shared" ca="1" si="159"/>
        <v/>
      </c>
      <c r="BF81" s="52" t="str">
        <f t="shared" ca="1" si="159"/>
        <v/>
      </c>
      <c r="BG81" s="52" t="str">
        <f t="shared" ca="1" si="159"/>
        <v/>
      </c>
      <c r="BH81" s="52" t="str">
        <f t="shared" ca="1" si="159"/>
        <v/>
      </c>
      <c r="BI81" s="52" t="str">
        <f t="shared" ca="1" si="159"/>
        <v/>
      </c>
      <c r="BJ81" s="52" t="str">
        <f t="shared" ca="1" si="159"/>
        <v/>
      </c>
      <c r="BK81" s="52" t="str">
        <f t="shared" ca="1" si="159"/>
        <v/>
      </c>
      <c r="BL81" s="52" t="str">
        <f t="shared" ca="1" si="159"/>
        <v/>
      </c>
      <c r="BM81" s="52" t="str">
        <f t="shared" ca="1" si="159"/>
        <v/>
      </c>
      <c r="BN81" t="str">
        <f t="shared" ca="1" si="159"/>
        <v/>
      </c>
      <c r="BO81" t="str">
        <f t="shared" ca="1" si="159"/>
        <v/>
      </c>
      <c r="BP81" t="str">
        <f t="shared" ca="1" si="159"/>
        <v/>
      </c>
    </row>
    <row r="82" spans="1:68" ht="15" customHeight="1" x14ac:dyDescent="0.3">
      <c r="A82" s="10" t="str">
        <f>IF(Job_Master!A82="","",Job_Master!A82)</f>
        <v/>
      </c>
      <c r="B82" s="10" t="str">
        <f>IF($A82="","",Job_Master!B82)</f>
        <v/>
      </c>
      <c r="C82" s="10" t="str">
        <f>IF($A82="","",Job_Master!C82)</f>
        <v/>
      </c>
      <c r="D82" s="10" t="str">
        <f>IF($A82="","",Job_Master!D82)</f>
        <v/>
      </c>
      <c r="E82" s="48" t="str">
        <f>IF($A82="","",IFERROR(INDEX(Machine_List!$B$82:$B$86,MATCH("*"&amp;$B82&amp;"*",Machine_List!$J$82:$J$86,0)),"NO COMPATIBLE MACHINE"))</f>
        <v/>
      </c>
      <c r="F82" s="10" t="str">
        <f>IF($E82="","",IFERROR(VLOOKUP($E82,Machine_List!$B:$G,6,0),""))</f>
        <v/>
      </c>
      <c r="G82" s="53" t="str">
        <f>IF($E82="","",IFERROR(VLOOKUP($E82,Machine_List!$B:$C,2,0),""))</f>
        <v/>
      </c>
      <c r="H82" s="10" t="str">
        <f>IF($E82="","",IFERROR(VLOOKUP($E82,Machine_List!$B:$D,3,0),""))</f>
        <v/>
      </c>
      <c r="I82" s="54"/>
      <c r="J82" s="55" t="str">
        <f ca="1">IF($A82="","",IF($I82&lt;&gt;"",$I82,MAX(FID_Plan!$M82,IFERROR(LOOKUP(2,1/($E$3:INDIRECT("E"&amp;(ROW()-1))=$E82),$M$3:INDIRECT("M"&amp;(ROW()-1))),FID_Plan!$M82))))</f>
        <v/>
      </c>
      <c r="K82" s="10" t="str">
        <f>IF($A82="","",IFERROR(VLOOKUP(B82,CHOOSE(MATCH(C82,Settings!$L$4:$L$10,0),OPR_2P!$A$4:$I$18,SEG_6P!$A$4:$I$18,SOL_4P!$A$4:$I$18,RW_2P!$A$4:$I$18,RW2_4P!$A$4:$I$18,FLAP_4P!$A$4:$I$18,TUBE_4P!$A$4:$I$18),8,0),0))</f>
        <v/>
      </c>
      <c r="L82" s="10" t="str">
        <f t="shared" si="130"/>
        <v/>
      </c>
      <c r="M82" s="55" t="str">
        <f>IF($A82="","",$J82+($L82/(IF(F82="Contract Workman",Settings!$K$5,Settings!$K$4))))</f>
        <v/>
      </c>
      <c r="N82" s="10" t="str">
        <f t="shared" si="131"/>
        <v/>
      </c>
      <c r="O82" s="51" t="str">
        <f>IF(B82="","", IF(IFERROR(ISNUMBER(SEARCH(B82, VLOOKUP(E82, Machine_List!$B:$J, 9, 0))), FALSE()), "✅ Machine OK", "❌ Sug: " &amp; IFERROR(INDEX(Machine_List!$B$4:$B$50, MATCH("*"&amp;B82&amp;"*", Machine_List!$J$4:$J$50, 0)), "Check Limits")))</f>
        <v/>
      </c>
      <c r="P82" s="52" t="str">
        <f t="shared" ref="P82:AC82" ca="1" si="160">IF(AND(Q$3&gt;=$J82, Q$3&lt;$M82), $A82, "")</f>
        <v/>
      </c>
      <c r="Q82" s="52" t="str">
        <f t="shared" ca="1" si="160"/>
        <v/>
      </c>
      <c r="R82" s="52" t="str">
        <f t="shared" ca="1" si="160"/>
        <v/>
      </c>
      <c r="S82" s="52" t="str">
        <f t="shared" ca="1" si="160"/>
        <v/>
      </c>
      <c r="T82" s="52" t="str">
        <f t="shared" ca="1" si="160"/>
        <v/>
      </c>
      <c r="U82" s="52" t="str">
        <f t="shared" ca="1" si="160"/>
        <v/>
      </c>
      <c r="V82" s="52" t="str">
        <f t="shared" ca="1" si="160"/>
        <v/>
      </c>
      <c r="W82" s="52" t="str">
        <f t="shared" ca="1" si="160"/>
        <v/>
      </c>
      <c r="X82" s="52" t="str">
        <f t="shared" ca="1" si="160"/>
        <v/>
      </c>
      <c r="Y82" s="52" t="str">
        <f t="shared" ca="1" si="160"/>
        <v/>
      </c>
      <c r="Z82" s="52" t="str">
        <f t="shared" ca="1" si="160"/>
        <v/>
      </c>
      <c r="AA82" s="52" t="str">
        <f t="shared" ca="1" si="160"/>
        <v/>
      </c>
      <c r="AB82" s="52" t="str">
        <f t="shared" ca="1" si="160"/>
        <v/>
      </c>
      <c r="AC82" s="52" t="str">
        <f t="shared" ca="1" si="160"/>
        <v/>
      </c>
      <c r="AD82" s="52" t="str">
        <f t="shared" ref="AD82:BP82" ca="1" si="161">IF(AND(AE$3&gt;=$J82, AE$3&lt;$M82), $A82, "")</f>
        <v/>
      </c>
      <c r="AE82" s="52" t="str">
        <f t="shared" ca="1" si="161"/>
        <v/>
      </c>
      <c r="AF82" s="52" t="str">
        <f t="shared" ca="1" si="161"/>
        <v/>
      </c>
      <c r="AG82" s="52" t="str">
        <f t="shared" ca="1" si="161"/>
        <v/>
      </c>
      <c r="AH82" s="52" t="str">
        <f t="shared" ca="1" si="161"/>
        <v/>
      </c>
      <c r="AI82" s="52" t="str">
        <f t="shared" ca="1" si="161"/>
        <v/>
      </c>
      <c r="AJ82" s="52" t="str">
        <f t="shared" ca="1" si="161"/>
        <v/>
      </c>
      <c r="AK82" s="52" t="str">
        <f t="shared" ca="1" si="161"/>
        <v/>
      </c>
      <c r="AL82" s="52" t="str">
        <f t="shared" ca="1" si="161"/>
        <v/>
      </c>
      <c r="AM82" s="52" t="str">
        <f t="shared" ca="1" si="161"/>
        <v/>
      </c>
      <c r="AN82" s="52" t="str">
        <f t="shared" ca="1" si="161"/>
        <v/>
      </c>
      <c r="AO82" s="52" t="str">
        <f t="shared" ca="1" si="161"/>
        <v/>
      </c>
      <c r="AP82" s="52" t="str">
        <f t="shared" ca="1" si="161"/>
        <v/>
      </c>
      <c r="AQ82" s="52" t="str">
        <f t="shared" ca="1" si="161"/>
        <v/>
      </c>
      <c r="AR82" s="52" t="str">
        <f t="shared" ca="1" si="161"/>
        <v/>
      </c>
      <c r="AS82" s="52" t="str">
        <f t="shared" ca="1" si="161"/>
        <v/>
      </c>
      <c r="AT82" s="52" t="str">
        <f t="shared" ca="1" si="161"/>
        <v/>
      </c>
      <c r="AU82" s="52" t="str">
        <f t="shared" ca="1" si="161"/>
        <v/>
      </c>
      <c r="AV82" s="52" t="str">
        <f t="shared" ca="1" si="161"/>
        <v/>
      </c>
      <c r="AW82" s="52" t="str">
        <f t="shared" ca="1" si="161"/>
        <v/>
      </c>
      <c r="AX82" s="52" t="str">
        <f t="shared" ca="1" si="161"/>
        <v/>
      </c>
      <c r="AY82" s="52" t="str">
        <f t="shared" ca="1" si="161"/>
        <v/>
      </c>
      <c r="AZ82" s="52" t="str">
        <f t="shared" ca="1" si="161"/>
        <v/>
      </c>
      <c r="BA82" s="52" t="str">
        <f t="shared" ca="1" si="161"/>
        <v/>
      </c>
      <c r="BB82" s="52" t="str">
        <f t="shared" ca="1" si="161"/>
        <v/>
      </c>
      <c r="BC82" s="52" t="str">
        <f t="shared" ca="1" si="161"/>
        <v/>
      </c>
      <c r="BD82" s="52" t="str">
        <f t="shared" ca="1" si="161"/>
        <v/>
      </c>
      <c r="BE82" s="52" t="str">
        <f t="shared" ca="1" si="161"/>
        <v/>
      </c>
      <c r="BF82" s="52" t="str">
        <f t="shared" ca="1" si="161"/>
        <v/>
      </c>
      <c r="BG82" s="52" t="str">
        <f t="shared" ca="1" si="161"/>
        <v/>
      </c>
      <c r="BH82" s="52" t="str">
        <f t="shared" ca="1" si="161"/>
        <v/>
      </c>
      <c r="BI82" s="52" t="str">
        <f t="shared" ca="1" si="161"/>
        <v/>
      </c>
      <c r="BJ82" s="52" t="str">
        <f t="shared" ca="1" si="161"/>
        <v/>
      </c>
      <c r="BK82" s="52" t="str">
        <f t="shared" ca="1" si="161"/>
        <v/>
      </c>
      <c r="BL82" s="52" t="str">
        <f t="shared" ca="1" si="161"/>
        <v/>
      </c>
      <c r="BM82" s="52" t="str">
        <f t="shared" ca="1" si="161"/>
        <v/>
      </c>
      <c r="BN82" t="str">
        <f t="shared" ca="1" si="161"/>
        <v/>
      </c>
      <c r="BO82" t="str">
        <f t="shared" ca="1" si="161"/>
        <v/>
      </c>
      <c r="BP82" t="str">
        <f t="shared" ca="1" si="161"/>
        <v/>
      </c>
    </row>
    <row r="83" spans="1:68" ht="15" customHeight="1" x14ac:dyDescent="0.3">
      <c r="A83" s="10" t="str">
        <f>IF(Job_Master!A83="","",Job_Master!A83)</f>
        <v/>
      </c>
      <c r="B83" s="10" t="str">
        <f>IF($A83="","",Job_Master!B83)</f>
        <v/>
      </c>
      <c r="C83" s="10" t="str">
        <f>IF($A83="","",Job_Master!C83)</f>
        <v/>
      </c>
      <c r="D83" s="10" t="str">
        <f>IF($A83="","",Job_Master!D83)</f>
        <v/>
      </c>
      <c r="E83" s="48" t="str">
        <f>IF($A83="","",IFERROR(INDEX(Machine_List!$B$82:$B$86,MATCH("*"&amp;$B83&amp;"*",Machine_List!$J$82:$J$86,0)),"NO COMPATIBLE MACHINE"))</f>
        <v/>
      </c>
      <c r="F83" s="10" t="str">
        <f>IF($E83="","",IFERROR(VLOOKUP($E83,Machine_List!$B:$G,6,0),""))</f>
        <v/>
      </c>
      <c r="G83" s="53" t="str">
        <f>IF($E83="","",IFERROR(VLOOKUP($E83,Machine_List!$B:$C,2,0),""))</f>
        <v/>
      </c>
      <c r="H83" s="10" t="str">
        <f>IF($E83="","",IFERROR(VLOOKUP($E83,Machine_List!$B:$D,3,0),""))</f>
        <v/>
      </c>
      <c r="I83" s="54"/>
      <c r="J83" s="55" t="str">
        <f ca="1">IF($A83="","",IF($I83&lt;&gt;"",$I83,MAX(FID_Plan!$M83,IFERROR(LOOKUP(2,1/($E$3:INDIRECT("E"&amp;(ROW()-1))=$E83),$M$3:INDIRECT("M"&amp;(ROW()-1))),FID_Plan!$M83))))</f>
        <v/>
      </c>
      <c r="K83" s="10" t="str">
        <f>IF($A83="","",IFERROR(VLOOKUP(B83,CHOOSE(MATCH(C83,Settings!$L$4:$L$10,0),OPR_2P!$A$4:$I$18,SEG_6P!$A$4:$I$18,SOL_4P!$A$4:$I$18,RW_2P!$A$4:$I$18,RW2_4P!$A$4:$I$18,FLAP_4P!$A$4:$I$18,TUBE_4P!$A$4:$I$18),8,0),0))</f>
        <v/>
      </c>
      <c r="L83" s="10" t="str">
        <f t="shared" si="130"/>
        <v/>
      </c>
      <c r="M83" s="55" t="str">
        <f>IF($A83="","",$J83+($L83/(IF(F83="Contract Workman",Settings!$K$5,Settings!$K$4))))</f>
        <v/>
      </c>
      <c r="N83" s="10" t="str">
        <f t="shared" si="131"/>
        <v/>
      </c>
      <c r="O83" s="51" t="str">
        <f>IF(B83="","", IF(IFERROR(ISNUMBER(SEARCH(B83, VLOOKUP(E83, Machine_List!$B:$J, 9, 0))), FALSE()), "✅ Machine OK", "❌ Sug: " &amp; IFERROR(INDEX(Machine_List!$B$4:$B$50, MATCH("*"&amp;B83&amp;"*", Machine_List!$J$4:$J$50, 0)), "Check Limits")))</f>
        <v/>
      </c>
      <c r="P83" s="52" t="str">
        <f t="shared" ref="P83:AC83" ca="1" si="162">IF(AND(Q$3&gt;=$J83, Q$3&lt;$M83), $A83, "")</f>
        <v/>
      </c>
      <c r="Q83" s="52" t="str">
        <f t="shared" ca="1" si="162"/>
        <v/>
      </c>
      <c r="R83" s="52" t="str">
        <f t="shared" ca="1" si="162"/>
        <v/>
      </c>
      <c r="S83" s="52" t="str">
        <f t="shared" ca="1" si="162"/>
        <v/>
      </c>
      <c r="T83" s="52" t="str">
        <f t="shared" ca="1" si="162"/>
        <v/>
      </c>
      <c r="U83" s="52" t="str">
        <f t="shared" ca="1" si="162"/>
        <v/>
      </c>
      <c r="V83" s="52" t="str">
        <f t="shared" ca="1" si="162"/>
        <v/>
      </c>
      <c r="W83" s="52" t="str">
        <f t="shared" ca="1" si="162"/>
        <v/>
      </c>
      <c r="X83" s="52" t="str">
        <f t="shared" ca="1" si="162"/>
        <v/>
      </c>
      <c r="Y83" s="52" t="str">
        <f t="shared" ca="1" si="162"/>
        <v/>
      </c>
      <c r="Z83" s="52" t="str">
        <f t="shared" ca="1" si="162"/>
        <v/>
      </c>
      <c r="AA83" s="52" t="str">
        <f t="shared" ca="1" si="162"/>
        <v/>
      </c>
      <c r="AB83" s="52" t="str">
        <f t="shared" ca="1" si="162"/>
        <v/>
      </c>
      <c r="AC83" s="52" t="str">
        <f t="shared" ca="1" si="162"/>
        <v/>
      </c>
      <c r="AD83" s="52" t="str">
        <f t="shared" ref="AD83:BP83" ca="1" si="163">IF(AND(AE$3&gt;=$J83, AE$3&lt;$M83), $A83, "")</f>
        <v/>
      </c>
      <c r="AE83" s="52" t="str">
        <f t="shared" ca="1" si="163"/>
        <v/>
      </c>
      <c r="AF83" s="52" t="str">
        <f t="shared" ca="1" si="163"/>
        <v/>
      </c>
      <c r="AG83" s="52" t="str">
        <f t="shared" ca="1" si="163"/>
        <v/>
      </c>
      <c r="AH83" s="52" t="str">
        <f t="shared" ca="1" si="163"/>
        <v/>
      </c>
      <c r="AI83" s="52" t="str">
        <f t="shared" ca="1" si="163"/>
        <v/>
      </c>
      <c r="AJ83" s="52" t="str">
        <f t="shared" ca="1" si="163"/>
        <v/>
      </c>
      <c r="AK83" s="52" t="str">
        <f t="shared" ca="1" si="163"/>
        <v/>
      </c>
      <c r="AL83" s="52" t="str">
        <f t="shared" ca="1" si="163"/>
        <v/>
      </c>
      <c r="AM83" s="52" t="str">
        <f t="shared" ca="1" si="163"/>
        <v/>
      </c>
      <c r="AN83" s="52" t="str">
        <f t="shared" ca="1" si="163"/>
        <v/>
      </c>
      <c r="AO83" s="52" t="str">
        <f t="shared" ca="1" si="163"/>
        <v/>
      </c>
      <c r="AP83" s="52" t="str">
        <f t="shared" ca="1" si="163"/>
        <v/>
      </c>
      <c r="AQ83" s="52" t="str">
        <f t="shared" ca="1" si="163"/>
        <v/>
      </c>
      <c r="AR83" s="52" t="str">
        <f t="shared" ca="1" si="163"/>
        <v/>
      </c>
      <c r="AS83" s="52" t="str">
        <f t="shared" ca="1" si="163"/>
        <v/>
      </c>
      <c r="AT83" s="52" t="str">
        <f t="shared" ca="1" si="163"/>
        <v/>
      </c>
      <c r="AU83" s="52" t="str">
        <f t="shared" ca="1" si="163"/>
        <v/>
      </c>
      <c r="AV83" s="52" t="str">
        <f t="shared" ca="1" si="163"/>
        <v/>
      </c>
      <c r="AW83" s="52" t="str">
        <f t="shared" ca="1" si="163"/>
        <v/>
      </c>
      <c r="AX83" s="52" t="str">
        <f t="shared" ca="1" si="163"/>
        <v/>
      </c>
      <c r="AY83" s="52" t="str">
        <f t="shared" ca="1" si="163"/>
        <v/>
      </c>
      <c r="AZ83" s="52" t="str">
        <f t="shared" ca="1" si="163"/>
        <v/>
      </c>
      <c r="BA83" s="52" t="str">
        <f t="shared" ca="1" si="163"/>
        <v/>
      </c>
      <c r="BB83" s="52" t="str">
        <f t="shared" ca="1" si="163"/>
        <v/>
      </c>
      <c r="BC83" s="52" t="str">
        <f t="shared" ca="1" si="163"/>
        <v/>
      </c>
      <c r="BD83" s="52" t="str">
        <f t="shared" ca="1" si="163"/>
        <v/>
      </c>
      <c r="BE83" s="52" t="str">
        <f t="shared" ca="1" si="163"/>
        <v/>
      </c>
      <c r="BF83" s="52" t="str">
        <f t="shared" ca="1" si="163"/>
        <v/>
      </c>
      <c r="BG83" s="52" t="str">
        <f t="shared" ca="1" si="163"/>
        <v/>
      </c>
      <c r="BH83" s="52" t="str">
        <f t="shared" ca="1" si="163"/>
        <v/>
      </c>
      <c r="BI83" s="52" t="str">
        <f t="shared" ca="1" si="163"/>
        <v/>
      </c>
      <c r="BJ83" s="52" t="str">
        <f t="shared" ca="1" si="163"/>
        <v/>
      </c>
      <c r="BK83" s="52" t="str">
        <f t="shared" ca="1" si="163"/>
        <v/>
      </c>
      <c r="BL83" s="52" t="str">
        <f t="shared" ca="1" si="163"/>
        <v/>
      </c>
      <c r="BM83" s="52" t="str">
        <f t="shared" ca="1" si="163"/>
        <v/>
      </c>
      <c r="BN83" t="str">
        <f t="shared" ca="1" si="163"/>
        <v/>
      </c>
      <c r="BO83" t="str">
        <f t="shared" ca="1" si="163"/>
        <v/>
      </c>
      <c r="BP83" t="str">
        <f t="shared" ca="1" si="163"/>
        <v/>
      </c>
    </row>
    <row r="84" spans="1:68" ht="15" customHeight="1" x14ac:dyDescent="0.3">
      <c r="A84" s="10" t="str">
        <f>IF(Job_Master!A84="","",Job_Master!A84)</f>
        <v/>
      </c>
      <c r="B84" s="10" t="str">
        <f>IF($A84="","",Job_Master!B84)</f>
        <v/>
      </c>
      <c r="C84" s="10" t="str">
        <f>IF($A84="","",Job_Master!C84)</f>
        <v/>
      </c>
      <c r="D84" s="10" t="str">
        <f>IF($A84="","",Job_Master!D84)</f>
        <v/>
      </c>
      <c r="E84" s="48" t="str">
        <f>IF($A84="","",IFERROR(INDEX(Machine_List!$B$82:$B$86,MATCH("*"&amp;$B84&amp;"*",Machine_List!$J$82:$J$86,0)),"NO COMPATIBLE MACHINE"))</f>
        <v/>
      </c>
      <c r="F84" s="10" t="str">
        <f>IF($E84="","",IFERROR(VLOOKUP($E84,Machine_List!$B:$G,6,0),""))</f>
        <v/>
      </c>
      <c r="G84" s="53" t="str">
        <f>IF($E84="","",IFERROR(VLOOKUP($E84,Machine_List!$B:$C,2,0),""))</f>
        <v/>
      </c>
      <c r="H84" s="10" t="str">
        <f>IF($E84="","",IFERROR(VLOOKUP($E84,Machine_List!$B:$D,3,0),""))</f>
        <v/>
      </c>
      <c r="I84" s="54"/>
      <c r="J84" s="55" t="str">
        <f ca="1">IF($A84="","",IF($I84&lt;&gt;"",$I84,MAX(FID_Plan!$M84,IFERROR(LOOKUP(2,1/($E$3:INDIRECT("E"&amp;(ROW()-1))=$E84),$M$3:INDIRECT("M"&amp;(ROW()-1))),FID_Plan!$M84))))</f>
        <v/>
      </c>
      <c r="K84" s="10" t="str">
        <f>IF($A84="","",IFERROR(VLOOKUP(B84,CHOOSE(MATCH(C84,Settings!$L$4:$L$10,0),OPR_2P!$A$4:$I$18,SEG_6P!$A$4:$I$18,SOL_4P!$A$4:$I$18,RW_2P!$A$4:$I$18,RW2_4P!$A$4:$I$18,FLAP_4P!$A$4:$I$18,TUBE_4P!$A$4:$I$18),8,0),0))</f>
        <v/>
      </c>
      <c r="L84" s="10" t="str">
        <f t="shared" si="130"/>
        <v/>
      </c>
      <c r="M84" s="55" t="str">
        <f>IF($A84="","",$J84+($L84/(IF(F84="Contract Workman",Settings!$K$5,Settings!$K$4))))</f>
        <v/>
      </c>
      <c r="N84" s="10" t="str">
        <f t="shared" si="131"/>
        <v/>
      </c>
      <c r="O84" s="51" t="str">
        <f>IF(B84="","", IF(IFERROR(ISNUMBER(SEARCH(B84, VLOOKUP(E84, Machine_List!$B:$J, 9, 0))), FALSE()), "✅ Machine OK", "❌ Sug: " &amp; IFERROR(INDEX(Machine_List!$B$4:$B$50, MATCH("*"&amp;B84&amp;"*", Machine_List!$J$4:$J$50, 0)), "Check Limits")))</f>
        <v/>
      </c>
      <c r="P84" s="52" t="str">
        <f t="shared" ref="P84:AC84" ca="1" si="164">IF(AND(Q$3&gt;=$J84, Q$3&lt;$M84), $A84, "")</f>
        <v/>
      </c>
      <c r="Q84" s="52" t="str">
        <f t="shared" ca="1" si="164"/>
        <v/>
      </c>
      <c r="R84" s="52" t="str">
        <f t="shared" ca="1" si="164"/>
        <v/>
      </c>
      <c r="S84" s="52" t="str">
        <f t="shared" ca="1" si="164"/>
        <v/>
      </c>
      <c r="T84" s="52" t="str">
        <f t="shared" ca="1" si="164"/>
        <v/>
      </c>
      <c r="U84" s="52" t="str">
        <f t="shared" ca="1" si="164"/>
        <v/>
      </c>
      <c r="V84" s="52" t="str">
        <f t="shared" ca="1" si="164"/>
        <v/>
      </c>
      <c r="W84" s="52" t="str">
        <f t="shared" ca="1" si="164"/>
        <v/>
      </c>
      <c r="X84" s="52" t="str">
        <f t="shared" ca="1" si="164"/>
        <v/>
      </c>
      <c r="Y84" s="52" t="str">
        <f t="shared" ca="1" si="164"/>
        <v/>
      </c>
      <c r="Z84" s="52" t="str">
        <f t="shared" ca="1" si="164"/>
        <v/>
      </c>
      <c r="AA84" s="52" t="str">
        <f t="shared" ca="1" si="164"/>
        <v/>
      </c>
      <c r="AB84" s="52" t="str">
        <f t="shared" ca="1" si="164"/>
        <v/>
      </c>
      <c r="AC84" s="52" t="str">
        <f t="shared" ca="1" si="164"/>
        <v/>
      </c>
      <c r="AD84" s="52" t="str">
        <f t="shared" ref="AD84:BP84" ca="1" si="165">IF(AND(AE$3&gt;=$J84, AE$3&lt;$M84), $A84, "")</f>
        <v/>
      </c>
      <c r="AE84" s="52" t="str">
        <f t="shared" ca="1" si="165"/>
        <v/>
      </c>
      <c r="AF84" s="52" t="str">
        <f t="shared" ca="1" si="165"/>
        <v/>
      </c>
      <c r="AG84" s="52" t="str">
        <f t="shared" ca="1" si="165"/>
        <v/>
      </c>
      <c r="AH84" s="52" t="str">
        <f t="shared" ca="1" si="165"/>
        <v/>
      </c>
      <c r="AI84" s="52" t="str">
        <f t="shared" ca="1" si="165"/>
        <v/>
      </c>
      <c r="AJ84" s="52" t="str">
        <f t="shared" ca="1" si="165"/>
        <v/>
      </c>
      <c r="AK84" s="52" t="str">
        <f t="shared" ca="1" si="165"/>
        <v/>
      </c>
      <c r="AL84" s="52" t="str">
        <f t="shared" ca="1" si="165"/>
        <v/>
      </c>
      <c r="AM84" s="52" t="str">
        <f t="shared" ca="1" si="165"/>
        <v/>
      </c>
      <c r="AN84" s="52" t="str">
        <f t="shared" ca="1" si="165"/>
        <v/>
      </c>
      <c r="AO84" s="52" t="str">
        <f t="shared" ca="1" si="165"/>
        <v/>
      </c>
      <c r="AP84" s="52" t="str">
        <f t="shared" ca="1" si="165"/>
        <v/>
      </c>
      <c r="AQ84" s="52" t="str">
        <f t="shared" ca="1" si="165"/>
        <v/>
      </c>
      <c r="AR84" s="52" t="str">
        <f t="shared" ca="1" si="165"/>
        <v/>
      </c>
      <c r="AS84" s="52" t="str">
        <f t="shared" ca="1" si="165"/>
        <v/>
      </c>
      <c r="AT84" s="52" t="str">
        <f t="shared" ca="1" si="165"/>
        <v/>
      </c>
      <c r="AU84" s="52" t="str">
        <f t="shared" ca="1" si="165"/>
        <v/>
      </c>
      <c r="AV84" s="52" t="str">
        <f t="shared" ca="1" si="165"/>
        <v/>
      </c>
      <c r="AW84" s="52" t="str">
        <f t="shared" ca="1" si="165"/>
        <v/>
      </c>
      <c r="AX84" s="52" t="str">
        <f t="shared" ca="1" si="165"/>
        <v/>
      </c>
      <c r="AY84" s="52" t="str">
        <f t="shared" ca="1" si="165"/>
        <v/>
      </c>
      <c r="AZ84" s="52" t="str">
        <f t="shared" ca="1" si="165"/>
        <v/>
      </c>
      <c r="BA84" s="52" t="str">
        <f t="shared" ca="1" si="165"/>
        <v/>
      </c>
      <c r="BB84" s="52" t="str">
        <f t="shared" ca="1" si="165"/>
        <v/>
      </c>
      <c r="BC84" s="52" t="str">
        <f t="shared" ca="1" si="165"/>
        <v/>
      </c>
      <c r="BD84" s="52" t="str">
        <f t="shared" ca="1" si="165"/>
        <v/>
      </c>
      <c r="BE84" s="52" t="str">
        <f t="shared" ca="1" si="165"/>
        <v/>
      </c>
      <c r="BF84" s="52" t="str">
        <f t="shared" ca="1" si="165"/>
        <v/>
      </c>
      <c r="BG84" s="52" t="str">
        <f t="shared" ca="1" si="165"/>
        <v/>
      </c>
      <c r="BH84" s="52" t="str">
        <f t="shared" ca="1" si="165"/>
        <v/>
      </c>
      <c r="BI84" s="52" t="str">
        <f t="shared" ca="1" si="165"/>
        <v/>
      </c>
      <c r="BJ84" s="52" t="str">
        <f t="shared" ca="1" si="165"/>
        <v/>
      </c>
      <c r="BK84" s="52" t="str">
        <f t="shared" ca="1" si="165"/>
        <v/>
      </c>
      <c r="BL84" s="52" t="str">
        <f t="shared" ca="1" si="165"/>
        <v/>
      </c>
      <c r="BM84" s="52" t="str">
        <f t="shared" ca="1" si="165"/>
        <v/>
      </c>
      <c r="BN84" t="str">
        <f t="shared" ca="1" si="165"/>
        <v/>
      </c>
      <c r="BO84" t="str">
        <f t="shared" ca="1" si="165"/>
        <v/>
      </c>
      <c r="BP84" t="str">
        <f t="shared" ca="1" si="165"/>
        <v/>
      </c>
    </row>
    <row r="85" spans="1:68" ht="15" customHeight="1" x14ac:dyDescent="0.3">
      <c r="A85" s="10" t="str">
        <f>IF(Job_Master!A85="","",Job_Master!A85)</f>
        <v/>
      </c>
      <c r="B85" s="10" t="str">
        <f>IF($A85="","",Job_Master!B85)</f>
        <v/>
      </c>
      <c r="C85" s="10" t="str">
        <f>IF($A85="","",Job_Master!C85)</f>
        <v/>
      </c>
      <c r="D85" s="10" t="str">
        <f>IF($A85="","",Job_Master!D85)</f>
        <v/>
      </c>
      <c r="E85" s="48" t="str">
        <f>IF($A85="","",IFERROR(INDEX(Machine_List!$B$82:$B$86,MATCH("*"&amp;$B85&amp;"*",Machine_List!$J$82:$J$86,0)),"NO COMPATIBLE MACHINE"))</f>
        <v/>
      </c>
      <c r="F85" s="10" t="str">
        <f>IF($E85="","",IFERROR(VLOOKUP($E85,Machine_List!$B:$G,6,0),""))</f>
        <v/>
      </c>
      <c r="G85" s="53" t="str">
        <f>IF($E85="","",IFERROR(VLOOKUP($E85,Machine_List!$B:$C,2,0),""))</f>
        <v/>
      </c>
      <c r="H85" s="10" t="str">
        <f>IF($E85="","",IFERROR(VLOOKUP($E85,Machine_List!$B:$D,3,0),""))</f>
        <v/>
      </c>
      <c r="I85" s="54"/>
      <c r="J85" s="55" t="str">
        <f ca="1">IF($A85="","",IF($I85&lt;&gt;"",$I85,MAX(FID_Plan!$M85,IFERROR(LOOKUP(2,1/($E$3:INDIRECT("E"&amp;(ROW()-1))=$E85),$M$3:INDIRECT("M"&amp;(ROW()-1))),FID_Plan!$M85))))</f>
        <v/>
      </c>
      <c r="K85" s="10" t="str">
        <f>IF($A85="","",IFERROR(VLOOKUP(B85,CHOOSE(MATCH(C85,Settings!$L$4:$L$10,0),OPR_2P!$A$4:$I$18,SEG_6P!$A$4:$I$18,SOL_4P!$A$4:$I$18,RW_2P!$A$4:$I$18,RW2_4P!$A$4:$I$18,FLAP_4P!$A$4:$I$18,TUBE_4P!$A$4:$I$18),8,0),0))</f>
        <v/>
      </c>
      <c r="L85" s="10" t="str">
        <f t="shared" si="130"/>
        <v/>
      </c>
      <c r="M85" s="55" t="str">
        <f>IF($A85="","",$J85+($L85/(IF(F85="Contract Workman",Settings!$K$5,Settings!$K$4))))</f>
        <v/>
      </c>
      <c r="N85" s="10" t="str">
        <f t="shared" si="131"/>
        <v/>
      </c>
      <c r="O85" s="51" t="str">
        <f>IF(B85="","", IF(IFERROR(ISNUMBER(SEARCH(B85, VLOOKUP(E85, Machine_List!$B:$J, 9, 0))), FALSE()), "✅ Machine OK", "❌ Sug: " &amp; IFERROR(INDEX(Machine_List!$B$4:$B$50, MATCH("*"&amp;B85&amp;"*", Machine_List!$J$4:$J$50, 0)), "Check Limits")))</f>
        <v/>
      </c>
      <c r="P85" s="52" t="str">
        <f t="shared" ref="P85:AC85" ca="1" si="166">IF(AND(Q$3&gt;=$J85, Q$3&lt;$M85), $A85, "")</f>
        <v/>
      </c>
      <c r="Q85" s="52" t="str">
        <f t="shared" ca="1" si="166"/>
        <v/>
      </c>
      <c r="R85" s="52" t="str">
        <f t="shared" ca="1" si="166"/>
        <v/>
      </c>
      <c r="S85" s="52" t="str">
        <f t="shared" ca="1" si="166"/>
        <v/>
      </c>
      <c r="T85" s="52" t="str">
        <f t="shared" ca="1" si="166"/>
        <v/>
      </c>
      <c r="U85" s="52" t="str">
        <f t="shared" ca="1" si="166"/>
        <v/>
      </c>
      <c r="V85" s="52" t="str">
        <f t="shared" ca="1" si="166"/>
        <v/>
      </c>
      <c r="W85" s="52" t="str">
        <f t="shared" ca="1" si="166"/>
        <v/>
      </c>
      <c r="X85" s="52" t="str">
        <f t="shared" ca="1" si="166"/>
        <v/>
      </c>
      <c r="Y85" s="52" t="str">
        <f t="shared" ca="1" si="166"/>
        <v/>
      </c>
      <c r="Z85" s="52" t="str">
        <f t="shared" ca="1" si="166"/>
        <v/>
      </c>
      <c r="AA85" s="52" t="str">
        <f t="shared" ca="1" si="166"/>
        <v/>
      </c>
      <c r="AB85" s="52" t="str">
        <f t="shared" ca="1" si="166"/>
        <v/>
      </c>
      <c r="AC85" s="52" t="str">
        <f t="shared" ca="1" si="166"/>
        <v/>
      </c>
      <c r="AD85" s="52" t="str">
        <f t="shared" ref="AD85:BP85" ca="1" si="167">IF(AND(AE$3&gt;=$J85, AE$3&lt;$M85), $A85, "")</f>
        <v/>
      </c>
      <c r="AE85" s="52" t="str">
        <f t="shared" ca="1" si="167"/>
        <v/>
      </c>
      <c r="AF85" s="52" t="str">
        <f t="shared" ca="1" si="167"/>
        <v/>
      </c>
      <c r="AG85" s="52" t="str">
        <f t="shared" ca="1" si="167"/>
        <v/>
      </c>
      <c r="AH85" s="52" t="str">
        <f t="shared" ca="1" si="167"/>
        <v/>
      </c>
      <c r="AI85" s="52" t="str">
        <f t="shared" ca="1" si="167"/>
        <v/>
      </c>
      <c r="AJ85" s="52" t="str">
        <f t="shared" ca="1" si="167"/>
        <v/>
      </c>
      <c r="AK85" s="52" t="str">
        <f t="shared" ca="1" si="167"/>
        <v/>
      </c>
      <c r="AL85" s="52" t="str">
        <f t="shared" ca="1" si="167"/>
        <v/>
      </c>
      <c r="AM85" s="52" t="str">
        <f t="shared" ca="1" si="167"/>
        <v/>
      </c>
      <c r="AN85" s="52" t="str">
        <f t="shared" ca="1" si="167"/>
        <v/>
      </c>
      <c r="AO85" s="52" t="str">
        <f t="shared" ca="1" si="167"/>
        <v/>
      </c>
      <c r="AP85" s="52" t="str">
        <f t="shared" ca="1" si="167"/>
        <v/>
      </c>
      <c r="AQ85" s="52" t="str">
        <f t="shared" ca="1" si="167"/>
        <v/>
      </c>
      <c r="AR85" s="52" t="str">
        <f t="shared" ca="1" si="167"/>
        <v/>
      </c>
      <c r="AS85" s="52" t="str">
        <f t="shared" ca="1" si="167"/>
        <v/>
      </c>
      <c r="AT85" s="52" t="str">
        <f t="shared" ca="1" si="167"/>
        <v/>
      </c>
      <c r="AU85" s="52" t="str">
        <f t="shared" ca="1" si="167"/>
        <v/>
      </c>
      <c r="AV85" s="52" t="str">
        <f t="shared" ca="1" si="167"/>
        <v/>
      </c>
      <c r="AW85" s="52" t="str">
        <f t="shared" ca="1" si="167"/>
        <v/>
      </c>
      <c r="AX85" s="52" t="str">
        <f t="shared" ca="1" si="167"/>
        <v/>
      </c>
      <c r="AY85" s="52" t="str">
        <f t="shared" ca="1" si="167"/>
        <v/>
      </c>
      <c r="AZ85" s="52" t="str">
        <f t="shared" ca="1" si="167"/>
        <v/>
      </c>
      <c r="BA85" s="52" t="str">
        <f t="shared" ca="1" si="167"/>
        <v/>
      </c>
      <c r="BB85" s="52" t="str">
        <f t="shared" ca="1" si="167"/>
        <v/>
      </c>
      <c r="BC85" s="52" t="str">
        <f t="shared" ca="1" si="167"/>
        <v/>
      </c>
      <c r="BD85" s="52" t="str">
        <f t="shared" ca="1" si="167"/>
        <v/>
      </c>
      <c r="BE85" s="52" t="str">
        <f t="shared" ca="1" si="167"/>
        <v/>
      </c>
      <c r="BF85" s="52" t="str">
        <f t="shared" ca="1" si="167"/>
        <v/>
      </c>
      <c r="BG85" s="52" t="str">
        <f t="shared" ca="1" si="167"/>
        <v/>
      </c>
      <c r="BH85" s="52" t="str">
        <f t="shared" ca="1" si="167"/>
        <v/>
      </c>
      <c r="BI85" s="52" t="str">
        <f t="shared" ca="1" si="167"/>
        <v/>
      </c>
      <c r="BJ85" s="52" t="str">
        <f t="shared" ca="1" si="167"/>
        <v/>
      </c>
      <c r="BK85" s="52" t="str">
        <f t="shared" ca="1" si="167"/>
        <v/>
      </c>
      <c r="BL85" s="52" t="str">
        <f t="shared" ca="1" si="167"/>
        <v/>
      </c>
      <c r="BM85" s="52" t="str">
        <f t="shared" ca="1" si="167"/>
        <v/>
      </c>
      <c r="BN85" t="str">
        <f t="shared" ca="1" si="167"/>
        <v/>
      </c>
      <c r="BO85" t="str">
        <f t="shared" ca="1" si="167"/>
        <v/>
      </c>
      <c r="BP85" t="str">
        <f t="shared" ca="1" si="167"/>
        <v/>
      </c>
    </row>
    <row r="86" spans="1:68" ht="15" customHeight="1" x14ac:dyDescent="0.3">
      <c r="A86" s="10" t="str">
        <f>IF(Job_Master!A86="","",Job_Master!A86)</f>
        <v/>
      </c>
      <c r="B86" s="10" t="str">
        <f>IF($A86="","",Job_Master!B86)</f>
        <v/>
      </c>
      <c r="C86" s="10" t="str">
        <f>IF($A86="","",Job_Master!C86)</f>
        <v/>
      </c>
      <c r="D86" s="10" t="str">
        <f>IF($A86="","",Job_Master!D86)</f>
        <v/>
      </c>
      <c r="E86" s="48" t="str">
        <f>IF($A86="","",IFERROR(INDEX(Machine_List!$B$82:$B$86,MATCH("*"&amp;$B86&amp;"*",Machine_List!$J$82:$J$86,0)),"NO COMPATIBLE MACHINE"))</f>
        <v/>
      </c>
      <c r="F86" s="10" t="str">
        <f>IF($E86="","",IFERROR(VLOOKUP($E86,Machine_List!$B:$G,6,0),""))</f>
        <v/>
      </c>
      <c r="G86" s="53" t="str">
        <f>IF($E86="","",IFERROR(VLOOKUP($E86,Machine_List!$B:$C,2,0),""))</f>
        <v/>
      </c>
      <c r="H86" s="10" t="str">
        <f>IF($E86="","",IFERROR(VLOOKUP($E86,Machine_List!$B:$D,3,0),""))</f>
        <v/>
      </c>
      <c r="I86" s="54"/>
      <c r="J86" s="55" t="str">
        <f ca="1">IF($A86="","",IF($I86&lt;&gt;"",$I86,MAX(FID_Plan!$M86,IFERROR(LOOKUP(2,1/($E$3:INDIRECT("E"&amp;(ROW()-1))=$E86),$M$3:INDIRECT("M"&amp;(ROW()-1))),FID_Plan!$M86))))</f>
        <v/>
      </c>
      <c r="K86" s="10" t="str">
        <f>IF($A86="","",IFERROR(VLOOKUP(B86,CHOOSE(MATCH(C86,Settings!$L$4:$L$10,0),OPR_2P!$A$4:$I$18,SEG_6P!$A$4:$I$18,SOL_4P!$A$4:$I$18,RW_2P!$A$4:$I$18,RW2_4P!$A$4:$I$18,FLAP_4P!$A$4:$I$18,TUBE_4P!$A$4:$I$18),8,0),0))</f>
        <v/>
      </c>
      <c r="L86" s="10" t="str">
        <f t="shared" si="130"/>
        <v/>
      </c>
      <c r="M86" s="55" t="str">
        <f>IF($A86="","",$J86+($L86/(IF(F86="Contract Workman",Settings!$K$5,Settings!$K$4))))</f>
        <v/>
      </c>
      <c r="N86" s="10" t="str">
        <f t="shared" si="131"/>
        <v/>
      </c>
      <c r="O86" s="51" t="str">
        <f>IF(B86="","", IF(IFERROR(ISNUMBER(SEARCH(B86, VLOOKUP(E86, Machine_List!$B:$J, 9, 0))), FALSE()), "✅ Machine OK", "❌ Sug: " &amp; IFERROR(INDEX(Machine_List!$B$4:$B$50, MATCH("*"&amp;B86&amp;"*", Machine_List!$J$4:$J$50, 0)), "Check Limits")))</f>
        <v/>
      </c>
      <c r="P86" s="52" t="str">
        <f t="shared" ref="P86:AC86" ca="1" si="168">IF(AND(Q$3&gt;=$J86, Q$3&lt;$M86), $A86, "")</f>
        <v/>
      </c>
      <c r="Q86" s="52" t="str">
        <f t="shared" ca="1" si="168"/>
        <v/>
      </c>
      <c r="R86" s="52" t="str">
        <f t="shared" ca="1" si="168"/>
        <v/>
      </c>
      <c r="S86" s="52" t="str">
        <f t="shared" ca="1" si="168"/>
        <v/>
      </c>
      <c r="T86" s="52" t="str">
        <f t="shared" ca="1" si="168"/>
        <v/>
      </c>
      <c r="U86" s="52" t="str">
        <f t="shared" ca="1" si="168"/>
        <v/>
      </c>
      <c r="V86" s="52" t="str">
        <f t="shared" ca="1" si="168"/>
        <v/>
      </c>
      <c r="W86" s="52" t="str">
        <f t="shared" ca="1" si="168"/>
        <v/>
      </c>
      <c r="X86" s="52" t="str">
        <f t="shared" ca="1" si="168"/>
        <v/>
      </c>
      <c r="Y86" s="52" t="str">
        <f t="shared" ca="1" si="168"/>
        <v/>
      </c>
      <c r="Z86" s="52" t="str">
        <f t="shared" ca="1" si="168"/>
        <v/>
      </c>
      <c r="AA86" s="52" t="str">
        <f t="shared" ca="1" si="168"/>
        <v/>
      </c>
      <c r="AB86" s="52" t="str">
        <f t="shared" ca="1" si="168"/>
        <v/>
      </c>
      <c r="AC86" s="52" t="str">
        <f t="shared" ca="1" si="168"/>
        <v/>
      </c>
      <c r="AD86" s="52" t="str">
        <f t="shared" ref="AD86:BP86" ca="1" si="169">IF(AND(AE$3&gt;=$J86, AE$3&lt;$M86), $A86, "")</f>
        <v/>
      </c>
      <c r="AE86" s="52" t="str">
        <f t="shared" ca="1" si="169"/>
        <v/>
      </c>
      <c r="AF86" s="52" t="str">
        <f t="shared" ca="1" si="169"/>
        <v/>
      </c>
      <c r="AG86" s="52" t="str">
        <f t="shared" ca="1" si="169"/>
        <v/>
      </c>
      <c r="AH86" s="52" t="str">
        <f t="shared" ca="1" si="169"/>
        <v/>
      </c>
      <c r="AI86" s="52" t="str">
        <f t="shared" ca="1" si="169"/>
        <v/>
      </c>
      <c r="AJ86" s="52" t="str">
        <f t="shared" ca="1" si="169"/>
        <v/>
      </c>
      <c r="AK86" s="52" t="str">
        <f t="shared" ca="1" si="169"/>
        <v/>
      </c>
      <c r="AL86" s="52" t="str">
        <f t="shared" ca="1" si="169"/>
        <v/>
      </c>
      <c r="AM86" s="52" t="str">
        <f t="shared" ca="1" si="169"/>
        <v/>
      </c>
      <c r="AN86" s="52" t="str">
        <f t="shared" ca="1" si="169"/>
        <v/>
      </c>
      <c r="AO86" s="52" t="str">
        <f t="shared" ca="1" si="169"/>
        <v/>
      </c>
      <c r="AP86" s="52" t="str">
        <f t="shared" ca="1" si="169"/>
        <v/>
      </c>
      <c r="AQ86" s="52" t="str">
        <f t="shared" ca="1" si="169"/>
        <v/>
      </c>
      <c r="AR86" s="52" t="str">
        <f t="shared" ca="1" si="169"/>
        <v/>
      </c>
      <c r="AS86" s="52" t="str">
        <f t="shared" ca="1" si="169"/>
        <v/>
      </c>
      <c r="AT86" s="52" t="str">
        <f t="shared" ca="1" si="169"/>
        <v/>
      </c>
      <c r="AU86" s="52" t="str">
        <f t="shared" ca="1" si="169"/>
        <v/>
      </c>
      <c r="AV86" s="52" t="str">
        <f t="shared" ca="1" si="169"/>
        <v/>
      </c>
      <c r="AW86" s="52" t="str">
        <f t="shared" ca="1" si="169"/>
        <v/>
      </c>
      <c r="AX86" s="52" t="str">
        <f t="shared" ca="1" si="169"/>
        <v/>
      </c>
      <c r="AY86" s="52" t="str">
        <f t="shared" ca="1" si="169"/>
        <v/>
      </c>
      <c r="AZ86" s="52" t="str">
        <f t="shared" ca="1" si="169"/>
        <v/>
      </c>
      <c r="BA86" s="52" t="str">
        <f t="shared" ca="1" si="169"/>
        <v/>
      </c>
      <c r="BB86" s="52" t="str">
        <f t="shared" ca="1" si="169"/>
        <v/>
      </c>
      <c r="BC86" s="52" t="str">
        <f t="shared" ca="1" si="169"/>
        <v/>
      </c>
      <c r="BD86" s="52" t="str">
        <f t="shared" ca="1" si="169"/>
        <v/>
      </c>
      <c r="BE86" s="52" t="str">
        <f t="shared" ca="1" si="169"/>
        <v/>
      </c>
      <c r="BF86" s="52" t="str">
        <f t="shared" ca="1" si="169"/>
        <v/>
      </c>
      <c r="BG86" s="52" t="str">
        <f t="shared" ca="1" si="169"/>
        <v/>
      </c>
      <c r="BH86" s="52" t="str">
        <f t="shared" ca="1" si="169"/>
        <v/>
      </c>
      <c r="BI86" s="52" t="str">
        <f t="shared" ca="1" si="169"/>
        <v/>
      </c>
      <c r="BJ86" s="52" t="str">
        <f t="shared" ca="1" si="169"/>
        <v/>
      </c>
      <c r="BK86" s="52" t="str">
        <f t="shared" ca="1" si="169"/>
        <v/>
      </c>
      <c r="BL86" s="52" t="str">
        <f t="shared" ca="1" si="169"/>
        <v/>
      </c>
      <c r="BM86" s="52" t="str">
        <f t="shared" ca="1" si="169"/>
        <v/>
      </c>
      <c r="BN86" t="str">
        <f t="shared" ca="1" si="169"/>
        <v/>
      </c>
      <c r="BO86" t="str">
        <f t="shared" ca="1" si="169"/>
        <v/>
      </c>
      <c r="BP86" t="str">
        <f t="shared" ca="1" si="169"/>
        <v/>
      </c>
    </row>
    <row r="87" spans="1:68" ht="15" customHeight="1" x14ac:dyDescent="0.3">
      <c r="A87" s="10" t="str">
        <f>IF(Job_Master!A87="","",Job_Master!A87)</f>
        <v/>
      </c>
      <c r="B87" s="10" t="str">
        <f>IF($A87="","",Job_Master!B87)</f>
        <v/>
      </c>
      <c r="C87" s="10" t="str">
        <f>IF($A87="","",Job_Master!C87)</f>
        <v/>
      </c>
      <c r="D87" s="10" t="str">
        <f>IF($A87="","",Job_Master!D87)</f>
        <v/>
      </c>
      <c r="E87" s="48" t="str">
        <f>IF($A87="","",IFERROR(INDEX(Machine_List!$B$82:$B$86,MATCH("*"&amp;$B87&amp;"*",Machine_List!$J$82:$J$86,0)),"NO COMPATIBLE MACHINE"))</f>
        <v/>
      </c>
      <c r="F87" s="10" t="str">
        <f>IF($E87="","",IFERROR(VLOOKUP($E87,Machine_List!$B:$G,6,0),""))</f>
        <v/>
      </c>
      <c r="G87" s="53" t="str">
        <f>IF($E87="","",IFERROR(VLOOKUP($E87,Machine_List!$B:$C,2,0),""))</f>
        <v/>
      </c>
      <c r="H87" s="10" t="str">
        <f>IF($E87="","",IFERROR(VLOOKUP($E87,Machine_List!$B:$D,3,0),""))</f>
        <v/>
      </c>
      <c r="I87" s="54"/>
      <c r="J87" s="55" t="str">
        <f ca="1">IF($A87="","",IF($I87&lt;&gt;"",$I87,MAX(FID_Plan!$M87,IFERROR(LOOKUP(2,1/($E$3:INDIRECT("E"&amp;(ROW()-1))=$E87),$M$3:INDIRECT("M"&amp;(ROW()-1))),FID_Plan!$M87))))</f>
        <v/>
      </c>
      <c r="K87" s="10" t="str">
        <f>IF($A87="","",IFERROR(VLOOKUP(B87,CHOOSE(MATCH(C87,Settings!$L$4:$L$10,0),OPR_2P!$A$4:$I$18,SEG_6P!$A$4:$I$18,SOL_4P!$A$4:$I$18,RW_2P!$A$4:$I$18,RW2_4P!$A$4:$I$18,FLAP_4P!$A$4:$I$18,TUBE_4P!$A$4:$I$18),8,0),0))</f>
        <v/>
      </c>
      <c r="L87" s="10" t="str">
        <f t="shared" si="130"/>
        <v/>
      </c>
      <c r="M87" s="55" t="str">
        <f>IF($A87="","",$J87+($L87/(IF(F87="Contract Workman",Settings!$K$5,Settings!$K$4))))</f>
        <v/>
      </c>
      <c r="N87" s="10" t="str">
        <f t="shared" si="131"/>
        <v/>
      </c>
      <c r="O87" s="51" t="str">
        <f>IF(B87="","", IF(IFERROR(ISNUMBER(SEARCH(B87, VLOOKUP(E87, Machine_List!$B:$J, 9, 0))), FALSE()), "✅ Machine OK", "❌ Sug: " &amp; IFERROR(INDEX(Machine_List!$B$4:$B$50, MATCH("*"&amp;B87&amp;"*", Machine_List!$J$4:$J$50, 0)), "Check Limits")))</f>
        <v/>
      </c>
      <c r="P87" s="52" t="str">
        <f t="shared" ref="P87:AC87" ca="1" si="170">IF(AND(Q$3&gt;=$J87, Q$3&lt;$M87), $A87, "")</f>
        <v/>
      </c>
      <c r="Q87" s="52" t="str">
        <f t="shared" ca="1" si="170"/>
        <v/>
      </c>
      <c r="R87" s="52" t="str">
        <f t="shared" ca="1" si="170"/>
        <v/>
      </c>
      <c r="S87" s="52" t="str">
        <f t="shared" ca="1" si="170"/>
        <v/>
      </c>
      <c r="T87" s="52" t="str">
        <f t="shared" ca="1" si="170"/>
        <v/>
      </c>
      <c r="U87" s="52" t="str">
        <f t="shared" ca="1" si="170"/>
        <v/>
      </c>
      <c r="V87" s="52" t="str">
        <f t="shared" ca="1" si="170"/>
        <v/>
      </c>
      <c r="W87" s="52" t="str">
        <f t="shared" ca="1" si="170"/>
        <v/>
      </c>
      <c r="X87" s="52" t="str">
        <f t="shared" ca="1" si="170"/>
        <v/>
      </c>
      <c r="Y87" s="52" t="str">
        <f t="shared" ca="1" si="170"/>
        <v/>
      </c>
      <c r="Z87" s="52" t="str">
        <f t="shared" ca="1" si="170"/>
        <v/>
      </c>
      <c r="AA87" s="52" t="str">
        <f t="shared" ca="1" si="170"/>
        <v/>
      </c>
      <c r="AB87" s="52" t="str">
        <f t="shared" ca="1" si="170"/>
        <v/>
      </c>
      <c r="AC87" s="52" t="str">
        <f t="shared" ca="1" si="170"/>
        <v/>
      </c>
      <c r="AD87" s="52" t="str">
        <f t="shared" ref="AD87:BP87" ca="1" si="171">IF(AND(AE$3&gt;=$J87, AE$3&lt;$M87), $A87, "")</f>
        <v/>
      </c>
      <c r="AE87" s="52" t="str">
        <f t="shared" ca="1" si="171"/>
        <v/>
      </c>
      <c r="AF87" s="52" t="str">
        <f t="shared" ca="1" si="171"/>
        <v/>
      </c>
      <c r="AG87" s="52" t="str">
        <f t="shared" ca="1" si="171"/>
        <v/>
      </c>
      <c r="AH87" s="52" t="str">
        <f t="shared" ca="1" si="171"/>
        <v/>
      </c>
      <c r="AI87" s="52" t="str">
        <f t="shared" ca="1" si="171"/>
        <v/>
      </c>
      <c r="AJ87" s="52" t="str">
        <f t="shared" ca="1" si="171"/>
        <v/>
      </c>
      <c r="AK87" s="52" t="str">
        <f t="shared" ca="1" si="171"/>
        <v/>
      </c>
      <c r="AL87" s="52" t="str">
        <f t="shared" ca="1" si="171"/>
        <v/>
      </c>
      <c r="AM87" s="52" t="str">
        <f t="shared" ca="1" si="171"/>
        <v/>
      </c>
      <c r="AN87" s="52" t="str">
        <f t="shared" ca="1" si="171"/>
        <v/>
      </c>
      <c r="AO87" s="52" t="str">
        <f t="shared" ca="1" si="171"/>
        <v/>
      </c>
      <c r="AP87" s="52" t="str">
        <f t="shared" ca="1" si="171"/>
        <v/>
      </c>
      <c r="AQ87" s="52" t="str">
        <f t="shared" ca="1" si="171"/>
        <v/>
      </c>
      <c r="AR87" s="52" t="str">
        <f t="shared" ca="1" si="171"/>
        <v/>
      </c>
      <c r="AS87" s="52" t="str">
        <f t="shared" ca="1" si="171"/>
        <v/>
      </c>
      <c r="AT87" s="52" t="str">
        <f t="shared" ca="1" si="171"/>
        <v/>
      </c>
      <c r="AU87" s="52" t="str">
        <f t="shared" ca="1" si="171"/>
        <v/>
      </c>
      <c r="AV87" s="52" t="str">
        <f t="shared" ca="1" si="171"/>
        <v/>
      </c>
      <c r="AW87" s="52" t="str">
        <f t="shared" ca="1" si="171"/>
        <v/>
      </c>
      <c r="AX87" s="52" t="str">
        <f t="shared" ca="1" si="171"/>
        <v/>
      </c>
      <c r="AY87" s="52" t="str">
        <f t="shared" ca="1" si="171"/>
        <v/>
      </c>
      <c r="AZ87" s="52" t="str">
        <f t="shared" ca="1" si="171"/>
        <v/>
      </c>
      <c r="BA87" s="52" t="str">
        <f t="shared" ca="1" si="171"/>
        <v/>
      </c>
      <c r="BB87" s="52" t="str">
        <f t="shared" ca="1" si="171"/>
        <v/>
      </c>
      <c r="BC87" s="52" t="str">
        <f t="shared" ca="1" si="171"/>
        <v/>
      </c>
      <c r="BD87" s="52" t="str">
        <f t="shared" ca="1" si="171"/>
        <v/>
      </c>
      <c r="BE87" s="52" t="str">
        <f t="shared" ca="1" si="171"/>
        <v/>
      </c>
      <c r="BF87" s="52" t="str">
        <f t="shared" ca="1" si="171"/>
        <v/>
      </c>
      <c r="BG87" s="52" t="str">
        <f t="shared" ca="1" si="171"/>
        <v/>
      </c>
      <c r="BH87" s="52" t="str">
        <f t="shared" ca="1" si="171"/>
        <v/>
      </c>
      <c r="BI87" s="52" t="str">
        <f t="shared" ca="1" si="171"/>
        <v/>
      </c>
      <c r="BJ87" s="52" t="str">
        <f t="shared" ca="1" si="171"/>
        <v/>
      </c>
      <c r="BK87" s="52" t="str">
        <f t="shared" ca="1" si="171"/>
        <v/>
      </c>
      <c r="BL87" s="52" t="str">
        <f t="shared" ca="1" si="171"/>
        <v/>
      </c>
      <c r="BM87" s="52" t="str">
        <f t="shared" ca="1" si="171"/>
        <v/>
      </c>
      <c r="BN87" t="str">
        <f t="shared" ca="1" si="171"/>
        <v/>
      </c>
      <c r="BO87" t="str">
        <f t="shared" ca="1" si="171"/>
        <v/>
      </c>
      <c r="BP87" t="str">
        <f t="shared" ca="1" si="171"/>
        <v/>
      </c>
    </row>
    <row r="88" spans="1:68" ht="15" customHeight="1" x14ac:dyDescent="0.3">
      <c r="A88" s="10" t="str">
        <f>IF(Job_Master!A88="","",Job_Master!A88)</f>
        <v/>
      </c>
      <c r="B88" s="10" t="str">
        <f>IF($A88="","",Job_Master!B88)</f>
        <v/>
      </c>
      <c r="C88" s="10" t="str">
        <f>IF($A88="","",Job_Master!C88)</f>
        <v/>
      </c>
      <c r="D88" s="10" t="str">
        <f>IF($A88="","",Job_Master!D88)</f>
        <v/>
      </c>
      <c r="E88" s="48" t="str">
        <f>IF($A88="","",IFERROR(INDEX(Machine_List!$B$82:$B$86,MATCH("*"&amp;$B88&amp;"*",Machine_List!$J$82:$J$86,0)),"NO COMPATIBLE MACHINE"))</f>
        <v/>
      </c>
      <c r="F88" s="10" t="str">
        <f>IF($E88="","",IFERROR(VLOOKUP($E88,Machine_List!$B:$G,6,0),""))</f>
        <v/>
      </c>
      <c r="G88" s="53" t="str">
        <f>IF($E88="","",IFERROR(VLOOKUP($E88,Machine_List!$B:$C,2,0),""))</f>
        <v/>
      </c>
      <c r="H88" s="10" t="str">
        <f>IF($E88="","",IFERROR(VLOOKUP($E88,Machine_List!$B:$D,3,0),""))</f>
        <v/>
      </c>
      <c r="I88" s="54"/>
      <c r="J88" s="55" t="str">
        <f ca="1">IF($A88="","",IF($I88&lt;&gt;"",$I88,MAX(FID_Plan!$M88,IFERROR(LOOKUP(2,1/($E$3:INDIRECT("E"&amp;(ROW()-1))=$E88),$M$3:INDIRECT("M"&amp;(ROW()-1))),FID_Plan!$M88))))</f>
        <v/>
      </c>
      <c r="K88" s="10" t="str">
        <f>IF($A88="","",IFERROR(VLOOKUP(B88,CHOOSE(MATCH(C88,Settings!$L$4:$L$10,0),OPR_2P!$A$4:$I$18,SEG_6P!$A$4:$I$18,SOL_4P!$A$4:$I$18,RW_2P!$A$4:$I$18,RW2_4P!$A$4:$I$18,FLAP_4P!$A$4:$I$18,TUBE_4P!$A$4:$I$18),8,0),0))</f>
        <v/>
      </c>
      <c r="L88" s="10" t="str">
        <f t="shared" si="130"/>
        <v/>
      </c>
      <c r="M88" s="55" t="str">
        <f>IF($A88="","",$J88+($L88/(IF(F88="Contract Workman",Settings!$K$5,Settings!$K$4))))</f>
        <v/>
      </c>
      <c r="N88" s="10" t="str">
        <f t="shared" si="131"/>
        <v/>
      </c>
      <c r="O88" s="51" t="str">
        <f>IF(B88="","", IF(IFERROR(ISNUMBER(SEARCH(B88, VLOOKUP(E88, Machine_List!$B:$J, 9, 0))), FALSE()), "✅ Machine OK", "❌ Sug: " &amp; IFERROR(INDEX(Machine_List!$B$4:$B$50, MATCH("*"&amp;B88&amp;"*", Machine_List!$J$4:$J$50, 0)), "Check Limits")))</f>
        <v/>
      </c>
      <c r="P88" s="52" t="str">
        <f t="shared" ref="P88:AC88" ca="1" si="172">IF(AND(Q$3&gt;=$J88, Q$3&lt;$M88), $A88, "")</f>
        <v/>
      </c>
      <c r="Q88" s="52" t="str">
        <f t="shared" ca="1" si="172"/>
        <v/>
      </c>
      <c r="R88" s="52" t="str">
        <f t="shared" ca="1" si="172"/>
        <v/>
      </c>
      <c r="S88" s="52" t="str">
        <f t="shared" ca="1" si="172"/>
        <v/>
      </c>
      <c r="T88" s="52" t="str">
        <f t="shared" ca="1" si="172"/>
        <v/>
      </c>
      <c r="U88" s="52" t="str">
        <f t="shared" ca="1" si="172"/>
        <v/>
      </c>
      <c r="V88" s="52" t="str">
        <f t="shared" ca="1" si="172"/>
        <v/>
      </c>
      <c r="W88" s="52" t="str">
        <f t="shared" ca="1" si="172"/>
        <v/>
      </c>
      <c r="X88" s="52" t="str">
        <f t="shared" ca="1" si="172"/>
        <v/>
      </c>
      <c r="Y88" s="52" t="str">
        <f t="shared" ca="1" si="172"/>
        <v/>
      </c>
      <c r="Z88" s="52" t="str">
        <f t="shared" ca="1" si="172"/>
        <v/>
      </c>
      <c r="AA88" s="52" t="str">
        <f t="shared" ca="1" si="172"/>
        <v/>
      </c>
      <c r="AB88" s="52" t="str">
        <f t="shared" ca="1" si="172"/>
        <v/>
      </c>
      <c r="AC88" s="52" t="str">
        <f t="shared" ca="1" si="172"/>
        <v/>
      </c>
      <c r="AD88" s="52" t="str">
        <f t="shared" ref="AD88:BP88" ca="1" si="173">IF(AND(AE$3&gt;=$J88, AE$3&lt;$M88), $A88, "")</f>
        <v/>
      </c>
      <c r="AE88" s="52" t="str">
        <f t="shared" ca="1" si="173"/>
        <v/>
      </c>
      <c r="AF88" s="52" t="str">
        <f t="shared" ca="1" si="173"/>
        <v/>
      </c>
      <c r="AG88" s="52" t="str">
        <f t="shared" ca="1" si="173"/>
        <v/>
      </c>
      <c r="AH88" s="52" t="str">
        <f t="shared" ca="1" si="173"/>
        <v/>
      </c>
      <c r="AI88" s="52" t="str">
        <f t="shared" ca="1" si="173"/>
        <v/>
      </c>
      <c r="AJ88" s="52" t="str">
        <f t="shared" ca="1" si="173"/>
        <v/>
      </c>
      <c r="AK88" s="52" t="str">
        <f t="shared" ca="1" si="173"/>
        <v/>
      </c>
      <c r="AL88" s="52" t="str">
        <f t="shared" ca="1" si="173"/>
        <v/>
      </c>
      <c r="AM88" s="52" t="str">
        <f t="shared" ca="1" si="173"/>
        <v/>
      </c>
      <c r="AN88" s="52" t="str">
        <f t="shared" ca="1" si="173"/>
        <v/>
      </c>
      <c r="AO88" s="52" t="str">
        <f t="shared" ca="1" si="173"/>
        <v/>
      </c>
      <c r="AP88" s="52" t="str">
        <f t="shared" ca="1" si="173"/>
        <v/>
      </c>
      <c r="AQ88" s="52" t="str">
        <f t="shared" ca="1" si="173"/>
        <v/>
      </c>
      <c r="AR88" s="52" t="str">
        <f t="shared" ca="1" si="173"/>
        <v/>
      </c>
      <c r="AS88" s="52" t="str">
        <f t="shared" ca="1" si="173"/>
        <v/>
      </c>
      <c r="AT88" s="52" t="str">
        <f t="shared" ca="1" si="173"/>
        <v/>
      </c>
      <c r="AU88" s="52" t="str">
        <f t="shared" ca="1" si="173"/>
        <v/>
      </c>
      <c r="AV88" s="52" t="str">
        <f t="shared" ca="1" si="173"/>
        <v/>
      </c>
      <c r="AW88" s="52" t="str">
        <f t="shared" ca="1" si="173"/>
        <v/>
      </c>
      <c r="AX88" s="52" t="str">
        <f t="shared" ca="1" si="173"/>
        <v/>
      </c>
      <c r="AY88" s="52" t="str">
        <f t="shared" ca="1" si="173"/>
        <v/>
      </c>
      <c r="AZ88" s="52" t="str">
        <f t="shared" ca="1" si="173"/>
        <v/>
      </c>
      <c r="BA88" s="52" t="str">
        <f t="shared" ca="1" si="173"/>
        <v/>
      </c>
      <c r="BB88" s="52" t="str">
        <f t="shared" ca="1" si="173"/>
        <v/>
      </c>
      <c r="BC88" s="52" t="str">
        <f t="shared" ca="1" si="173"/>
        <v/>
      </c>
      <c r="BD88" s="52" t="str">
        <f t="shared" ca="1" si="173"/>
        <v/>
      </c>
      <c r="BE88" s="52" t="str">
        <f t="shared" ca="1" si="173"/>
        <v/>
      </c>
      <c r="BF88" s="52" t="str">
        <f t="shared" ca="1" si="173"/>
        <v/>
      </c>
      <c r="BG88" s="52" t="str">
        <f t="shared" ca="1" si="173"/>
        <v/>
      </c>
      <c r="BH88" s="52" t="str">
        <f t="shared" ca="1" si="173"/>
        <v/>
      </c>
      <c r="BI88" s="52" t="str">
        <f t="shared" ca="1" si="173"/>
        <v/>
      </c>
      <c r="BJ88" s="52" t="str">
        <f t="shared" ca="1" si="173"/>
        <v/>
      </c>
      <c r="BK88" s="52" t="str">
        <f t="shared" ca="1" si="173"/>
        <v/>
      </c>
      <c r="BL88" s="52" t="str">
        <f t="shared" ca="1" si="173"/>
        <v/>
      </c>
      <c r="BM88" s="52" t="str">
        <f t="shared" ca="1" si="173"/>
        <v/>
      </c>
      <c r="BN88" t="str">
        <f t="shared" ca="1" si="173"/>
        <v/>
      </c>
      <c r="BO88" t="str">
        <f t="shared" ca="1" si="173"/>
        <v/>
      </c>
      <c r="BP88" t="str">
        <f t="shared" ca="1" si="173"/>
        <v/>
      </c>
    </row>
    <row r="89" spans="1:68" ht="15" customHeight="1" x14ac:dyDescent="0.3">
      <c r="A89" s="10" t="str">
        <f>IF(Job_Master!A89="","",Job_Master!A89)</f>
        <v/>
      </c>
      <c r="B89" s="10" t="str">
        <f>IF($A89="","",Job_Master!B89)</f>
        <v/>
      </c>
      <c r="C89" s="10" t="str">
        <f>IF($A89="","",Job_Master!C89)</f>
        <v/>
      </c>
      <c r="D89" s="10" t="str">
        <f>IF($A89="","",Job_Master!D89)</f>
        <v/>
      </c>
      <c r="E89" s="48" t="str">
        <f>IF($A89="","",IFERROR(INDEX(Machine_List!$B$82:$B$86,MATCH("*"&amp;$B89&amp;"*",Machine_List!$J$82:$J$86,0)),"NO COMPATIBLE MACHINE"))</f>
        <v/>
      </c>
      <c r="F89" s="10" t="str">
        <f>IF($E89="","",IFERROR(VLOOKUP($E89,Machine_List!$B:$G,6,0),""))</f>
        <v/>
      </c>
      <c r="G89" s="53" t="str">
        <f>IF($E89="","",IFERROR(VLOOKUP($E89,Machine_List!$B:$C,2,0),""))</f>
        <v/>
      </c>
      <c r="H89" s="10" t="str">
        <f>IF($E89="","",IFERROR(VLOOKUP($E89,Machine_List!$B:$D,3,0),""))</f>
        <v/>
      </c>
      <c r="I89" s="54"/>
      <c r="J89" s="55" t="str">
        <f ca="1">IF($A89="","",IF($I89&lt;&gt;"",$I89,MAX(FID_Plan!$M89,IFERROR(LOOKUP(2,1/($E$3:INDIRECT("E"&amp;(ROW()-1))=$E89),$M$3:INDIRECT("M"&amp;(ROW()-1))),FID_Plan!$M89))))</f>
        <v/>
      </c>
      <c r="K89" s="10" t="str">
        <f>IF($A89="","",IFERROR(VLOOKUP(B89,CHOOSE(MATCH(C89,Settings!$L$4:$L$10,0),OPR_2P!$A$4:$I$18,SEG_6P!$A$4:$I$18,SOL_4P!$A$4:$I$18,RW_2P!$A$4:$I$18,RW2_4P!$A$4:$I$18,FLAP_4P!$A$4:$I$18,TUBE_4P!$A$4:$I$18),8,0),0))</f>
        <v/>
      </c>
      <c r="L89" s="10" t="str">
        <f t="shared" si="130"/>
        <v/>
      </c>
      <c r="M89" s="55" t="str">
        <f>IF($A89="","",$J89+($L89/(IF(F89="Contract Workman",Settings!$K$5,Settings!$K$4))))</f>
        <v/>
      </c>
      <c r="N89" s="10" t="str">
        <f t="shared" si="131"/>
        <v/>
      </c>
      <c r="O89" s="51" t="str">
        <f>IF(B89="","", IF(IFERROR(ISNUMBER(SEARCH(B89, VLOOKUP(E89, Machine_List!$B:$J, 9, 0))), FALSE()), "✅ Machine OK", "❌ Sug: " &amp; IFERROR(INDEX(Machine_List!$B$4:$B$50, MATCH("*"&amp;B89&amp;"*", Machine_List!$J$4:$J$50, 0)), "Check Limits")))</f>
        <v/>
      </c>
      <c r="P89" s="52" t="str">
        <f t="shared" ref="P89:AC89" ca="1" si="174">IF(AND(Q$3&gt;=$J89, Q$3&lt;$M89), $A89, "")</f>
        <v/>
      </c>
      <c r="Q89" s="52" t="str">
        <f t="shared" ca="1" si="174"/>
        <v/>
      </c>
      <c r="R89" s="52" t="str">
        <f t="shared" ca="1" si="174"/>
        <v/>
      </c>
      <c r="S89" s="52" t="str">
        <f t="shared" ca="1" si="174"/>
        <v/>
      </c>
      <c r="T89" s="52" t="str">
        <f t="shared" ca="1" si="174"/>
        <v/>
      </c>
      <c r="U89" s="52" t="str">
        <f t="shared" ca="1" si="174"/>
        <v/>
      </c>
      <c r="V89" s="52" t="str">
        <f t="shared" ca="1" si="174"/>
        <v/>
      </c>
      <c r="W89" s="52" t="str">
        <f t="shared" ca="1" si="174"/>
        <v/>
      </c>
      <c r="X89" s="52" t="str">
        <f t="shared" ca="1" si="174"/>
        <v/>
      </c>
      <c r="Y89" s="52" t="str">
        <f t="shared" ca="1" si="174"/>
        <v/>
      </c>
      <c r="Z89" s="52" t="str">
        <f t="shared" ca="1" si="174"/>
        <v/>
      </c>
      <c r="AA89" s="52" t="str">
        <f t="shared" ca="1" si="174"/>
        <v/>
      </c>
      <c r="AB89" s="52" t="str">
        <f t="shared" ca="1" si="174"/>
        <v/>
      </c>
      <c r="AC89" s="52" t="str">
        <f t="shared" ca="1" si="174"/>
        <v/>
      </c>
      <c r="AD89" s="52" t="str">
        <f t="shared" ref="AD89:BP89" ca="1" si="175">IF(AND(AE$3&gt;=$J89, AE$3&lt;$M89), $A89, "")</f>
        <v/>
      </c>
      <c r="AE89" s="52" t="str">
        <f t="shared" ca="1" si="175"/>
        <v/>
      </c>
      <c r="AF89" s="52" t="str">
        <f t="shared" ca="1" si="175"/>
        <v/>
      </c>
      <c r="AG89" s="52" t="str">
        <f t="shared" ca="1" si="175"/>
        <v/>
      </c>
      <c r="AH89" s="52" t="str">
        <f t="shared" ca="1" si="175"/>
        <v/>
      </c>
      <c r="AI89" s="52" t="str">
        <f t="shared" ca="1" si="175"/>
        <v/>
      </c>
      <c r="AJ89" s="52" t="str">
        <f t="shared" ca="1" si="175"/>
        <v/>
      </c>
      <c r="AK89" s="52" t="str">
        <f t="shared" ca="1" si="175"/>
        <v/>
      </c>
      <c r="AL89" s="52" t="str">
        <f t="shared" ca="1" si="175"/>
        <v/>
      </c>
      <c r="AM89" s="52" t="str">
        <f t="shared" ca="1" si="175"/>
        <v/>
      </c>
      <c r="AN89" s="52" t="str">
        <f t="shared" ca="1" si="175"/>
        <v/>
      </c>
      <c r="AO89" s="52" t="str">
        <f t="shared" ca="1" si="175"/>
        <v/>
      </c>
      <c r="AP89" s="52" t="str">
        <f t="shared" ca="1" si="175"/>
        <v/>
      </c>
      <c r="AQ89" s="52" t="str">
        <f t="shared" ca="1" si="175"/>
        <v/>
      </c>
      <c r="AR89" s="52" t="str">
        <f t="shared" ca="1" si="175"/>
        <v/>
      </c>
      <c r="AS89" s="52" t="str">
        <f t="shared" ca="1" si="175"/>
        <v/>
      </c>
      <c r="AT89" s="52" t="str">
        <f t="shared" ca="1" si="175"/>
        <v/>
      </c>
      <c r="AU89" s="52" t="str">
        <f t="shared" ca="1" si="175"/>
        <v/>
      </c>
      <c r="AV89" s="52" t="str">
        <f t="shared" ca="1" si="175"/>
        <v/>
      </c>
      <c r="AW89" s="52" t="str">
        <f t="shared" ca="1" si="175"/>
        <v/>
      </c>
      <c r="AX89" s="52" t="str">
        <f t="shared" ca="1" si="175"/>
        <v/>
      </c>
      <c r="AY89" s="52" t="str">
        <f t="shared" ca="1" si="175"/>
        <v/>
      </c>
      <c r="AZ89" s="52" t="str">
        <f t="shared" ca="1" si="175"/>
        <v/>
      </c>
      <c r="BA89" s="52" t="str">
        <f t="shared" ca="1" si="175"/>
        <v/>
      </c>
      <c r="BB89" s="52" t="str">
        <f t="shared" ca="1" si="175"/>
        <v/>
      </c>
      <c r="BC89" s="52" t="str">
        <f t="shared" ca="1" si="175"/>
        <v/>
      </c>
      <c r="BD89" s="52" t="str">
        <f t="shared" ca="1" si="175"/>
        <v/>
      </c>
      <c r="BE89" s="52" t="str">
        <f t="shared" ca="1" si="175"/>
        <v/>
      </c>
      <c r="BF89" s="52" t="str">
        <f t="shared" ca="1" si="175"/>
        <v/>
      </c>
      <c r="BG89" s="52" t="str">
        <f t="shared" ca="1" si="175"/>
        <v/>
      </c>
      <c r="BH89" s="52" t="str">
        <f t="shared" ca="1" si="175"/>
        <v/>
      </c>
      <c r="BI89" s="52" t="str">
        <f t="shared" ca="1" si="175"/>
        <v/>
      </c>
      <c r="BJ89" s="52" t="str">
        <f t="shared" ca="1" si="175"/>
        <v/>
      </c>
      <c r="BK89" s="52" t="str">
        <f t="shared" ca="1" si="175"/>
        <v/>
      </c>
      <c r="BL89" s="52" t="str">
        <f t="shared" ca="1" si="175"/>
        <v/>
      </c>
      <c r="BM89" s="52" t="str">
        <f t="shared" ca="1" si="175"/>
        <v/>
      </c>
      <c r="BN89" t="str">
        <f t="shared" ca="1" si="175"/>
        <v/>
      </c>
      <c r="BO89" t="str">
        <f t="shared" ca="1" si="175"/>
        <v/>
      </c>
      <c r="BP89" t="str">
        <f t="shared" ca="1" si="175"/>
        <v/>
      </c>
    </row>
    <row r="90" spans="1:68" ht="15" customHeight="1" x14ac:dyDescent="0.3">
      <c r="A90" s="10" t="str">
        <f>IF(Job_Master!A90="","",Job_Master!A90)</f>
        <v/>
      </c>
      <c r="B90" s="10" t="str">
        <f>IF($A90="","",Job_Master!B90)</f>
        <v/>
      </c>
      <c r="C90" s="10" t="str">
        <f>IF($A90="","",Job_Master!C90)</f>
        <v/>
      </c>
      <c r="D90" s="10" t="str">
        <f>IF($A90="","",Job_Master!D90)</f>
        <v/>
      </c>
      <c r="E90" s="48" t="str">
        <f>IF($A90="","",IFERROR(INDEX(Machine_List!$B$82:$B$86,MATCH("*"&amp;$B90&amp;"*",Machine_List!$J$82:$J$86,0)),"NO COMPATIBLE MACHINE"))</f>
        <v/>
      </c>
      <c r="F90" s="10" t="str">
        <f>IF($E90="","",IFERROR(VLOOKUP($E90,Machine_List!$B:$G,6,0),""))</f>
        <v/>
      </c>
      <c r="G90" s="53" t="str">
        <f>IF($E90="","",IFERROR(VLOOKUP($E90,Machine_List!$B:$C,2,0),""))</f>
        <v/>
      </c>
      <c r="H90" s="10" t="str">
        <f>IF($E90="","",IFERROR(VLOOKUP($E90,Machine_List!$B:$D,3,0),""))</f>
        <v/>
      </c>
      <c r="I90" s="54"/>
      <c r="J90" s="55" t="str">
        <f ca="1">IF($A90="","",IF($I90&lt;&gt;"",$I90,MAX(FID_Plan!$M90,IFERROR(LOOKUP(2,1/($E$3:INDIRECT("E"&amp;(ROW()-1))=$E90),$M$3:INDIRECT("M"&amp;(ROW()-1))),FID_Plan!$M90))))</f>
        <v/>
      </c>
      <c r="K90" s="10" t="str">
        <f>IF($A90="","",IFERROR(VLOOKUP(B90,CHOOSE(MATCH(C90,Settings!$L$4:$L$10,0),OPR_2P!$A$4:$I$18,SEG_6P!$A$4:$I$18,SOL_4P!$A$4:$I$18,RW_2P!$A$4:$I$18,RW2_4P!$A$4:$I$18,FLAP_4P!$A$4:$I$18,TUBE_4P!$A$4:$I$18),8,0),0))</f>
        <v/>
      </c>
      <c r="L90" s="10" t="str">
        <f t="shared" si="130"/>
        <v/>
      </c>
      <c r="M90" s="55" t="str">
        <f>IF($A90="","",$J90+($L90/(IF(F90="Contract Workman",Settings!$K$5,Settings!$K$4))))</f>
        <v/>
      </c>
      <c r="N90" s="10" t="str">
        <f t="shared" si="131"/>
        <v/>
      </c>
      <c r="O90" s="51" t="str">
        <f>IF(B90="","", IF(IFERROR(ISNUMBER(SEARCH(B90, VLOOKUP(E90, Machine_List!$B:$J, 9, 0))), FALSE()), "✅ Machine OK", "❌ Sug: " &amp; IFERROR(INDEX(Machine_List!$B$4:$B$50, MATCH("*"&amp;B90&amp;"*", Machine_List!$J$4:$J$50, 0)), "Check Limits")))</f>
        <v/>
      </c>
      <c r="P90" s="52" t="str">
        <f t="shared" ref="P90:AC90" ca="1" si="176">IF(AND(Q$3&gt;=$J90, Q$3&lt;$M90), $A90, "")</f>
        <v/>
      </c>
      <c r="Q90" s="52" t="str">
        <f t="shared" ca="1" si="176"/>
        <v/>
      </c>
      <c r="R90" s="52" t="str">
        <f t="shared" ca="1" si="176"/>
        <v/>
      </c>
      <c r="S90" s="52" t="str">
        <f t="shared" ca="1" si="176"/>
        <v/>
      </c>
      <c r="T90" s="52" t="str">
        <f t="shared" ca="1" si="176"/>
        <v/>
      </c>
      <c r="U90" s="52" t="str">
        <f t="shared" ca="1" si="176"/>
        <v/>
      </c>
      <c r="V90" s="52" t="str">
        <f t="shared" ca="1" si="176"/>
        <v/>
      </c>
      <c r="W90" s="52" t="str">
        <f t="shared" ca="1" si="176"/>
        <v/>
      </c>
      <c r="X90" s="52" t="str">
        <f t="shared" ca="1" si="176"/>
        <v/>
      </c>
      <c r="Y90" s="52" t="str">
        <f t="shared" ca="1" si="176"/>
        <v/>
      </c>
      <c r="Z90" s="52" t="str">
        <f t="shared" ca="1" si="176"/>
        <v/>
      </c>
      <c r="AA90" s="52" t="str">
        <f t="shared" ca="1" si="176"/>
        <v/>
      </c>
      <c r="AB90" s="52" t="str">
        <f t="shared" ca="1" si="176"/>
        <v/>
      </c>
      <c r="AC90" s="52" t="str">
        <f t="shared" ca="1" si="176"/>
        <v/>
      </c>
      <c r="AD90" s="52" t="str">
        <f t="shared" ref="AD90:BP90" ca="1" si="177">IF(AND(AE$3&gt;=$J90, AE$3&lt;$M90), $A90, "")</f>
        <v/>
      </c>
      <c r="AE90" s="52" t="str">
        <f t="shared" ca="1" si="177"/>
        <v/>
      </c>
      <c r="AF90" s="52" t="str">
        <f t="shared" ca="1" si="177"/>
        <v/>
      </c>
      <c r="AG90" s="52" t="str">
        <f t="shared" ca="1" si="177"/>
        <v/>
      </c>
      <c r="AH90" s="52" t="str">
        <f t="shared" ca="1" si="177"/>
        <v/>
      </c>
      <c r="AI90" s="52" t="str">
        <f t="shared" ca="1" si="177"/>
        <v/>
      </c>
      <c r="AJ90" s="52" t="str">
        <f t="shared" ca="1" si="177"/>
        <v/>
      </c>
      <c r="AK90" s="52" t="str">
        <f t="shared" ca="1" si="177"/>
        <v/>
      </c>
      <c r="AL90" s="52" t="str">
        <f t="shared" ca="1" si="177"/>
        <v/>
      </c>
      <c r="AM90" s="52" t="str">
        <f t="shared" ca="1" si="177"/>
        <v/>
      </c>
      <c r="AN90" s="52" t="str">
        <f t="shared" ca="1" si="177"/>
        <v/>
      </c>
      <c r="AO90" s="52" t="str">
        <f t="shared" ca="1" si="177"/>
        <v/>
      </c>
      <c r="AP90" s="52" t="str">
        <f t="shared" ca="1" si="177"/>
        <v/>
      </c>
      <c r="AQ90" s="52" t="str">
        <f t="shared" ca="1" si="177"/>
        <v/>
      </c>
      <c r="AR90" s="52" t="str">
        <f t="shared" ca="1" si="177"/>
        <v/>
      </c>
      <c r="AS90" s="52" t="str">
        <f t="shared" ca="1" si="177"/>
        <v/>
      </c>
      <c r="AT90" s="52" t="str">
        <f t="shared" ca="1" si="177"/>
        <v/>
      </c>
      <c r="AU90" s="52" t="str">
        <f t="shared" ca="1" si="177"/>
        <v/>
      </c>
      <c r="AV90" s="52" t="str">
        <f t="shared" ca="1" si="177"/>
        <v/>
      </c>
      <c r="AW90" s="52" t="str">
        <f t="shared" ca="1" si="177"/>
        <v/>
      </c>
      <c r="AX90" s="52" t="str">
        <f t="shared" ca="1" si="177"/>
        <v/>
      </c>
      <c r="AY90" s="52" t="str">
        <f t="shared" ca="1" si="177"/>
        <v/>
      </c>
      <c r="AZ90" s="52" t="str">
        <f t="shared" ca="1" si="177"/>
        <v/>
      </c>
      <c r="BA90" s="52" t="str">
        <f t="shared" ca="1" si="177"/>
        <v/>
      </c>
      <c r="BB90" s="52" t="str">
        <f t="shared" ca="1" si="177"/>
        <v/>
      </c>
      <c r="BC90" s="52" t="str">
        <f t="shared" ca="1" si="177"/>
        <v/>
      </c>
      <c r="BD90" s="52" t="str">
        <f t="shared" ca="1" si="177"/>
        <v/>
      </c>
      <c r="BE90" s="52" t="str">
        <f t="shared" ca="1" si="177"/>
        <v/>
      </c>
      <c r="BF90" s="52" t="str">
        <f t="shared" ca="1" si="177"/>
        <v/>
      </c>
      <c r="BG90" s="52" t="str">
        <f t="shared" ca="1" si="177"/>
        <v/>
      </c>
      <c r="BH90" s="52" t="str">
        <f t="shared" ca="1" si="177"/>
        <v/>
      </c>
      <c r="BI90" s="52" t="str">
        <f t="shared" ca="1" si="177"/>
        <v/>
      </c>
      <c r="BJ90" s="52" t="str">
        <f t="shared" ca="1" si="177"/>
        <v/>
      </c>
      <c r="BK90" s="52" t="str">
        <f t="shared" ca="1" si="177"/>
        <v/>
      </c>
      <c r="BL90" s="52" t="str">
        <f t="shared" ca="1" si="177"/>
        <v/>
      </c>
      <c r="BM90" s="52" t="str">
        <f t="shared" ca="1" si="177"/>
        <v/>
      </c>
      <c r="BN90" t="str">
        <f t="shared" ca="1" si="177"/>
        <v/>
      </c>
      <c r="BO90" t="str">
        <f t="shared" ca="1" si="177"/>
        <v/>
      </c>
      <c r="BP90" t="str">
        <f t="shared" ca="1" si="177"/>
        <v/>
      </c>
    </row>
    <row r="91" spans="1:68" ht="15" customHeight="1" x14ac:dyDescent="0.3">
      <c r="A91" s="10" t="str">
        <f>IF(Job_Master!A91="","",Job_Master!A91)</f>
        <v/>
      </c>
      <c r="B91" s="10" t="str">
        <f>IF($A91="","",Job_Master!B91)</f>
        <v/>
      </c>
      <c r="C91" s="10" t="str">
        <f>IF($A91="","",Job_Master!C91)</f>
        <v/>
      </c>
      <c r="D91" s="10" t="str">
        <f>IF($A91="","",Job_Master!D91)</f>
        <v/>
      </c>
      <c r="E91" s="48" t="str">
        <f>IF($A91="","",IFERROR(INDEX(Machine_List!$B$82:$B$86,MATCH("*"&amp;$B91&amp;"*",Machine_List!$J$82:$J$86,0)),"NO COMPATIBLE MACHINE"))</f>
        <v/>
      </c>
      <c r="F91" s="10" t="str">
        <f>IF($E91="","",IFERROR(VLOOKUP($E91,Machine_List!$B:$G,6,0),""))</f>
        <v/>
      </c>
      <c r="G91" s="53" t="str">
        <f>IF($E91="","",IFERROR(VLOOKUP($E91,Machine_List!$B:$C,2,0),""))</f>
        <v/>
      </c>
      <c r="H91" s="10" t="str">
        <f>IF($E91="","",IFERROR(VLOOKUP($E91,Machine_List!$B:$D,3,0),""))</f>
        <v/>
      </c>
      <c r="I91" s="54"/>
      <c r="J91" s="55" t="str">
        <f ca="1">IF($A91="","",IF($I91&lt;&gt;"",$I91,MAX(FID_Plan!$M91,IFERROR(LOOKUP(2,1/($E$3:INDIRECT("E"&amp;(ROW()-1))=$E91),$M$3:INDIRECT("M"&amp;(ROW()-1))),FID_Plan!$M91))))</f>
        <v/>
      </c>
      <c r="K91" s="10" t="str">
        <f>IF($A91="","",IFERROR(VLOOKUP(B91,CHOOSE(MATCH(C91,Settings!$L$4:$L$10,0),OPR_2P!$A$4:$I$18,SEG_6P!$A$4:$I$18,SOL_4P!$A$4:$I$18,RW_2P!$A$4:$I$18,RW2_4P!$A$4:$I$18,FLAP_4P!$A$4:$I$18,TUBE_4P!$A$4:$I$18),8,0),0))</f>
        <v/>
      </c>
      <c r="L91" s="10" t="str">
        <f t="shared" si="130"/>
        <v/>
      </c>
      <c r="M91" s="55" t="str">
        <f>IF($A91="","",$J91+($L91/(IF(F91="Contract Workman",Settings!$K$5,Settings!$K$4))))</f>
        <v/>
      </c>
      <c r="N91" s="10" t="str">
        <f t="shared" si="131"/>
        <v/>
      </c>
      <c r="O91" s="51" t="str">
        <f>IF(B91="","", IF(IFERROR(ISNUMBER(SEARCH(B91, VLOOKUP(E91, Machine_List!$B:$J, 9, 0))), FALSE()), "✅ Machine OK", "❌ Sug: " &amp; IFERROR(INDEX(Machine_List!$B$4:$B$50, MATCH("*"&amp;B91&amp;"*", Machine_List!$J$4:$J$50, 0)), "Check Limits")))</f>
        <v/>
      </c>
      <c r="P91" s="52" t="str">
        <f t="shared" ref="P91:AC91" ca="1" si="178">IF(AND(Q$3&gt;=$J91, Q$3&lt;$M91), $A91, "")</f>
        <v/>
      </c>
      <c r="Q91" s="52" t="str">
        <f t="shared" ca="1" si="178"/>
        <v/>
      </c>
      <c r="R91" s="52" t="str">
        <f t="shared" ca="1" si="178"/>
        <v/>
      </c>
      <c r="S91" s="52" t="str">
        <f t="shared" ca="1" si="178"/>
        <v/>
      </c>
      <c r="T91" s="52" t="str">
        <f t="shared" ca="1" si="178"/>
        <v/>
      </c>
      <c r="U91" s="52" t="str">
        <f t="shared" ca="1" si="178"/>
        <v/>
      </c>
      <c r="V91" s="52" t="str">
        <f t="shared" ca="1" si="178"/>
        <v/>
      </c>
      <c r="W91" s="52" t="str">
        <f t="shared" ca="1" si="178"/>
        <v/>
      </c>
      <c r="X91" s="52" t="str">
        <f t="shared" ca="1" si="178"/>
        <v/>
      </c>
      <c r="Y91" s="52" t="str">
        <f t="shared" ca="1" si="178"/>
        <v/>
      </c>
      <c r="Z91" s="52" t="str">
        <f t="shared" ca="1" si="178"/>
        <v/>
      </c>
      <c r="AA91" s="52" t="str">
        <f t="shared" ca="1" si="178"/>
        <v/>
      </c>
      <c r="AB91" s="52" t="str">
        <f t="shared" ca="1" si="178"/>
        <v/>
      </c>
      <c r="AC91" s="52" t="str">
        <f t="shared" ca="1" si="178"/>
        <v/>
      </c>
      <c r="AD91" s="52" t="str">
        <f t="shared" ref="AD91:BP91" ca="1" si="179">IF(AND(AE$3&gt;=$J91, AE$3&lt;$M91), $A91, "")</f>
        <v/>
      </c>
      <c r="AE91" s="52" t="str">
        <f t="shared" ca="1" si="179"/>
        <v/>
      </c>
      <c r="AF91" s="52" t="str">
        <f t="shared" ca="1" si="179"/>
        <v/>
      </c>
      <c r="AG91" s="52" t="str">
        <f t="shared" ca="1" si="179"/>
        <v/>
      </c>
      <c r="AH91" s="52" t="str">
        <f t="shared" ca="1" si="179"/>
        <v/>
      </c>
      <c r="AI91" s="52" t="str">
        <f t="shared" ca="1" si="179"/>
        <v/>
      </c>
      <c r="AJ91" s="52" t="str">
        <f t="shared" ca="1" si="179"/>
        <v/>
      </c>
      <c r="AK91" s="52" t="str">
        <f t="shared" ca="1" si="179"/>
        <v/>
      </c>
      <c r="AL91" s="52" t="str">
        <f t="shared" ca="1" si="179"/>
        <v/>
      </c>
      <c r="AM91" s="52" t="str">
        <f t="shared" ca="1" si="179"/>
        <v/>
      </c>
      <c r="AN91" s="52" t="str">
        <f t="shared" ca="1" si="179"/>
        <v/>
      </c>
      <c r="AO91" s="52" t="str">
        <f t="shared" ca="1" si="179"/>
        <v/>
      </c>
      <c r="AP91" s="52" t="str">
        <f t="shared" ca="1" si="179"/>
        <v/>
      </c>
      <c r="AQ91" s="52" t="str">
        <f t="shared" ca="1" si="179"/>
        <v/>
      </c>
      <c r="AR91" s="52" t="str">
        <f t="shared" ca="1" si="179"/>
        <v/>
      </c>
      <c r="AS91" s="52" t="str">
        <f t="shared" ca="1" si="179"/>
        <v/>
      </c>
      <c r="AT91" s="52" t="str">
        <f t="shared" ca="1" si="179"/>
        <v/>
      </c>
      <c r="AU91" s="52" t="str">
        <f t="shared" ca="1" si="179"/>
        <v/>
      </c>
      <c r="AV91" s="52" t="str">
        <f t="shared" ca="1" si="179"/>
        <v/>
      </c>
      <c r="AW91" s="52" t="str">
        <f t="shared" ca="1" si="179"/>
        <v/>
      </c>
      <c r="AX91" s="52" t="str">
        <f t="shared" ca="1" si="179"/>
        <v/>
      </c>
      <c r="AY91" s="52" t="str">
        <f t="shared" ca="1" si="179"/>
        <v/>
      </c>
      <c r="AZ91" s="52" t="str">
        <f t="shared" ca="1" si="179"/>
        <v/>
      </c>
      <c r="BA91" s="52" t="str">
        <f t="shared" ca="1" si="179"/>
        <v/>
      </c>
      <c r="BB91" s="52" t="str">
        <f t="shared" ca="1" si="179"/>
        <v/>
      </c>
      <c r="BC91" s="52" t="str">
        <f t="shared" ca="1" si="179"/>
        <v/>
      </c>
      <c r="BD91" s="52" t="str">
        <f t="shared" ca="1" si="179"/>
        <v/>
      </c>
      <c r="BE91" s="52" t="str">
        <f t="shared" ca="1" si="179"/>
        <v/>
      </c>
      <c r="BF91" s="52" t="str">
        <f t="shared" ca="1" si="179"/>
        <v/>
      </c>
      <c r="BG91" s="52" t="str">
        <f t="shared" ca="1" si="179"/>
        <v/>
      </c>
      <c r="BH91" s="52" t="str">
        <f t="shared" ca="1" si="179"/>
        <v/>
      </c>
      <c r="BI91" s="52" t="str">
        <f t="shared" ca="1" si="179"/>
        <v/>
      </c>
      <c r="BJ91" s="52" t="str">
        <f t="shared" ca="1" si="179"/>
        <v/>
      </c>
      <c r="BK91" s="52" t="str">
        <f t="shared" ca="1" si="179"/>
        <v/>
      </c>
      <c r="BL91" s="52" t="str">
        <f t="shared" ca="1" si="179"/>
        <v/>
      </c>
      <c r="BM91" s="52" t="str">
        <f t="shared" ca="1" si="179"/>
        <v/>
      </c>
      <c r="BN91" t="str">
        <f t="shared" ca="1" si="179"/>
        <v/>
      </c>
      <c r="BO91" t="str">
        <f t="shared" ca="1" si="179"/>
        <v/>
      </c>
      <c r="BP91" t="str">
        <f t="shared" ca="1" si="179"/>
        <v/>
      </c>
    </row>
    <row r="92" spans="1:68" ht="15" customHeight="1" x14ac:dyDescent="0.3">
      <c r="A92" s="10" t="str">
        <f>IF(Job_Master!A92="","",Job_Master!A92)</f>
        <v/>
      </c>
      <c r="B92" s="10" t="str">
        <f>IF($A92="","",Job_Master!B92)</f>
        <v/>
      </c>
      <c r="C92" s="10" t="str">
        <f>IF($A92="","",Job_Master!C92)</f>
        <v/>
      </c>
      <c r="D92" s="10" t="str">
        <f>IF($A92="","",Job_Master!D92)</f>
        <v/>
      </c>
      <c r="E92" s="48" t="str">
        <f>IF($A92="","",IFERROR(INDEX(Machine_List!$B$82:$B$86,MATCH("*"&amp;$B92&amp;"*",Machine_List!$J$82:$J$86,0)),"NO COMPATIBLE MACHINE"))</f>
        <v/>
      </c>
      <c r="F92" s="10" t="str">
        <f>IF($E92="","",IFERROR(VLOOKUP($E92,Machine_List!$B:$G,6,0),""))</f>
        <v/>
      </c>
      <c r="G92" s="53" t="str">
        <f>IF($E92="","",IFERROR(VLOOKUP($E92,Machine_List!$B:$C,2,0),""))</f>
        <v/>
      </c>
      <c r="H92" s="10" t="str">
        <f>IF($E92="","",IFERROR(VLOOKUP($E92,Machine_List!$B:$D,3,0),""))</f>
        <v/>
      </c>
      <c r="I92" s="54"/>
      <c r="J92" s="55" t="str">
        <f ca="1">IF($A92="","",IF($I92&lt;&gt;"",$I92,MAX(FID_Plan!$M92,IFERROR(LOOKUP(2,1/($E$3:INDIRECT("E"&amp;(ROW()-1))=$E92),$M$3:INDIRECT("M"&amp;(ROW()-1))),FID_Plan!$M92))))</f>
        <v/>
      </c>
      <c r="K92" s="10" t="str">
        <f>IF($A92="","",IFERROR(VLOOKUP(B92,CHOOSE(MATCH(C92,Settings!$L$4:$L$10,0),OPR_2P!$A$4:$I$18,SEG_6P!$A$4:$I$18,SOL_4P!$A$4:$I$18,RW_2P!$A$4:$I$18,RW2_4P!$A$4:$I$18,FLAP_4P!$A$4:$I$18,TUBE_4P!$A$4:$I$18),8,0),0))</f>
        <v/>
      </c>
      <c r="L92" s="10" t="str">
        <f t="shared" si="130"/>
        <v/>
      </c>
      <c r="M92" s="55" t="str">
        <f>IF($A92="","",$J92+($L92/(IF(F92="Contract Workman",Settings!$K$5,Settings!$K$4))))</f>
        <v/>
      </c>
      <c r="N92" s="10" t="str">
        <f t="shared" si="131"/>
        <v/>
      </c>
      <c r="O92" s="51" t="str">
        <f>IF(B92="","", IF(IFERROR(ISNUMBER(SEARCH(B92, VLOOKUP(E92, Machine_List!$B:$J, 9, 0))), FALSE()), "✅ Machine OK", "❌ Sug: " &amp; IFERROR(INDEX(Machine_List!$B$4:$B$50, MATCH("*"&amp;B92&amp;"*", Machine_List!$J$4:$J$50, 0)), "Check Limits")))</f>
        <v/>
      </c>
      <c r="P92" s="52" t="str">
        <f t="shared" ref="P92:AC92" ca="1" si="180">IF(AND(Q$3&gt;=$J92, Q$3&lt;$M92), $A92, "")</f>
        <v/>
      </c>
      <c r="Q92" s="52" t="str">
        <f t="shared" ca="1" si="180"/>
        <v/>
      </c>
      <c r="R92" s="52" t="str">
        <f t="shared" ca="1" si="180"/>
        <v/>
      </c>
      <c r="S92" s="52" t="str">
        <f t="shared" ca="1" si="180"/>
        <v/>
      </c>
      <c r="T92" s="52" t="str">
        <f t="shared" ca="1" si="180"/>
        <v/>
      </c>
      <c r="U92" s="52" t="str">
        <f t="shared" ca="1" si="180"/>
        <v/>
      </c>
      <c r="V92" s="52" t="str">
        <f t="shared" ca="1" si="180"/>
        <v/>
      </c>
      <c r="W92" s="52" t="str">
        <f t="shared" ca="1" si="180"/>
        <v/>
      </c>
      <c r="X92" s="52" t="str">
        <f t="shared" ca="1" si="180"/>
        <v/>
      </c>
      <c r="Y92" s="52" t="str">
        <f t="shared" ca="1" si="180"/>
        <v/>
      </c>
      <c r="Z92" s="52" t="str">
        <f t="shared" ca="1" si="180"/>
        <v/>
      </c>
      <c r="AA92" s="52" t="str">
        <f t="shared" ca="1" si="180"/>
        <v/>
      </c>
      <c r="AB92" s="52" t="str">
        <f t="shared" ca="1" si="180"/>
        <v/>
      </c>
      <c r="AC92" s="52" t="str">
        <f t="shared" ca="1" si="180"/>
        <v/>
      </c>
      <c r="AD92" s="52" t="str">
        <f t="shared" ref="AD92:BP92" ca="1" si="181">IF(AND(AE$3&gt;=$J92, AE$3&lt;$M92), $A92, "")</f>
        <v/>
      </c>
      <c r="AE92" s="52" t="str">
        <f t="shared" ca="1" si="181"/>
        <v/>
      </c>
      <c r="AF92" s="52" t="str">
        <f t="shared" ca="1" si="181"/>
        <v/>
      </c>
      <c r="AG92" s="52" t="str">
        <f t="shared" ca="1" si="181"/>
        <v/>
      </c>
      <c r="AH92" s="52" t="str">
        <f t="shared" ca="1" si="181"/>
        <v/>
      </c>
      <c r="AI92" s="52" t="str">
        <f t="shared" ca="1" si="181"/>
        <v/>
      </c>
      <c r="AJ92" s="52" t="str">
        <f t="shared" ca="1" si="181"/>
        <v/>
      </c>
      <c r="AK92" s="52" t="str">
        <f t="shared" ca="1" si="181"/>
        <v/>
      </c>
      <c r="AL92" s="52" t="str">
        <f t="shared" ca="1" si="181"/>
        <v/>
      </c>
      <c r="AM92" s="52" t="str">
        <f t="shared" ca="1" si="181"/>
        <v/>
      </c>
      <c r="AN92" s="52" t="str">
        <f t="shared" ca="1" si="181"/>
        <v/>
      </c>
      <c r="AO92" s="52" t="str">
        <f t="shared" ca="1" si="181"/>
        <v/>
      </c>
      <c r="AP92" s="52" t="str">
        <f t="shared" ca="1" si="181"/>
        <v/>
      </c>
      <c r="AQ92" s="52" t="str">
        <f t="shared" ca="1" si="181"/>
        <v/>
      </c>
      <c r="AR92" s="52" t="str">
        <f t="shared" ca="1" si="181"/>
        <v/>
      </c>
      <c r="AS92" s="52" t="str">
        <f t="shared" ca="1" si="181"/>
        <v/>
      </c>
      <c r="AT92" s="52" t="str">
        <f t="shared" ca="1" si="181"/>
        <v/>
      </c>
      <c r="AU92" s="52" t="str">
        <f t="shared" ca="1" si="181"/>
        <v/>
      </c>
      <c r="AV92" s="52" t="str">
        <f t="shared" ca="1" si="181"/>
        <v/>
      </c>
      <c r="AW92" s="52" t="str">
        <f t="shared" ca="1" si="181"/>
        <v/>
      </c>
      <c r="AX92" s="52" t="str">
        <f t="shared" ca="1" si="181"/>
        <v/>
      </c>
      <c r="AY92" s="52" t="str">
        <f t="shared" ca="1" si="181"/>
        <v/>
      </c>
      <c r="AZ92" s="52" t="str">
        <f t="shared" ca="1" si="181"/>
        <v/>
      </c>
      <c r="BA92" s="52" t="str">
        <f t="shared" ca="1" si="181"/>
        <v/>
      </c>
      <c r="BB92" s="52" t="str">
        <f t="shared" ca="1" si="181"/>
        <v/>
      </c>
      <c r="BC92" s="52" t="str">
        <f t="shared" ca="1" si="181"/>
        <v/>
      </c>
      <c r="BD92" s="52" t="str">
        <f t="shared" ca="1" si="181"/>
        <v/>
      </c>
      <c r="BE92" s="52" t="str">
        <f t="shared" ca="1" si="181"/>
        <v/>
      </c>
      <c r="BF92" s="52" t="str">
        <f t="shared" ca="1" si="181"/>
        <v/>
      </c>
      <c r="BG92" s="52" t="str">
        <f t="shared" ca="1" si="181"/>
        <v/>
      </c>
      <c r="BH92" s="52" t="str">
        <f t="shared" ca="1" si="181"/>
        <v/>
      </c>
      <c r="BI92" s="52" t="str">
        <f t="shared" ca="1" si="181"/>
        <v/>
      </c>
      <c r="BJ92" s="52" t="str">
        <f t="shared" ca="1" si="181"/>
        <v/>
      </c>
      <c r="BK92" s="52" t="str">
        <f t="shared" ca="1" si="181"/>
        <v/>
      </c>
      <c r="BL92" s="52" t="str">
        <f t="shared" ca="1" si="181"/>
        <v/>
      </c>
      <c r="BM92" s="52" t="str">
        <f t="shared" ca="1" si="181"/>
        <v/>
      </c>
      <c r="BN92" t="str">
        <f t="shared" ca="1" si="181"/>
        <v/>
      </c>
      <c r="BO92" t="str">
        <f t="shared" ca="1" si="181"/>
        <v/>
      </c>
      <c r="BP92" t="str">
        <f t="shared" ca="1" si="181"/>
        <v/>
      </c>
    </row>
    <row r="93" spans="1:68" ht="15" customHeight="1" x14ac:dyDescent="0.3">
      <c r="A93" s="10" t="str">
        <f>IF(Job_Master!A93="","",Job_Master!A93)</f>
        <v/>
      </c>
      <c r="B93" s="10" t="str">
        <f>IF($A93="","",Job_Master!B93)</f>
        <v/>
      </c>
      <c r="C93" s="10" t="str">
        <f>IF($A93="","",Job_Master!C93)</f>
        <v/>
      </c>
      <c r="D93" s="10" t="str">
        <f>IF($A93="","",Job_Master!D93)</f>
        <v/>
      </c>
      <c r="E93" s="48" t="str">
        <f>IF($A93="","",IFERROR(INDEX(Machine_List!$B$82:$B$86,MATCH("*"&amp;$B93&amp;"*",Machine_List!$J$82:$J$86,0)),"NO COMPATIBLE MACHINE"))</f>
        <v/>
      </c>
      <c r="F93" s="10" t="str">
        <f>IF($E93="","",IFERROR(VLOOKUP($E93,Machine_List!$B:$G,6,0),""))</f>
        <v/>
      </c>
      <c r="G93" s="53" t="str">
        <f>IF($E93="","",IFERROR(VLOOKUP($E93,Machine_List!$B:$C,2,0),""))</f>
        <v/>
      </c>
      <c r="H93" s="10" t="str">
        <f>IF($E93="","",IFERROR(VLOOKUP($E93,Machine_List!$B:$D,3,0),""))</f>
        <v/>
      </c>
      <c r="I93" s="54"/>
      <c r="J93" s="55" t="str">
        <f ca="1">IF($A93="","",IF($I93&lt;&gt;"",$I93,MAX(FID_Plan!$M93,IFERROR(LOOKUP(2,1/($E$3:INDIRECT("E"&amp;(ROW()-1))=$E93),$M$3:INDIRECT("M"&amp;(ROW()-1))),FID_Plan!$M93))))</f>
        <v/>
      </c>
      <c r="K93" s="10" t="str">
        <f>IF($A93="","",IFERROR(VLOOKUP(B93,CHOOSE(MATCH(C93,Settings!$L$4:$L$10,0),OPR_2P!$A$4:$I$18,SEG_6P!$A$4:$I$18,SOL_4P!$A$4:$I$18,RW_2P!$A$4:$I$18,RW2_4P!$A$4:$I$18,FLAP_4P!$A$4:$I$18,TUBE_4P!$A$4:$I$18),8,0),0))</f>
        <v/>
      </c>
      <c r="L93" s="10" t="str">
        <f t="shared" si="130"/>
        <v/>
      </c>
      <c r="M93" s="55" t="str">
        <f>IF($A93="","",$J93+($L93/(IF(F93="Contract Workman",Settings!$K$5,Settings!$K$4))))</f>
        <v/>
      </c>
      <c r="N93" s="10" t="str">
        <f t="shared" si="131"/>
        <v/>
      </c>
      <c r="O93" s="51" t="str">
        <f>IF(B93="","", IF(IFERROR(ISNUMBER(SEARCH(B93, VLOOKUP(E93, Machine_List!$B:$J, 9, 0))), FALSE()), "✅ Machine OK", "❌ Sug: " &amp; IFERROR(INDEX(Machine_List!$B$4:$B$50, MATCH("*"&amp;B93&amp;"*", Machine_List!$J$4:$J$50, 0)), "Check Limits")))</f>
        <v/>
      </c>
      <c r="P93" s="52" t="str">
        <f t="shared" ref="P93:AC93" ca="1" si="182">IF(AND(Q$3&gt;=$J93, Q$3&lt;$M93), $A93, "")</f>
        <v/>
      </c>
      <c r="Q93" s="52" t="str">
        <f t="shared" ca="1" si="182"/>
        <v/>
      </c>
      <c r="R93" s="52" t="str">
        <f t="shared" ca="1" si="182"/>
        <v/>
      </c>
      <c r="S93" s="52" t="str">
        <f t="shared" ca="1" si="182"/>
        <v/>
      </c>
      <c r="T93" s="52" t="str">
        <f t="shared" ca="1" si="182"/>
        <v/>
      </c>
      <c r="U93" s="52" t="str">
        <f t="shared" ca="1" si="182"/>
        <v/>
      </c>
      <c r="V93" s="52" t="str">
        <f t="shared" ca="1" si="182"/>
        <v/>
      </c>
      <c r="W93" s="52" t="str">
        <f t="shared" ca="1" si="182"/>
        <v/>
      </c>
      <c r="X93" s="52" t="str">
        <f t="shared" ca="1" si="182"/>
        <v/>
      </c>
      <c r="Y93" s="52" t="str">
        <f t="shared" ca="1" si="182"/>
        <v/>
      </c>
      <c r="Z93" s="52" t="str">
        <f t="shared" ca="1" si="182"/>
        <v/>
      </c>
      <c r="AA93" s="52" t="str">
        <f t="shared" ca="1" si="182"/>
        <v/>
      </c>
      <c r="AB93" s="52" t="str">
        <f t="shared" ca="1" si="182"/>
        <v/>
      </c>
      <c r="AC93" s="52" t="str">
        <f t="shared" ca="1" si="182"/>
        <v/>
      </c>
      <c r="AD93" s="52" t="str">
        <f t="shared" ref="AD93:BP93" ca="1" si="183">IF(AND(AE$3&gt;=$J93, AE$3&lt;$M93), $A93, "")</f>
        <v/>
      </c>
      <c r="AE93" s="52" t="str">
        <f t="shared" ca="1" si="183"/>
        <v/>
      </c>
      <c r="AF93" s="52" t="str">
        <f t="shared" ca="1" si="183"/>
        <v/>
      </c>
      <c r="AG93" s="52" t="str">
        <f t="shared" ca="1" si="183"/>
        <v/>
      </c>
      <c r="AH93" s="52" t="str">
        <f t="shared" ca="1" si="183"/>
        <v/>
      </c>
      <c r="AI93" s="52" t="str">
        <f t="shared" ca="1" si="183"/>
        <v/>
      </c>
      <c r="AJ93" s="52" t="str">
        <f t="shared" ca="1" si="183"/>
        <v/>
      </c>
      <c r="AK93" s="52" t="str">
        <f t="shared" ca="1" si="183"/>
        <v/>
      </c>
      <c r="AL93" s="52" t="str">
        <f t="shared" ca="1" si="183"/>
        <v/>
      </c>
      <c r="AM93" s="52" t="str">
        <f t="shared" ca="1" si="183"/>
        <v/>
      </c>
      <c r="AN93" s="52" t="str">
        <f t="shared" ca="1" si="183"/>
        <v/>
      </c>
      <c r="AO93" s="52" t="str">
        <f t="shared" ca="1" si="183"/>
        <v/>
      </c>
      <c r="AP93" s="52" t="str">
        <f t="shared" ca="1" si="183"/>
        <v/>
      </c>
      <c r="AQ93" s="52" t="str">
        <f t="shared" ca="1" si="183"/>
        <v/>
      </c>
      <c r="AR93" s="52" t="str">
        <f t="shared" ca="1" si="183"/>
        <v/>
      </c>
      <c r="AS93" s="52" t="str">
        <f t="shared" ca="1" si="183"/>
        <v/>
      </c>
      <c r="AT93" s="52" t="str">
        <f t="shared" ca="1" si="183"/>
        <v/>
      </c>
      <c r="AU93" s="52" t="str">
        <f t="shared" ca="1" si="183"/>
        <v/>
      </c>
      <c r="AV93" s="52" t="str">
        <f t="shared" ca="1" si="183"/>
        <v/>
      </c>
      <c r="AW93" s="52" t="str">
        <f t="shared" ca="1" si="183"/>
        <v/>
      </c>
      <c r="AX93" s="52" t="str">
        <f t="shared" ca="1" si="183"/>
        <v/>
      </c>
      <c r="AY93" s="52" t="str">
        <f t="shared" ca="1" si="183"/>
        <v/>
      </c>
      <c r="AZ93" s="52" t="str">
        <f t="shared" ca="1" si="183"/>
        <v/>
      </c>
      <c r="BA93" s="52" t="str">
        <f t="shared" ca="1" si="183"/>
        <v/>
      </c>
      <c r="BB93" s="52" t="str">
        <f t="shared" ca="1" si="183"/>
        <v/>
      </c>
      <c r="BC93" s="52" t="str">
        <f t="shared" ca="1" si="183"/>
        <v/>
      </c>
      <c r="BD93" s="52" t="str">
        <f t="shared" ca="1" si="183"/>
        <v/>
      </c>
      <c r="BE93" s="52" t="str">
        <f t="shared" ca="1" si="183"/>
        <v/>
      </c>
      <c r="BF93" s="52" t="str">
        <f t="shared" ca="1" si="183"/>
        <v/>
      </c>
      <c r="BG93" s="52" t="str">
        <f t="shared" ca="1" si="183"/>
        <v/>
      </c>
      <c r="BH93" s="52" t="str">
        <f t="shared" ca="1" si="183"/>
        <v/>
      </c>
      <c r="BI93" s="52" t="str">
        <f t="shared" ca="1" si="183"/>
        <v/>
      </c>
      <c r="BJ93" s="52" t="str">
        <f t="shared" ca="1" si="183"/>
        <v/>
      </c>
      <c r="BK93" s="52" t="str">
        <f t="shared" ca="1" si="183"/>
        <v/>
      </c>
      <c r="BL93" s="52" t="str">
        <f t="shared" ca="1" si="183"/>
        <v/>
      </c>
      <c r="BM93" s="52" t="str">
        <f t="shared" ca="1" si="183"/>
        <v/>
      </c>
      <c r="BN93" t="str">
        <f t="shared" ca="1" si="183"/>
        <v/>
      </c>
      <c r="BO93" t="str">
        <f t="shared" ca="1" si="183"/>
        <v/>
      </c>
      <c r="BP93" t="str">
        <f t="shared" ca="1" si="183"/>
        <v/>
      </c>
    </row>
    <row r="94" spans="1:68" ht="15" customHeight="1" x14ac:dyDescent="0.3">
      <c r="A94" s="10" t="str">
        <f>IF(Job_Master!A94="","",Job_Master!A94)</f>
        <v/>
      </c>
      <c r="B94" s="10" t="str">
        <f>IF($A94="","",Job_Master!B94)</f>
        <v/>
      </c>
      <c r="C94" s="10" t="str">
        <f>IF($A94="","",Job_Master!C94)</f>
        <v/>
      </c>
      <c r="D94" s="10" t="str">
        <f>IF($A94="","",Job_Master!D94)</f>
        <v/>
      </c>
      <c r="E94" s="48" t="str">
        <f>IF($A94="","",IFERROR(INDEX(Machine_List!$B$82:$B$86,MATCH("*"&amp;$B94&amp;"*",Machine_List!$J$82:$J$86,0)),"NO COMPATIBLE MACHINE"))</f>
        <v/>
      </c>
      <c r="F94" s="10" t="str">
        <f>IF($E94="","",IFERROR(VLOOKUP($E94,Machine_List!$B:$G,6,0),""))</f>
        <v/>
      </c>
      <c r="G94" s="53" t="str">
        <f>IF($E94="","",IFERROR(VLOOKUP($E94,Machine_List!$B:$C,2,0),""))</f>
        <v/>
      </c>
      <c r="H94" s="10" t="str">
        <f>IF($E94="","",IFERROR(VLOOKUP($E94,Machine_List!$B:$D,3,0),""))</f>
        <v/>
      </c>
      <c r="I94" s="54"/>
      <c r="J94" s="55" t="str">
        <f ca="1">IF($A94="","",IF($I94&lt;&gt;"",$I94,MAX(FID_Plan!$M94,IFERROR(LOOKUP(2,1/($E$3:INDIRECT("E"&amp;(ROW()-1))=$E94),$M$3:INDIRECT("M"&amp;(ROW()-1))),FID_Plan!$M94))))</f>
        <v/>
      </c>
      <c r="K94" s="10" t="str">
        <f>IF($A94="","",IFERROR(VLOOKUP(B94,CHOOSE(MATCH(C94,Settings!$L$4:$L$10,0),OPR_2P!$A$4:$I$18,SEG_6P!$A$4:$I$18,SOL_4P!$A$4:$I$18,RW_2P!$A$4:$I$18,RW2_4P!$A$4:$I$18,FLAP_4P!$A$4:$I$18,TUBE_4P!$A$4:$I$18),8,0),0))</f>
        <v/>
      </c>
      <c r="L94" s="10" t="str">
        <f t="shared" si="130"/>
        <v/>
      </c>
      <c r="M94" s="55" t="str">
        <f>IF($A94="","",$J94+($L94/(IF(F94="Contract Workman",Settings!$K$5,Settings!$K$4))))</f>
        <v/>
      </c>
      <c r="N94" s="10" t="str">
        <f t="shared" si="131"/>
        <v/>
      </c>
      <c r="O94" s="51" t="str">
        <f>IF(B94="","", IF(IFERROR(ISNUMBER(SEARCH(B94, VLOOKUP(E94, Machine_List!$B:$J, 9, 0))), FALSE()), "✅ Machine OK", "❌ Sug: " &amp; IFERROR(INDEX(Machine_List!$B$4:$B$50, MATCH("*"&amp;B94&amp;"*", Machine_List!$J$4:$J$50, 0)), "Check Limits")))</f>
        <v/>
      </c>
      <c r="P94" s="52" t="str">
        <f t="shared" ref="P94:AC94" ca="1" si="184">IF(AND(Q$3&gt;=$J94, Q$3&lt;$M94), $A94, "")</f>
        <v/>
      </c>
      <c r="Q94" s="52" t="str">
        <f t="shared" ca="1" si="184"/>
        <v/>
      </c>
      <c r="R94" s="52" t="str">
        <f t="shared" ca="1" si="184"/>
        <v/>
      </c>
      <c r="S94" s="52" t="str">
        <f t="shared" ca="1" si="184"/>
        <v/>
      </c>
      <c r="T94" s="52" t="str">
        <f t="shared" ca="1" si="184"/>
        <v/>
      </c>
      <c r="U94" s="52" t="str">
        <f t="shared" ca="1" si="184"/>
        <v/>
      </c>
      <c r="V94" s="52" t="str">
        <f t="shared" ca="1" si="184"/>
        <v/>
      </c>
      <c r="W94" s="52" t="str">
        <f t="shared" ca="1" si="184"/>
        <v/>
      </c>
      <c r="X94" s="52" t="str">
        <f t="shared" ca="1" si="184"/>
        <v/>
      </c>
      <c r="Y94" s="52" t="str">
        <f t="shared" ca="1" si="184"/>
        <v/>
      </c>
      <c r="Z94" s="52" t="str">
        <f t="shared" ca="1" si="184"/>
        <v/>
      </c>
      <c r="AA94" s="52" t="str">
        <f t="shared" ca="1" si="184"/>
        <v/>
      </c>
      <c r="AB94" s="52" t="str">
        <f t="shared" ca="1" si="184"/>
        <v/>
      </c>
      <c r="AC94" s="52" t="str">
        <f t="shared" ca="1" si="184"/>
        <v/>
      </c>
      <c r="AD94" s="52" t="str">
        <f t="shared" ref="AD94:BP94" ca="1" si="185">IF(AND(AE$3&gt;=$J94, AE$3&lt;$M94), $A94, "")</f>
        <v/>
      </c>
      <c r="AE94" s="52" t="str">
        <f t="shared" ca="1" si="185"/>
        <v/>
      </c>
      <c r="AF94" s="52" t="str">
        <f t="shared" ca="1" si="185"/>
        <v/>
      </c>
      <c r="AG94" s="52" t="str">
        <f t="shared" ca="1" si="185"/>
        <v/>
      </c>
      <c r="AH94" s="52" t="str">
        <f t="shared" ca="1" si="185"/>
        <v/>
      </c>
      <c r="AI94" s="52" t="str">
        <f t="shared" ca="1" si="185"/>
        <v/>
      </c>
      <c r="AJ94" s="52" t="str">
        <f t="shared" ca="1" si="185"/>
        <v/>
      </c>
      <c r="AK94" s="52" t="str">
        <f t="shared" ca="1" si="185"/>
        <v/>
      </c>
      <c r="AL94" s="52" t="str">
        <f t="shared" ca="1" si="185"/>
        <v/>
      </c>
      <c r="AM94" s="52" t="str">
        <f t="shared" ca="1" si="185"/>
        <v/>
      </c>
      <c r="AN94" s="52" t="str">
        <f t="shared" ca="1" si="185"/>
        <v/>
      </c>
      <c r="AO94" s="52" t="str">
        <f t="shared" ca="1" si="185"/>
        <v/>
      </c>
      <c r="AP94" s="52" t="str">
        <f t="shared" ca="1" si="185"/>
        <v/>
      </c>
      <c r="AQ94" s="52" t="str">
        <f t="shared" ca="1" si="185"/>
        <v/>
      </c>
      <c r="AR94" s="52" t="str">
        <f t="shared" ca="1" si="185"/>
        <v/>
      </c>
      <c r="AS94" s="52" t="str">
        <f t="shared" ca="1" si="185"/>
        <v/>
      </c>
      <c r="AT94" s="52" t="str">
        <f t="shared" ca="1" si="185"/>
        <v/>
      </c>
      <c r="AU94" s="52" t="str">
        <f t="shared" ca="1" si="185"/>
        <v/>
      </c>
      <c r="AV94" s="52" t="str">
        <f t="shared" ca="1" si="185"/>
        <v/>
      </c>
      <c r="AW94" s="52" t="str">
        <f t="shared" ca="1" si="185"/>
        <v/>
      </c>
      <c r="AX94" s="52" t="str">
        <f t="shared" ca="1" si="185"/>
        <v/>
      </c>
      <c r="AY94" s="52" t="str">
        <f t="shared" ca="1" si="185"/>
        <v/>
      </c>
      <c r="AZ94" s="52" t="str">
        <f t="shared" ca="1" si="185"/>
        <v/>
      </c>
      <c r="BA94" s="52" t="str">
        <f t="shared" ca="1" si="185"/>
        <v/>
      </c>
      <c r="BB94" s="52" t="str">
        <f t="shared" ca="1" si="185"/>
        <v/>
      </c>
      <c r="BC94" s="52" t="str">
        <f t="shared" ca="1" si="185"/>
        <v/>
      </c>
      <c r="BD94" s="52" t="str">
        <f t="shared" ca="1" si="185"/>
        <v/>
      </c>
      <c r="BE94" s="52" t="str">
        <f t="shared" ca="1" si="185"/>
        <v/>
      </c>
      <c r="BF94" s="52" t="str">
        <f t="shared" ca="1" si="185"/>
        <v/>
      </c>
      <c r="BG94" s="52" t="str">
        <f t="shared" ca="1" si="185"/>
        <v/>
      </c>
      <c r="BH94" s="52" t="str">
        <f t="shared" ca="1" si="185"/>
        <v/>
      </c>
      <c r="BI94" s="52" t="str">
        <f t="shared" ca="1" si="185"/>
        <v/>
      </c>
      <c r="BJ94" s="52" t="str">
        <f t="shared" ca="1" si="185"/>
        <v/>
      </c>
      <c r="BK94" s="52" t="str">
        <f t="shared" ca="1" si="185"/>
        <v/>
      </c>
      <c r="BL94" s="52" t="str">
        <f t="shared" ca="1" si="185"/>
        <v/>
      </c>
      <c r="BM94" s="52" t="str">
        <f t="shared" ca="1" si="185"/>
        <v/>
      </c>
      <c r="BN94" t="str">
        <f t="shared" ca="1" si="185"/>
        <v/>
      </c>
      <c r="BO94" t="str">
        <f t="shared" ca="1" si="185"/>
        <v/>
      </c>
      <c r="BP94" t="str">
        <f t="shared" ca="1" si="185"/>
        <v/>
      </c>
    </row>
    <row r="95" spans="1:68" ht="15" customHeight="1" x14ac:dyDescent="0.3">
      <c r="A95" s="10" t="str">
        <f>IF(Job_Master!A95="","",Job_Master!A95)</f>
        <v/>
      </c>
      <c r="B95" s="10" t="str">
        <f>IF($A95="","",Job_Master!B95)</f>
        <v/>
      </c>
      <c r="C95" s="10" t="str">
        <f>IF($A95="","",Job_Master!C95)</f>
        <v/>
      </c>
      <c r="D95" s="10" t="str">
        <f>IF($A95="","",Job_Master!D95)</f>
        <v/>
      </c>
      <c r="E95" s="48" t="str">
        <f>IF($A95="","",IFERROR(INDEX(Machine_List!$B$82:$B$86,MATCH("*"&amp;$B95&amp;"*",Machine_List!$J$82:$J$86,0)),"NO COMPATIBLE MACHINE"))</f>
        <v/>
      </c>
      <c r="F95" s="10" t="str">
        <f>IF($E95="","",IFERROR(VLOOKUP($E95,Machine_List!$B:$G,6,0),""))</f>
        <v/>
      </c>
      <c r="G95" s="53" t="str">
        <f>IF($E95="","",IFERROR(VLOOKUP($E95,Machine_List!$B:$C,2,0),""))</f>
        <v/>
      </c>
      <c r="H95" s="10" t="str">
        <f>IF($E95="","",IFERROR(VLOOKUP($E95,Machine_List!$B:$D,3,0),""))</f>
        <v/>
      </c>
      <c r="I95" s="54"/>
      <c r="J95" s="55" t="str">
        <f ca="1">IF($A95="","",IF($I95&lt;&gt;"",$I95,MAX(FID_Plan!$M95,IFERROR(LOOKUP(2,1/($E$3:INDIRECT("E"&amp;(ROW()-1))=$E95),$M$3:INDIRECT("M"&amp;(ROW()-1))),FID_Plan!$M95))))</f>
        <v/>
      </c>
      <c r="K95" s="10" t="str">
        <f>IF($A95="","",IFERROR(VLOOKUP(B95,CHOOSE(MATCH(C95,Settings!$L$4:$L$10,0),OPR_2P!$A$4:$I$18,SEG_6P!$A$4:$I$18,SOL_4P!$A$4:$I$18,RW_2P!$A$4:$I$18,RW2_4P!$A$4:$I$18,FLAP_4P!$A$4:$I$18,TUBE_4P!$A$4:$I$18),8,0),0))</f>
        <v/>
      </c>
      <c r="L95" s="10" t="str">
        <f t="shared" si="130"/>
        <v/>
      </c>
      <c r="M95" s="55" t="str">
        <f>IF($A95="","",$J95+($L95/(IF(F95="Contract Workman",Settings!$K$5,Settings!$K$4))))</f>
        <v/>
      </c>
      <c r="N95" s="10" t="str">
        <f t="shared" si="131"/>
        <v/>
      </c>
      <c r="O95" s="51" t="str">
        <f>IF(B95="","", IF(IFERROR(ISNUMBER(SEARCH(B95, VLOOKUP(E95, Machine_List!$B:$J, 9, 0))), FALSE()), "✅ Machine OK", "❌ Sug: " &amp; IFERROR(INDEX(Machine_List!$B$4:$B$50, MATCH("*"&amp;B95&amp;"*", Machine_List!$J$4:$J$50, 0)), "Check Limits")))</f>
        <v/>
      </c>
      <c r="P95" s="52" t="str">
        <f t="shared" ref="P95:AC95" ca="1" si="186">IF(AND(Q$3&gt;=$J95, Q$3&lt;$M95), $A95, "")</f>
        <v/>
      </c>
      <c r="Q95" s="52" t="str">
        <f t="shared" ca="1" si="186"/>
        <v/>
      </c>
      <c r="R95" s="52" t="str">
        <f t="shared" ca="1" si="186"/>
        <v/>
      </c>
      <c r="S95" s="52" t="str">
        <f t="shared" ca="1" si="186"/>
        <v/>
      </c>
      <c r="T95" s="52" t="str">
        <f t="shared" ca="1" si="186"/>
        <v/>
      </c>
      <c r="U95" s="52" t="str">
        <f t="shared" ca="1" si="186"/>
        <v/>
      </c>
      <c r="V95" s="52" t="str">
        <f t="shared" ca="1" si="186"/>
        <v/>
      </c>
      <c r="W95" s="52" t="str">
        <f t="shared" ca="1" si="186"/>
        <v/>
      </c>
      <c r="X95" s="52" t="str">
        <f t="shared" ca="1" si="186"/>
        <v/>
      </c>
      <c r="Y95" s="52" t="str">
        <f t="shared" ca="1" si="186"/>
        <v/>
      </c>
      <c r="Z95" s="52" t="str">
        <f t="shared" ca="1" si="186"/>
        <v/>
      </c>
      <c r="AA95" s="52" t="str">
        <f t="shared" ca="1" si="186"/>
        <v/>
      </c>
      <c r="AB95" s="52" t="str">
        <f t="shared" ca="1" si="186"/>
        <v/>
      </c>
      <c r="AC95" s="52" t="str">
        <f t="shared" ca="1" si="186"/>
        <v/>
      </c>
      <c r="AD95" s="52" t="str">
        <f t="shared" ref="AD95:BP95" ca="1" si="187">IF(AND(AE$3&gt;=$J95, AE$3&lt;$M95), $A95, "")</f>
        <v/>
      </c>
      <c r="AE95" s="52" t="str">
        <f t="shared" ca="1" si="187"/>
        <v/>
      </c>
      <c r="AF95" s="52" t="str">
        <f t="shared" ca="1" si="187"/>
        <v/>
      </c>
      <c r="AG95" s="52" t="str">
        <f t="shared" ca="1" si="187"/>
        <v/>
      </c>
      <c r="AH95" s="52" t="str">
        <f t="shared" ca="1" si="187"/>
        <v/>
      </c>
      <c r="AI95" s="52" t="str">
        <f t="shared" ca="1" si="187"/>
        <v/>
      </c>
      <c r="AJ95" s="52" t="str">
        <f t="shared" ca="1" si="187"/>
        <v/>
      </c>
      <c r="AK95" s="52" t="str">
        <f t="shared" ca="1" si="187"/>
        <v/>
      </c>
      <c r="AL95" s="52" t="str">
        <f t="shared" ca="1" si="187"/>
        <v/>
      </c>
      <c r="AM95" s="52" t="str">
        <f t="shared" ca="1" si="187"/>
        <v/>
      </c>
      <c r="AN95" s="52" t="str">
        <f t="shared" ca="1" si="187"/>
        <v/>
      </c>
      <c r="AO95" s="52" t="str">
        <f t="shared" ca="1" si="187"/>
        <v/>
      </c>
      <c r="AP95" s="52" t="str">
        <f t="shared" ca="1" si="187"/>
        <v/>
      </c>
      <c r="AQ95" s="52" t="str">
        <f t="shared" ca="1" si="187"/>
        <v/>
      </c>
      <c r="AR95" s="52" t="str">
        <f t="shared" ca="1" si="187"/>
        <v/>
      </c>
      <c r="AS95" s="52" t="str">
        <f t="shared" ca="1" si="187"/>
        <v/>
      </c>
      <c r="AT95" s="52" t="str">
        <f t="shared" ca="1" si="187"/>
        <v/>
      </c>
      <c r="AU95" s="52" t="str">
        <f t="shared" ca="1" si="187"/>
        <v/>
      </c>
      <c r="AV95" s="52" t="str">
        <f t="shared" ca="1" si="187"/>
        <v/>
      </c>
      <c r="AW95" s="52" t="str">
        <f t="shared" ca="1" si="187"/>
        <v/>
      </c>
      <c r="AX95" s="52" t="str">
        <f t="shared" ca="1" si="187"/>
        <v/>
      </c>
      <c r="AY95" s="52" t="str">
        <f t="shared" ca="1" si="187"/>
        <v/>
      </c>
      <c r="AZ95" s="52" t="str">
        <f t="shared" ca="1" si="187"/>
        <v/>
      </c>
      <c r="BA95" s="52" t="str">
        <f t="shared" ca="1" si="187"/>
        <v/>
      </c>
      <c r="BB95" s="52" t="str">
        <f t="shared" ca="1" si="187"/>
        <v/>
      </c>
      <c r="BC95" s="52" t="str">
        <f t="shared" ca="1" si="187"/>
        <v/>
      </c>
      <c r="BD95" s="52" t="str">
        <f t="shared" ca="1" si="187"/>
        <v/>
      </c>
      <c r="BE95" s="52" t="str">
        <f t="shared" ca="1" si="187"/>
        <v/>
      </c>
      <c r="BF95" s="52" t="str">
        <f t="shared" ca="1" si="187"/>
        <v/>
      </c>
      <c r="BG95" s="52" t="str">
        <f t="shared" ca="1" si="187"/>
        <v/>
      </c>
      <c r="BH95" s="52" t="str">
        <f t="shared" ca="1" si="187"/>
        <v/>
      </c>
      <c r="BI95" s="52" t="str">
        <f t="shared" ca="1" si="187"/>
        <v/>
      </c>
      <c r="BJ95" s="52" t="str">
        <f t="shared" ca="1" si="187"/>
        <v/>
      </c>
      <c r="BK95" s="52" t="str">
        <f t="shared" ca="1" si="187"/>
        <v/>
      </c>
      <c r="BL95" s="52" t="str">
        <f t="shared" ca="1" si="187"/>
        <v/>
      </c>
      <c r="BM95" s="52" t="str">
        <f t="shared" ca="1" si="187"/>
        <v/>
      </c>
      <c r="BN95" t="str">
        <f t="shared" ca="1" si="187"/>
        <v/>
      </c>
      <c r="BO95" t="str">
        <f t="shared" ca="1" si="187"/>
        <v/>
      </c>
      <c r="BP95" t="str">
        <f t="shared" ca="1" si="187"/>
        <v/>
      </c>
    </row>
    <row r="96" spans="1:68" ht="15" customHeight="1" x14ac:dyDescent="0.3">
      <c r="A96" s="10" t="str">
        <f>IF(Job_Master!A96="","",Job_Master!A96)</f>
        <v/>
      </c>
      <c r="B96" s="10" t="str">
        <f>IF($A96="","",Job_Master!B96)</f>
        <v/>
      </c>
      <c r="C96" s="10" t="str">
        <f>IF($A96="","",Job_Master!C96)</f>
        <v/>
      </c>
      <c r="D96" s="10" t="str">
        <f>IF($A96="","",Job_Master!D96)</f>
        <v/>
      </c>
      <c r="E96" s="48" t="str">
        <f>IF($A96="","",IFERROR(INDEX(Machine_List!$B$82:$B$86,MATCH("*"&amp;$B96&amp;"*",Machine_List!$J$82:$J$86,0)),"NO COMPATIBLE MACHINE"))</f>
        <v/>
      </c>
      <c r="F96" s="10" t="str">
        <f>IF($E96="","",IFERROR(VLOOKUP($E96,Machine_List!$B:$G,6,0),""))</f>
        <v/>
      </c>
      <c r="G96" s="53" t="str">
        <f>IF($E96="","",IFERROR(VLOOKUP($E96,Machine_List!$B:$C,2,0),""))</f>
        <v/>
      </c>
      <c r="H96" s="10" t="str">
        <f>IF($E96="","",IFERROR(VLOOKUP($E96,Machine_List!$B:$D,3,0),""))</f>
        <v/>
      </c>
      <c r="I96" s="54"/>
      <c r="J96" s="55" t="str">
        <f ca="1">IF($A96="","",IF($I96&lt;&gt;"",$I96,MAX(FID_Plan!$M96,IFERROR(LOOKUP(2,1/($E$3:INDIRECT("E"&amp;(ROW()-1))=$E96),$M$3:INDIRECT("M"&amp;(ROW()-1))),FID_Plan!$M96))))</f>
        <v/>
      </c>
      <c r="K96" s="10" t="str">
        <f>IF($A96="","",IFERROR(VLOOKUP(B96,CHOOSE(MATCH(C96,Settings!$L$4:$L$10,0),OPR_2P!$A$4:$I$18,SEG_6P!$A$4:$I$18,SOL_4P!$A$4:$I$18,RW_2P!$A$4:$I$18,RW2_4P!$A$4:$I$18,FLAP_4P!$A$4:$I$18,TUBE_4P!$A$4:$I$18),8,0),0))</f>
        <v/>
      </c>
      <c r="L96" s="10" t="str">
        <f t="shared" si="130"/>
        <v/>
      </c>
      <c r="M96" s="55" t="str">
        <f>IF($A96="","",$J96+($L96/(IF(F96="Contract Workman",Settings!$K$5,Settings!$K$4))))</f>
        <v/>
      </c>
      <c r="N96" s="10" t="str">
        <f t="shared" si="131"/>
        <v/>
      </c>
      <c r="O96" s="51" t="str">
        <f>IF(B96="","", IF(IFERROR(ISNUMBER(SEARCH(B96, VLOOKUP(E96, Machine_List!$B:$J, 9, 0))), FALSE()), "✅ Machine OK", "❌ Sug: " &amp; IFERROR(INDEX(Machine_List!$B$4:$B$50, MATCH("*"&amp;B96&amp;"*", Machine_List!$J$4:$J$50, 0)), "Check Limits")))</f>
        <v/>
      </c>
      <c r="P96" s="52" t="str">
        <f t="shared" ref="P96:AC96" ca="1" si="188">IF(AND(Q$3&gt;=$J96, Q$3&lt;$M96), $A96, "")</f>
        <v/>
      </c>
      <c r="Q96" s="52" t="str">
        <f t="shared" ca="1" si="188"/>
        <v/>
      </c>
      <c r="R96" s="52" t="str">
        <f t="shared" ca="1" si="188"/>
        <v/>
      </c>
      <c r="S96" s="52" t="str">
        <f t="shared" ca="1" si="188"/>
        <v/>
      </c>
      <c r="T96" s="52" t="str">
        <f t="shared" ca="1" si="188"/>
        <v/>
      </c>
      <c r="U96" s="52" t="str">
        <f t="shared" ca="1" si="188"/>
        <v/>
      </c>
      <c r="V96" s="52" t="str">
        <f t="shared" ca="1" si="188"/>
        <v/>
      </c>
      <c r="W96" s="52" t="str">
        <f t="shared" ca="1" si="188"/>
        <v/>
      </c>
      <c r="X96" s="52" t="str">
        <f t="shared" ca="1" si="188"/>
        <v/>
      </c>
      <c r="Y96" s="52" t="str">
        <f t="shared" ca="1" si="188"/>
        <v/>
      </c>
      <c r="Z96" s="52" t="str">
        <f t="shared" ca="1" si="188"/>
        <v/>
      </c>
      <c r="AA96" s="52" t="str">
        <f t="shared" ca="1" si="188"/>
        <v/>
      </c>
      <c r="AB96" s="52" t="str">
        <f t="shared" ca="1" si="188"/>
        <v/>
      </c>
      <c r="AC96" s="52" t="str">
        <f t="shared" ca="1" si="188"/>
        <v/>
      </c>
      <c r="AD96" s="52" t="str">
        <f t="shared" ref="AD96:BP96" ca="1" si="189">IF(AND(AE$3&gt;=$J96, AE$3&lt;$M96), $A96, "")</f>
        <v/>
      </c>
      <c r="AE96" s="52" t="str">
        <f t="shared" ca="1" si="189"/>
        <v/>
      </c>
      <c r="AF96" s="52" t="str">
        <f t="shared" ca="1" si="189"/>
        <v/>
      </c>
      <c r="AG96" s="52" t="str">
        <f t="shared" ca="1" si="189"/>
        <v/>
      </c>
      <c r="AH96" s="52" t="str">
        <f t="shared" ca="1" si="189"/>
        <v/>
      </c>
      <c r="AI96" s="52" t="str">
        <f t="shared" ca="1" si="189"/>
        <v/>
      </c>
      <c r="AJ96" s="52" t="str">
        <f t="shared" ca="1" si="189"/>
        <v/>
      </c>
      <c r="AK96" s="52" t="str">
        <f t="shared" ca="1" si="189"/>
        <v/>
      </c>
      <c r="AL96" s="52" t="str">
        <f t="shared" ca="1" si="189"/>
        <v/>
      </c>
      <c r="AM96" s="52" t="str">
        <f t="shared" ca="1" si="189"/>
        <v/>
      </c>
      <c r="AN96" s="52" t="str">
        <f t="shared" ca="1" si="189"/>
        <v/>
      </c>
      <c r="AO96" s="52" t="str">
        <f t="shared" ca="1" si="189"/>
        <v/>
      </c>
      <c r="AP96" s="52" t="str">
        <f t="shared" ca="1" si="189"/>
        <v/>
      </c>
      <c r="AQ96" s="52" t="str">
        <f t="shared" ca="1" si="189"/>
        <v/>
      </c>
      <c r="AR96" s="52" t="str">
        <f t="shared" ca="1" si="189"/>
        <v/>
      </c>
      <c r="AS96" s="52" t="str">
        <f t="shared" ca="1" si="189"/>
        <v/>
      </c>
      <c r="AT96" s="52" t="str">
        <f t="shared" ca="1" si="189"/>
        <v/>
      </c>
      <c r="AU96" s="52" t="str">
        <f t="shared" ca="1" si="189"/>
        <v/>
      </c>
      <c r="AV96" s="52" t="str">
        <f t="shared" ca="1" si="189"/>
        <v/>
      </c>
      <c r="AW96" s="52" t="str">
        <f t="shared" ca="1" si="189"/>
        <v/>
      </c>
      <c r="AX96" s="52" t="str">
        <f t="shared" ca="1" si="189"/>
        <v/>
      </c>
      <c r="AY96" s="52" t="str">
        <f t="shared" ca="1" si="189"/>
        <v/>
      </c>
      <c r="AZ96" s="52" t="str">
        <f t="shared" ca="1" si="189"/>
        <v/>
      </c>
      <c r="BA96" s="52" t="str">
        <f t="shared" ca="1" si="189"/>
        <v/>
      </c>
      <c r="BB96" s="52" t="str">
        <f t="shared" ca="1" si="189"/>
        <v/>
      </c>
      <c r="BC96" s="52" t="str">
        <f t="shared" ca="1" si="189"/>
        <v/>
      </c>
      <c r="BD96" s="52" t="str">
        <f t="shared" ca="1" si="189"/>
        <v/>
      </c>
      <c r="BE96" s="52" t="str">
        <f t="shared" ca="1" si="189"/>
        <v/>
      </c>
      <c r="BF96" s="52" t="str">
        <f t="shared" ca="1" si="189"/>
        <v/>
      </c>
      <c r="BG96" s="52" t="str">
        <f t="shared" ca="1" si="189"/>
        <v/>
      </c>
      <c r="BH96" s="52" t="str">
        <f t="shared" ca="1" si="189"/>
        <v/>
      </c>
      <c r="BI96" s="52" t="str">
        <f t="shared" ca="1" si="189"/>
        <v/>
      </c>
      <c r="BJ96" s="52" t="str">
        <f t="shared" ca="1" si="189"/>
        <v/>
      </c>
      <c r="BK96" s="52" t="str">
        <f t="shared" ca="1" si="189"/>
        <v/>
      </c>
      <c r="BL96" s="52" t="str">
        <f t="shared" ca="1" si="189"/>
        <v/>
      </c>
      <c r="BM96" s="52" t="str">
        <f t="shared" ca="1" si="189"/>
        <v/>
      </c>
      <c r="BN96" t="str">
        <f t="shared" ca="1" si="189"/>
        <v/>
      </c>
      <c r="BO96" t="str">
        <f t="shared" ca="1" si="189"/>
        <v/>
      </c>
      <c r="BP96" t="str">
        <f t="shared" ca="1" si="189"/>
        <v/>
      </c>
    </row>
    <row r="97" spans="1:68" ht="15" customHeight="1" x14ac:dyDescent="0.3">
      <c r="A97" s="10" t="str">
        <f>IF(Job_Master!A97="","",Job_Master!A97)</f>
        <v/>
      </c>
      <c r="B97" s="10" t="str">
        <f>IF($A97="","",Job_Master!B97)</f>
        <v/>
      </c>
      <c r="C97" s="10" t="str">
        <f>IF($A97="","",Job_Master!C97)</f>
        <v/>
      </c>
      <c r="D97" s="10" t="str">
        <f>IF($A97="","",Job_Master!D97)</f>
        <v/>
      </c>
      <c r="E97" s="48" t="str">
        <f>IF($A97="","",IFERROR(INDEX(Machine_List!$B$82:$B$86,MATCH("*"&amp;$B97&amp;"*",Machine_List!$J$82:$J$86,0)),"NO COMPATIBLE MACHINE"))</f>
        <v/>
      </c>
      <c r="F97" s="10" t="str">
        <f>IF($E97="","",IFERROR(VLOOKUP($E97,Machine_List!$B:$G,6,0),""))</f>
        <v/>
      </c>
      <c r="G97" s="53" t="str">
        <f>IF($E97="","",IFERROR(VLOOKUP($E97,Machine_List!$B:$C,2,0),""))</f>
        <v/>
      </c>
      <c r="H97" s="10" t="str">
        <f>IF($E97="","",IFERROR(VLOOKUP($E97,Machine_List!$B:$D,3,0),""))</f>
        <v/>
      </c>
      <c r="I97" s="54"/>
      <c r="J97" s="55" t="str">
        <f ca="1">IF($A97="","",IF($I97&lt;&gt;"",$I97,MAX(FID_Plan!$M97,IFERROR(LOOKUP(2,1/($E$3:INDIRECT("E"&amp;(ROW()-1))=$E97),$M$3:INDIRECT("M"&amp;(ROW()-1))),FID_Plan!$M97))))</f>
        <v/>
      </c>
      <c r="K97" s="10" t="str">
        <f>IF($A97="","",IFERROR(VLOOKUP(B97,CHOOSE(MATCH(C97,Settings!$L$4:$L$10,0),OPR_2P!$A$4:$I$18,SEG_6P!$A$4:$I$18,SOL_4P!$A$4:$I$18,RW_2P!$A$4:$I$18,RW2_4P!$A$4:$I$18,FLAP_4P!$A$4:$I$18,TUBE_4P!$A$4:$I$18),8,0),0))</f>
        <v/>
      </c>
      <c r="L97" s="10" t="str">
        <f t="shared" si="130"/>
        <v/>
      </c>
      <c r="M97" s="55" t="str">
        <f>IF($A97="","",$J97+($L97/(IF(F97="Contract Workman",Settings!$K$5,Settings!$K$4))))</f>
        <v/>
      </c>
      <c r="N97" s="10" t="str">
        <f t="shared" si="131"/>
        <v/>
      </c>
      <c r="O97" s="51" t="str">
        <f>IF(B97="","", IF(IFERROR(ISNUMBER(SEARCH(B97, VLOOKUP(E97, Machine_List!$B:$J, 9, 0))), FALSE()), "✅ Machine OK", "❌ Sug: " &amp; IFERROR(INDEX(Machine_List!$B$4:$B$50, MATCH("*"&amp;B97&amp;"*", Machine_List!$J$4:$J$50, 0)), "Check Limits")))</f>
        <v/>
      </c>
      <c r="P97" s="52" t="str">
        <f t="shared" ref="P97:AC97" ca="1" si="190">IF(AND(Q$3&gt;=$J97, Q$3&lt;$M97), $A97, "")</f>
        <v/>
      </c>
      <c r="Q97" s="52" t="str">
        <f t="shared" ca="1" si="190"/>
        <v/>
      </c>
      <c r="R97" s="52" t="str">
        <f t="shared" ca="1" si="190"/>
        <v/>
      </c>
      <c r="S97" s="52" t="str">
        <f t="shared" ca="1" si="190"/>
        <v/>
      </c>
      <c r="T97" s="52" t="str">
        <f t="shared" ca="1" si="190"/>
        <v/>
      </c>
      <c r="U97" s="52" t="str">
        <f t="shared" ca="1" si="190"/>
        <v/>
      </c>
      <c r="V97" s="52" t="str">
        <f t="shared" ca="1" si="190"/>
        <v/>
      </c>
      <c r="W97" s="52" t="str">
        <f t="shared" ca="1" si="190"/>
        <v/>
      </c>
      <c r="X97" s="52" t="str">
        <f t="shared" ca="1" si="190"/>
        <v/>
      </c>
      <c r="Y97" s="52" t="str">
        <f t="shared" ca="1" si="190"/>
        <v/>
      </c>
      <c r="Z97" s="52" t="str">
        <f t="shared" ca="1" si="190"/>
        <v/>
      </c>
      <c r="AA97" s="52" t="str">
        <f t="shared" ca="1" si="190"/>
        <v/>
      </c>
      <c r="AB97" s="52" t="str">
        <f t="shared" ca="1" si="190"/>
        <v/>
      </c>
      <c r="AC97" s="52" t="str">
        <f t="shared" ca="1" si="190"/>
        <v/>
      </c>
      <c r="AD97" s="52" t="str">
        <f t="shared" ref="AD97:BP97" ca="1" si="191">IF(AND(AE$3&gt;=$J97, AE$3&lt;$M97), $A97, "")</f>
        <v/>
      </c>
      <c r="AE97" s="52" t="str">
        <f t="shared" ca="1" si="191"/>
        <v/>
      </c>
      <c r="AF97" s="52" t="str">
        <f t="shared" ca="1" si="191"/>
        <v/>
      </c>
      <c r="AG97" s="52" t="str">
        <f t="shared" ca="1" si="191"/>
        <v/>
      </c>
      <c r="AH97" s="52" t="str">
        <f t="shared" ca="1" si="191"/>
        <v/>
      </c>
      <c r="AI97" s="52" t="str">
        <f t="shared" ca="1" si="191"/>
        <v/>
      </c>
      <c r="AJ97" s="52" t="str">
        <f t="shared" ca="1" si="191"/>
        <v/>
      </c>
      <c r="AK97" s="52" t="str">
        <f t="shared" ca="1" si="191"/>
        <v/>
      </c>
      <c r="AL97" s="52" t="str">
        <f t="shared" ca="1" si="191"/>
        <v/>
      </c>
      <c r="AM97" s="52" t="str">
        <f t="shared" ca="1" si="191"/>
        <v/>
      </c>
      <c r="AN97" s="52" t="str">
        <f t="shared" ca="1" si="191"/>
        <v/>
      </c>
      <c r="AO97" s="52" t="str">
        <f t="shared" ca="1" si="191"/>
        <v/>
      </c>
      <c r="AP97" s="52" t="str">
        <f t="shared" ca="1" si="191"/>
        <v/>
      </c>
      <c r="AQ97" s="52" t="str">
        <f t="shared" ca="1" si="191"/>
        <v/>
      </c>
      <c r="AR97" s="52" t="str">
        <f t="shared" ca="1" si="191"/>
        <v/>
      </c>
      <c r="AS97" s="52" t="str">
        <f t="shared" ca="1" si="191"/>
        <v/>
      </c>
      <c r="AT97" s="52" t="str">
        <f t="shared" ca="1" si="191"/>
        <v/>
      </c>
      <c r="AU97" s="52" t="str">
        <f t="shared" ca="1" si="191"/>
        <v/>
      </c>
      <c r="AV97" s="52" t="str">
        <f t="shared" ca="1" si="191"/>
        <v/>
      </c>
      <c r="AW97" s="52" t="str">
        <f t="shared" ca="1" si="191"/>
        <v/>
      </c>
      <c r="AX97" s="52" t="str">
        <f t="shared" ca="1" si="191"/>
        <v/>
      </c>
      <c r="AY97" s="52" t="str">
        <f t="shared" ca="1" si="191"/>
        <v/>
      </c>
      <c r="AZ97" s="52" t="str">
        <f t="shared" ca="1" si="191"/>
        <v/>
      </c>
      <c r="BA97" s="52" t="str">
        <f t="shared" ca="1" si="191"/>
        <v/>
      </c>
      <c r="BB97" s="52" t="str">
        <f t="shared" ca="1" si="191"/>
        <v/>
      </c>
      <c r="BC97" s="52" t="str">
        <f t="shared" ca="1" si="191"/>
        <v/>
      </c>
      <c r="BD97" s="52" t="str">
        <f t="shared" ca="1" si="191"/>
        <v/>
      </c>
      <c r="BE97" s="52" t="str">
        <f t="shared" ca="1" si="191"/>
        <v/>
      </c>
      <c r="BF97" s="52" t="str">
        <f t="shared" ca="1" si="191"/>
        <v/>
      </c>
      <c r="BG97" s="52" t="str">
        <f t="shared" ca="1" si="191"/>
        <v/>
      </c>
      <c r="BH97" s="52" t="str">
        <f t="shared" ca="1" si="191"/>
        <v/>
      </c>
      <c r="BI97" s="52" t="str">
        <f t="shared" ca="1" si="191"/>
        <v/>
      </c>
      <c r="BJ97" s="52" t="str">
        <f t="shared" ca="1" si="191"/>
        <v/>
      </c>
      <c r="BK97" s="52" t="str">
        <f t="shared" ca="1" si="191"/>
        <v/>
      </c>
      <c r="BL97" s="52" t="str">
        <f t="shared" ca="1" si="191"/>
        <v/>
      </c>
      <c r="BM97" s="52" t="str">
        <f t="shared" ca="1" si="191"/>
        <v/>
      </c>
      <c r="BN97" t="str">
        <f t="shared" ca="1" si="191"/>
        <v/>
      </c>
      <c r="BO97" t="str">
        <f t="shared" ca="1" si="191"/>
        <v/>
      </c>
      <c r="BP97" t="str">
        <f t="shared" ca="1" si="191"/>
        <v/>
      </c>
    </row>
    <row r="98" spans="1:68" ht="15" customHeight="1" x14ac:dyDescent="0.3">
      <c r="A98" s="10" t="str">
        <f>IF(Job_Master!A98="","",Job_Master!A98)</f>
        <v/>
      </c>
      <c r="B98" s="10" t="str">
        <f>IF($A98="","",Job_Master!B98)</f>
        <v/>
      </c>
      <c r="C98" s="10" t="str">
        <f>IF($A98="","",Job_Master!C98)</f>
        <v/>
      </c>
      <c r="D98" s="10" t="str">
        <f>IF($A98="","",Job_Master!D98)</f>
        <v/>
      </c>
      <c r="E98" s="48" t="str">
        <f>IF($A98="","",IFERROR(INDEX(Machine_List!$B$82:$B$86,MATCH("*"&amp;$B98&amp;"*",Machine_List!$J$82:$J$86,0)),"NO COMPATIBLE MACHINE"))</f>
        <v/>
      </c>
      <c r="F98" s="10" t="str">
        <f>IF($E98="","",IFERROR(VLOOKUP($E98,Machine_List!$B:$G,6,0),""))</f>
        <v/>
      </c>
      <c r="G98" s="53" t="str">
        <f>IF($E98="","",IFERROR(VLOOKUP($E98,Machine_List!$B:$C,2,0),""))</f>
        <v/>
      </c>
      <c r="H98" s="10" t="str">
        <f>IF($E98="","",IFERROR(VLOOKUP($E98,Machine_List!$B:$D,3,0),""))</f>
        <v/>
      </c>
      <c r="I98" s="54"/>
      <c r="J98" s="55" t="str">
        <f ca="1">IF($A98="","",IF($I98&lt;&gt;"",$I98,MAX(FID_Plan!$M98,IFERROR(LOOKUP(2,1/($E$3:INDIRECT("E"&amp;(ROW()-1))=$E98),$M$3:INDIRECT("M"&amp;(ROW()-1))),FID_Plan!$M98))))</f>
        <v/>
      </c>
      <c r="K98" s="10" t="str">
        <f>IF($A98="","",IFERROR(VLOOKUP(B98,CHOOSE(MATCH(C98,Settings!$L$4:$L$10,0),OPR_2P!$A$4:$I$18,SEG_6P!$A$4:$I$18,SOL_4P!$A$4:$I$18,RW_2P!$A$4:$I$18,RW2_4P!$A$4:$I$18,FLAP_4P!$A$4:$I$18,TUBE_4P!$A$4:$I$18),8,0),0))</f>
        <v/>
      </c>
      <c r="L98" s="10" t="str">
        <f t="shared" si="130"/>
        <v/>
      </c>
      <c r="M98" s="55" t="str">
        <f>IF($A98="","",$J98+($L98/(IF(F98="Contract Workman",Settings!$K$5,Settings!$K$4))))</f>
        <v/>
      </c>
      <c r="N98" s="10" t="str">
        <f t="shared" si="131"/>
        <v/>
      </c>
      <c r="O98" s="51" t="str">
        <f>IF(B98="","", IF(IFERROR(ISNUMBER(SEARCH(B98, VLOOKUP(E98, Machine_List!$B:$J, 9, 0))), FALSE()), "✅ Machine OK", "❌ Sug: " &amp; IFERROR(INDEX(Machine_List!$B$4:$B$50, MATCH("*"&amp;B98&amp;"*", Machine_List!$J$4:$J$50, 0)), "Check Limits")))</f>
        <v/>
      </c>
      <c r="P98" s="52" t="str">
        <f t="shared" ref="P98:AC98" ca="1" si="192">IF(AND(Q$3&gt;=$J98, Q$3&lt;$M98), $A98, "")</f>
        <v/>
      </c>
      <c r="Q98" s="52" t="str">
        <f t="shared" ca="1" si="192"/>
        <v/>
      </c>
      <c r="R98" s="52" t="str">
        <f t="shared" ca="1" si="192"/>
        <v/>
      </c>
      <c r="S98" s="52" t="str">
        <f t="shared" ca="1" si="192"/>
        <v/>
      </c>
      <c r="T98" s="52" t="str">
        <f t="shared" ca="1" si="192"/>
        <v/>
      </c>
      <c r="U98" s="52" t="str">
        <f t="shared" ca="1" si="192"/>
        <v/>
      </c>
      <c r="V98" s="52" t="str">
        <f t="shared" ca="1" si="192"/>
        <v/>
      </c>
      <c r="W98" s="52" t="str">
        <f t="shared" ca="1" si="192"/>
        <v/>
      </c>
      <c r="X98" s="52" t="str">
        <f t="shared" ca="1" si="192"/>
        <v/>
      </c>
      <c r="Y98" s="52" t="str">
        <f t="shared" ca="1" si="192"/>
        <v/>
      </c>
      <c r="Z98" s="52" t="str">
        <f t="shared" ca="1" si="192"/>
        <v/>
      </c>
      <c r="AA98" s="52" t="str">
        <f t="shared" ca="1" si="192"/>
        <v/>
      </c>
      <c r="AB98" s="52" t="str">
        <f t="shared" ca="1" si="192"/>
        <v/>
      </c>
      <c r="AC98" s="52" t="str">
        <f t="shared" ca="1" si="192"/>
        <v/>
      </c>
      <c r="AD98" s="52" t="str">
        <f t="shared" ref="AD98:BP98" ca="1" si="193">IF(AND(AE$3&gt;=$J98, AE$3&lt;$M98), $A98, "")</f>
        <v/>
      </c>
      <c r="AE98" s="52" t="str">
        <f t="shared" ca="1" si="193"/>
        <v/>
      </c>
      <c r="AF98" s="52" t="str">
        <f t="shared" ca="1" si="193"/>
        <v/>
      </c>
      <c r="AG98" s="52" t="str">
        <f t="shared" ca="1" si="193"/>
        <v/>
      </c>
      <c r="AH98" s="52" t="str">
        <f t="shared" ca="1" si="193"/>
        <v/>
      </c>
      <c r="AI98" s="52" t="str">
        <f t="shared" ca="1" si="193"/>
        <v/>
      </c>
      <c r="AJ98" s="52" t="str">
        <f t="shared" ca="1" si="193"/>
        <v/>
      </c>
      <c r="AK98" s="52" t="str">
        <f t="shared" ca="1" si="193"/>
        <v/>
      </c>
      <c r="AL98" s="52" t="str">
        <f t="shared" ca="1" si="193"/>
        <v/>
      </c>
      <c r="AM98" s="52" t="str">
        <f t="shared" ca="1" si="193"/>
        <v/>
      </c>
      <c r="AN98" s="52" t="str">
        <f t="shared" ca="1" si="193"/>
        <v/>
      </c>
      <c r="AO98" s="52" t="str">
        <f t="shared" ca="1" si="193"/>
        <v/>
      </c>
      <c r="AP98" s="52" t="str">
        <f t="shared" ca="1" si="193"/>
        <v/>
      </c>
      <c r="AQ98" s="52" t="str">
        <f t="shared" ca="1" si="193"/>
        <v/>
      </c>
      <c r="AR98" s="52" t="str">
        <f t="shared" ca="1" si="193"/>
        <v/>
      </c>
      <c r="AS98" s="52" t="str">
        <f t="shared" ca="1" si="193"/>
        <v/>
      </c>
      <c r="AT98" s="52" t="str">
        <f t="shared" ca="1" si="193"/>
        <v/>
      </c>
      <c r="AU98" s="52" t="str">
        <f t="shared" ca="1" si="193"/>
        <v/>
      </c>
      <c r="AV98" s="52" t="str">
        <f t="shared" ca="1" si="193"/>
        <v/>
      </c>
      <c r="AW98" s="52" t="str">
        <f t="shared" ca="1" si="193"/>
        <v/>
      </c>
      <c r="AX98" s="52" t="str">
        <f t="shared" ca="1" si="193"/>
        <v/>
      </c>
      <c r="AY98" s="52" t="str">
        <f t="shared" ca="1" si="193"/>
        <v/>
      </c>
      <c r="AZ98" s="52" t="str">
        <f t="shared" ca="1" si="193"/>
        <v/>
      </c>
      <c r="BA98" s="52" t="str">
        <f t="shared" ca="1" si="193"/>
        <v/>
      </c>
      <c r="BB98" s="52" t="str">
        <f t="shared" ca="1" si="193"/>
        <v/>
      </c>
      <c r="BC98" s="52" t="str">
        <f t="shared" ca="1" si="193"/>
        <v/>
      </c>
      <c r="BD98" s="52" t="str">
        <f t="shared" ca="1" si="193"/>
        <v/>
      </c>
      <c r="BE98" s="52" t="str">
        <f t="shared" ca="1" si="193"/>
        <v/>
      </c>
      <c r="BF98" s="52" t="str">
        <f t="shared" ca="1" si="193"/>
        <v/>
      </c>
      <c r="BG98" s="52" t="str">
        <f t="shared" ca="1" si="193"/>
        <v/>
      </c>
      <c r="BH98" s="52" t="str">
        <f t="shared" ca="1" si="193"/>
        <v/>
      </c>
      <c r="BI98" s="52" t="str">
        <f t="shared" ca="1" si="193"/>
        <v/>
      </c>
      <c r="BJ98" s="52" t="str">
        <f t="shared" ca="1" si="193"/>
        <v/>
      </c>
      <c r="BK98" s="52" t="str">
        <f t="shared" ca="1" si="193"/>
        <v/>
      </c>
      <c r="BL98" s="52" t="str">
        <f t="shared" ca="1" si="193"/>
        <v/>
      </c>
      <c r="BM98" s="52" t="str">
        <f t="shared" ca="1" si="193"/>
        <v/>
      </c>
      <c r="BN98" t="str">
        <f t="shared" ca="1" si="193"/>
        <v/>
      </c>
      <c r="BO98" t="str">
        <f t="shared" ca="1" si="193"/>
        <v/>
      </c>
      <c r="BP98" t="str">
        <f t="shared" ca="1" si="193"/>
        <v/>
      </c>
    </row>
    <row r="99" spans="1:68" ht="15" customHeight="1" x14ac:dyDescent="0.3">
      <c r="A99" s="10" t="str">
        <f>IF(Job_Master!A99="","",Job_Master!A99)</f>
        <v/>
      </c>
      <c r="B99" s="10" t="str">
        <f>IF($A99="","",Job_Master!B99)</f>
        <v/>
      </c>
      <c r="C99" s="10" t="str">
        <f>IF($A99="","",Job_Master!C99)</f>
        <v/>
      </c>
      <c r="D99" s="10" t="str">
        <f>IF($A99="","",Job_Master!D99)</f>
        <v/>
      </c>
      <c r="E99" s="48" t="str">
        <f>IF($A99="","",IFERROR(INDEX(Machine_List!$B$82:$B$86,MATCH("*"&amp;$B99&amp;"*",Machine_List!$J$82:$J$86,0)),"NO COMPATIBLE MACHINE"))</f>
        <v/>
      </c>
      <c r="F99" s="10" t="str">
        <f>IF($E99="","",IFERROR(VLOOKUP($E99,Machine_List!$B:$G,6,0),""))</f>
        <v/>
      </c>
      <c r="G99" s="53" t="str">
        <f>IF($E99="","",IFERROR(VLOOKUP($E99,Machine_List!$B:$C,2,0),""))</f>
        <v/>
      </c>
      <c r="H99" s="10" t="str">
        <f>IF($E99="","",IFERROR(VLOOKUP($E99,Machine_List!$B:$D,3,0),""))</f>
        <v/>
      </c>
      <c r="I99" s="54"/>
      <c r="J99" s="55" t="str">
        <f ca="1">IF($A99="","",IF($I99&lt;&gt;"",$I99,MAX(FID_Plan!$M99,IFERROR(LOOKUP(2,1/($E$3:INDIRECT("E"&amp;(ROW()-1))=$E99),$M$3:INDIRECT("M"&amp;(ROW()-1))),FID_Plan!$M99))))</f>
        <v/>
      </c>
      <c r="K99" s="10" t="str">
        <f>IF($A99="","",IFERROR(VLOOKUP(B99,CHOOSE(MATCH(C99,Settings!$L$4:$L$10,0),OPR_2P!$A$4:$I$18,SEG_6P!$A$4:$I$18,SOL_4P!$A$4:$I$18,RW_2P!$A$4:$I$18,RW2_4P!$A$4:$I$18,FLAP_4P!$A$4:$I$18,TUBE_4P!$A$4:$I$18),8,0),0))</f>
        <v/>
      </c>
      <c r="L99" s="10" t="str">
        <f t="shared" si="130"/>
        <v/>
      </c>
      <c r="M99" s="55" t="str">
        <f>IF($A99="","",$J99+($L99/(IF(F99="Contract Workman",Settings!$K$5,Settings!$K$4))))</f>
        <v/>
      </c>
      <c r="N99" s="10" t="str">
        <f t="shared" si="131"/>
        <v/>
      </c>
      <c r="O99" s="51" t="str">
        <f>IF(B99="","", IF(IFERROR(ISNUMBER(SEARCH(B99, VLOOKUP(E99, Machine_List!$B:$J, 9, 0))), FALSE()), "✅ Machine OK", "❌ Sug: " &amp; IFERROR(INDEX(Machine_List!$B$4:$B$50, MATCH("*"&amp;B99&amp;"*", Machine_List!$J$4:$J$50, 0)), "Check Limits")))</f>
        <v/>
      </c>
      <c r="P99" s="52" t="str">
        <f t="shared" ref="P99:AC99" ca="1" si="194">IF(AND(Q$3&gt;=$J99, Q$3&lt;$M99), $A99, "")</f>
        <v/>
      </c>
      <c r="Q99" s="52" t="str">
        <f t="shared" ca="1" si="194"/>
        <v/>
      </c>
      <c r="R99" s="52" t="str">
        <f t="shared" ca="1" si="194"/>
        <v/>
      </c>
      <c r="S99" s="52" t="str">
        <f t="shared" ca="1" si="194"/>
        <v/>
      </c>
      <c r="T99" s="52" t="str">
        <f t="shared" ca="1" si="194"/>
        <v/>
      </c>
      <c r="U99" s="52" t="str">
        <f t="shared" ca="1" si="194"/>
        <v/>
      </c>
      <c r="V99" s="52" t="str">
        <f t="shared" ca="1" si="194"/>
        <v/>
      </c>
      <c r="W99" s="52" t="str">
        <f t="shared" ca="1" si="194"/>
        <v/>
      </c>
      <c r="X99" s="52" t="str">
        <f t="shared" ca="1" si="194"/>
        <v/>
      </c>
      <c r="Y99" s="52" t="str">
        <f t="shared" ca="1" si="194"/>
        <v/>
      </c>
      <c r="Z99" s="52" t="str">
        <f t="shared" ca="1" si="194"/>
        <v/>
      </c>
      <c r="AA99" s="52" t="str">
        <f t="shared" ca="1" si="194"/>
        <v/>
      </c>
      <c r="AB99" s="52" t="str">
        <f t="shared" ca="1" si="194"/>
        <v/>
      </c>
      <c r="AC99" s="52" t="str">
        <f t="shared" ca="1" si="194"/>
        <v/>
      </c>
      <c r="AD99" s="52" t="str">
        <f t="shared" ref="AD99:BP99" ca="1" si="195">IF(AND(AE$3&gt;=$J99, AE$3&lt;$M99), $A99, "")</f>
        <v/>
      </c>
      <c r="AE99" s="52" t="str">
        <f t="shared" ca="1" si="195"/>
        <v/>
      </c>
      <c r="AF99" s="52" t="str">
        <f t="shared" ca="1" si="195"/>
        <v/>
      </c>
      <c r="AG99" s="52" t="str">
        <f t="shared" ca="1" si="195"/>
        <v/>
      </c>
      <c r="AH99" s="52" t="str">
        <f t="shared" ca="1" si="195"/>
        <v/>
      </c>
      <c r="AI99" s="52" t="str">
        <f t="shared" ca="1" si="195"/>
        <v/>
      </c>
      <c r="AJ99" s="52" t="str">
        <f t="shared" ca="1" si="195"/>
        <v/>
      </c>
      <c r="AK99" s="52" t="str">
        <f t="shared" ca="1" si="195"/>
        <v/>
      </c>
      <c r="AL99" s="52" t="str">
        <f t="shared" ca="1" si="195"/>
        <v/>
      </c>
      <c r="AM99" s="52" t="str">
        <f t="shared" ca="1" si="195"/>
        <v/>
      </c>
      <c r="AN99" s="52" t="str">
        <f t="shared" ca="1" si="195"/>
        <v/>
      </c>
      <c r="AO99" s="52" t="str">
        <f t="shared" ca="1" si="195"/>
        <v/>
      </c>
      <c r="AP99" s="52" t="str">
        <f t="shared" ca="1" si="195"/>
        <v/>
      </c>
      <c r="AQ99" s="52" t="str">
        <f t="shared" ca="1" si="195"/>
        <v/>
      </c>
      <c r="AR99" s="52" t="str">
        <f t="shared" ca="1" si="195"/>
        <v/>
      </c>
      <c r="AS99" s="52" t="str">
        <f t="shared" ca="1" si="195"/>
        <v/>
      </c>
      <c r="AT99" s="52" t="str">
        <f t="shared" ca="1" si="195"/>
        <v/>
      </c>
      <c r="AU99" s="52" t="str">
        <f t="shared" ca="1" si="195"/>
        <v/>
      </c>
      <c r="AV99" s="52" t="str">
        <f t="shared" ca="1" si="195"/>
        <v/>
      </c>
      <c r="AW99" s="52" t="str">
        <f t="shared" ca="1" si="195"/>
        <v/>
      </c>
      <c r="AX99" s="52" t="str">
        <f t="shared" ca="1" si="195"/>
        <v/>
      </c>
      <c r="AY99" s="52" t="str">
        <f t="shared" ca="1" si="195"/>
        <v/>
      </c>
      <c r="AZ99" s="52" t="str">
        <f t="shared" ca="1" si="195"/>
        <v/>
      </c>
      <c r="BA99" s="52" t="str">
        <f t="shared" ca="1" si="195"/>
        <v/>
      </c>
      <c r="BB99" s="52" t="str">
        <f t="shared" ca="1" si="195"/>
        <v/>
      </c>
      <c r="BC99" s="52" t="str">
        <f t="shared" ca="1" si="195"/>
        <v/>
      </c>
      <c r="BD99" s="52" t="str">
        <f t="shared" ca="1" si="195"/>
        <v/>
      </c>
      <c r="BE99" s="52" t="str">
        <f t="shared" ca="1" si="195"/>
        <v/>
      </c>
      <c r="BF99" s="52" t="str">
        <f t="shared" ca="1" si="195"/>
        <v/>
      </c>
      <c r="BG99" s="52" t="str">
        <f t="shared" ca="1" si="195"/>
        <v/>
      </c>
      <c r="BH99" s="52" t="str">
        <f t="shared" ca="1" si="195"/>
        <v/>
      </c>
      <c r="BI99" s="52" t="str">
        <f t="shared" ca="1" si="195"/>
        <v/>
      </c>
      <c r="BJ99" s="52" t="str">
        <f t="shared" ca="1" si="195"/>
        <v/>
      </c>
      <c r="BK99" s="52" t="str">
        <f t="shared" ca="1" si="195"/>
        <v/>
      </c>
      <c r="BL99" s="52" t="str">
        <f t="shared" ca="1" si="195"/>
        <v/>
      </c>
      <c r="BM99" s="52" t="str">
        <f t="shared" ca="1" si="195"/>
        <v/>
      </c>
      <c r="BN99" t="str">
        <f t="shared" ca="1" si="195"/>
        <v/>
      </c>
      <c r="BO99" t="str">
        <f t="shared" ca="1" si="195"/>
        <v/>
      </c>
      <c r="BP99" t="str">
        <f t="shared" ca="1" si="195"/>
        <v/>
      </c>
    </row>
    <row r="100" spans="1:68" ht="15" customHeight="1" x14ac:dyDescent="0.3">
      <c r="A100" s="10" t="str">
        <f>IF(Job_Master!A100="","",Job_Master!A100)</f>
        <v/>
      </c>
      <c r="B100" s="10" t="str">
        <f>IF($A100="","",Job_Master!B100)</f>
        <v/>
      </c>
      <c r="C100" s="10" t="str">
        <f>IF($A100="","",Job_Master!C100)</f>
        <v/>
      </c>
      <c r="D100" s="10" t="str">
        <f>IF($A100="","",Job_Master!D100)</f>
        <v/>
      </c>
      <c r="E100" s="48" t="str">
        <f>IF($A100="","",IFERROR(INDEX(Machine_List!$B$82:$B$86,MATCH("*"&amp;$B100&amp;"*",Machine_List!$J$82:$J$86,0)),"NO COMPATIBLE MACHINE"))</f>
        <v/>
      </c>
      <c r="F100" s="10" t="str">
        <f>IF($E100="","",IFERROR(VLOOKUP($E100,Machine_List!$B:$G,6,0),""))</f>
        <v/>
      </c>
      <c r="G100" s="53" t="str">
        <f>IF($E100="","",IFERROR(VLOOKUP($E100,Machine_List!$B:$C,2,0),""))</f>
        <v/>
      </c>
      <c r="H100" s="10" t="str">
        <f>IF($E100="","",IFERROR(VLOOKUP($E100,Machine_List!$B:$D,3,0),""))</f>
        <v/>
      </c>
      <c r="I100" s="58"/>
      <c r="J100" s="55" t="str">
        <f ca="1">IF($A100="","",IF($I100&lt;&gt;"",$I100,MAX(FID_Plan!$M100,IFERROR(LOOKUP(2,1/($E$3:INDIRECT("E"&amp;(ROW()-1))=$E100),$M$3:INDIRECT("M"&amp;(ROW()-1))),FID_Plan!$M100))))</f>
        <v/>
      </c>
      <c r="K100" s="10" t="str">
        <f>IF($A100="","",IFERROR(VLOOKUP(B100,CHOOSE(MATCH(C100,Settings!$L$4:$L$10,0),OPR_2P!$A$4:$I$18,SEG_6P!$A$4:$I$18,SOL_4P!$A$4:$I$18,RW_2P!$A$4:$I$18,RW2_4P!$A$4:$I$18,FLAP_4P!$A$4:$I$18,TUBE_4P!$A$4:$I$18),8,0),0))</f>
        <v/>
      </c>
      <c r="L100" s="10" t="str">
        <f t="shared" si="130"/>
        <v/>
      </c>
      <c r="M100" s="55" t="str">
        <f>IF($A100="","",$J100+($L100/(IF(F100="Contract Workman",Settings!$K$5,Settings!$K$4))))</f>
        <v/>
      </c>
      <c r="N100" s="10" t="str">
        <f t="shared" ref="N100:N131" si="196">IF($A100="","",IF(F100="Contract Workman",IF(AND(MOD(M100,1)&gt;=8/24,MOD(M100,1)&lt;20/24),"Shift S1","Shift S2"),IF(AND(MOD(M100,1)&gt;=7/24,MOD(M100,1)&lt;15/24),"Shift A",IF(AND(MOD(M100,1)&gt;=15/24,MOD(M100,1)&lt;23/24),"Shift B","Shift C"))))</f>
        <v/>
      </c>
      <c r="O100" s="51" t="str">
        <f>IF(B100="","", IF(IFERROR(ISNUMBER(SEARCH(B100, VLOOKUP(E100, Machine_List!$B:$J, 9, 0))), FALSE()), "✅ Machine OK", "❌ Sug: " &amp; IFERROR(INDEX(Machine_List!$B$4:$B$50, MATCH("*"&amp;B100&amp;"*", Machine_List!$J$4:$J$50, 0)), "Check Limits")))</f>
        <v/>
      </c>
      <c r="P100" t="str">
        <f t="shared" ref="P100:AC100" ca="1" si="197">IF(AND(Q$3&gt;=$J100, Q$3&lt;$M100), $A100, "")</f>
        <v/>
      </c>
      <c r="Q100" t="str">
        <f t="shared" ca="1" si="197"/>
        <v/>
      </c>
      <c r="R100" t="str">
        <f t="shared" ca="1" si="197"/>
        <v/>
      </c>
      <c r="S100" t="str">
        <f t="shared" ca="1" si="197"/>
        <v/>
      </c>
      <c r="T100" t="str">
        <f t="shared" ca="1" si="197"/>
        <v/>
      </c>
      <c r="U100" t="str">
        <f t="shared" ca="1" si="197"/>
        <v/>
      </c>
      <c r="V100" t="str">
        <f t="shared" ca="1" si="197"/>
        <v/>
      </c>
      <c r="W100" t="str">
        <f t="shared" ca="1" si="197"/>
        <v/>
      </c>
      <c r="X100" t="str">
        <f t="shared" ca="1" si="197"/>
        <v/>
      </c>
      <c r="Y100" t="str">
        <f t="shared" ca="1" si="197"/>
        <v/>
      </c>
      <c r="Z100" t="str">
        <f t="shared" ca="1" si="197"/>
        <v/>
      </c>
      <c r="AA100" t="str">
        <f t="shared" ca="1" si="197"/>
        <v/>
      </c>
      <c r="AB100" t="str">
        <f t="shared" ca="1" si="197"/>
        <v/>
      </c>
      <c r="AC100" t="str">
        <f t="shared" ca="1" si="197"/>
        <v/>
      </c>
      <c r="AD100" t="str">
        <f t="shared" ref="AD100:BP100" ca="1" si="198">IF(AND(AE$3&gt;=$J100, AE$3&lt;$M100), $A100, "")</f>
        <v/>
      </c>
      <c r="AE100" t="str">
        <f t="shared" ca="1" si="198"/>
        <v/>
      </c>
      <c r="AF100" t="str">
        <f t="shared" ca="1" si="198"/>
        <v/>
      </c>
      <c r="AG100" t="str">
        <f t="shared" ca="1" si="198"/>
        <v/>
      </c>
      <c r="AH100" t="str">
        <f t="shared" ca="1" si="198"/>
        <v/>
      </c>
      <c r="AI100" t="str">
        <f t="shared" ca="1" si="198"/>
        <v/>
      </c>
      <c r="AJ100" t="str">
        <f t="shared" ca="1" si="198"/>
        <v/>
      </c>
      <c r="AK100" t="str">
        <f t="shared" ca="1" si="198"/>
        <v/>
      </c>
      <c r="AL100" t="str">
        <f t="shared" ca="1" si="198"/>
        <v/>
      </c>
      <c r="AM100" t="str">
        <f t="shared" ca="1" si="198"/>
        <v/>
      </c>
      <c r="AN100" t="str">
        <f t="shared" ca="1" si="198"/>
        <v/>
      </c>
      <c r="AO100" t="str">
        <f t="shared" ca="1" si="198"/>
        <v/>
      </c>
      <c r="AP100" t="str">
        <f t="shared" ca="1" si="198"/>
        <v/>
      </c>
      <c r="AQ100" t="str">
        <f t="shared" ca="1" si="198"/>
        <v/>
      </c>
      <c r="AR100" t="str">
        <f t="shared" ca="1" si="198"/>
        <v/>
      </c>
      <c r="AS100" t="str">
        <f t="shared" ca="1" si="198"/>
        <v/>
      </c>
      <c r="AT100" t="str">
        <f t="shared" ca="1" si="198"/>
        <v/>
      </c>
      <c r="AU100" t="str">
        <f t="shared" ca="1" si="198"/>
        <v/>
      </c>
      <c r="AV100" t="str">
        <f t="shared" ca="1" si="198"/>
        <v/>
      </c>
      <c r="AW100" t="str">
        <f t="shared" ca="1" si="198"/>
        <v/>
      </c>
      <c r="AX100" t="str">
        <f t="shared" ca="1" si="198"/>
        <v/>
      </c>
      <c r="AY100" t="str">
        <f t="shared" ca="1" si="198"/>
        <v/>
      </c>
      <c r="AZ100" t="str">
        <f t="shared" ca="1" si="198"/>
        <v/>
      </c>
      <c r="BA100" t="str">
        <f t="shared" ca="1" si="198"/>
        <v/>
      </c>
      <c r="BB100" t="str">
        <f t="shared" ca="1" si="198"/>
        <v/>
      </c>
      <c r="BC100" t="str">
        <f t="shared" ca="1" si="198"/>
        <v/>
      </c>
      <c r="BD100" t="str">
        <f t="shared" ca="1" si="198"/>
        <v/>
      </c>
      <c r="BE100" t="str">
        <f t="shared" ca="1" si="198"/>
        <v/>
      </c>
      <c r="BF100" t="str">
        <f t="shared" ca="1" si="198"/>
        <v/>
      </c>
      <c r="BG100" t="str">
        <f t="shared" ca="1" si="198"/>
        <v/>
      </c>
      <c r="BH100" t="str">
        <f t="shared" ca="1" si="198"/>
        <v/>
      </c>
      <c r="BI100" t="str">
        <f t="shared" ca="1" si="198"/>
        <v/>
      </c>
      <c r="BJ100" t="str">
        <f t="shared" ca="1" si="198"/>
        <v/>
      </c>
      <c r="BK100" t="str">
        <f t="shared" ca="1" si="198"/>
        <v/>
      </c>
      <c r="BL100" t="str">
        <f t="shared" ca="1" si="198"/>
        <v/>
      </c>
      <c r="BM100" t="str">
        <f t="shared" ca="1" si="198"/>
        <v/>
      </c>
      <c r="BN100" t="str">
        <f t="shared" ca="1" si="198"/>
        <v/>
      </c>
      <c r="BO100" t="str">
        <f t="shared" ca="1" si="198"/>
        <v/>
      </c>
      <c r="BP100" t="str">
        <f t="shared" ca="1" si="198"/>
        <v/>
      </c>
    </row>
    <row r="101" spans="1:68" ht="15" customHeight="1" x14ac:dyDescent="0.3">
      <c r="A101" s="10" t="str">
        <f>IF(Job_Master!A101="","",Job_Master!A101)</f>
        <v/>
      </c>
      <c r="B101" s="10" t="str">
        <f>IF($A101="","",Job_Master!B101)</f>
        <v/>
      </c>
      <c r="C101" s="10" t="str">
        <f>IF($A101="","",Job_Master!C101)</f>
        <v/>
      </c>
      <c r="D101" s="10" t="str">
        <f>IF($A101="","",Job_Master!D101)</f>
        <v/>
      </c>
      <c r="E101" s="48" t="str">
        <f>IF($A101="","",IFERROR(INDEX(Machine_List!$B$82:$B$86,MATCH("*"&amp;$B101&amp;"*",Machine_List!$J$82:$J$86,0)),"NO COMPATIBLE MACHINE"))</f>
        <v/>
      </c>
      <c r="F101" s="10" t="str">
        <f>IF($E101="","",IFERROR(VLOOKUP($E101,Machine_List!$B:$G,6,0),""))</f>
        <v/>
      </c>
      <c r="G101" s="53" t="str">
        <f>IF($E101="","",IFERROR(VLOOKUP($E101,Machine_List!$B:$C,2,0),""))</f>
        <v/>
      </c>
      <c r="H101" s="10" t="str">
        <f>IF($E101="","",IFERROR(VLOOKUP($E101,Machine_List!$B:$D,3,0),""))</f>
        <v/>
      </c>
      <c r="J101" s="55" t="str">
        <f ca="1">IF($A101="","",IF($I101&lt;&gt;"",$I101,MAX(FID_Plan!$M101,IFERROR(LOOKUP(2,1/($E$3:INDIRECT("E"&amp;(ROW()-1))=$E101),$M$3:INDIRECT("M"&amp;(ROW()-1))),FID_Plan!$M101))))</f>
        <v/>
      </c>
      <c r="K101" s="10" t="str">
        <f>IF($A101="","",IFERROR(VLOOKUP(B101,CHOOSE(MATCH(C101,Settings!$L$4:$L$10,0),OPR_2P!$A$4:$I$18,SEG_6P!$A$4:$I$18,SOL_4P!$A$4:$I$18,RW_2P!$A$4:$I$18,RW2_4P!$A$4:$I$18,FLAP_4P!$A$4:$I$18,TUBE_4P!$A$4:$I$18),8,0),0))</f>
        <v/>
      </c>
      <c r="L101" s="10" t="str">
        <f t="shared" si="130"/>
        <v/>
      </c>
      <c r="M101" s="55" t="str">
        <f>IF($A101="","",$J101+($L101/(IF(F101="Contract Workman",Settings!$K$5,Settings!$K$4))))</f>
        <v/>
      </c>
      <c r="N101" s="10" t="str">
        <f t="shared" si="196"/>
        <v/>
      </c>
      <c r="O101" s="51"/>
    </row>
    <row r="102" spans="1:68" ht="15" customHeight="1" x14ac:dyDescent="0.3">
      <c r="A102" s="10" t="str">
        <f>IF(Job_Master!A102="","",Job_Master!A102)</f>
        <v/>
      </c>
      <c r="B102" s="10" t="str">
        <f>IF($A102="","",Job_Master!B102)</f>
        <v/>
      </c>
      <c r="C102" s="10" t="str">
        <f>IF($A102="","",Job_Master!C102)</f>
        <v/>
      </c>
      <c r="D102" s="10" t="str">
        <f>IF($A102="","",Job_Master!D102)</f>
        <v/>
      </c>
      <c r="E102" s="48" t="str">
        <f>IF($A102="","",IFERROR(INDEX(Machine_List!$B$82:$B$86,MATCH("*"&amp;$B102&amp;"*",Machine_List!$J$82:$J$86,0)),"NO COMPATIBLE MACHINE"))</f>
        <v/>
      </c>
      <c r="F102" s="10" t="str">
        <f>IF($E102="","",IFERROR(VLOOKUP($E102,Machine_List!$B:$G,6,0),""))</f>
        <v/>
      </c>
      <c r="G102" s="53" t="str">
        <f>IF($E102="","",IFERROR(VLOOKUP($E102,Machine_List!$B:$C,2,0),""))</f>
        <v/>
      </c>
      <c r="H102" s="10" t="str">
        <f>IF($E102="","",IFERROR(VLOOKUP($E102,Machine_List!$B:$D,3,0),""))</f>
        <v/>
      </c>
      <c r="J102" s="55" t="str">
        <f ca="1">IF($A102="","",IF($I102&lt;&gt;"",$I102,MAX(FID_Plan!$M102,IFERROR(LOOKUP(2,1/($E$3:INDIRECT("E"&amp;(ROW()-1))=$E102),$M$3:INDIRECT("M"&amp;(ROW()-1))),FID_Plan!$M102))))</f>
        <v/>
      </c>
      <c r="K102" s="10" t="str">
        <f>IF($A102="","",IFERROR(VLOOKUP(B102,CHOOSE(MATCH(C102,Settings!$L$4:$L$10,0),OPR_2P!$A$4:$I$18,SEG_6P!$A$4:$I$18,SOL_4P!$A$4:$I$18,RW_2P!$A$4:$I$18,RW2_4P!$A$4:$I$18,FLAP_4P!$A$4:$I$18,TUBE_4P!$A$4:$I$18),8,0),0))</f>
        <v/>
      </c>
      <c r="L102" s="10" t="str">
        <f t="shared" si="130"/>
        <v/>
      </c>
      <c r="M102" s="55" t="str">
        <f>IF($A102="","",$J102+($L102/(IF(F102="Contract Workman",Settings!$K$5,Settings!$K$4))))</f>
        <v/>
      </c>
      <c r="N102" s="10" t="str">
        <f t="shared" si="196"/>
        <v/>
      </c>
      <c r="O102" s="51"/>
    </row>
    <row r="103" spans="1:68" ht="15" customHeight="1" x14ac:dyDescent="0.3">
      <c r="A103" s="10" t="str">
        <f>IF(Job_Master!A103="","",Job_Master!A103)</f>
        <v/>
      </c>
      <c r="B103" s="10" t="str">
        <f>IF($A103="","",Job_Master!B103)</f>
        <v/>
      </c>
      <c r="C103" s="10" t="str">
        <f>IF($A103="","",Job_Master!C103)</f>
        <v/>
      </c>
      <c r="D103" s="10" t="str">
        <f>IF($A103="","",Job_Master!D103)</f>
        <v/>
      </c>
      <c r="E103" s="48" t="str">
        <f>IF($A103="","",IFERROR(INDEX(Machine_List!$B$82:$B$86,MATCH("*"&amp;$B103&amp;"*",Machine_List!$J$82:$J$86,0)),"NO COMPATIBLE MACHINE"))</f>
        <v/>
      </c>
      <c r="F103" s="10" t="str">
        <f>IF($E103="","",IFERROR(VLOOKUP($E103,Machine_List!$B:$G,6,0),""))</f>
        <v/>
      </c>
      <c r="G103" s="53" t="str">
        <f>IF($E103="","",IFERROR(VLOOKUP($E103,Machine_List!$B:$C,2,0),""))</f>
        <v/>
      </c>
      <c r="H103" s="10" t="str">
        <f>IF($E103="","",IFERROR(VLOOKUP($E103,Machine_List!$B:$D,3,0),""))</f>
        <v/>
      </c>
      <c r="J103" s="55" t="str">
        <f ca="1">IF($A103="","",IF($I103&lt;&gt;"",$I103,MAX(FID_Plan!$M103,IFERROR(LOOKUP(2,1/($E$3:INDIRECT("E"&amp;(ROW()-1))=$E103),$M$3:INDIRECT("M"&amp;(ROW()-1))),FID_Plan!$M103))))</f>
        <v/>
      </c>
      <c r="K103" s="10" t="str">
        <f>IF($A103="","",IFERROR(VLOOKUP(B103,CHOOSE(MATCH(C103,Settings!$L$4:$L$10,0),OPR_2P!$A$4:$I$18,SEG_6P!$A$4:$I$18,SOL_4P!$A$4:$I$18,RW_2P!$A$4:$I$18,RW2_4P!$A$4:$I$18,FLAP_4P!$A$4:$I$18,TUBE_4P!$A$4:$I$18),8,0),0))</f>
        <v/>
      </c>
      <c r="L103" s="10" t="str">
        <f t="shared" si="130"/>
        <v/>
      </c>
      <c r="M103" s="55" t="str">
        <f>IF($A103="","",$J103+($L103/(IF(F103="Contract Workman",Settings!$K$5,Settings!$K$4))))</f>
        <v/>
      </c>
      <c r="N103" s="10" t="str">
        <f t="shared" si="196"/>
        <v/>
      </c>
      <c r="O103" s="51"/>
    </row>
    <row r="104" spans="1:68" ht="15" customHeight="1" x14ac:dyDescent="0.3">
      <c r="L104" t="str">
        <f t="shared" si="130"/>
        <v/>
      </c>
      <c r="O104" s="51"/>
    </row>
    <row r="105" spans="1:68" ht="15" customHeight="1" x14ac:dyDescent="0.3">
      <c r="L105" t="str">
        <f t="shared" si="130"/>
        <v/>
      </c>
      <c r="O105" s="51"/>
    </row>
    <row r="106" spans="1:68" ht="15" customHeight="1" x14ac:dyDescent="0.3">
      <c r="L106" t="str">
        <f t="shared" si="130"/>
        <v/>
      </c>
      <c r="O106" s="51"/>
    </row>
    <row r="107" spans="1:68" ht="15" customHeight="1" x14ac:dyDescent="0.3">
      <c r="L107" t="str">
        <f t="shared" si="130"/>
        <v/>
      </c>
      <c r="O107" s="51"/>
    </row>
    <row r="108" spans="1:68" ht="15" customHeight="1" x14ac:dyDescent="0.3">
      <c r="L108" t="str">
        <f t="shared" si="130"/>
        <v/>
      </c>
      <c r="O108" s="51"/>
    </row>
    <row r="109" spans="1:68" ht="15" customHeight="1" x14ac:dyDescent="0.3">
      <c r="L109" t="str">
        <f t="shared" si="130"/>
        <v/>
      </c>
      <c r="O109" s="51"/>
    </row>
    <row r="110" spans="1:68" ht="15" customHeight="1" x14ac:dyDescent="0.3">
      <c r="L110" t="str">
        <f t="shared" si="130"/>
        <v/>
      </c>
      <c r="O110" s="51"/>
    </row>
    <row r="111" spans="1:68" ht="15" customHeight="1" x14ac:dyDescent="0.3">
      <c r="L111" t="str">
        <f t="shared" si="130"/>
        <v/>
      </c>
      <c r="O111" s="51"/>
    </row>
    <row r="112" spans="1:68" ht="15" customHeight="1" x14ac:dyDescent="0.3">
      <c r="L112" t="str">
        <f t="shared" si="130"/>
        <v/>
      </c>
      <c r="O112" s="51"/>
    </row>
    <row r="113" spans="12:15" ht="15" customHeight="1" x14ac:dyDescent="0.3">
      <c r="L113" t="str">
        <f t="shared" si="130"/>
        <v/>
      </c>
      <c r="O113" s="51"/>
    </row>
    <row r="114" spans="12:15" ht="15" customHeight="1" x14ac:dyDescent="0.3">
      <c r="L114" t="str">
        <f t="shared" si="130"/>
        <v/>
      </c>
      <c r="O114" s="51"/>
    </row>
    <row r="115" spans="12:15" ht="15" customHeight="1" x14ac:dyDescent="0.3">
      <c r="L115" t="str">
        <f t="shared" si="130"/>
        <v/>
      </c>
      <c r="O115" s="51"/>
    </row>
    <row r="116" spans="12:15" ht="15" customHeight="1" x14ac:dyDescent="0.3">
      <c r="L116" t="str">
        <f t="shared" si="130"/>
        <v/>
      </c>
      <c r="O116" s="51"/>
    </row>
    <row r="117" spans="12:15" ht="15" customHeight="1" x14ac:dyDescent="0.3">
      <c r="L117" t="str">
        <f t="shared" si="130"/>
        <v/>
      </c>
      <c r="O117" s="51"/>
    </row>
    <row r="118" spans="12:15" ht="15" customHeight="1" x14ac:dyDescent="0.3">
      <c r="L118" t="str">
        <f t="shared" si="130"/>
        <v/>
      </c>
      <c r="O118" s="51"/>
    </row>
    <row r="119" spans="12:15" ht="15" customHeight="1" x14ac:dyDescent="0.3">
      <c r="L119" t="str">
        <f t="shared" si="130"/>
        <v/>
      </c>
      <c r="O119" s="51"/>
    </row>
    <row r="120" spans="12:15" ht="15" customHeight="1" x14ac:dyDescent="0.3">
      <c r="L120" t="str">
        <f t="shared" si="130"/>
        <v/>
      </c>
      <c r="O120" s="51"/>
    </row>
    <row r="121" spans="12:15" ht="15" customHeight="1" x14ac:dyDescent="0.3">
      <c r="L121" t="str">
        <f t="shared" si="130"/>
        <v/>
      </c>
      <c r="O121" s="51"/>
    </row>
    <row r="122" spans="12:15" ht="15" customHeight="1" x14ac:dyDescent="0.3">
      <c r="L122" t="str">
        <f t="shared" si="130"/>
        <v/>
      </c>
      <c r="O122" s="51"/>
    </row>
    <row r="123" spans="12:15" ht="15" customHeight="1" x14ac:dyDescent="0.3">
      <c r="L123" t="str">
        <f t="shared" si="130"/>
        <v/>
      </c>
      <c r="O123" s="51"/>
    </row>
    <row r="124" spans="12:15" ht="15" customHeight="1" x14ac:dyDescent="0.3">
      <c r="L124" t="str">
        <f t="shared" si="130"/>
        <v/>
      </c>
      <c r="O124" s="51"/>
    </row>
    <row r="125" spans="12:15" ht="15" customHeight="1" x14ac:dyDescent="0.3">
      <c r="L125" t="str">
        <f t="shared" si="130"/>
        <v/>
      </c>
      <c r="O125" s="51"/>
    </row>
    <row r="126" spans="12:15" ht="15" customHeight="1" x14ac:dyDescent="0.3">
      <c r="L126" t="str">
        <f t="shared" si="130"/>
        <v/>
      </c>
      <c r="O126" s="51"/>
    </row>
    <row r="127" spans="12:15" ht="15" customHeight="1" x14ac:dyDescent="0.3">
      <c r="L127" t="str">
        <f t="shared" si="130"/>
        <v/>
      </c>
      <c r="O127" s="51"/>
    </row>
    <row r="128" spans="12:15" ht="15" customHeight="1" x14ac:dyDescent="0.3">
      <c r="L128" t="str">
        <f t="shared" si="130"/>
        <v/>
      </c>
      <c r="O128" s="51"/>
    </row>
    <row r="129" spans="12:15" ht="15" customHeight="1" x14ac:dyDescent="0.3">
      <c r="L129" t="str">
        <f t="shared" si="130"/>
        <v/>
      </c>
      <c r="O129" s="51"/>
    </row>
    <row r="130" spans="12:15" ht="15" customHeight="1" x14ac:dyDescent="0.3">
      <c r="L130" t="str">
        <f t="shared" si="130"/>
        <v/>
      </c>
      <c r="O130" s="51"/>
    </row>
    <row r="131" spans="12:15" ht="15" customHeight="1" x14ac:dyDescent="0.3">
      <c r="L131" t="str">
        <f t="shared" si="130"/>
        <v/>
      </c>
      <c r="O131" s="51"/>
    </row>
    <row r="132" spans="12:15" ht="15" customHeight="1" x14ac:dyDescent="0.3">
      <c r="L132" t="str">
        <f t="shared" ref="L132:L195" si="199">IF($A132="","",K132*D132)</f>
        <v/>
      </c>
      <c r="O132" s="51"/>
    </row>
    <row r="133" spans="12:15" ht="15" customHeight="1" x14ac:dyDescent="0.3">
      <c r="L133" t="str">
        <f t="shared" si="199"/>
        <v/>
      </c>
      <c r="O133" s="51"/>
    </row>
    <row r="134" spans="12:15" ht="15" customHeight="1" x14ac:dyDescent="0.3">
      <c r="L134" t="str">
        <f t="shared" si="199"/>
        <v/>
      </c>
      <c r="O134" s="51"/>
    </row>
    <row r="135" spans="12:15" ht="15" customHeight="1" x14ac:dyDescent="0.3">
      <c r="L135" t="str">
        <f t="shared" si="199"/>
        <v/>
      </c>
      <c r="O135" s="51"/>
    </row>
    <row r="136" spans="12:15" ht="15" customHeight="1" x14ac:dyDescent="0.3">
      <c r="L136" t="str">
        <f t="shared" si="199"/>
        <v/>
      </c>
      <c r="O136" s="51"/>
    </row>
    <row r="137" spans="12:15" ht="15" customHeight="1" x14ac:dyDescent="0.3">
      <c r="L137" t="str">
        <f t="shared" si="199"/>
        <v/>
      </c>
      <c r="O137" s="51"/>
    </row>
    <row r="138" spans="12:15" ht="15" customHeight="1" x14ac:dyDescent="0.3">
      <c r="L138" t="str">
        <f t="shared" si="199"/>
        <v/>
      </c>
      <c r="O138" s="51"/>
    </row>
    <row r="139" spans="12:15" ht="15" customHeight="1" x14ac:dyDescent="0.3">
      <c r="L139" t="str">
        <f t="shared" si="199"/>
        <v/>
      </c>
      <c r="O139" s="51"/>
    </row>
    <row r="140" spans="12:15" ht="15" customHeight="1" x14ac:dyDescent="0.3">
      <c r="L140" t="str">
        <f t="shared" si="199"/>
        <v/>
      </c>
      <c r="O140" s="51"/>
    </row>
    <row r="141" spans="12:15" ht="15" customHeight="1" x14ac:dyDescent="0.3">
      <c r="L141" t="str">
        <f t="shared" si="199"/>
        <v/>
      </c>
      <c r="O141" s="51"/>
    </row>
    <row r="142" spans="12:15" ht="15" customHeight="1" x14ac:dyDescent="0.3">
      <c r="L142" t="str">
        <f t="shared" si="199"/>
        <v/>
      </c>
      <c r="O142" s="51"/>
    </row>
    <row r="143" spans="12:15" ht="15" customHeight="1" x14ac:dyDescent="0.3">
      <c r="L143" t="str">
        <f t="shared" si="199"/>
        <v/>
      </c>
      <c r="O143" s="51"/>
    </row>
    <row r="144" spans="12:15" ht="15" customHeight="1" x14ac:dyDescent="0.3">
      <c r="L144" t="str">
        <f t="shared" si="199"/>
        <v/>
      </c>
      <c r="O144" s="51"/>
    </row>
    <row r="145" spans="12:15" ht="15" customHeight="1" x14ac:dyDescent="0.3">
      <c r="L145" t="str">
        <f t="shared" si="199"/>
        <v/>
      </c>
      <c r="O145" s="51"/>
    </row>
    <row r="146" spans="12:15" ht="15" customHeight="1" x14ac:dyDescent="0.3">
      <c r="L146" t="str">
        <f t="shared" si="199"/>
        <v/>
      </c>
      <c r="O146" s="51"/>
    </row>
    <row r="147" spans="12:15" ht="15" customHeight="1" x14ac:dyDescent="0.3">
      <c r="L147" t="str">
        <f t="shared" si="199"/>
        <v/>
      </c>
      <c r="O147" s="51"/>
    </row>
    <row r="148" spans="12:15" ht="15" customHeight="1" x14ac:dyDescent="0.3">
      <c r="L148" t="str">
        <f t="shared" si="199"/>
        <v/>
      </c>
      <c r="O148" s="51"/>
    </row>
    <row r="149" spans="12:15" ht="15" customHeight="1" x14ac:dyDescent="0.3">
      <c r="L149" t="str">
        <f t="shared" si="199"/>
        <v/>
      </c>
      <c r="O149" s="51"/>
    </row>
    <row r="150" spans="12:15" ht="15" customHeight="1" x14ac:dyDescent="0.3">
      <c r="L150" t="str">
        <f t="shared" si="199"/>
        <v/>
      </c>
      <c r="O150" s="51"/>
    </row>
    <row r="151" spans="12:15" ht="15" customHeight="1" x14ac:dyDescent="0.3">
      <c r="L151" t="str">
        <f t="shared" si="199"/>
        <v/>
      </c>
      <c r="O151" s="51"/>
    </row>
    <row r="152" spans="12:15" ht="15" customHeight="1" x14ac:dyDescent="0.3">
      <c r="L152" t="str">
        <f t="shared" si="199"/>
        <v/>
      </c>
      <c r="O152" s="51"/>
    </row>
    <row r="153" spans="12:15" ht="15" customHeight="1" x14ac:dyDescent="0.3">
      <c r="L153" t="str">
        <f t="shared" si="199"/>
        <v/>
      </c>
      <c r="O153" s="51"/>
    </row>
    <row r="154" spans="12:15" ht="15" customHeight="1" x14ac:dyDescent="0.3">
      <c r="L154" t="str">
        <f t="shared" si="199"/>
        <v/>
      </c>
      <c r="O154" s="51"/>
    </row>
    <row r="155" spans="12:15" ht="15" customHeight="1" x14ac:dyDescent="0.3">
      <c r="L155" t="str">
        <f t="shared" si="199"/>
        <v/>
      </c>
      <c r="O155" s="51"/>
    </row>
    <row r="156" spans="12:15" ht="15" customHeight="1" x14ac:dyDescent="0.3">
      <c r="L156" t="str">
        <f t="shared" si="199"/>
        <v/>
      </c>
      <c r="O156" s="51"/>
    </row>
    <row r="157" spans="12:15" ht="15" customHeight="1" x14ac:dyDescent="0.3">
      <c r="L157" t="str">
        <f t="shared" si="199"/>
        <v/>
      </c>
      <c r="O157" s="51"/>
    </row>
    <row r="158" spans="12:15" ht="15" customHeight="1" x14ac:dyDescent="0.3">
      <c r="L158" t="str">
        <f t="shared" si="199"/>
        <v/>
      </c>
      <c r="O158" s="51"/>
    </row>
    <row r="159" spans="12:15" ht="15" customHeight="1" x14ac:dyDescent="0.3">
      <c r="L159" t="str">
        <f t="shared" si="199"/>
        <v/>
      </c>
      <c r="O159" s="51"/>
    </row>
    <row r="160" spans="12:15" ht="15" customHeight="1" x14ac:dyDescent="0.3">
      <c r="L160" t="str">
        <f t="shared" si="199"/>
        <v/>
      </c>
      <c r="O160" s="51"/>
    </row>
    <row r="161" spans="12:15" ht="15" customHeight="1" x14ac:dyDescent="0.3">
      <c r="L161" t="str">
        <f t="shared" si="199"/>
        <v/>
      </c>
      <c r="O161" s="51"/>
    </row>
    <row r="162" spans="12:15" ht="15" customHeight="1" x14ac:dyDescent="0.3">
      <c r="L162" t="str">
        <f t="shared" si="199"/>
        <v/>
      </c>
      <c r="O162" s="51"/>
    </row>
    <row r="163" spans="12:15" ht="15" customHeight="1" x14ac:dyDescent="0.3">
      <c r="L163" t="str">
        <f t="shared" si="199"/>
        <v/>
      </c>
      <c r="O163" s="51"/>
    </row>
    <row r="164" spans="12:15" ht="15" customHeight="1" x14ac:dyDescent="0.3">
      <c r="L164" t="str">
        <f t="shared" si="199"/>
        <v/>
      </c>
      <c r="O164" s="51"/>
    </row>
    <row r="165" spans="12:15" ht="15" customHeight="1" x14ac:dyDescent="0.3">
      <c r="L165" t="str">
        <f t="shared" si="199"/>
        <v/>
      </c>
      <c r="O165" s="51"/>
    </row>
    <row r="166" spans="12:15" ht="15" customHeight="1" x14ac:dyDescent="0.3">
      <c r="L166" t="str">
        <f t="shared" si="199"/>
        <v/>
      </c>
      <c r="O166" s="51"/>
    </row>
    <row r="167" spans="12:15" ht="15" customHeight="1" x14ac:dyDescent="0.3">
      <c r="L167" t="str">
        <f t="shared" si="199"/>
        <v/>
      </c>
      <c r="O167" s="51"/>
    </row>
    <row r="168" spans="12:15" ht="15" customHeight="1" x14ac:dyDescent="0.3">
      <c r="L168" t="str">
        <f t="shared" si="199"/>
        <v/>
      </c>
      <c r="O168" s="51"/>
    </row>
    <row r="169" spans="12:15" ht="15" customHeight="1" x14ac:dyDescent="0.3">
      <c r="L169" t="str">
        <f t="shared" si="199"/>
        <v/>
      </c>
      <c r="O169" s="51"/>
    </row>
    <row r="170" spans="12:15" ht="15" customHeight="1" x14ac:dyDescent="0.3">
      <c r="L170" t="str">
        <f t="shared" si="199"/>
        <v/>
      </c>
      <c r="O170" s="51"/>
    </row>
    <row r="171" spans="12:15" ht="15" customHeight="1" x14ac:dyDescent="0.3">
      <c r="L171" t="str">
        <f t="shared" si="199"/>
        <v/>
      </c>
      <c r="O171" s="51"/>
    </row>
    <row r="172" spans="12:15" ht="15" customHeight="1" x14ac:dyDescent="0.3">
      <c r="L172" t="str">
        <f t="shared" si="199"/>
        <v/>
      </c>
      <c r="O172" s="51"/>
    </row>
    <row r="173" spans="12:15" ht="15" customHeight="1" x14ac:dyDescent="0.3">
      <c r="L173" t="str">
        <f t="shared" si="199"/>
        <v/>
      </c>
      <c r="O173" s="51"/>
    </row>
    <row r="174" spans="12:15" ht="15" customHeight="1" x14ac:dyDescent="0.3">
      <c r="L174" t="str">
        <f t="shared" si="199"/>
        <v/>
      </c>
      <c r="O174" s="51"/>
    </row>
    <row r="175" spans="12:15" ht="15" customHeight="1" x14ac:dyDescent="0.3">
      <c r="L175" t="str">
        <f t="shared" si="199"/>
        <v/>
      </c>
      <c r="O175" s="51"/>
    </row>
    <row r="176" spans="12:15" ht="15" customHeight="1" x14ac:dyDescent="0.3">
      <c r="L176" t="str">
        <f t="shared" si="199"/>
        <v/>
      </c>
      <c r="O176" s="51"/>
    </row>
    <row r="177" spans="12:15" ht="15" customHeight="1" x14ac:dyDescent="0.3">
      <c r="L177" t="str">
        <f t="shared" si="199"/>
        <v/>
      </c>
      <c r="O177" s="51"/>
    </row>
    <row r="178" spans="12:15" ht="15" customHeight="1" x14ac:dyDescent="0.3">
      <c r="L178" t="str">
        <f t="shared" si="199"/>
        <v/>
      </c>
      <c r="O178" s="51"/>
    </row>
    <row r="179" spans="12:15" ht="15" customHeight="1" x14ac:dyDescent="0.3">
      <c r="L179" t="str">
        <f t="shared" si="199"/>
        <v/>
      </c>
      <c r="O179" s="51"/>
    </row>
    <row r="180" spans="12:15" ht="15" customHeight="1" x14ac:dyDescent="0.3">
      <c r="L180" t="str">
        <f t="shared" si="199"/>
        <v/>
      </c>
      <c r="O180" s="51"/>
    </row>
    <row r="181" spans="12:15" ht="15" customHeight="1" x14ac:dyDescent="0.3">
      <c r="L181" t="str">
        <f t="shared" si="199"/>
        <v/>
      </c>
      <c r="O181" s="51"/>
    </row>
    <row r="182" spans="12:15" ht="15" customHeight="1" x14ac:dyDescent="0.3">
      <c r="L182" t="str">
        <f t="shared" si="199"/>
        <v/>
      </c>
      <c r="O182" s="51"/>
    </row>
    <row r="183" spans="12:15" ht="15" customHeight="1" x14ac:dyDescent="0.3">
      <c r="L183" t="str">
        <f t="shared" si="199"/>
        <v/>
      </c>
      <c r="O183" s="51"/>
    </row>
    <row r="184" spans="12:15" ht="15" customHeight="1" x14ac:dyDescent="0.3">
      <c r="L184" t="str">
        <f t="shared" si="199"/>
        <v/>
      </c>
      <c r="O184" s="51"/>
    </row>
    <row r="185" spans="12:15" ht="15" customHeight="1" x14ac:dyDescent="0.3">
      <c r="L185" t="str">
        <f t="shared" si="199"/>
        <v/>
      </c>
      <c r="O185" s="51"/>
    </row>
    <row r="186" spans="12:15" ht="15" customHeight="1" x14ac:dyDescent="0.3">
      <c r="L186" t="str">
        <f t="shared" si="199"/>
        <v/>
      </c>
      <c r="O186" s="51"/>
    </row>
    <row r="187" spans="12:15" ht="15" customHeight="1" x14ac:dyDescent="0.3">
      <c r="L187" t="str">
        <f t="shared" si="199"/>
        <v/>
      </c>
      <c r="O187" s="51"/>
    </row>
    <row r="188" spans="12:15" ht="15" customHeight="1" x14ac:dyDescent="0.3">
      <c r="L188" t="str">
        <f t="shared" si="199"/>
        <v/>
      </c>
      <c r="O188" s="51"/>
    </row>
    <row r="189" spans="12:15" ht="15" customHeight="1" x14ac:dyDescent="0.3">
      <c r="L189" t="str">
        <f t="shared" si="199"/>
        <v/>
      </c>
      <c r="O189" s="51"/>
    </row>
    <row r="190" spans="12:15" ht="15" customHeight="1" x14ac:dyDescent="0.3">
      <c r="L190" t="str">
        <f t="shared" si="199"/>
        <v/>
      </c>
      <c r="O190" s="51"/>
    </row>
    <row r="191" spans="12:15" ht="15" customHeight="1" x14ac:dyDescent="0.3">
      <c r="L191" t="str">
        <f t="shared" si="199"/>
        <v/>
      </c>
      <c r="O191" s="51"/>
    </row>
    <row r="192" spans="12:15" ht="15" customHeight="1" x14ac:dyDescent="0.3">
      <c r="L192" t="str">
        <f t="shared" si="199"/>
        <v/>
      </c>
      <c r="O192" s="51"/>
    </row>
    <row r="193" spans="12:15" ht="15" customHeight="1" x14ac:dyDescent="0.3">
      <c r="L193" t="str">
        <f t="shared" si="199"/>
        <v/>
      </c>
      <c r="O193" s="51"/>
    </row>
    <row r="194" spans="12:15" ht="15" customHeight="1" x14ac:dyDescent="0.3">
      <c r="L194" t="str">
        <f t="shared" si="199"/>
        <v/>
      </c>
      <c r="O194" s="51"/>
    </row>
    <row r="195" spans="12:15" ht="15" customHeight="1" x14ac:dyDescent="0.3">
      <c r="L195" t="str">
        <f t="shared" si="199"/>
        <v/>
      </c>
      <c r="O195" s="51"/>
    </row>
    <row r="196" spans="12:15" ht="15" customHeight="1" x14ac:dyDescent="0.3">
      <c r="L196" t="str">
        <f t="shared" ref="L196:L259" si="200">IF($A196="","",K196*D196)</f>
        <v/>
      </c>
      <c r="O196" s="51"/>
    </row>
    <row r="197" spans="12:15" ht="15" customHeight="1" x14ac:dyDescent="0.3">
      <c r="L197" t="str">
        <f t="shared" si="200"/>
        <v/>
      </c>
      <c r="O197" s="51"/>
    </row>
    <row r="198" spans="12:15" ht="15" customHeight="1" x14ac:dyDescent="0.3">
      <c r="L198" t="str">
        <f t="shared" si="200"/>
        <v/>
      </c>
      <c r="O198" s="51"/>
    </row>
    <row r="199" spans="12:15" ht="15" customHeight="1" x14ac:dyDescent="0.3">
      <c r="L199" t="str">
        <f t="shared" si="200"/>
        <v/>
      </c>
      <c r="O199" s="51"/>
    </row>
    <row r="200" spans="12:15" ht="15" customHeight="1" x14ac:dyDescent="0.3">
      <c r="L200" t="str">
        <f t="shared" si="200"/>
        <v/>
      </c>
      <c r="O200" s="51"/>
    </row>
    <row r="201" spans="12:15" ht="15" customHeight="1" x14ac:dyDescent="0.3">
      <c r="L201" t="str">
        <f t="shared" si="200"/>
        <v/>
      </c>
      <c r="O201" s="51"/>
    </row>
    <row r="202" spans="12:15" ht="15" customHeight="1" x14ac:dyDescent="0.3">
      <c r="L202" t="str">
        <f t="shared" si="200"/>
        <v/>
      </c>
      <c r="O202" s="51"/>
    </row>
    <row r="203" spans="12:15" ht="15" customHeight="1" x14ac:dyDescent="0.3">
      <c r="L203" t="str">
        <f t="shared" si="200"/>
        <v/>
      </c>
      <c r="O203" s="51"/>
    </row>
    <row r="204" spans="12:15" ht="15" customHeight="1" x14ac:dyDescent="0.3">
      <c r="L204" t="str">
        <f t="shared" si="200"/>
        <v/>
      </c>
      <c r="O204" s="51"/>
    </row>
    <row r="205" spans="12:15" ht="15" customHeight="1" x14ac:dyDescent="0.3">
      <c r="L205" t="str">
        <f t="shared" si="200"/>
        <v/>
      </c>
      <c r="O205" s="51"/>
    </row>
    <row r="206" spans="12:15" ht="15" customHeight="1" x14ac:dyDescent="0.3">
      <c r="L206" t="str">
        <f t="shared" si="200"/>
        <v/>
      </c>
      <c r="O206" s="51"/>
    </row>
    <row r="207" spans="12:15" ht="15" customHeight="1" x14ac:dyDescent="0.3">
      <c r="L207" t="str">
        <f t="shared" si="200"/>
        <v/>
      </c>
      <c r="O207" s="51"/>
    </row>
    <row r="208" spans="12:15" ht="15" customHeight="1" x14ac:dyDescent="0.3">
      <c r="L208" t="str">
        <f t="shared" si="200"/>
        <v/>
      </c>
      <c r="O208" s="51"/>
    </row>
    <row r="209" spans="12:15" ht="15" customHeight="1" x14ac:dyDescent="0.3">
      <c r="L209" t="str">
        <f t="shared" si="200"/>
        <v/>
      </c>
      <c r="O209" s="51"/>
    </row>
    <row r="210" spans="12:15" ht="15" customHeight="1" x14ac:dyDescent="0.3">
      <c r="L210" t="str">
        <f t="shared" si="200"/>
        <v/>
      </c>
      <c r="O210" s="51"/>
    </row>
    <row r="211" spans="12:15" ht="15" customHeight="1" x14ac:dyDescent="0.3">
      <c r="L211" t="str">
        <f t="shared" si="200"/>
        <v/>
      </c>
      <c r="O211" s="51"/>
    </row>
    <row r="212" spans="12:15" ht="15" customHeight="1" x14ac:dyDescent="0.3">
      <c r="L212" t="str">
        <f t="shared" si="200"/>
        <v/>
      </c>
      <c r="O212" s="51"/>
    </row>
    <row r="213" spans="12:15" ht="15" customHeight="1" x14ac:dyDescent="0.3">
      <c r="L213" t="str">
        <f t="shared" si="200"/>
        <v/>
      </c>
      <c r="O213" s="51"/>
    </row>
    <row r="214" spans="12:15" ht="15" customHeight="1" x14ac:dyDescent="0.3">
      <c r="L214" t="str">
        <f t="shared" si="200"/>
        <v/>
      </c>
      <c r="O214" s="51"/>
    </row>
    <row r="215" spans="12:15" ht="15" customHeight="1" x14ac:dyDescent="0.3">
      <c r="L215" t="str">
        <f t="shared" si="200"/>
        <v/>
      </c>
      <c r="O215" s="51"/>
    </row>
    <row r="216" spans="12:15" ht="15" customHeight="1" x14ac:dyDescent="0.3">
      <c r="L216" t="str">
        <f t="shared" si="200"/>
        <v/>
      </c>
      <c r="O216" s="51"/>
    </row>
    <row r="217" spans="12:15" ht="15" customHeight="1" x14ac:dyDescent="0.3">
      <c r="L217" t="str">
        <f t="shared" si="200"/>
        <v/>
      </c>
      <c r="O217" s="51"/>
    </row>
    <row r="218" spans="12:15" ht="15" customHeight="1" x14ac:dyDescent="0.3">
      <c r="L218" t="str">
        <f t="shared" si="200"/>
        <v/>
      </c>
      <c r="O218" s="51"/>
    </row>
    <row r="219" spans="12:15" ht="15" customHeight="1" x14ac:dyDescent="0.3">
      <c r="L219" t="str">
        <f t="shared" si="200"/>
        <v/>
      </c>
      <c r="O219" s="51"/>
    </row>
    <row r="220" spans="12:15" ht="15" customHeight="1" x14ac:dyDescent="0.3">
      <c r="L220" t="str">
        <f t="shared" si="200"/>
        <v/>
      </c>
      <c r="O220" s="51"/>
    </row>
    <row r="221" spans="12:15" ht="15" customHeight="1" x14ac:dyDescent="0.3">
      <c r="L221" t="str">
        <f t="shared" si="200"/>
        <v/>
      </c>
      <c r="O221" s="51"/>
    </row>
    <row r="222" spans="12:15" ht="15" customHeight="1" x14ac:dyDescent="0.3">
      <c r="L222" t="str">
        <f t="shared" si="200"/>
        <v/>
      </c>
      <c r="O222" s="51"/>
    </row>
    <row r="223" spans="12:15" ht="15" customHeight="1" x14ac:dyDescent="0.3">
      <c r="L223" t="str">
        <f t="shared" si="200"/>
        <v/>
      </c>
      <c r="O223" s="51"/>
    </row>
    <row r="224" spans="12:15" ht="15" customHeight="1" x14ac:dyDescent="0.3">
      <c r="L224" t="str">
        <f t="shared" si="200"/>
        <v/>
      </c>
      <c r="O224" s="51"/>
    </row>
    <row r="225" spans="12:15" ht="15" customHeight="1" x14ac:dyDescent="0.3">
      <c r="L225" t="str">
        <f t="shared" si="200"/>
        <v/>
      </c>
      <c r="O225" s="51"/>
    </row>
    <row r="226" spans="12:15" ht="15" customHeight="1" x14ac:dyDescent="0.3">
      <c r="L226" t="str">
        <f t="shared" si="200"/>
        <v/>
      </c>
      <c r="O226" s="51"/>
    </row>
    <row r="227" spans="12:15" ht="15" customHeight="1" x14ac:dyDescent="0.3">
      <c r="L227" t="str">
        <f t="shared" si="200"/>
        <v/>
      </c>
      <c r="O227" s="51"/>
    </row>
    <row r="228" spans="12:15" ht="15" customHeight="1" x14ac:dyDescent="0.3">
      <c r="L228" t="str">
        <f t="shared" si="200"/>
        <v/>
      </c>
      <c r="O228" s="51"/>
    </row>
    <row r="229" spans="12:15" ht="15" customHeight="1" x14ac:dyDescent="0.3">
      <c r="L229" t="str">
        <f t="shared" si="200"/>
        <v/>
      </c>
      <c r="O229" s="51"/>
    </row>
    <row r="230" spans="12:15" ht="15" customHeight="1" x14ac:dyDescent="0.3">
      <c r="L230" t="str">
        <f t="shared" si="200"/>
        <v/>
      </c>
      <c r="O230" s="51"/>
    </row>
    <row r="231" spans="12:15" ht="15" customHeight="1" x14ac:dyDescent="0.3">
      <c r="L231" t="str">
        <f t="shared" si="200"/>
        <v/>
      </c>
      <c r="O231" s="51"/>
    </row>
    <row r="232" spans="12:15" ht="15" customHeight="1" x14ac:dyDescent="0.3">
      <c r="L232" t="str">
        <f t="shared" si="200"/>
        <v/>
      </c>
      <c r="O232" s="51"/>
    </row>
    <row r="233" spans="12:15" ht="15" customHeight="1" x14ac:dyDescent="0.3">
      <c r="L233" t="str">
        <f t="shared" si="200"/>
        <v/>
      </c>
      <c r="O233" s="51"/>
    </row>
    <row r="234" spans="12:15" ht="15" customHeight="1" x14ac:dyDescent="0.3">
      <c r="L234" t="str">
        <f t="shared" si="200"/>
        <v/>
      </c>
      <c r="O234" s="51"/>
    </row>
    <row r="235" spans="12:15" ht="15" customHeight="1" x14ac:dyDescent="0.3">
      <c r="L235" t="str">
        <f t="shared" si="200"/>
        <v/>
      </c>
      <c r="O235" s="51"/>
    </row>
    <row r="236" spans="12:15" ht="15" customHeight="1" x14ac:dyDescent="0.3">
      <c r="L236" t="str">
        <f t="shared" si="200"/>
        <v/>
      </c>
      <c r="O236" s="51"/>
    </row>
    <row r="237" spans="12:15" ht="15" customHeight="1" x14ac:dyDescent="0.3">
      <c r="L237" t="str">
        <f t="shared" si="200"/>
        <v/>
      </c>
      <c r="O237" s="51"/>
    </row>
    <row r="238" spans="12:15" ht="15" customHeight="1" x14ac:dyDescent="0.3">
      <c r="L238" t="str">
        <f t="shared" si="200"/>
        <v/>
      </c>
      <c r="O238" s="51"/>
    </row>
    <row r="239" spans="12:15" ht="15" customHeight="1" x14ac:dyDescent="0.3">
      <c r="L239" t="str">
        <f t="shared" si="200"/>
        <v/>
      </c>
      <c r="O239" s="51"/>
    </row>
    <row r="240" spans="12:15" ht="15" customHeight="1" x14ac:dyDescent="0.3">
      <c r="L240" t="str">
        <f t="shared" si="200"/>
        <v/>
      </c>
      <c r="O240" s="51"/>
    </row>
    <row r="241" spans="12:15" ht="15" customHeight="1" x14ac:dyDescent="0.3">
      <c r="L241" t="str">
        <f t="shared" si="200"/>
        <v/>
      </c>
      <c r="O241" s="51"/>
    </row>
    <row r="242" spans="12:15" ht="15" customHeight="1" x14ac:dyDescent="0.3">
      <c r="L242" t="str">
        <f t="shared" si="200"/>
        <v/>
      </c>
      <c r="O242" s="51"/>
    </row>
    <row r="243" spans="12:15" ht="15" customHeight="1" x14ac:dyDescent="0.3">
      <c r="L243" t="str">
        <f t="shared" si="200"/>
        <v/>
      </c>
      <c r="O243" s="51"/>
    </row>
    <row r="244" spans="12:15" ht="15" customHeight="1" x14ac:dyDescent="0.3">
      <c r="L244" t="str">
        <f t="shared" si="200"/>
        <v/>
      </c>
      <c r="O244" s="51"/>
    </row>
    <row r="245" spans="12:15" ht="15" customHeight="1" x14ac:dyDescent="0.3">
      <c r="L245" t="str">
        <f t="shared" si="200"/>
        <v/>
      </c>
      <c r="O245" s="51"/>
    </row>
    <row r="246" spans="12:15" ht="15" customHeight="1" x14ac:dyDescent="0.3">
      <c r="L246" t="str">
        <f t="shared" si="200"/>
        <v/>
      </c>
      <c r="O246" s="51"/>
    </row>
    <row r="247" spans="12:15" ht="15" customHeight="1" x14ac:dyDescent="0.3">
      <c r="L247" t="str">
        <f t="shared" si="200"/>
        <v/>
      </c>
      <c r="O247" s="51"/>
    </row>
    <row r="248" spans="12:15" ht="15" customHeight="1" x14ac:dyDescent="0.3">
      <c r="L248" t="str">
        <f t="shared" si="200"/>
        <v/>
      </c>
      <c r="O248" s="51"/>
    </row>
    <row r="249" spans="12:15" ht="15" customHeight="1" x14ac:dyDescent="0.3">
      <c r="L249" t="str">
        <f t="shared" si="200"/>
        <v/>
      </c>
      <c r="O249" s="51"/>
    </row>
    <row r="250" spans="12:15" ht="15" customHeight="1" x14ac:dyDescent="0.3">
      <c r="L250" t="str">
        <f t="shared" si="200"/>
        <v/>
      </c>
      <c r="O250" s="51"/>
    </row>
    <row r="251" spans="12:15" ht="15" customHeight="1" x14ac:dyDescent="0.3">
      <c r="L251" t="str">
        <f t="shared" si="200"/>
        <v/>
      </c>
      <c r="O251" s="51"/>
    </row>
    <row r="252" spans="12:15" ht="15" customHeight="1" x14ac:dyDescent="0.3">
      <c r="L252" t="str">
        <f t="shared" si="200"/>
        <v/>
      </c>
      <c r="O252" s="51"/>
    </row>
    <row r="253" spans="12:15" ht="15" customHeight="1" x14ac:dyDescent="0.3">
      <c r="L253" t="str">
        <f t="shared" si="200"/>
        <v/>
      </c>
      <c r="O253" s="51"/>
    </row>
    <row r="254" spans="12:15" ht="15" customHeight="1" x14ac:dyDescent="0.3">
      <c r="L254" t="str">
        <f t="shared" si="200"/>
        <v/>
      </c>
      <c r="O254" s="51"/>
    </row>
    <row r="255" spans="12:15" ht="15" customHeight="1" x14ac:dyDescent="0.3">
      <c r="L255" t="str">
        <f t="shared" si="200"/>
        <v/>
      </c>
      <c r="O255" s="51"/>
    </row>
    <row r="256" spans="12:15" ht="15" customHeight="1" x14ac:dyDescent="0.3">
      <c r="L256" t="str">
        <f t="shared" si="200"/>
        <v/>
      </c>
      <c r="O256" s="51"/>
    </row>
    <row r="257" spans="12:15" ht="15" customHeight="1" x14ac:dyDescent="0.3">
      <c r="L257" t="str">
        <f t="shared" si="200"/>
        <v/>
      </c>
      <c r="O257" s="51"/>
    </row>
    <row r="258" spans="12:15" ht="15" customHeight="1" x14ac:dyDescent="0.3">
      <c r="L258" t="str">
        <f t="shared" si="200"/>
        <v/>
      </c>
      <c r="O258" s="51"/>
    </row>
    <row r="259" spans="12:15" ht="15" customHeight="1" x14ac:dyDescent="0.3">
      <c r="L259" t="str">
        <f t="shared" si="200"/>
        <v/>
      </c>
      <c r="O259" s="51"/>
    </row>
    <row r="260" spans="12:15" ht="15" customHeight="1" x14ac:dyDescent="0.3">
      <c r="L260" t="str">
        <f t="shared" ref="L260:L323" si="201">IF($A260="","",K260*D260)</f>
        <v/>
      </c>
      <c r="O260" s="51"/>
    </row>
    <row r="261" spans="12:15" ht="15" customHeight="1" x14ac:dyDescent="0.3">
      <c r="L261" t="str">
        <f t="shared" si="201"/>
        <v/>
      </c>
      <c r="O261" s="51"/>
    </row>
    <row r="262" spans="12:15" ht="15" customHeight="1" x14ac:dyDescent="0.3">
      <c r="L262" t="str">
        <f t="shared" si="201"/>
        <v/>
      </c>
      <c r="O262" s="51"/>
    </row>
    <row r="263" spans="12:15" ht="15" customHeight="1" x14ac:dyDescent="0.3">
      <c r="L263" t="str">
        <f t="shared" si="201"/>
        <v/>
      </c>
      <c r="O263" s="51"/>
    </row>
    <row r="264" spans="12:15" ht="15" customHeight="1" x14ac:dyDescent="0.3">
      <c r="L264" t="str">
        <f t="shared" si="201"/>
        <v/>
      </c>
      <c r="O264" s="51"/>
    </row>
    <row r="265" spans="12:15" ht="15" customHeight="1" x14ac:dyDescent="0.3">
      <c r="L265" t="str">
        <f t="shared" si="201"/>
        <v/>
      </c>
      <c r="O265" s="51"/>
    </row>
    <row r="266" spans="12:15" ht="15" customHeight="1" x14ac:dyDescent="0.3">
      <c r="L266" t="str">
        <f t="shared" si="201"/>
        <v/>
      </c>
      <c r="O266" s="51"/>
    </row>
    <row r="267" spans="12:15" ht="15" customHeight="1" x14ac:dyDescent="0.3">
      <c r="L267" t="str">
        <f t="shared" si="201"/>
        <v/>
      </c>
      <c r="O267" s="51"/>
    </row>
    <row r="268" spans="12:15" ht="15" customHeight="1" x14ac:dyDescent="0.3">
      <c r="L268" t="str">
        <f t="shared" si="201"/>
        <v/>
      </c>
      <c r="O268" s="51"/>
    </row>
    <row r="269" spans="12:15" ht="15" customHeight="1" x14ac:dyDescent="0.3">
      <c r="L269" t="str">
        <f t="shared" si="201"/>
        <v/>
      </c>
      <c r="O269" s="51"/>
    </row>
    <row r="270" spans="12:15" ht="15" customHeight="1" x14ac:dyDescent="0.3">
      <c r="L270" t="str">
        <f t="shared" si="201"/>
        <v/>
      </c>
      <c r="O270" s="51"/>
    </row>
    <row r="271" spans="12:15" ht="15" customHeight="1" x14ac:dyDescent="0.3">
      <c r="L271" t="str">
        <f t="shared" si="201"/>
        <v/>
      </c>
      <c r="O271" s="51"/>
    </row>
    <row r="272" spans="12:15" ht="15" customHeight="1" x14ac:dyDescent="0.3">
      <c r="L272" t="str">
        <f t="shared" si="201"/>
        <v/>
      </c>
      <c r="O272" s="51"/>
    </row>
    <row r="273" spans="12:15" ht="15" customHeight="1" x14ac:dyDescent="0.3">
      <c r="L273" t="str">
        <f t="shared" si="201"/>
        <v/>
      </c>
      <c r="O273" s="51"/>
    </row>
    <row r="274" spans="12:15" ht="15" customHeight="1" x14ac:dyDescent="0.3">
      <c r="L274" t="str">
        <f t="shared" si="201"/>
        <v/>
      </c>
      <c r="O274" s="51"/>
    </row>
    <row r="275" spans="12:15" ht="15" customHeight="1" x14ac:dyDescent="0.3">
      <c r="L275" t="str">
        <f t="shared" si="201"/>
        <v/>
      </c>
      <c r="O275" s="51"/>
    </row>
    <row r="276" spans="12:15" ht="15" customHeight="1" x14ac:dyDescent="0.3">
      <c r="L276" t="str">
        <f t="shared" si="201"/>
        <v/>
      </c>
      <c r="O276" s="51"/>
    </row>
    <row r="277" spans="12:15" ht="15" customHeight="1" x14ac:dyDescent="0.3">
      <c r="L277" t="str">
        <f t="shared" si="201"/>
        <v/>
      </c>
      <c r="O277" s="51"/>
    </row>
    <row r="278" spans="12:15" ht="15" customHeight="1" x14ac:dyDescent="0.3">
      <c r="L278" t="str">
        <f t="shared" si="201"/>
        <v/>
      </c>
      <c r="O278" s="51"/>
    </row>
    <row r="279" spans="12:15" ht="15" customHeight="1" x14ac:dyDescent="0.3">
      <c r="L279" t="str">
        <f t="shared" si="201"/>
        <v/>
      </c>
      <c r="O279" s="51"/>
    </row>
    <row r="280" spans="12:15" ht="15" customHeight="1" x14ac:dyDescent="0.3">
      <c r="L280" t="str">
        <f t="shared" si="201"/>
        <v/>
      </c>
      <c r="O280" s="51"/>
    </row>
    <row r="281" spans="12:15" ht="15" customHeight="1" x14ac:dyDescent="0.3">
      <c r="L281" t="str">
        <f t="shared" si="201"/>
        <v/>
      </c>
      <c r="O281" s="51"/>
    </row>
    <row r="282" spans="12:15" ht="15" customHeight="1" x14ac:dyDescent="0.3">
      <c r="L282" t="str">
        <f t="shared" si="201"/>
        <v/>
      </c>
      <c r="O282" s="51"/>
    </row>
    <row r="283" spans="12:15" ht="15" customHeight="1" x14ac:dyDescent="0.3">
      <c r="L283" t="str">
        <f t="shared" si="201"/>
        <v/>
      </c>
      <c r="O283" s="51"/>
    </row>
    <row r="284" spans="12:15" ht="15" customHeight="1" x14ac:dyDescent="0.3">
      <c r="L284" t="str">
        <f t="shared" si="201"/>
        <v/>
      </c>
      <c r="O284" s="51"/>
    </row>
    <row r="285" spans="12:15" ht="15" customHeight="1" x14ac:dyDescent="0.3">
      <c r="L285" t="str">
        <f t="shared" si="201"/>
        <v/>
      </c>
      <c r="O285" s="51"/>
    </row>
    <row r="286" spans="12:15" ht="15" customHeight="1" x14ac:dyDescent="0.3">
      <c r="L286" t="str">
        <f t="shared" si="201"/>
        <v/>
      </c>
      <c r="O286" s="51"/>
    </row>
    <row r="287" spans="12:15" ht="15" customHeight="1" x14ac:dyDescent="0.3">
      <c r="L287" t="str">
        <f t="shared" si="201"/>
        <v/>
      </c>
      <c r="O287" s="51"/>
    </row>
    <row r="288" spans="12:15" ht="15" customHeight="1" x14ac:dyDescent="0.3">
      <c r="L288" t="str">
        <f t="shared" si="201"/>
        <v/>
      </c>
      <c r="O288" s="51"/>
    </row>
    <row r="289" spans="12:15" ht="15" customHeight="1" x14ac:dyDescent="0.3">
      <c r="L289" t="str">
        <f t="shared" si="201"/>
        <v/>
      </c>
      <c r="O289" s="51"/>
    </row>
    <row r="290" spans="12:15" ht="15" customHeight="1" x14ac:dyDescent="0.3">
      <c r="L290" t="str">
        <f t="shared" si="201"/>
        <v/>
      </c>
      <c r="O290" s="51"/>
    </row>
    <row r="291" spans="12:15" ht="15" customHeight="1" x14ac:dyDescent="0.3">
      <c r="L291" t="str">
        <f t="shared" si="201"/>
        <v/>
      </c>
      <c r="O291" s="51"/>
    </row>
    <row r="292" spans="12:15" ht="15" customHeight="1" x14ac:dyDescent="0.3">
      <c r="L292" t="str">
        <f t="shared" si="201"/>
        <v/>
      </c>
      <c r="O292" s="51"/>
    </row>
    <row r="293" spans="12:15" ht="15" customHeight="1" x14ac:dyDescent="0.3">
      <c r="L293" t="str">
        <f t="shared" si="201"/>
        <v/>
      </c>
      <c r="O293" s="51"/>
    </row>
    <row r="294" spans="12:15" ht="15" customHeight="1" x14ac:dyDescent="0.3">
      <c r="L294" t="str">
        <f t="shared" si="201"/>
        <v/>
      </c>
      <c r="O294" s="51"/>
    </row>
    <row r="295" spans="12:15" ht="15" customHeight="1" x14ac:dyDescent="0.3">
      <c r="L295" t="str">
        <f t="shared" si="201"/>
        <v/>
      </c>
      <c r="O295" s="51"/>
    </row>
    <row r="296" spans="12:15" ht="15" customHeight="1" x14ac:dyDescent="0.3">
      <c r="L296" t="str">
        <f t="shared" si="201"/>
        <v/>
      </c>
      <c r="O296" s="51"/>
    </row>
    <row r="297" spans="12:15" ht="15" customHeight="1" x14ac:dyDescent="0.3">
      <c r="L297" t="str">
        <f t="shared" si="201"/>
        <v/>
      </c>
      <c r="O297" s="51"/>
    </row>
    <row r="298" spans="12:15" ht="15" customHeight="1" x14ac:dyDescent="0.3">
      <c r="L298" t="str">
        <f t="shared" si="201"/>
        <v/>
      </c>
      <c r="O298" s="51"/>
    </row>
    <row r="299" spans="12:15" ht="15" customHeight="1" x14ac:dyDescent="0.3">
      <c r="L299" t="str">
        <f t="shared" si="201"/>
        <v/>
      </c>
      <c r="O299" s="51"/>
    </row>
    <row r="300" spans="12:15" ht="15" customHeight="1" x14ac:dyDescent="0.3">
      <c r="L300" t="str">
        <f t="shared" si="201"/>
        <v/>
      </c>
      <c r="O300" s="51"/>
    </row>
    <row r="301" spans="12:15" ht="15" customHeight="1" x14ac:dyDescent="0.3">
      <c r="L301" t="str">
        <f t="shared" si="201"/>
        <v/>
      </c>
      <c r="O301" s="51"/>
    </row>
    <row r="302" spans="12:15" ht="15" customHeight="1" x14ac:dyDescent="0.3">
      <c r="L302" t="str">
        <f t="shared" si="201"/>
        <v/>
      </c>
      <c r="O302" s="51"/>
    </row>
    <row r="303" spans="12:15" ht="15" customHeight="1" x14ac:dyDescent="0.3">
      <c r="L303" t="str">
        <f t="shared" si="201"/>
        <v/>
      </c>
      <c r="O303" s="51"/>
    </row>
    <row r="304" spans="12:15" ht="15" customHeight="1" x14ac:dyDescent="0.3">
      <c r="L304" t="str">
        <f t="shared" si="201"/>
        <v/>
      </c>
      <c r="O304" s="51"/>
    </row>
    <row r="305" spans="12:15" ht="15" customHeight="1" x14ac:dyDescent="0.3">
      <c r="L305" t="str">
        <f t="shared" si="201"/>
        <v/>
      </c>
      <c r="O305" s="51"/>
    </row>
    <row r="306" spans="12:15" ht="15" customHeight="1" x14ac:dyDescent="0.3">
      <c r="L306" t="str">
        <f t="shared" si="201"/>
        <v/>
      </c>
      <c r="O306" s="51"/>
    </row>
    <row r="307" spans="12:15" ht="15" customHeight="1" x14ac:dyDescent="0.3">
      <c r="L307" t="str">
        <f t="shared" si="201"/>
        <v/>
      </c>
      <c r="O307" s="51"/>
    </row>
    <row r="308" spans="12:15" ht="15" customHeight="1" x14ac:dyDescent="0.3">
      <c r="L308" t="str">
        <f t="shared" si="201"/>
        <v/>
      </c>
      <c r="O308" s="51"/>
    </row>
    <row r="309" spans="12:15" ht="15" customHeight="1" x14ac:dyDescent="0.3">
      <c r="L309" t="str">
        <f t="shared" si="201"/>
        <v/>
      </c>
      <c r="O309" s="51"/>
    </row>
    <row r="310" spans="12:15" ht="15" customHeight="1" x14ac:dyDescent="0.3">
      <c r="L310" t="str">
        <f t="shared" si="201"/>
        <v/>
      </c>
      <c r="O310" s="51"/>
    </row>
    <row r="311" spans="12:15" ht="15" customHeight="1" x14ac:dyDescent="0.3">
      <c r="L311" t="str">
        <f t="shared" si="201"/>
        <v/>
      </c>
      <c r="O311" s="51"/>
    </row>
    <row r="312" spans="12:15" ht="15" customHeight="1" x14ac:dyDescent="0.3">
      <c r="L312" t="str">
        <f t="shared" si="201"/>
        <v/>
      </c>
      <c r="O312" s="51"/>
    </row>
    <row r="313" spans="12:15" ht="15" customHeight="1" x14ac:dyDescent="0.3">
      <c r="L313" t="str">
        <f t="shared" si="201"/>
        <v/>
      </c>
      <c r="O313" s="51"/>
    </row>
    <row r="314" spans="12:15" ht="15" customHeight="1" x14ac:dyDescent="0.3">
      <c r="L314" t="str">
        <f t="shared" si="201"/>
        <v/>
      </c>
      <c r="O314" s="51"/>
    </row>
    <row r="315" spans="12:15" ht="15" customHeight="1" x14ac:dyDescent="0.3">
      <c r="L315" t="str">
        <f t="shared" si="201"/>
        <v/>
      </c>
      <c r="O315" s="51"/>
    </row>
    <row r="316" spans="12:15" ht="15" customHeight="1" x14ac:dyDescent="0.3">
      <c r="L316" t="str">
        <f t="shared" si="201"/>
        <v/>
      </c>
      <c r="O316" s="51"/>
    </row>
    <row r="317" spans="12:15" ht="15" customHeight="1" x14ac:dyDescent="0.3">
      <c r="L317" t="str">
        <f t="shared" si="201"/>
        <v/>
      </c>
      <c r="O317" s="51"/>
    </row>
    <row r="318" spans="12:15" ht="15" customHeight="1" x14ac:dyDescent="0.3">
      <c r="L318" t="str">
        <f t="shared" si="201"/>
        <v/>
      </c>
      <c r="O318" s="51"/>
    </row>
    <row r="319" spans="12:15" ht="15" customHeight="1" x14ac:dyDescent="0.3">
      <c r="L319" t="str">
        <f t="shared" si="201"/>
        <v/>
      </c>
      <c r="O319" s="51"/>
    </row>
    <row r="320" spans="12:15" ht="15" customHeight="1" x14ac:dyDescent="0.3">
      <c r="L320" t="str">
        <f t="shared" si="201"/>
        <v/>
      </c>
      <c r="O320" s="51"/>
    </row>
    <row r="321" spans="12:15" ht="15" customHeight="1" x14ac:dyDescent="0.3">
      <c r="L321" t="str">
        <f t="shared" si="201"/>
        <v/>
      </c>
      <c r="O321" s="51"/>
    </row>
    <row r="322" spans="12:15" ht="15" customHeight="1" x14ac:dyDescent="0.3">
      <c r="L322" t="str">
        <f t="shared" si="201"/>
        <v/>
      </c>
      <c r="O322" s="51"/>
    </row>
    <row r="323" spans="12:15" ht="15" customHeight="1" x14ac:dyDescent="0.3">
      <c r="L323" t="str">
        <f t="shared" si="201"/>
        <v/>
      </c>
      <c r="O323" s="51"/>
    </row>
    <row r="324" spans="12:15" ht="15" customHeight="1" x14ac:dyDescent="0.3">
      <c r="L324" t="str">
        <f t="shared" ref="L324:L387" si="202">IF($A324="","",K324*D324)</f>
        <v/>
      </c>
      <c r="O324" s="51"/>
    </row>
    <row r="325" spans="12:15" ht="15" customHeight="1" x14ac:dyDescent="0.3">
      <c r="L325" t="str">
        <f t="shared" si="202"/>
        <v/>
      </c>
      <c r="O325" s="51"/>
    </row>
    <row r="326" spans="12:15" ht="15" customHeight="1" x14ac:dyDescent="0.3">
      <c r="L326" t="str">
        <f t="shared" si="202"/>
        <v/>
      </c>
      <c r="O326" s="51"/>
    </row>
    <row r="327" spans="12:15" ht="15" customHeight="1" x14ac:dyDescent="0.3">
      <c r="L327" t="str">
        <f t="shared" si="202"/>
        <v/>
      </c>
      <c r="O327" s="51"/>
    </row>
    <row r="328" spans="12:15" ht="15" customHeight="1" x14ac:dyDescent="0.3">
      <c r="L328" t="str">
        <f t="shared" si="202"/>
        <v/>
      </c>
      <c r="O328" s="51"/>
    </row>
    <row r="329" spans="12:15" ht="15" customHeight="1" x14ac:dyDescent="0.3">
      <c r="L329" t="str">
        <f t="shared" si="202"/>
        <v/>
      </c>
      <c r="O329" s="51"/>
    </row>
    <row r="330" spans="12:15" ht="15" customHeight="1" x14ac:dyDescent="0.3">
      <c r="L330" t="str">
        <f t="shared" si="202"/>
        <v/>
      </c>
      <c r="O330" s="51"/>
    </row>
    <row r="331" spans="12:15" ht="15" customHeight="1" x14ac:dyDescent="0.3">
      <c r="L331" t="str">
        <f t="shared" si="202"/>
        <v/>
      </c>
      <c r="O331" s="51"/>
    </row>
    <row r="332" spans="12:15" ht="15" customHeight="1" x14ac:dyDescent="0.3">
      <c r="L332" t="str">
        <f t="shared" si="202"/>
        <v/>
      </c>
      <c r="O332" s="51"/>
    </row>
    <row r="333" spans="12:15" ht="15" customHeight="1" x14ac:dyDescent="0.3">
      <c r="L333" t="str">
        <f t="shared" si="202"/>
        <v/>
      </c>
      <c r="O333" s="51"/>
    </row>
    <row r="334" spans="12:15" ht="15" customHeight="1" x14ac:dyDescent="0.3">
      <c r="L334" t="str">
        <f t="shared" si="202"/>
        <v/>
      </c>
      <c r="O334" s="51"/>
    </row>
    <row r="335" spans="12:15" ht="15" customHeight="1" x14ac:dyDescent="0.3">
      <c r="L335" t="str">
        <f t="shared" si="202"/>
        <v/>
      </c>
      <c r="O335" s="51"/>
    </row>
    <row r="336" spans="12:15" ht="15" customHeight="1" x14ac:dyDescent="0.3">
      <c r="L336" t="str">
        <f t="shared" si="202"/>
        <v/>
      </c>
      <c r="O336" s="51"/>
    </row>
    <row r="337" spans="12:15" ht="15" customHeight="1" x14ac:dyDescent="0.3">
      <c r="L337" t="str">
        <f t="shared" si="202"/>
        <v/>
      </c>
      <c r="O337" s="51"/>
    </row>
    <row r="338" spans="12:15" ht="15" customHeight="1" x14ac:dyDescent="0.3">
      <c r="L338" t="str">
        <f t="shared" si="202"/>
        <v/>
      </c>
      <c r="O338" s="51"/>
    </row>
    <row r="339" spans="12:15" ht="15" customHeight="1" x14ac:dyDescent="0.3">
      <c r="L339" t="str">
        <f t="shared" si="202"/>
        <v/>
      </c>
      <c r="O339" s="51"/>
    </row>
    <row r="340" spans="12:15" ht="15" customHeight="1" x14ac:dyDescent="0.3">
      <c r="L340" t="str">
        <f t="shared" si="202"/>
        <v/>
      </c>
      <c r="O340" s="51"/>
    </row>
    <row r="341" spans="12:15" ht="15" customHeight="1" x14ac:dyDescent="0.3">
      <c r="L341" t="str">
        <f t="shared" si="202"/>
        <v/>
      </c>
      <c r="O341" s="51"/>
    </row>
    <row r="342" spans="12:15" ht="15" customHeight="1" x14ac:dyDescent="0.3">
      <c r="L342" t="str">
        <f t="shared" si="202"/>
        <v/>
      </c>
      <c r="O342" s="51"/>
    </row>
    <row r="343" spans="12:15" ht="15" customHeight="1" x14ac:dyDescent="0.3">
      <c r="L343" t="str">
        <f t="shared" si="202"/>
        <v/>
      </c>
      <c r="O343" s="51"/>
    </row>
    <row r="344" spans="12:15" ht="15" customHeight="1" x14ac:dyDescent="0.3">
      <c r="L344" t="str">
        <f t="shared" si="202"/>
        <v/>
      </c>
      <c r="O344" s="51"/>
    </row>
    <row r="345" spans="12:15" ht="15" customHeight="1" x14ac:dyDescent="0.3">
      <c r="L345" t="str">
        <f t="shared" si="202"/>
        <v/>
      </c>
      <c r="O345" s="51"/>
    </row>
    <row r="346" spans="12:15" ht="15" customHeight="1" x14ac:dyDescent="0.3">
      <c r="L346" t="str">
        <f t="shared" si="202"/>
        <v/>
      </c>
      <c r="O346" s="51"/>
    </row>
    <row r="347" spans="12:15" ht="15" customHeight="1" x14ac:dyDescent="0.3">
      <c r="L347" t="str">
        <f t="shared" si="202"/>
        <v/>
      </c>
      <c r="O347" s="51"/>
    </row>
    <row r="348" spans="12:15" ht="15" customHeight="1" x14ac:dyDescent="0.3">
      <c r="L348" t="str">
        <f t="shared" si="202"/>
        <v/>
      </c>
      <c r="O348" s="51"/>
    </row>
    <row r="349" spans="12:15" ht="15" customHeight="1" x14ac:dyDescent="0.3">
      <c r="L349" t="str">
        <f t="shared" si="202"/>
        <v/>
      </c>
      <c r="O349" s="51"/>
    </row>
    <row r="350" spans="12:15" ht="15" customHeight="1" x14ac:dyDescent="0.3">
      <c r="L350" t="str">
        <f t="shared" si="202"/>
        <v/>
      </c>
      <c r="O350" s="51"/>
    </row>
    <row r="351" spans="12:15" ht="15" customHeight="1" x14ac:dyDescent="0.3">
      <c r="L351" t="str">
        <f t="shared" si="202"/>
        <v/>
      </c>
      <c r="O351" s="51"/>
    </row>
    <row r="352" spans="12:15" ht="15" customHeight="1" x14ac:dyDescent="0.3">
      <c r="L352" t="str">
        <f t="shared" si="202"/>
        <v/>
      </c>
      <c r="O352" s="51"/>
    </row>
    <row r="353" spans="12:15" ht="15" customHeight="1" x14ac:dyDescent="0.3">
      <c r="L353" t="str">
        <f t="shared" si="202"/>
        <v/>
      </c>
      <c r="O353" s="51"/>
    </row>
    <row r="354" spans="12:15" ht="15" customHeight="1" x14ac:dyDescent="0.3">
      <c r="L354" t="str">
        <f t="shared" si="202"/>
        <v/>
      </c>
      <c r="O354" s="51"/>
    </row>
    <row r="355" spans="12:15" ht="15" customHeight="1" x14ac:dyDescent="0.3">
      <c r="L355" t="str">
        <f t="shared" si="202"/>
        <v/>
      </c>
      <c r="O355" s="51"/>
    </row>
    <row r="356" spans="12:15" ht="15" customHeight="1" x14ac:dyDescent="0.3">
      <c r="L356" t="str">
        <f t="shared" si="202"/>
        <v/>
      </c>
      <c r="O356" s="51"/>
    </row>
    <row r="357" spans="12:15" ht="15" customHeight="1" x14ac:dyDescent="0.3">
      <c r="L357" t="str">
        <f t="shared" si="202"/>
        <v/>
      </c>
      <c r="O357" s="51"/>
    </row>
    <row r="358" spans="12:15" ht="15" customHeight="1" x14ac:dyDescent="0.3">
      <c r="L358" t="str">
        <f t="shared" si="202"/>
        <v/>
      </c>
      <c r="O358" s="51"/>
    </row>
    <row r="359" spans="12:15" ht="15" customHeight="1" x14ac:dyDescent="0.3">
      <c r="L359" t="str">
        <f t="shared" si="202"/>
        <v/>
      </c>
      <c r="O359" s="51"/>
    </row>
    <row r="360" spans="12:15" ht="15" customHeight="1" x14ac:dyDescent="0.3">
      <c r="L360" t="str">
        <f t="shared" si="202"/>
        <v/>
      </c>
      <c r="O360" s="51"/>
    </row>
    <row r="361" spans="12:15" ht="15" customHeight="1" x14ac:dyDescent="0.3">
      <c r="L361" t="str">
        <f t="shared" si="202"/>
        <v/>
      </c>
      <c r="O361" s="51"/>
    </row>
    <row r="362" spans="12:15" ht="15" customHeight="1" x14ac:dyDescent="0.3">
      <c r="L362" t="str">
        <f t="shared" si="202"/>
        <v/>
      </c>
      <c r="O362" s="51"/>
    </row>
    <row r="363" spans="12:15" ht="15" customHeight="1" x14ac:dyDescent="0.3">
      <c r="L363" t="str">
        <f t="shared" si="202"/>
        <v/>
      </c>
      <c r="O363" s="51"/>
    </row>
    <row r="364" spans="12:15" ht="15" customHeight="1" x14ac:dyDescent="0.3">
      <c r="L364" t="str">
        <f t="shared" si="202"/>
        <v/>
      </c>
      <c r="O364" s="51"/>
    </row>
    <row r="365" spans="12:15" ht="15" customHeight="1" x14ac:dyDescent="0.3">
      <c r="L365" t="str">
        <f t="shared" si="202"/>
        <v/>
      </c>
      <c r="O365" s="51"/>
    </row>
    <row r="366" spans="12:15" ht="15" customHeight="1" x14ac:dyDescent="0.3">
      <c r="L366" t="str">
        <f t="shared" si="202"/>
        <v/>
      </c>
      <c r="O366" s="51"/>
    </row>
    <row r="367" spans="12:15" ht="15" customHeight="1" x14ac:dyDescent="0.3">
      <c r="L367" t="str">
        <f t="shared" si="202"/>
        <v/>
      </c>
      <c r="O367" s="51"/>
    </row>
    <row r="368" spans="12:15" ht="15" customHeight="1" x14ac:dyDescent="0.3">
      <c r="L368" t="str">
        <f t="shared" si="202"/>
        <v/>
      </c>
      <c r="O368" s="51"/>
    </row>
    <row r="369" spans="12:15" ht="15" customHeight="1" x14ac:dyDescent="0.3">
      <c r="L369" t="str">
        <f t="shared" si="202"/>
        <v/>
      </c>
      <c r="O369" s="51"/>
    </row>
    <row r="370" spans="12:15" ht="15" customHeight="1" x14ac:dyDescent="0.3">
      <c r="L370" t="str">
        <f t="shared" si="202"/>
        <v/>
      </c>
      <c r="O370" s="51"/>
    </row>
    <row r="371" spans="12:15" ht="15" customHeight="1" x14ac:dyDescent="0.3">
      <c r="L371" t="str">
        <f t="shared" si="202"/>
        <v/>
      </c>
      <c r="O371" s="51"/>
    </row>
    <row r="372" spans="12:15" ht="15" customHeight="1" x14ac:dyDescent="0.3">
      <c r="L372" t="str">
        <f t="shared" si="202"/>
        <v/>
      </c>
      <c r="O372" s="51"/>
    </row>
    <row r="373" spans="12:15" ht="15" customHeight="1" x14ac:dyDescent="0.3">
      <c r="L373" t="str">
        <f t="shared" si="202"/>
        <v/>
      </c>
      <c r="O373" s="51"/>
    </row>
    <row r="374" spans="12:15" ht="15" customHeight="1" x14ac:dyDescent="0.3">
      <c r="L374" t="str">
        <f t="shared" si="202"/>
        <v/>
      </c>
      <c r="O374" s="51"/>
    </row>
    <row r="375" spans="12:15" ht="15" customHeight="1" x14ac:dyDescent="0.3">
      <c r="L375" t="str">
        <f t="shared" si="202"/>
        <v/>
      </c>
      <c r="O375" s="51"/>
    </row>
    <row r="376" spans="12:15" ht="15" customHeight="1" x14ac:dyDescent="0.3">
      <c r="L376" t="str">
        <f t="shared" si="202"/>
        <v/>
      </c>
      <c r="O376" s="51"/>
    </row>
    <row r="377" spans="12:15" ht="15" customHeight="1" x14ac:dyDescent="0.3">
      <c r="L377" t="str">
        <f t="shared" si="202"/>
        <v/>
      </c>
      <c r="O377" s="51"/>
    </row>
    <row r="378" spans="12:15" ht="15" customHeight="1" x14ac:dyDescent="0.3">
      <c r="L378" t="str">
        <f t="shared" si="202"/>
        <v/>
      </c>
      <c r="O378" s="51"/>
    </row>
    <row r="379" spans="12:15" ht="15" customHeight="1" x14ac:dyDescent="0.3">
      <c r="L379" t="str">
        <f t="shared" si="202"/>
        <v/>
      </c>
      <c r="O379" s="51"/>
    </row>
    <row r="380" spans="12:15" ht="15" customHeight="1" x14ac:dyDescent="0.3">
      <c r="L380" t="str">
        <f t="shared" si="202"/>
        <v/>
      </c>
      <c r="O380" s="51"/>
    </row>
    <row r="381" spans="12:15" ht="15" customHeight="1" x14ac:dyDescent="0.3">
      <c r="L381" t="str">
        <f t="shared" si="202"/>
        <v/>
      </c>
      <c r="O381" s="51"/>
    </row>
    <row r="382" spans="12:15" ht="15" customHeight="1" x14ac:dyDescent="0.3">
      <c r="L382" t="str">
        <f t="shared" si="202"/>
        <v/>
      </c>
      <c r="O382" s="51"/>
    </row>
    <row r="383" spans="12:15" ht="15" customHeight="1" x14ac:dyDescent="0.3">
      <c r="L383" t="str">
        <f t="shared" si="202"/>
        <v/>
      </c>
      <c r="O383" s="51"/>
    </row>
    <row r="384" spans="12:15" ht="15" customHeight="1" x14ac:dyDescent="0.3">
      <c r="L384" t="str">
        <f t="shared" si="202"/>
        <v/>
      </c>
      <c r="O384" s="51"/>
    </row>
    <row r="385" spans="12:15" ht="15" customHeight="1" x14ac:dyDescent="0.3">
      <c r="L385" t="str">
        <f t="shared" si="202"/>
        <v/>
      </c>
      <c r="O385" s="51"/>
    </row>
    <row r="386" spans="12:15" ht="15" customHeight="1" x14ac:dyDescent="0.3">
      <c r="L386" t="str">
        <f t="shared" si="202"/>
        <v/>
      </c>
      <c r="O386" s="51"/>
    </row>
    <row r="387" spans="12:15" ht="15" customHeight="1" x14ac:dyDescent="0.3">
      <c r="L387" t="str">
        <f t="shared" si="202"/>
        <v/>
      </c>
      <c r="O387" s="51"/>
    </row>
    <row r="388" spans="12:15" ht="15" customHeight="1" x14ac:dyDescent="0.3">
      <c r="L388" t="str">
        <f t="shared" ref="L388:L451" si="203">IF($A388="","",K388*D388)</f>
        <v/>
      </c>
      <c r="O388" s="51"/>
    </row>
    <row r="389" spans="12:15" ht="15" customHeight="1" x14ac:dyDescent="0.3">
      <c r="L389" t="str">
        <f t="shared" si="203"/>
        <v/>
      </c>
      <c r="O389" s="51"/>
    </row>
    <row r="390" spans="12:15" ht="15" customHeight="1" x14ac:dyDescent="0.3">
      <c r="L390" t="str">
        <f t="shared" si="203"/>
        <v/>
      </c>
      <c r="O390" s="51"/>
    </row>
    <row r="391" spans="12:15" ht="15" customHeight="1" x14ac:dyDescent="0.3">
      <c r="L391" t="str">
        <f t="shared" si="203"/>
        <v/>
      </c>
      <c r="O391" s="51"/>
    </row>
    <row r="392" spans="12:15" ht="15" customHeight="1" x14ac:dyDescent="0.3">
      <c r="L392" t="str">
        <f t="shared" si="203"/>
        <v/>
      </c>
      <c r="O392" s="51"/>
    </row>
    <row r="393" spans="12:15" ht="15" customHeight="1" x14ac:dyDescent="0.3">
      <c r="L393" t="str">
        <f t="shared" si="203"/>
        <v/>
      </c>
      <c r="O393" s="51"/>
    </row>
    <row r="394" spans="12:15" ht="15" customHeight="1" x14ac:dyDescent="0.3">
      <c r="L394" t="str">
        <f t="shared" si="203"/>
        <v/>
      </c>
      <c r="O394" s="51"/>
    </row>
    <row r="395" spans="12:15" ht="15" customHeight="1" x14ac:dyDescent="0.3">
      <c r="L395" t="str">
        <f t="shared" si="203"/>
        <v/>
      </c>
      <c r="O395" s="51"/>
    </row>
    <row r="396" spans="12:15" ht="15" customHeight="1" x14ac:dyDescent="0.3">
      <c r="L396" t="str">
        <f t="shared" si="203"/>
        <v/>
      </c>
      <c r="O396" s="51"/>
    </row>
    <row r="397" spans="12:15" ht="15" customHeight="1" x14ac:dyDescent="0.3">
      <c r="L397" t="str">
        <f t="shared" si="203"/>
        <v/>
      </c>
      <c r="O397" s="51"/>
    </row>
    <row r="398" spans="12:15" ht="15" customHeight="1" x14ac:dyDescent="0.3">
      <c r="L398" t="str">
        <f t="shared" si="203"/>
        <v/>
      </c>
      <c r="O398" s="51"/>
    </row>
    <row r="399" spans="12:15" ht="15" customHeight="1" x14ac:dyDescent="0.3">
      <c r="L399" t="str">
        <f t="shared" si="203"/>
        <v/>
      </c>
      <c r="O399" s="51"/>
    </row>
    <row r="400" spans="12:15" ht="15" customHeight="1" x14ac:dyDescent="0.3">
      <c r="L400" t="str">
        <f t="shared" si="203"/>
        <v/>
      </c>
      <c r="O400" s="51"/>
    </row>
    <row r="401" spans="12:15" ht="15" customHeight="1" x14ac:dyDescent="0.3">
      <c r="L401" t="str">
        <f t="shared" si="203"/>
        <v/>
      </c>
      <c r="O401" s="51"/>
    </row>
    <row r="402" spans="12:15" ht="15" customHeight="1" x14ac:dyDescent="0.3">
      <c r="L402" t="str">
        <f t="shared" si="203"/>
        <v/>
      </c>
      <c r="O402" s="51"/>
    </row>
    <row r="403" spans="12:15" ht="15" customHeight="1" x14ac:dyDescent="0.3">
      <c r="L403" t="str">
        <f t="shared" si="203"/>
        <v/>
      </c>
      <c r="O403" s="51"/>
    </row>
    <row r="404" spans="12:15" ht="15" customHeight="1" x14ac:dyDescent="0.3">
      <c r="L404" t="str">
        <f t="shared" si="203"/>
        <v/>
      </c>
      <c r="O404" s="51"/>
    </row>
    <row r="405" spans="12:15" ht="15" customHeight="1" x14ac:dyDescent="0.3">
      <c r="L405" t="str">
        <f t="shared" si="203"/>
        <v/>
      </c>
      <c r="O405" s="51"/>
    </row>
    <row r="406" spans="12:15" ht="15" customHeight="1" x14ac:dyDescent="0.3">
      <c r="L406" t="str">
        <f t="shared" si="203"/>
        <v/>
      </c>
      <c r="O406" s="51"/>
    </row>
    <row r="407" spans="12:15" ht="15" customHeight="1" x14ac:dyDescent="0.3">
      <c r="L407" t="str">
        <f t="shared" si="203"/>
        <v/>
      </c>
      <c r="O407" s="51"/>
    </row>
    <row r="408" spans="12:15" ht="15" customHeight="1" x14ac:dyDescent="0.3">
      <c r="L408" t="str">
        <f t="shared" si="203"/>
        <v/>
      </c>
      <c r="O408" s="51"/>
    </row>
    <row r="409" spans="12:15" ht="15" customHeight="1" x14ac:dyDescent="0.3">
      <c r="L409" t="str">
        <f t="shared" si="203"/>
        <v/>
      </c>
      <c r="O409" s="51"/>
    </row>
    <row r="410" spans="12:15" ht="15" customHeight="1" x14ac:dyDescent="0.3">
      <c r="L410" t="str">
        <f t="shared" si="203"/>
        <v/>
      </c>
      <c r="O410" s="51"/>
    </row>
    <row r="411" spans="12:15" ht="15" customHeight="1" x14ac:dyDescent="0.3">
      <c r="L411" t="str">
        <f t="shared" si="203"/>
        <v/>
      </c>
      <c r="O411" s="51"/>
    </row>
    <row r="412" spans="12:15" ht="15" customHeight="1" x14ac:dyDescent="0.3">
      <c r="L412" t="str">
        <f t="shared" si="203"/>
        <v/>
      </c>
      <c r="O412" s="51"/>
    </row>
    <row r="413" spans="12:15" ht="15" customHeight="1" x14ac:dyDescent="0.3">
      <c r="L413" t="str">
        <f t="shared" si="203"/>
        <v/>
      </c>
      <c r="O413" s="51"/>
    </row>
    <row r="414" spans="12:15" ht="15" customHeight="1" x14ac:dyDescent="0.3">
      <c r="L414" t="str">
        <f t="shared" si="203"/>
        <v/>
      </c>
      <c r="O414" s="51"/>
    </row>
    <row r="415" spans="12:15" ht="15" customHeight="1" x14ac:dyDescent="0.3">
      <c r="L415" t="str">
        <f t="shared" si="203"/>
        <v/>
      </c>
      <c r="O415" s="51"/>
    </row>
    <row r="416" spans="12:15" ht="15" customHeight="1" x14ac:dyDescent="0.3">
      <c r="L416" t="str">
        <f t="shared" si="203"/>
        <v/>
      </c>
      <c r="O416" s="51"/>
    </row>
    <row r="417" spans="12:15" ht="15" customHeight="1" x14ac:dyDescent="0.3">
      <c r="L417" t="str">
        <f t="shared" si="203"/>
        <v/>
      </c>
      <c r="O417" s="51"/>
    </row>
    <row r="418" spans="12:15" ht="15" customHeight="1" x14ac:dyDescent="0.3">
      <c r="L418" t="str">
        <f t="shared" si="203"/>
        <v/>
      </c>
      <c r="O418" s="51"/>
    </row>
    <row r="419" spans="12:15" ht="15" customHeight="1" x14ac:dyDescent="0.3">
      <c r="L419" t="str">
        <f t="shared" si="203"/>
        <v/>
      </c>
      <c r="O419" s="51"/>
    </row>
    <row r="420" spans="12:15" ht="15" customHeight="1" x14ac:dyDescent="0.3">
      <c r="L420" t="str">
        <f t="shared" si="203"/>
        <v/>
      </c>
      <c r="O420" s="51"/>
    </row>
    <row r="421" spans="12:15" ht="15" customHeight="1" x14ac:dyDescent="0.3">
      <c r="L421" t="str">
        <f t="shared" si="203"/>
        <v/>
      </c>
      <c r="O421" s="51"/>
    </row>
    <row r="422" spans="12:15" ht="15" customHeight="1" x14ac:dyDescent="0.3">
      <c r="L422" t="str">
        <f t="shared" si="203"/>
        <v/>
      </c>
      <c r="O422" s="51"/>
    </row>
    <row r="423" spans="12:15" ht="15" customHeight="1" x14ac:dyDescent="0.3">
      <c r="L423" t="str">
        <f t="shared" si="203"/>
        <v/>
      </c>
      <c r="O423" s="51"/>
    </row>
    <row r="424" spans="12:15" ht="15" customHeight="1" x14ac:dyDescent="0.3">
      <c r="L424" t="str">
        <f t="shared" si="203"/>
        <v/>
      </c>
      <c r="O424" s="51"/>
    </row>
    <row r="425" spans="12:15" ht="15" customHeight="1" x14ac:dyDescent="0.3">
      <c r="L425" t="str">
        <f t="shared" si="203"/>
        <v/>
      </c>
      <c r="O425" s="51"/>
    </row>
    <row r="426" spans="12:15" ht="15" customHeight="1" x14ac:dyDescent="0.3">
      <c r="L426" t="str">
        <f t="shared" si="203"/>
        <v/>
      </c>
      <c r="O426" s="51"/>
    </row>
    <row r="427" spans="12:15" ht="15" customHeight="1" x14ac:dyDescent="0.3">
      <c r="L427" t="str">
        <f t="shared" si="203"/>
        <v/>
      </c>
      <c r="O427" s="51"/>
    </row>
    <row r="428" spans="12:15" ht="15" customHeight="1" x14ac:dyDescent="0.3">
      <c r="L428" t="str">
        <f t="shared" si="203"/>
        <v/>
      </c>
      <c r="O428" s="51"/>
    </row>
    <row r="429" spans="12:15" ht="15" customHeight="1" x14ac:dyDescent="0.3">
      <c r="L429" t="str">
        <f t="shared" si="203"/>
        <v/>
      </c>
      <c r="O429" s="51"/>
    </row>
    <row r="430" spans="12:15" ht="15" customHeight="1" x14ac:dyDescent="0.3">
      <c r="L430" t="str">
        <f t="shared" si="203"/>
        <v/>
      </c>
      <c r="O430" s="51"/>
    </row>
    <row r="431" spans="12:15" ht="15" customHeight="1" x14ac:dyDescent="0.3">
      <c r="L431" t="str">
        <f t="shared" si="203"/>
        <v/>
      </c>
      <c r="O431" s="51"/>
    </row>
    <row r="432" spans="12:15" ht="15" customHeight="1" x14ac:dyDescent="0.3">
      <c r="L432" t="str">
        <f t="shared" si="203"/>
        <v/>
      </c>
      <c r="O432" s="51"/>
    </row>
    <row r="433" spans="12:15" ht="15" customHeight="1" x14ac:dyDescent="0.3">
      <c r="L433" t="str">
        <f t="shared" si="203"/>
        <v/>
      </c>
      <c r="O433" s="51"/>
    </row>
    <row r="434" spans="12:15" ht="15" customHeight="1" x14ac:dyDescent="0.3">
      <c r="L434" t="str">
        <f t="shared" si="203"/>
        <v/>
      </c>
      <c r="O434" s="51"/>
    </row>
    <row r="435" spans="12:15" ht="15" customHeight="1" x14ac:dyDescent="0.3">
      <c r="L435" t="str">
        <f t="shared" si="203"/>
        <v/>
      </c>
      <c r="O435" s="51"/>
    </row>
    <row r="436" spans="12:15" ht="15" customHeight="1" x14ac:dyDescent="0.3">
      <c r="L436" t="str">
        <f t="shared" si="203"/>
        <v/>
      </c>
      <c r="O436" s="51"/>
    </row>
    <row r="437" spans="12:15" ht="15" customHeight="1" x14ac:dyDescent="0.3">
      <c r="L437" t="str">
        <f t="shared" si="203"/>
        <v/>
      </c>
      <c r="O437" s="51"/>
    </row>
    <row r="438" spans="12:15" ht="15" customHeight="1" x14ac:dyDescent="0.3">
      <c r="L438" t="str">
        <f t="shared" si="203"/>
        <v/>
      </c>
      <c r="O438" s="51"/>
    </row>
    <row r="439" spans="12:15" ht="15" customHeight="1" x14ac:dyDescent="0.3">
      <c r="L439" t="str">
        <f t="shared" si="203"/>
        <v/>
      </c>
      <c r="O439" s="51"/>
    </row>
    <row r="440" spans="12:15" ht="15" customHeight="1" x14ac:dyDescent="0.3">
      <c r="L440" t="str">
        <f t="shared" si="203"/>
        <v/>
      </c>
      <c r="O440" s="51"/>
    </row>
    <row r="441" spans="12:15" ht="15" customHeight="1" x14ac:dyDescent="0.3">
      <c r="L441" t="str">
        <f t="shared" si="203"/>
        <v/>
      </c>
      <c r="O441" s="51"/>
    </row>
    <row r="442" spans="12:15" ht="15" customHeight="1" x14ac:dyDescent="0.3">
      <c r="L442" t="str">
        <f t="shared" si="203"/>
        <v/>
      </c>
      <c r="O442" s="51"/>
    </row>
    <row r="443" spans="12:15" ht="15" customHeight="1" x14ac:dyDescent="0.3">
      <c r="L443" t="str">
        <f t="shared" si="203"/>
        <v/>
      </c>
      <c r="O443" s="51"/>
    </row>
    <row r="444" spans="12:15" ht="15" customHeight="1" x14ac:dyDescent="0.3">
      <c r="L444" t="str">
        <f t="shared" si="203"/>
        <v/>
      </c>
      <c r="O444" s="51"/>
    </row>
    <row r="445" spans="12:15" ht="15" customHeight="1" x14ac:dyDescent="0.3">
      <c r="L445" t="str">
        <f t="shared" si="203"/>
        <v/>
      </c>
      <c r="O445" s="51"/>
    </row>
    <row r="446" spans="12:15" ht="15" customHeight="1" x14ac:dyDescent="0.3">
      <c r="L446" t="str">
        <f t="shared" si="203"/>
        <v/>
      </c>
      <c r="O446" s="51"/>
    </row>
    <row r="447" spans="12:15" ht="15" customHeight="1" x14ac:dyDescent="0.3">
      <c r="L447" t="str">
        <f t="shared" si="203"/>
        <v/>
      </c>
      <c r="O447" s="51"/>
    </row>
    <row r="448" spans="12:15" ht="15" customHeight="1" x14ac:dyDescent="0.3">
      <c r="L448" t="str">
        <f t="shared" si="203"/>
        <v/>
      </c>
      <c r="O448" s="51"/>
    </row>
    <row r="449" spans="12:15" ht="15" customHeight="1" x14ac:dyDescent="0.3">
      <c r="L449" t="str">
        <f t="shared" si="203"/>
        <v/>
      </c>
      <c r="O449" s="51"/>
    </row>
    <row r="450" spans="12:15" ht="15" customHeight="1" x14ac:dyDescent="0.3">
      <c r="L450" t="str">
        <f t="shared" si="203"/>
        <v/>
      </c>
      <c r="O450" s="51"/>
    </row>
    <row r="451" spans="12:15" ht="15" customHeight="1" x14ac:dyDescent="0.3">
      <c r="L451" t="str">
        <f t="shared" si="203"/>
        <v/>
      </c>
      <c r="O451" s="51"/>
    </row>
    <row r="452" spans="12:15" ht="15" customHeight="1" x14ac:dyDescent="0.3">
      <c r="L452" t="str">
        <f t="shared" ref="L452:L515" si="204">IF($A452="","",K452*D452)</f>
        <v/>
      </c>
      <c r="O452" s="51"/>
    </row>
    <row r="453" spans="12:15" ht="15" customHeight="1" x14ac:dyDescent="0.3">
      <c r="L453" t="str">
        <f t="shared" si="204"/>
        <v/>
      </c>
      <c r="O453" s="51"/>
    </row>
    <row r="454" spans="12:15" ht="15" customHeight="1" x14ac:dyDescent="0.3">
      <c r="L454" t="str">
        <f t="shared" si="204"/>
        <v/>
      </c>
      <c r="O454" s="51"/>
    </row>
    <row r="455" spans="12:15" ht="15" customHeight="1" x14ac:dyDescent="0.3">
      <c r="L455" t="str">
        <f t="shared" si="204"/>
        <v/>
      </c>
      <c r="O455" s="51"/>
    </row>
    <row r="456" spans="12:15" ht="15" customHeight="1" x14ac:dyDescent="0.3">
      <c r="L456" t="str">
        <f t="shared" si="204"/>
        <v/>
      </c>
      <c r="O456" s="51"/>
    </row>
    <row r="457" spans="12:15" ht="15" customHeight="1" x14ac:dyDescent="0.3">
      <c r="L457" t="str">
        <f t="shared" si="204"/>
        <v/>
      </c>
      <c r="O457" s="51"/>
    </row>
    <row r="458" spans="12:15" ht="15" customHeight="1" x14ac:dyDescent="0.3">
      <c r="L458" t="str">
        <f t="shared" si="204"/>
        <v/>
      </c>
      <c r="O458" s="51"/>
    </row>
    <row r="459" spans="12:15" ht="15" customHeight="1" x14ac:dyDescent="0.3">
      <c r="L459" t="str">
        <f t="shared" si="204"/>
        <v/>
      </c>
      <c r="O459" s="51"/>
    </row>
    <row r="460" spans="12:15" ht="15" customHeight="1" x14ac:dyDescent="0.3">
      <c r="L460" t="str">
        <f t="shared" si="204"/>
        <v/>
      </c>
      <c r="O460" s="51"/>
    </row>
    <row r="461" spans="12:15" ht="15" customHeight="1" x14ac:dyDescent="0.3">
      <c r="L461" t="str">
        <f t="shared" si="204"/>
        <v/>
      </c>
      <c r="O461" s="51"/>
    </row>
    <row r="462" spans="12:15" ht="15" customHeight="1" x14ac:dyDescent="0.3">
      <c r="L462" t="str">
        <f t="shared" si="204"/>
        <v/>
      </c>
      <c r="O462" s="51"/>
    </row>
    <row r="463" spans="12:15" ht="15" customHeight="1" x14ac:dyDescent="0.3">
      <c r="L463" t="str">
        <f t="shared" si="204"/>
        <v/>
      </c>
      <c r="O463" s="51"/>
    </row>
    <row r="464" spans="12:15" ht="15" customHeight="1" x14ac:dyDescent="0.3">
      <c r="L464" t="str">
        <f t="shared" si="204"/>
        <v/>
      </c>
      <c r="O464" s="51"/>
    </row>
    <row r="465" spans="12:15" ht="15" customHeight="1" x14ac:dyDescent="0.3">
      <c r="L465" t="str">
        <f t="shared" si="204"/>
        <v/>
      </c>
      <c r="O465" s="51"/>
    </row>
    <row r="466" spans="12:15" ht="15" customHeight="1" x14ac:dyDescent="0.3">
      <c r="L466" t="str">
        <f t="shared" si="204"/>
        <v/>
      </c>
      <c r="O466" s="51"/>
    </row>
    <row r="467" spans="12:15" ht="15" customHeight="1" x14ac:dyDescent="0.3">
      <c r="L467" t="str">
        <f t="shared" si="204"/>
        <v/>
      </c>
      <c r="O467" s="51"/>
    </row>
    <row r="468" spans="12:15" ht="15" customHeight="1" x14ac:dyDescent="0.3">
      <c r="L468" t="str">
        <f t="shared" si="204"/>
        <v/>
      </c>
      <c r="O468" s="51"/>
    </row>
    <row r="469" spans="12:15" ht="15" customHeight="1" x14ac:dyDescent="0.3">
      <c r="L469" t="str">
        <f t="shared" si="204"/>
        <v/>
      </c>
      <c r="O469" s="51"/>
    </row>
    <row r="470" spans="12:15" ht="15" customHeight="1" x14ac:dyDescent="0.3">
      <c r="L470" t="str">
        <f t="shared" si="204"/>
        <v/>
      </c>
      <c r="O470" s="51"/>
    </row>
    <row r="471" spans="12:15" ht="15" customHeight="1" x14ac:dyDescent="0.3">
      <c r="L471" t="str">
        <f t="shared" si="204"/>
        <v/>
      </c>
      <c r="O471" s="51"/>
    </row>
    <row r="472" spans="12:15" ht="15" customHeight="1" x14ac:dyDescent="0.3">
      <c r="L472" t="str">
        <f t="shared" si="204"/>
        <v/>
      </c>
      <c r="O472" s="51"/>
    </row>
    <row r="473" spans="12:15" ht="15" customHeight="1" x14ac:dyDescent="0.3">
      <c r="L473" t="str">
        <f t="shared" si="204"/>
        <v/>
      </c>
      <c r="O473" s="51"/>
    </row>
    <row r="474" spans="12:15" ht="15" customHeight="1" x14ac:dyDescent="0.3">
      <c r="L474" t="str">
        <f t="shared" si="204"/>
        <v/>
      </c>
      <c r="O474" s="51"/>
    </row>
    <row r="475" spans="12:15" ht="15" customHeight="1" x14ac:dyDescent="0.3">
      <c r="L475" t="str">
        <f t="shared" si="204"/>
        <v/>
      </c>
      <c r="O475" s="51"/>
    </row>
    <row r="476" spans="12:15" ht="15" customHeight="1" x14ac:dyDescent="0.3">
      <c r="L476" t="str">
        <f t="shared" si="204"/>
        <v/>
      </c>
      <c r="O476" s="51"/>
    </row>
    <row r="477" spans="12:15" ht="15" customHeight="1" x14ac:dyDescent="0.3">
      <c r="L477" t="str">
        <f t="shared" si="204"/>
        <v/>
      </c>
      <c r="O477" s="51"/>
    </row>
    <row r="478" spans="12:15" ht="15" customHeight="1" x14ac:dyDescent="0.3">
      <c r="L478" t="str">
        <f t="shared" si="204"/>
        <v/>
      </c>
      <c r="O478" s="51"/>
    </row>
    <row r="479" spans="12:15" ht="15" customHeight="1" x14ac:dyDescent="0.3">
      <c r="L479" t="str">
        <f t="shared" si="204"/>
        <v/>
      </c>
      <c r="O479" s="51"/>
    </row>
    <row r="480" spans="12:15" ht="15" customHeight="1" x14ac:dyDescent="0.3">
      <c r="L480" t="str">
        <f t="shared" si="204"/>
        <v/>
      </c>
      <c r="O480" s="51"/>
    </row>
    <row r="481" spans="12:15" ht="15" customHeight="1" x14ac:dyDescent="0.3">
      <c r="L481" t="str">
        <f t="shared" si="204"/>
        <v/>
      </c>
      <c r="O481" s="51"/>
    </row>
    <row r="482" spans="12:15" ht="15" customHeight="1" x14ac:dyDescent="0.3">
      <c r="L482" t="str">
        <f t="shared" si="204"/>
        <v/>
      </c>
      <c r="O482" s="51"/>
    </row>
    <row r="483" spans="12:15" ht="15" customHeight="1" x14ac:dyDescent="0.3">
      <c r="L483" t="str">
        <f t="shared" si="204"/>
        <v/>
      </c>
      <c r="O483" s="51"/>
    </row>
    <row r="484" spans="12:15" ht="15" customHeight="1" x14ac:dyDescent="0.3">
      <c r="L484" t="str">
        <f t="shared" si="204"/>
        <v/>
      </c>
      <c r="O484" s="51"/>
    </row>
    <row r="485" spans="12:15" ht="15" customHeight="1" x14ac:dyDescent="0.3">
      <c r="L485" t="str">
        <f t="shared" si="204"/>
        <v/>
      </c>
      <c r="O485" s="51"/>
    </row>
    <row r="486" spans="12:15" ht="15" customHeight="1" x14ac:dyDescent="0.3">
      <c r="L486" t="str">
        <f t="shared" si="204"/>
        <v/>
      </c>
      <c r="O486" s="51"/>
    </row>
    <row r="487" spans="12:15" ht="15" customHeight="1" x14ac:dyDescent="0.3">
      <c r="L487" t="str">
        <f t="shared" si="204"/>
        <v/>
      </c>
      <c r="O487" s="51"/>
    </row>
    <row r="488" spans="12:15" ht="15" customHeight="1" x14ac:dyDescent="0.3">
      <c r="L488" t="str">
        <f t="shared" si="204"/>
        <v/>
      </c>
      <c r="O488" s="51"/>
    </row>
    <row r="489" spans="12:15" ht="15" customHeight="1" x14ac:dyDescent="0.3">
      <c r="L489" t="str">
        <f t="shared" si="204"/>
        <v/>
      </c>
      <c r="O489" s="51"/>
    </row>
    <row r="490" spans="12:15" ht="15" customHeight="1" x14ac:dyDescent="0.3">
      <c r="L490" t="str">
        <f t="shared" si="204"/>
        <v/>
      </c>
      <c r="O490" s="51"/>
    </row>
    <row r="491" spans="12:15" ht="15" customHeight="1" x14ac:dyDescent="0.3">
      <c r="L491" t="str">
        <f t="shared" si="204"/>
        <v/>
      </c>
      <c r="O491" s="51"/>
    </row>
    <row r="492" spans="12:15" ht="15" customHeight="1" x14ac:dyDescent="0.3">
      <c r="L492" t="str">
        <f t="shared" si="204"/>
        <v/>
      </c>
      <c r="O492" s="51"/>
    </row>
    <row r="493" spans="12:15" ht="15" customHeight="1" x14ac:dyDescent="0.3">
      <c r="L493" t="str">
        <f t="shared" si="204"/>
        <v/>
      </c>
      <c r="O493" s="51"/>
    </row>
    <row r="494" spans="12:15" ht="15" customHeight="1" x14ac:dyDescent="0.3">
      <c r="L494" t="str">
        <f t="shared" si="204"/>
        <v/>
      </c>
      <c r="O494" s="51"/>
    </row>
    <row r="495" spans="12:15" ht="15" customHeight="1" x14ac:dyDescent="0.3">
      <c r="L495" t="str">
        <f t="shared" si="204"/>
        <v/>
      </c>
      <c r="O495" s="51"/>
    </row>
    <row r="496" spans="12:15" ht="15" customHeight="1" x14ac:dyDescent="0.3">
      <c r="L496" t="str">
        <f t="shared" si="204"/>
        <v/>
      </c>
      <c r="O496" s="51"/>
    </row>
    <row r="497" spans="12:15" ht="15" customHeight="1" x14ac:dyDescent="0.3">
      <c r="L497" t="str">
        <f t="shared" si="204"/>
        <v/>
      </c>
      <c r="O497" s="51"/>
    </row>
    <row r="498" spans="12:15" ht="15" customHeight="1" x14ac:dyDescent="0.3">
      <c r="L498" t="str">
        <f t="shared" si="204"/>
        <v/>
      </c>
      <c r="O498" s="51"/>
    </row>
    <row r="499" spans="12:15" ht="15" customHeight="1" x14ac:dyDescent="0.3">
      <c r="L499" t="str">
        <f t="shared" si="204"/>
        <v/>
      </c>
      <c r="O499" s="51"/>
    </row>
    <row r="500" spans="12:15" ht="15" customHeight="1" x14ac:dyDescent="0.3">
      <c r="L500" t="str">
        <f t="shared" si="204"/>
        <v/>
      </c>
      <c r="O500" s="51"/>
    </row>
  </sheetData>
  <conditionalFormatting sqref="P4:BV103">
    <cfRule type="expression" dxfId="36" priority="2">
      <formula>AND($A4&lt;&gt;"",P$3&gt;=INT($J4),P$3&lt;=INT($M4))</formula>
    </cfRule>
  </conditionalFormatting>
  <printOptions horizontalCentered="1"/>
  <pageMargins left="0.7" right="0.7" top="0.75" bottom="0.75" header="0.511811023622047" footer="0.511811023622047"/>
  <pageSetup fitToHeight="0" orientation="portrait" horizontalDpi="300" verticalDpi="30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200"/>
  <sheetViews>
    <sheetView zoomScaleNormal="100" workbookViewId="0"/>
  </sheetViews>
  <sheetFormatPr defaultColWidth="8.6640625" defaultRowHeight="14.4" x14ac:dyDescent="0.3"/>
  <cols>
    <col min="1" max="100" width="13" customWidth="1"/>
  </cols>
  <sheetData>
    <row r="1" spans="1:11" ht="15" customHeight="1" x14ac:dyDescent="0.3">
      <c r="A1">
        <f>OPR_2P!J4</f>
        <v>100</v>
      </c>
      <c r="B1">
        <f>OPR_2P!K4</f>
        <v>600</v>
      </c>
      <c r="C1" s="16" t="s">
        <v>3</v>
      </c>
      <c r="D1" s="16" t="s">
        <v>131</v>
      </c>
      <c r="E1" s="16" t="s">
        <v>138</v>
      </c>
      <c r="F1" s="16" t="s">
        <v>145</v>
      </c>
      <c r="G1" s="16" t="s">
        <v>152</v>
      </c>
      <c r="H1" s="16" t="s">
        <v>183</v>
      </c>
      <c r="I1" s="16" t="s">
        <v>198</v>
      </c>
      <c r="J1" s="16" t="s">
        <v>208</v>
      </c>
      <c r="K1" s="16" t="s">
        <v>219</v>
      </c>
    </row>
    <row r="2" spans="1:11" ht="15" customHeight="1" x14ac:dyDescent="0.3">
      <c r="A2">
        <f>OPR_2P!J5</f>
        <v>300</v>
      </c>
      <c r="B2">
        <f>OPR_2P!K5</f>
        <v>800</v>
      </c>
      <c r="C2">
        <v>9</v>
      </c>
      <c r="D2" t="s">
        <v>132</v>
      </c>
      <c r="E2" t="s">
        <v>139</v>
      </c>
      <c r="F2" t="s">
        <v>146</v>
      </c>
      <c r="G2" t="s">
        <v>153</v>
      </c>
      <c r="H2" t="s">
        <v>184</v>
      </c>
      <c r="I2" t="s">
        <v>199</v>
      </c>
      <c r="J2" t="s">
        <v>209</v>
      </c>
      <c r="K2" t="s">
        <v>220</v>
      </c>
    </row>
    <row r="3" spans="1:11" ht="15" customHeight="1" x14ac:dyDescent="0.3">
      <c r="A3">
        <f>OPR_2P!J6</f>
        <v>500</v>
      </c>
      <c r="B3">
        <f>OPR_2P!K6</f>
        <v>1000</v>
      </c>
      <c r="C3">
        <v>15</v>
      </c>
      <c r="D3" t="s">
        <v>132</v>
      </c>
      <c r="E3" t="s">
        <v>139</v>
      </c>
      <c r="F3" t="s">
        <v>146</v>
      </c>
      <c r="G3" t="s">
        <v>153</v>
      </c>
      <c r="H3" t="s">
        <v>184</v>
      </c>
      <c r="I3" t="s">
        <v>199</v>
      </c>
      <c r="J3" t="s">
        <v>209</v>
      </c>
      <c r="K3" t="s">
        <v>220</v>
      </c>
    </row>
    <row r="4" spans="1:11" ht="15" customHeight="1" x14ac:dyDescent="0.3">
      <c r="A4">
        <f>OPR_2P!J7</f>
        <v>700</v>
      </c>
      <c r="B4">
        <f>OPR_2P!K7</f>
        <v>1200</v>
      </c>
      <c r="C4">
        <v>17</v>
      </c>
      <c r="D4" t="s">
        <v>132</v>
      </c>
      <c r="E4" t="s">
        <v>139</v>
      </c>
      <c r="F4" t="s">
        <v>146</v>
      </c>
      <c r="G4" t="s">
        <v>153</v>
      </c>
      <c r="H4" t="s">
        <v>184</v>
      </c>
      <c r="I4" t="s">
        <v>199</v>
      </c>
      <c r="J4" t="s">
        <v>209</v>
      </c>
      <c r="K4" t="s">
        <v>220</v>
      </c>
    </row>
    <row r="5" spans="1:11" ht="15" customHeight="1" x14ac:dyDescent="0.3">
      <c r="A5">
        <f>OPR_2P!J8</f>
        <v>900</v>
      </c>
      <c r="B5">
        <f>OPR_2P!K8</f>
        <v>1400</v>
      </c>
      <c r="C5">
        <v>20</v>
      </c>
      <c r="D5" t="s">
        <v>132</v>
      </c>
      <c r="E5" t="s">
        <v>139</v>
      </c>
      <c r="F5" t="s">
        <v>146</v>
      </c>
      <c r="G5" t="s">
        <v>153</v>
      </c>
      <c r="H5" t="s">
        <v>184</v>
      </c>
      <c r="I5" t="s">
        <v>199</v>
      </c>
      <c r="J5" t="s">
        <v>209</v>
      </c>
      <c r="K5" t="s">
        <v>220</v>
      </c>
    </row>
    <row r="6" spans="1:11" ht="15" customHeight="1" x14ac:dyDescent="0.3">
      <c r="A6">
        <f>OPR_2P!J9</f>
        <v>1100</v>
      </c>
      <c r="B6">
        <f>OPR_2P!K9</f>
        <v>1600</v>
      </c>
      <c r="C6">
        <v>25</v>
      </c>
      <c r="D6" t="s">
        <v>132</v>
      </c>
      <c r="E6" t="s">
        <v>139</v>
      </c>
      <c r="F6" t="s">
        <v>146</v>
      </c>
      <c r="G6" t="s">
        <v>153</v>
      </c>
      <c r="H6" t="s">
        <v>184</v>
      </c>
      <c r="I6" t="s">
        <v>199</v>
      </c>
      <c r="J6" t="s">
        <v>209</v>
      </c>
      <c r="K6" t="s">
        <v>220</v>
      </c>
    </row>
    <row r="7" spans="1:11" ht="15" customHeight="1" x14ac:dyDescent="0.3">
      <c r="A7">
        <f>OPR_2P!J10</f>
        <v>1300</v>
      </c>
      <c r="B7">
        <f>OPR_2P!K10</f>
        <v>1800</v>
      </c>
      <c r="C7">
        <v>28</v>
      </c>
      <c r="D7" t="s">
        <v>132</v>
      </c>
      <c r="E7" t="s">
        <v>139</v>
      </c>
      <c r="F7" t="s">
        <v>146</v>
      </c>
      <c r="G7" t="s">
        <v>153</v>
      </c>
      <c r="H7" t="s">
        <v>184</v>
      </c>
      <c r="I7" t="s">
        <v>199</v>
      </c>
      <c r="J7" t="s">
        <v>209</v>
      </c>
      <c r="K7" t="s">
        <v>220</v>
      </c>
    </row>
    <row r="8" spans="1:11" ht="15" customHeight="1" x14ac:dyDescent="0.3">
      <c r="A8">
        <f>OPR_2P!J11</f>
        <v>1500</v>
      </c>
      <c r="B8">
        <f>OPR_2P!K11</f>
        <v>2000</v>
      </c>
      <c r="C8">
        <v>30</v>
      </c>
      <c r="D8" t="s">
        <v>135</v>
      </c>
      <c r="E8" t="s">
        <v>139</v>
      </c>
      <c r="F8" t="s">
        <v>146</v>
      </c>
      <c r="G8" t="s">
        <v>161</v>
      </c>
      <c r="H8" t="s">
        <v>184</v>
      </c>
      <c r="I8" t="s">
        <v>203</v>
      </c>
      <c r="J8" t="s">
        <v>209</v>
      </c>
      <c r="K8" t="s">
        <v>220</v>
      </c>
    </row>
    <row r="9" spans="1:11" ht="15" customHeight="1" x14ac:dyDescent="0.3">
      <c r="A9">
        <f>OPR_2P!J12</f>
        <v>1700</v>
      </c>
      <c r="B9">
        <f>OPR_2P!K12</f>
        <v>2200</v>
      </c>
      <c r="C9">
        <v>34</v>
      </c>
      <c r="D9" t="s">
        <v>135</v>
      </c>
      <c r="E9" t="s">
        <v>139</v>
      </c>
      <c r="F9" t="s">
        <v>146</v>
      </c>
      <c r="G9" t="s">
        <v>161</v>
      </c>
      <c r="H9" t="s">
        <v>184</v>
      </c>
      <c r="I9" t="s">
        <v>203</v>
      </c>
      <c r="J9" t="s">
        <v>209</v>
      </c>
      <c r="K9" t="s">
        <v>220</v>
      </c>
    </row>
    <row r="10" spans="1:11" ht="15" customHeight="1" x14ac:dyDescent="0.3">
      <c r="A10">
        <f>OPR_2P!J13</f>
        <v>1900</v>
      </c>
      <c r="B10">
        <f>OPR_2P!K13</f>
        <v>2400</v>
      </c>
      <c r="C10">
        <v>42</v>
      </c>
      <c r="D10" t="s">
        <v>135</v>
      </c>
      <c r="E10" t="s">
        <v>139</v>
      </c>
      <c r="F10" t="s">
        <v>146</v>
      </c>
      <c r="G10" t="s">
        <v>161</v>
      </c>
      <c r="H10" t="s">
        <v>186</v>
      </c>
      <c r="I10" t="s">
        <v>203</v>
      </c>
      <c r="J10" t="s">
        <v>209</v>
      </c>
      <c r="K10" t="s">
        <v>220</v>
      </c>
    </row>
    <row r="11" spans="1:11" ht="15" customHeight="1" x14ac:dyDescent="0.3">
      <c r="A11">
        <f>OPR_2P!J14</f>
        <v>2100</v>
      </c>
      <c r="B11">
        <f>OPR_2P!K14</f>
        <v>2600</v>
      </c>
      <c r="C11">
        <v>46</v>
      </c>
      <c r="D11" t="s">
        <v>135</v>
      </c>
      <c r="E11" t="s">
        <v>139</v>
      </c>
      <c r="F11" t="s">
        <v>146</v>
      </c>
      <c r="G11" t="s">
        <v>161</v>
      </c>
      <c r="H11" t="s">
        <v>189</v>
      </c>
      <c r="I11" t="s">
        <v>203</v>
      </c>
      <c r="J11" t="s">
        <v>209</v>
      </c>
      <c r="K11" t="s">
        <v>220</v>
      </c>
    </row>
    <row r="12" spans="1:11" ht="15" customHeight="1" x14ac:dyDescent="0.3">
      <c r="A12">
        <f>OPR_2P!J15</f>
        <v>2300</v>
      </c>
      <c r="B12">
        <f>OPR_2P!K15</f>
        <v>2800</v>
      </c>
      <c r="C12">
        <v>50</v>
      </c>
      <c r="D12" t="s">
        <v>136</v>
      </c>
      <c r="E12" t="s">
        <v>139</v>
      </c>
      <c r="F12" t="s">
        <v>146</v>
      </c>
      <c r="G12" t="s">
        <v>168</v>
      </c>
      <c r="H12" t="s">
        <v>189</v>
      </c>
      <c r="I12" t="s">
        <v>203</v>
      </c>
      <c r="J12" t="s">
        <v>209</v>
      </c>
      <c r="K12" t="s">
        <v>220</v>
      </c>
    </row>
    <row r="13" spans="1:11" ht="15" customHeight="1" x14ac:dyDescent="0.3">
      <c r="A13">
        <f>OPR_2P!J16</f>
        <v>2500</v>
      </c>
      <c r="B13">
        <f>OPR_2P!K16</f>
        <v>3000</v>
      </c>
      <c r="C13">
        <v>54</v>
      </c>
      <c r="D13" t="s">
        <v>136</v>
      </c>
      <c r="E13" t="s">
        <v>139</v>
      </c>
      <c r="F13" t="s">
        <v>146</v>
      </c>
      <c r="G13" t="s">
        <v>168</v>
      </c>
      <c r="H13" t="s">
        <v>189</v>
      </c>
      <c r="I13" t="s">
        <v>203</v>
      </c>
      <c r="J13" t="s">
        <v>209</v>
      </c>
      <c r="K13" t="s">
        <v>220</v>
      </c>
    </row>
    <row r="14" spans="1:11" ht="15" customHeight="1" x14ac:dyDescent="0.3">
      <c r="A14">
        <f>OPR_2P!J17</f>
        <v>2700</v>
      </c>
      <c r="B14">
        <f>OPR_2P!K17</f>
        <v>3200</v>
      </c>
      <c r="C14">
        <v>57</v>
      </c>
      <c r="D14" t="s">
        <v>136</v>
      </c>
      <c r="E14" t="s">
        <v>139</v>
      </c>
      <c r="F14" t="s">
        <v>146</v>
      </c>
      <c r="G14" t="s">
        <v>168</v>
      </c>
      <c r="H14" t="s">
        <v>189</v>
      </c>
      <c r="I14" t="s">
        <v>203</v>
      </c>
      <c r="J14" t="s">
        <v>209</v>
      </c>
      <c r="K14" t="s">
        <v>220</v>
      </c>
    </row>
    <row r="15" spans="1:11" ht="15" customHeight="1" x14ac:dyDescent="0.3">
      <c r="A15">
        <f>OPR_2P!J18</f>
        <v>2900</v>
      </c>
      <c r="B15">
        <f>OPR_2P!K18</f>
        <v>3400</v>
      </c>
      <c r="C15">
        <v>63</v>
      </c>
      <c r="D15" t="s">
        <v>136</v>
      </c>
      <c r="E15" t="s">
        <v>139</v>
      </c>
      <c r="F15" t="s">
        <v>146</v>
      </c>
      <c r="G15" t="s">
        <v>168</v>
      </c>
      <c r="H15" t="s">
        <v>189</v>
      </c>
      <c r="I15" t="s">
        <v>203</v>
      </c>
      <c r="J15" t="s">
        <v>209</v>
      </c>
      <c r="K15" t="s">
        <v>220</v>
      </c>
    </row>
    <row r="16" spans="1:11" ht="15" customHeight="1" x14ac:dyDescent="0.3">
      <c r="A16">
        <f>OPR_2P!J19</f>
        <v>0</v>
      </c>
      <c r="B16">
        <f>OPR_2P!K19</f>
        <v>0</v>
      </c>
      <c r="C16">
        <v>70</v>
      </c>
      <c r="D16" t="s">
        <v>136</v>
      </c>
      <c r="E16" t="s">
        <v>139</v>
      </c>
      <c r="F16" t="s">
        <v>146</v>
      </c>
      <c r="G16" t="s">
        <v>168</v>
      </c>
      <c r="H16" t="s">
        <v>195</v>
      </c>
      <c r="I16" t="s">
        <v>203</v>
      </c>
      <c r="J16" t="s">
        <v>209</v>
      </c>
      <c r="K16" t="s">
        <v>220</v>
      </c>
    </row>
    <row r="17" spans="1:2" ht="15" customHeight="1" x14ac:dyDescent="0.3">
      <c r="A17">
        <f>OPR_2P!J20</f>
        <v>0</v>
      </c>
      <c r="B17">
        <f>OPR_2P!K20</f>
        <v>0</v>
      </c>
    </row>
    <row r="18" spans="1:2" ht="15" customHeight="1" x14ac:dyDescent="0.3">
      <c r="A18">
        <f>OPR_2P!J21</f>
        <v>0</v>
      </c>
      <c r="B18">
        <f>OPR_2P!K21</f>
        <v>0</v>
      </c>
    </row>
    <row r="19" spans="1:2" ht="15" customHeight="1" x14ac:dyDescent="0.3">
      <c r="A19">
        <f>OPR_2P!J22</f>
        <v>0</v>
      </c>
      <c r="B19">
        <f>OPR_2P!K22</f>
        <v>0</v>
      </c>
    </row>
    <row r="20" spans="1:2" ht="15" customHeight="1" x14ac:dyDescent="0.3">
      <c r="A20">
        <f>OPR_2P!J23</f>
        <v>0</v>
      </c>
      <c r="B20">
        <f>OPR_2P!K23</f>
        <v>0</v>
      </c>
    </row>
    <row r="21" spans="1:2" ht="15" customHeight="1" x14ac:dyDescent="0.3">
      <c r="A21">
        <f>OPR_2P!J24</f>
        <v>0</v>
      </c>
      <c r="B21">
        <f>OPR_2P!K24</f>
        <v>0</v>
      </c>
    </row>
    <row r="22" spans="1:2" ht="15" customHeight="1" x14ac:dyDescent="0.3">
      <c r="A22">
        <f>OPR_2P!J25</f>
        <v>0</v>
      </c>
      <c r="B22">
        <f>OPR_2P!K25</f>
        <v>0</v>
      </c>
    </row>
    <row r="23" spans="1:2" ht="15" customHeight="1" x14ac:dyDescent="0.3">
      <c r="A23">
        <f>OPR_2P!J26</f>
        <v>0</v>
      </c>
      <c r="B23">
        <f>OPR_2P!K26</f>
        <v>0</v>
      </c>
    </row>
    <row r="24" spans="1:2" ht="15" customHeight="1" x14ac:dyDescent="0.3">
      <c r="A24">
        <f>OPR_2P!J27</f>
        <v>0</v>
      </c>
      <c r="B24">
        <f>OPR_2P!K27</f>
        <v>0</v>
      </c>
    </row>
    <row r="25" spans="1:2" ht="15" customHeight="1" x14ac:dyDescent="0.3">
      <c r="A25">
        <f>OPR_2P!J28</f>
        <v>0</v>
      </c>
      <c r="B25">
        <f>OPR_2P!K28</f>
        <v>0</v>
      </c>
    </row>
    <row r="26" spans="1:2" ht="15" customHeight="1" x14ac:dyDescent="0.3">
      <c r="A26">
        <f>OPR_2P!J29</f>
        <v>0</v>
      </c>
      <c r="B26">
        <f>OPR_2P!K29</f>
        <v>0</v>
      </c>
    </row>
    <row r="27" spans="1:2" ht="15" customHeight="1" x14ac:dyDescent="0.3">
      <c r="A27">
        <f>OPR_2P!J30</f>
        <v>0</v>
      </c>
      <c r="B27">
        <f>OPR_2P!K30</f>
        <v>0</v>
      </c>
    </row>
    <row r="28" spans="1:2" ht="15" customHeight="1" x14ac:dyDescent="0.3">
      <c r="A28">
        <f>OPR_2P!J31</f>
        <v>0</v>
      </c>
      <c r="B28">
        <f>OPR_2P!K31</f>
        <v>0</v>
      </c>
    </row>
    <row r="29" spans="1:2" ht="15" customHeight="1" x14ac:dyDescent="0.3">
      <c r="A29">
        <f>OPR_2P!J32</f>
        <v>0</v>
      </c>
      <c r="B29">
        <f>OPR_2P!K32</f>
        <v>0</v>
      </c>
    </row>
    <row r="30" spans="1:2" ht="15" customHeight="1" x14ac:dyDescent="0.3">
      <c r="A30">
        <f>OPR_2P!J33</f>
        <v>0</v>
      </c>
      <c r="B30">
        <f>OPR_2P!K33</f>
        <v>0</v>
      </c>
    </row>
    <row r="31" spans="1:2" ht="15" customHeight="1" x14ac:dyDescent="0.3">
      <c r="A31">
        <f>OPR_2P!J34</f>
        <v>0</v>
      </c>
      <c r="B31">
        <f>OPR_2P!K34</f>
        <v>0</v>
      </c>
    </row>
    <row r="32" spans="1:2" ht="15" customHeight="1" x14ac:dyDescent="0.3">
      <c r="A32">
        <f>OPR_2P!J35</f>
        <v>0</v>
      </c>
      <c r="B32">
        <f>OPR_2P!K35</f>
        <v>0</v>
      </c>
    </row>
    <row r="33" spans="1:2" ht="15" customHeight="1" x14ac:dyDescent="0.3">
      <c r="A33">
        <f>OPR_2P!J36</f>
        <v>0</v>
      </c>
      <c r="B33">
        <f>OPR_2P!K36</f>
        <v>0</v>
      </c>
    </row>
    <row r="34" spans="1:2" ht="15" customHeight="1" x14ac:dyDescent="0.3">
      <c r="A34">
        <f>OPR_2P!J37</f>
        <v>0</v>
      </c>
      <c r="B34">
        <f>OPR_2P!K37</f>
        <v>0</v>
      </c>
    </row>
    <row r="35" spans="1:2" ht="15" customHeight="1" x14ac:dyDescent="0.3">
      <c r="A35">
        <f>OPR_2P!J38</f>
        <v>0</v>
      </c>
      <c r="B35">
        <f>OPR_2P!K38</f>
        <v>0</v>
      </c>
    </row>
    <row r="36" spans="1:2" ht="15" customHeight="1" x14ac:dyDescent="0.3">
      <c r="A36">
        <f>OPR_2P!J39</f>
        <v>0</v>
      </c>
      <c r="B36">
        <f>OPR_2P!K39</f>
        <v>0</v>
      </c>
    </row>
    <row r="37" spans="1:2" ht="15" customHeight="1" x14ac:dyDescent="0.3">
      <c r="A37">
        <f>OPR_2P!J40</f>
        <v>0</v>
      </c>
      <c r="B37">
        <f>OPR_2P!K40</f>
        <v>0</v>
      </c>
    </row>
    <row r="38" spans="1:2" ht="15" customHeight="1" x14ac:dyDescent="0.3">
      <c r="A38">
        <f>OPR_2P!J41</f>
        <v>0</v>
      </c>
      <c r="B38">
        <f>OPR_2P!K41</f>
        <v>0</v>
      </c>
    </row>
    <row r="39" spans="1:2" ht="15" customHeight="1" x14ac:dyDescent="0.3">
      <c r="A39">
        <f>OPR_2P!J42</f>
        <v>0</v>
      </c>
      <c r="B39">
        <f>OPR_2P!K42</f>
        <v>0</v>
      </c>
    </row>
    <row r="40" spans="1:2" ht="15" customHeight="1" x14ac:dyDescent="0.3">
      <c r="A40">
        <f>OPR_2P!J43</f>
        <v>0</v>
      </c>
      <c r="B40">
        <f>OPR_2P!K43</f>
        <v>0</v>
      </c>
    </row>
    <row r="41" spans="1:2" ht="15" customHeight="1" x14ac:dyDescent="0.3">
      <c r="A41">
        <f>OPR_2P!J44</f>
        <v>0</v>
      </c>
      <c r="B41">
        <f>OPR_2P!K44</f>
        <v>0</v>
      </c>
    </row>
    <row r="42" spans="1:2" ht="15" customHeight="1" x14ac:dyDescent="0.3">
      <c r="A42">
        <f>OPR_2P!J45</f>
        <v>0</v>
      </c>
      <c r="B42">
        <f>OPR_2P!K45</f>
        <v>0</v>
      </c>
    </row>
    <row r="43" spans="1:2" ht="15" customHeight="1" x14ac:dyDescent="0.3">
      <c r="A43">
        <f>OPR_2P!J46</f>
        <v>0</v>
      </c>
      <c r="B43">
        <f>OPR_2P!K46</f>
        <v>0</v>
      </c>
    </row>
    <row r="44" spans="1:2" ht="15" customHeight="1" x14ac:dyDescent="0.3">
      <c r="A44">
        <f>OPR_2P!J47</f>
        <v>0</v>
      </c>
      <c r="B44">
        <f>OPR_2P!K47</f>
        <v>0</v>
      </c>
    </row>
    <row r="45" spans="1:2" ht="15" customHeight="1" x14ac:dyDescent="0.3">
      <c r="A45">
        <f>OPR_2P!J48</f>
        <v>0</v>
      </c>
      <c r="B45">
        <f>OPR_2P!K48</f>
        <v>0</v>
      </c>
    </row>
    <row r="46" spans="1:2" ht="15" customHeight="1" x14ac:dyDescent="0.3">
      <c r="A46">
        <f>OPR_2P!J49</f>
        <v>0</v>
      </c>
      <c r="B46">
        <f>OPR_2P!K49</f>
        <v>0</v>
      </c>
    </row>
    <row r="47" spans="1:2" ht="15" customHeight="1" x14ac:dyDescent="0.3">
      <c r="A47">
        <f>OPR_2P!J50</f>
        <v>0</v>
      </c>
      <c r="B47">
        <f>OPR_2P!K50</f>
        <v>0</v>
      </c>
    </row>
    <row r="48" spans="1:2" ht="15" customHeight="1" x14ac:dyDescent="0.3">
      <c r="A48">
        <f>OPR_2P!J51</f>
        <v>0</v>
      </c>
      <c r="B48">
        <f>OPR_2P!K51</f>
        <v>0</v>
      </c>
    </row>
    <row r="49" spans="1:2" ht="15" customHeight="1" x14ac:dyDescent="0.3">
      <c r="A49">
        <f>OPR_2P!J52</f>
        <v>0</v>
      </c>
      <c r="B49">
        <f>OPR_2P!K52</f>
        <v>0</v>
      </c>
    </row>
    <row r="50" spans="1:2" ht="15" customHeight="1" x14ac:dyDescent="0.3">
      <c r="A50">
        <f>OPR_2P!J53</f>
        <v>0</v>
      </c>
      <c r="B50">
        <f>OPR_2P!K53</f>
        <v>0</v>
      </c>
    </row>
    <row r="51" spans="1:2" ht="15" customHeight="1" x14ac:dyDescent="0.3">
      <c r="A51">
        <f>SOL_4P!J4</f>
        <v>100</v>
      </c>
      <c r="B51">
        <f>SOL_4P!K4</f>
        <v>600</v>
      </c>
    </row>
    <row r="52" spans="1:2" ht="15" customHeight="1" x14ac:dyDescent="0.3">
      <c r="A52">
        <f>SOL_4P!J5</f>
        <v>300</v>
      </c>
      <c r="B52">
        <f>SOL_4P!K5</f>
        <v>800</v>
      </c>
    </row>
    <row r="53" spans="1:2" ht="15" customHeight="1" x14ac:dyDescent="0.3">
      <c r="A53">
        <f>SOL_4P!J6</f>
        <v>500</v>
      </c>
      <c r="B53">
        <f>SOL_4P!K6</f>
        <v>1000</v>
      </c>
    </row>
    <row r="54" spans="1:2" ht="15" customHeight="1" x14ac:dyDescent="0.3">
      <c r="A54">
        <f>SOL_4P!J7</f>
        <v>700</v>
      </c>
      <c r="B54">
        <f>SOL_4P!K7</f>
        <v>1200</v>
      </c>
    </row>
    <row r="55" spans="1:2" ht="15" customHeight="1" x14ac:dyDescent="0.3">
      <c r="A55">
        <f>SOL_4P!J8</f>
        <v>900</v>
      </c>
      <c r="B55">
        <f>SOL_4P!K8</f>
        <v>1400</v>
      </c>
    </row>
    <row r="56" spans="1:2" ht="15" customHeight="1" x14ac:dyDescent="0.3">
      <c r="A56">
        <f>SOL_4P!J9</f>
        <v>1100</v>
      </c>
      <c r="B56">
        <f>SOL_4P!K9</f>
        <v>1600</v>
      </c>
    </row>
    <row r="57" spans="1:2" ht="15" customHeight="1" x14ac:dyDescent="0.3">
      <c r="A57">
        <f>SOL_4P!J10</f>
        <v>1300</v>
      </c>
      <c r="B57">
        <f>SOL_4P!K10</f>
        <v>1800</v>
      </c>
    </row>
    <row r="58" spans="1:2" ht="15" customHeight="1" x14ac:dyDescent="0.3">
      <c r="A58">
        <f>SOL_4P!J11</f>
        <v>1500</v>
      </c>
      <c r="B58">
        <f>SOL_4P!K11</f>
        <v>2000</v>
      </c>
    </row>
    <row r="59" spans="1:2" ht="15" customHeight="1" x14ac:dyDescent="0.3">
      <c r="A59">
        <f>SOL_4P!J12</f>
        <v>1700</v>
      </c>
      <c r="B59">
        <f>SOL_4P!K12</f>
        <v>2200</v>
      </c>
    </row>
    <row r="60" spans="1:2" ht="15" customHeight="1" x14ac:dyDescent="0.3">
      <c r="A60">
        <f>SOL_4P!J13</f>
        <v>1900</v>
      </c>
      <c r="B60">
        <f>SOL_4P!K13</f>
        <v>2400</v>
      </c>
    </row>
    <row r="61" spans="1:2" ht="15" customHeight="1" x14ac:dyDescent="0.3">
      <c r="A61">
        <f>SOL_4P!J14</f>
        <v>2100</v>
      </c>
      <c r="B61">
        <f>SOL_4P!K14</f>
        <v>2600</v>
      </c>
    </row>
    <row r="62" spans="1:2" ht="15" customHeight="1" x14ac:dyDescent="0.3">
      <c r="A62">
        <f>SOL_4P!J15</f>
        <v>2300</v>
      </c>
      <c r="B62">
        <f>SOL_4P!K15</f>
        <v>2800</v>
      </c>
    </row>
    <row r="63" spans="1:2" ht="15" customHeight="1" x14ac:dyDescent="0.3">
      <c r="A63">
        <f>SOL_4P!J16</f>
        <v>2500</v>
      </c>
      <c r="B63">
        <f>SOL_4P!K16</f>
        <v>3000</v>
      </c>
    </row>
    <row r="64" spans="1:2" ht="15" customHeight="1" x14ac:dyDescent="0.3">
      <c r="A64">
        <f>SOL_4P!J17</f>
        <v>2700</v>
      </c>
      <c r="B64">
        <f>SOL_4P!K17</f>
        <v>3200</v>
      </c>
    </row>
    <row r="65" spans="1:2" ht="15" customHeight="1" x14ac:dyDescent="0.3">
      <c r="A65">
        <f>SOL_4P!J18</f>
        <v>2900</v>
      </c>
      <c r="B65">
        <f>SOL_4P!K18</f>
        <v>3400</v>
      </c>
    </row>
    <row r="66" spans="1:2" ht="15" customHeight="1" x14ac:dyDescent="0.3">
      <c r="A66">
        <f>SOL_4P!J19</f>
        <v>0</v>
      </c>
      <c r="B66">
        <f>SOL_4P!K19</f>
        <v>0</v>
      </c>
    </row>
    <row r="67" spans="1:2" ht="15" customHeight="1" x14ac:dyDescent="0.3">
      <c r="A67">
        <f>SOL_4P!J20</f>
        <v>0</v>
      </c>
      <c r="B67">
        <f>SOL_4P!K20</f>
        <v>0</v>
      </c>
    </row>
    <row r="68" spans="1:2" ht="15" customHeight="1" x14ac:dyDescent="0.3">
      <c r="A68">
        <f>SOL_4P!J21</f>
        <v>0</v>
      </c>
      <c r="B68">
        <f>SOL_4P!K21</f>
        <v>0</v>
      </c>
    </row>
    <row r="69" spans="1:2" ht="15" customHeight="1" x14ac:dyDescent="0.3">
      <c r="A69">
        <f>SOL_4P!J22</f>
        <v>0</v>
      </c>
      <c r="B69">
        <f>SOL_4P!K22</f>
        <v>0</v>
      </c>
    </row>
    <row r="70" spans="1:2" ht="15" customHeight="1" x14ac:dyDescent="0.3">
      <c r="A70">
        <f>SOL_4P!J23</f>
        <v>0</v>
      </c>
      <c r="B70">
        <f>SOL_4P!K23</f>
        <v>0</v>
      </c>
    </row>
    <row r="71" spans="1:2" ht="15" customHeight="1" x14ac:dyDescent="0.3">
      <c r="A71">
        <f>SOL_4P!J24</f>
        <v>0</v>
      </c>
      <c r="B71">
        <f>SOL_4P!K24</f>
        <v>0</v>
      </c>
    </row>
    <row r="72" spans="1:2" ht="15" customHeight="1" x14ac:dyDescent="0.3">
      <c r="A72">
        <f>SOL_4P!J25</f>
        <v>0</v>
      </c>
      <c r="B72">
        <f>SOL_4P!K25</f>
        <v>0</v>
      </c>
    </row>
    <row r="73" spans="1:2" ht="15" customHeight="1" x14ac:dyDescent="0.3">
      <c r="A73">
        <f>SOL_4P!J26</f>
        <v>0</v>
      </c>
      <c r="B73">
        <f>SOL_4P!K26</f>
        <v>0</v>
      </c>
    </row>
    <row r="74" spans="1:2" ht="15" customHeight="1" x14ac:dyDescent="0.3">
      <c r="A74">
        <f>SOL_4P!J27</f>
        <v>0</v>
      </c>
      <c r="B74">
        <f>SOL_4P!K27</f>
        <v>0</v>
      </c>
    </row>
    <row r="75" spans="1:2" ht="15" customHeight="1" x14ac:dyDescent="0.3">
      <c r="A75">
        <f>SOL_4P!J28</f>
        <v>0</v>
      </c>
      <c r="B75">
        <f>SOL_4P!K28</f>
        <v>0</v>
      </c>
    </row>
    <row r="76" spans="1:2" ht="15" customHeight="1" x14ac:dyDescent="0.3">
      <c r="A76">
        <f>SOL_4P!J29</f>
        <v>0</v>
      </c>
      <c r="B76">
        <f>SOL_4P!K29</f>
        <v>0</v>
      </c>
    </row>
    <row r="77" spans="1:2" ht="15" customHeight="1" x14ac:dyDescent="0.3">
      <c r="A77">
        <f>SOL_4P!J30</f>
        <v>0</v>
      </c>
      <c r="B77">
        <f>SOL_4P!K30</f>
        <v>0</v>
      </c>
    </row>
    <row r="78" spans="1:2" ht="15" customHeight="1" x14ac:dyDescent="0.3">
      <c r="A78">
        <f>SOL_4P!J31</f>
        <v>0</v>
      </c>
      <c r="B78">
        <f>SOL_4P!K31</f>
        <v>0</v>
      </c>
    </row>
    <row r="79" spans="1:2" ht="15" customHeight="1" x14ac:dyDescent="0.3">
      <c r="A79">
        <f>SOL_4P!J32</f>
        <v>0</v>
      </c>
      <c r="B79">
        <f>SOL_4P!K32</f>
        <v>0</v>
      </c>
    </row>
    <row r="80" spans="1:2" ht="15" customHeight="1" x14ac:dyDescent="0.3">
      <c r="A80">
        <f>SOL_4P!J33</f>
        <v>0</v>
      </c>
      <c r="B80">
        <f>SOL_4P!K33</f>
        <v>0</v>
      </c>
    </row>
    <row r="81" spans="1:2" ht="15" customHeight="1" x14ac:dyDescent="0.3">
      <c r="A81">
        <f>SOL_4P!J34</f>
        <v>0</v>
      </c>
      <c r="B81">
        <f>SOL_4P!K34</f>
        <v>0</v>
      </c>
    </row>
    <row r="82" spans="1:2" ht="15" customHeight="1" x14ac:dyDescent="0.3">
      <c r="A82">
        <f>SOL_4P!J35</f>
        <v>0</v>
      </c>
      <c r="B82">
        <f>SOL_4P!K35</f>
        <v>0</v>
      </c>
    </row>
    <row r="83" spans="1:2" ht="15" customHeight="1" x14ac:dyDescent="0.3">
      <c r="A83">
        <f>SOL_4P!J36</f>
        <v>0</v>
      </c>
      <c r="B83">
        <f>SOL_4P!K36</f>
        <v>0</v>
      </c>
    </row>
    <row r="84" spans="1:2" ht="15" customHeight="1" x14ac:dyDescent="0.3">
      <c r="A84">
        <f>SOL_4P!J37</f>
        <v>0</v>
      </c>
      <c r="B84">
        <f>SOL_4P!K37</f>
        <v>0</v>
      </c>
    </row>
    <row r="85" spans="1:2" ht="15" customHeight="1" x14ac:dyDescent="0.3">
      <c r="A85">
        <f>SOL_4P!J38</f>
        <v>0</v>
      </c>
      <c r="B85">
        <f>SOL_4P!K38</f>
        <v>0</v>
      </c>
    </row>
    <row r="86" spans="1:2" ht="15" customHeight="1" x14ac:dyDescent="0.3">
      <c r="A86">
        <f>SOL_4P!J39</f>
        <v>0</v>
      </c>
      <c r="B86">
        <f>SOL_4P!K39</f>
        <v>0</v>
      </c>
    </row>
    <row r="87" spans="1:2" ht="15" customHeight="1" x14ac:dyDescent="0.3">
      <c r="A87">
        <f>SOL_4P!J40</f>
        <v>0</v>
      </c>
      <c r="B87">
        <f>SOL_4P!K40</f>
        <v>0</v>
      </c>
    </row>
    <row r="88" spans="1:2" ht="15" customHeight="1" x14ac:dyDescent="0.3">
      <c r="A88">
        <f>SOL_4P!J41</f>
        <v>0</v>
      </c>
      <c r="B88">
        <f>SOL_4P!K41</f>
        <v>0</v>
      </c>
    </row>
    <row r="89" spans="1:2" ht="15" customHeight="1" x14ac:dyDescent="0.3">
      <c r="A89">
        <f>SOL_4P!J42</f>
        <v>0</v>
      </c>
      <c r="B89">
        <f>SOL_4P!K42</f>
        <v>0</v>
      </c>
    </row>
    <row r="90" spans="1:2" ht="15" customHeight="1" x14ac:dyDescent="0.3">
      <c r="A90">
        <f>SOL_4P!J43</f>
        <v>0</v>
      </c>
      <c r="B90">
        <f>SOL_4P!K43</f>
        <v>0</v>
      </c>
    </row>
    <row r="91" spans="1:2" ht="15" customHeight="1" x14ac:dyDescent="0.3">
      <c r="A91">
        <f>SOL_4P!J44</f>
        <v>0</v>
      </c>
      <c r="B91">
        <f>SOL_4P!K44</f>
        <v>0</v>
      </c>
    </row>
    <row r="92" spans="1:2" ht="15" customHeight="1" x14ac:dyDescent="0.3">
      <c r="A92">
        <f>SOL_4P!J45</f>
        <v>0</v>
      </c>
      <c r="B92">
        <f>SOL_4P!K45</f>
        <v>0</v>
      </c>
    </row>
    <row r="93" spans="1:2" ht="15" customHeight="1" x14ac:dyDescent="0.3">
      <c r="A93">
        <f>SOL_4P!J46</f>
        <v>0</v>
      </c>
      <c r="B93">
        <f>SOL_4P!K46</f>
        <v>0</v>
      </c>
    </row>
    <row r="94" spans="1:2" ht="15" customHeight="1" x14ac:dyDescent="0.3">
      <c r="A94">
        <f>SOL_4P!J47</f>
        <v>0</v>
      </c>
      <c r="B94">
        <f>SOL_4P!K47</f>
        <v>0</v>
      </c>
    </row>
    <row r="95" spans="1:2" ht="15" customHeight="1" x14ac:dyDescent="0.3">
      <c r="A95">
        <f>SOL_4P!J48</f>
        <v>0</v>
      </c>
      <c r="B95">
        <f>SOL_4P!K48</f>
        <v>0</v>
      </c>
    </row>
    <row r="96" spans="1:2" ht="15" customHeight="1" x14ac:dyDescent="0.3">
      <c r="A96">
        <f>SOL_4P!J49</f>
        <v>0</v>
      </c>
      <c r="B96">
        <f>SOL_4P!K49</f>
        <v>0</v>
      </c>
    </row>
    <row r="97" spans="1:2" ht="15" customHeight="1" x14ac:dyDescent="0.3">
      <c r="A97">
        <f>SOL_4P!J50</f>
        <v>0</v>
      </c>
      <c r="B97">
        <f>SOL_4P!K50</f>
        <v>0</v>
      </c>
    </row>
    <row r="98" spans="1:2" ht="15" customHeight="1" x14ac:dyDescent="0.3">
      <c r="A98">
        <f>SOL_4P!J51</f>
        <v>0</v>
      </c>
      <c r="B98">
        <f>SOL_4P!K51</f>
        <v>0</v>
      </c>
    </row>
    <row r="99" spans="1:2" ht="15" customHeight="1" x14ac:dyDescent="0.3">
      <c r="A99">
        <f>SOL_4P!J52</f>
        <v>0</v>
      </c>
      <c r="B99">
        <f>SOL_4P!K52</f>
        <v>0</v>
      </c>
    </row>
    <row r="100" spans="1:2" ht="15" customHeight="1" x14ac:dyDescent="0.3">
      <c r="A100">
        <f>SOL_4P!J53</f>
        <v>0</v>
      </c>
      <c r="B100">
        <f>SOL_4P!K53</f>
        <v>0</v>
      </c>
    </row>
    <row r="101" spans="1:2" ht="15" customHeight="1" x14ac:dyDescent="0.3">
      <c r="A101">
        <f>RW_2P!J4</f>
        <v>100</v>
      </c>
      <c r="B101">
        <f>RW_2P!K4</f>
        <v>600</v>
      </c>
    </row>
    <row r="102" spans="1:2" ht="15" customHeight="1" x14ac:dyDescent="0.3">
      <c r="A102">
        <f>RW_2P!J5</f>
        <v>300</v>
      </c>
      <c r="B102">
        <f>RW_2P!K5</f>
        <v>800</v>
      </c>
    </row>
    <row r="103" spans="1:2" ht="15" customHeight="1" x14ac:dyDescent="0.3">
      <c r="A103">
        <f>RW_2P!J6</f>
        <v>500</v>
      </c>
      <c r="B103">
        <f>RW_2P!K6</f>
        <v>1000</v>
      </c>
    </row>
    <row r="104" spans="1:2" ht="15" customHeight="1" x14ac:dyDescent="0.3">
      <c r="A104">
        <f>RW_2P!J7</f>
        <v>700</v>
      </c>
      <c r="B104">
        <f>RW_2P!K7</f>
        <v>1200</v>
      </c>
    </row>
    <row r="105" spans="1:2" ht="15" customHeight="1" x14ac:dyDescent="0.3">
      <c r="A105">
        <f>RW_2P!J8</f>
        <v>900</v>
      </c>
      <c r="B105">
        <f>RW_2P!K8</f>
        <v>1400</v>
      </c>
    </row>
    <row r="106" spans="1:2" ht="15" customHeight="1" x14ac:dyDescent="0.3">
      <c r="A106">
        <f>RW_2P!J9</f>
        <v>1100</v>
      </c>
      <c r="B106">
        <f>RW_2P!K9</f>
        <v>1600</v>
      </c>
    </row>
    <row r="107" spans="1:2" ht="15" customHeight="1" x14ac:dyDescent="0.3">
      <c r="A107">
        <f>RW_2P!J10</f>
        <v>1300</v>
      </c>
      <c r="B107">
        <f>RW_2P!K10</f>
        <v>1800</v>
      </c>
    </row>
    <row r="108" spans="1:2" ht="15" customHeight="1" x14ac:dyDescent="0.3">
      <c r="A108">
        <f>RW_2P!J11</f>
        <v>1500</v>
      </c>
      <c r="B108">
        <f>RW_2P!K11</f>
        <v>2000</v>
      </c>
    </row>
    <row r="109" spans="1:2" ht="15" customHeight="1" x14ac:dyDescent="0.3">
      <c r="A109">
        <f>RW_2P!J12</f>
        <v>1700</v>
      </c>
      <c r="B109">
        <f>RW_2P!K12</f>
        <v>2200</v>
      </c>
    </row>
    <row r="110" spans="1:2" ht="15" customHeight="1" x14ac:dyDescent="0.3">
      <c r="A110">
        <f>RW_2P!J13</f>
        <v>1900</v>
      </c>
      <c r="B110">
        <f>RW_2P!K13</f>
        <v>2400</v>
      </c>
    </row>
    <row r="111" spans="1:2" ht="15" customHeight="1" x14ac:dyDescent="0.3">
      <c r="A111">
        <f>RW_2P!J14</f>
        <v>2100</v>
      </c>
      <c r="B111">
        <f>RW_2P!K14</f>
        <v>2600</v>
      </c>
    </row>
    <row r="112" spans="1:2" ht="15" customHeight="1" x14ac:dyDescent="0.3">
      <c r="A112">
        <f>RW_2P!J15</f>
        <v>2300</v>
      </c>
      <c r="B112">
        <f>RW_2P!K15</f>
        <v>2800</v>
      </c>
    </row>
    <row r="113" spans="1:2" ht="15" customHeight="1" x14ac:dyDescent="0.3">
      <c r="A113">
        <f>RW_2P!J16</f>
        <v>2500</v>
      </c>
      <c r="B113">
        <f>RW_2P!K16</f>
        <v>3000</v>
      </c>
    </row>
    <row r="114" spans="1:2" ht="15" customHeight="1" x14ac:dyDescent="0.3">
      <c r="A114">
        <f>RW_2P!J17</f>
        <v>2700</v>
      </c>
      <c r="B114">
        <f>RW_2P!K17</f>
        <v>3200</v>
      </c>
    </row>
    <row r="115" spans="1:2" ht="15" customHeight="1" x14ac:dyDescent="0.3">
      <c r="A115">
        <f>RW_2P!J18</f>
        <v>2900</v>
      </c>
      <c r="B115">
        <f>RW_2P!K18</f>
        <v>3400</v>
      </c>
    </row>
    <row r="116" spans="1:2" ht="15" customHeight="1" x14ac:dyDescent="0.3">
      <c r="A116">
        <f>RW_2P!J19</f>
        <v>0</v>
      </c>
      <c r="B116">
        <f>RW_2P!K19</f>
        <v>0</v>
      </c>
    </row>
    <row r="117" spans="1:2" ht="15" customHeight="1" x14ac:dyDescent="0.3">
      <c r="A117">
        <f>RW_2P!J20</f>
        <v>0</v>
      </c>
      <c r="B117">
        <f>RW_2P!K20</f>
        <v>0</v>
      </c>
    </row>
    <row r="118" spans="1:2" ht="15" customHeight="1" x14ac:dyDescent="0.3">
      <c r="A118">
        <f>RW_2P!J21</f>
        <v>0</v>
      </c>
      <c r="B118">
        <f>RW_2P!K21</f>
        <v>0</v>
      </c>
    </row>
    <row r="119" spans="1:2" ht="15" customHeight="1" x14ac:dyDescent="0.3">
      <c r="A119">
        <f>RW_2P!J22</f>
        <v>0</v>
      </c>
      <c r="B119">
        <f>RW_2P!K22</f>
        <v>0</v>
      </c>
    </row>
    <row r="120" spans="1:2" ht="15" customHeight="1" x14ac:dyDescent="0.3">
      <c r="A120">
        <f>RW_2P!J23</f>
        <v>0</v>
      </c>
      <c r="B120">
        <f>RW_2P!K23</f>
        <v>0</v>
      </c>
    </row>
    <row r="121" spans="1:2" ht="15" customHeight="1" x14ac:dyDescent="0.3">
      <c r="A121">
        <f>RW_2P!J24</f>
        <v>0</v>
      </c>
      <c r="B121">
        <f>RW_2P!K24</f>
        <v>0</v>
      </c>
    </row>
    <row r="122" spans="1:2" ht="15" customHeight="1" x14ac:dyDescent="0.3">
      <c r="A122">
        <f>RW_2P!J25</f>
        <v>0</v>
      </c>
      <c r="B122">
        <f>RW_2P!K25</f>
        <v>0</v>
      </c>
    </row>
    <row r="123" spans="1:2" ht="15" customHeight="1" x14ac:dyDescent="0.3">
      <c r="A123">
        <f>RW_2P!J26</f>
        <v>0</v>
      </c>
      <c r="B123">
        <f>RW_2P!K26</f>
        <v>0</v>
      </c>
    </row>
    <row r="124" spans="1:2" ht="15" customHeight="1" x14ac:dyDescent="0.3">
      <c r="A124">
        <f>RW_2P!J27</f>
        <v>0</v>
      </c>
      <c r="B124">
        <f>RW_2P!K27</f>
        <v>0</v>
      </c>
    </row>
    <row r="125" spans="1:2" ht="15" customHeight="1" x14ac:dyDescent="0.3">
      <c r="A125">
        <f>RW_2P!J28</f>
        <v>0</v>
      </c>
      <c r="B125">
        <f>RW_2P!K28</f>
        <v>0</v>
      </c>
    </row>
    <row r="126" spans="1:2" ht="15" customHeight="1" x14ac:dyDescent="0.3">
      <c r="A126">
        <f>RW_2P!J29</f>
        <v>0</v>
      </c>
      <c r="B126">
        <f>RW_2P!K29</f>
        <v>0</v>
      </c>
    </row>
    <row r="127" spans="1:2" ht="15" customHeight="1" x14ac:dyDescent="0.3">
      <c r="A127">
        <f>RW_2P!J30</f>
        <v>0</v>
      </c>
      <c r="B127">
        <f>RW_2P!K30</f>
        <v>0</v>
      </c>
    </row>
    <row r="128" spans="1:2" ht="15" customHeight="1" x14ac:dyDescent="0.3">
      <c r="A128">
        <f>RW_2P!J31</f>
        <v>0</v>
      </c>
      <c r="B128">
        <f>RW_2P!K31</f>
        <v>0</v>
      </c>
    </row>
    <row r="129" spans="1:2" ht="15" customHeight="1" x14ac:dyDescent="0.3">
      <c r="A129">
        <f>RW_2P!J32</f>
        <v>0</v>
      </c>
      <c r="B129">
        <f>RW_2P!K32</f>
        <v>0</v>
      </c>
    </row>
    <row r="130" spans="1:2" ht="15" customHeight="1" x14ac:dyDescent="0.3">
      <c r="A130">
        <f>RW_2P!J33</f>
        <v>0</v>
      </c>
      <c r="B130">
        <f>RW_2P!K33</f>
        <v>0</v>
      </c>
    </row>
    <row r="131" spans="1:2" ht="15" customHeight="1" x14ac:dyDescent="0.3">
      <c r="A131">
        <f>RW_2P!J34</f>
        <v>0</v>
      </c>
      <c r="B131">
        <f>RW_2P!K34</f>
        <v>0</v>
      </c>
    </row>
    <row r="132" spans="1:2" ht="15" customHeight="1" x14ac:dyDescent="0.3">
      <c r="A132">
        <f>RW_2P!J35</f>
        <v>0</v>
      </c>
      <c r="B132">
        <f>RW_2P!K35</f>
        <v>0</v>
      </c>
    </row>
    <row r="133" spans="1:2" ht="15" customHeight="1" x14ac:dyDescent="0.3">
      <c r="A133">
        <f>RW_2P!J36</f>
        <v>0</v>
      </c>
      <c r="B133">
        <f>RW_2P!K36</f>
        <v>0</v>
      </c>
    </row>
    <row r="134" spans="1:2" ht="15" customHeight="1" x14ac:dyDescent="0.3">
      <c r="A134">
        <f>RW_2P!J37</f>
        <v>0</v>
      </c>
      <c r="B134">
        <f>RW_2P!K37</f>
        <v>0</v>
      </c>
    </row>
    <row r="135" spans="1:2" ht="15" customHeight="1" x14ac:dyDescent="0.3">
      <c r="A135">
        <f>RW_2P!J38</f>
        <v>0</v>
      </c>
      <c r="B135">
        <f>RW_2P!K38</f>
        <v>0</v>
      </c>
    </row>
    <row r="136" spans="1:2" ht="15" customHeight="1" x14ac:dyDescent="0.3">
      <c r="A136">
        <f>RW_2P!J39</f>
        <v>0</v>
      </c>
      <c r="B136">
        <f>RW_2P!K39</f>
        <v>0</v>
      </c>
    </row>
    <row r="137" spans="1:2" ht="15" customHeight="1" x14ac:dyDescent="0.3">
      <c r="A137">
        <f>RW_2P!J40</f>
        <v>0</v>
      </c>
      <c r="B137">
        <f>RW_2P!K40</f>
        <v>0</v>
      </c>
    </row>
    <row r="138" spans="1:2" ht="15" customHeight="1" x14ac:dyDescent="0.3">
      <c r="A138">
        <f>RW_2P!J41</f>
        <v>0</v>
      </c>
      <c r="B138">
        <f>RW_2P!K41</f>
        <v>0</v>
      </c>
    </row>
    <row r="139" spans="1:2" ht="15" customHeight="1" x14ac:dyDescent="0.3">
      <c r="A139">
        <f>RW_2P!J42</f>
        <v>0</v>
      </c>
      <c r="B139">
        <f>RW_2P!K42</f>
        <v>0</v>
      </c>
    </row>
    <row r="140" spans="1:2" ht="15" customHeight="1" x14ac:dyDescent="0.3">
      <c r="A140">
        <f>RW_2P!J43</f>
        <v>0</v>
      </c>
      <c r="B140">
        <f>RW_2P!K43</f>
        <v>0</v>
      </c>
    </row>
    <row r="141" spans="1:2" ht="15" customHeight="1" x14ac:dyDescent="0.3">
      <c r="A141">
        <f>RW_2P!J44</f>
        <v>0</v>
      </c>
      <c r="B141">
        <f>RW_2P!K44</f>
        <v>0</v>
      </c>
    </row>
    <row r="142" spans="1:2" ht="15" customHeight="1" x14ac:dyDescent="0.3">
      <c r="A142">
        <f>RW_2P!J45</f>
        <v>0</v>
      </c>
      <c r="B142">
        <f>RW_2P!K45</f>
        <v>0</v>
      </c>
    </row>
    <row r="143" spans="1:2" ht="15" customHeight="1" x14ac:dyDescent="0.3">
      <c r="A143">
        <f>RW_2P!J46</f>
        <v>0</v>
      </c>
      <c r="B143">
        <f>RW_2P!K46</f>
        <v>0</v>
      </c>
    </row>
    <row r="144" spans="1:2" ht="15" customHeight="1" x14ac:dyDescent="0.3">
      <c r="A144">
        <f>RW_2P!J47</f>
        <v>0</v>
      </c>
      <c r="B144">
        <f>RW_2P!K47</f>
        <v>0</v>
      </c>
    </row>
    <row r="145" spans="1:2" ht="15" customHeight="1" x14ac:dyDescent="0.3">
      <c r="A145">
        <f>RW_2P!J48</f>
        <v>0</v>
      </c>
      <c r="B145">
        <f>RW_2P!K48</f>
        <v>0</v>
      </c>
    </row>
    <row r="146" spans="1:2" ht="15" customHeight="1" x14ac:dyDescent="0.3">
      <c r="A146">
        <f>RW_2P!J49</f>
        <v>0</v>
      </c>
      <c r="B146">
        <f>RW_2P!K49</f>
        <v>0</v>
      </c>
    </row>
    <row r="147" spans="1:2" ht="15" customHeight="1" x14ac:dyDescent="0.3">
      <c r="A147">
        <f>RW_2P!J50</f>
        <v>0</v>
      </c>
      <c r="B147">
        <f>RW_2P!K50</f>
        <v>0</v>
      </c>
    </row>
    <row r="148" spans="1:2" ht="15" customHeight="1" x14ac:dyDescent="0.3">
      <c r="A148">
        <f>RW_2P!J51</f>
        <v>0</v>
      </c>
      <c r="B148">
        <f>RW_2P!K51</f>
        <v>0</v>
      </c>
    </row>
    <row r="149" spans="1:2" ht="15" customHeight="1" x14ac:dyDescent="0.3">
      <c r="A149">
        <f>RW_2P!J52</f>
        <v>0</v>
      </c>
      <c r="B149">
        <f>RW_2P!K52</f>
        <v>0</v>
      </c>
    </row>
    <row r="150" spans="1:2" ht="15" customHeight="1" x14ac:dyDescent="0.3">
      <c r="A150">
        <f>RW_2P!J53</f>
        <v>0</v>
      </c>
      <c r="B150">
        <f>RW_2P!K53</f>
        <v>0</v>
      </c>
    </row>
    <row r="151" spans="1:2" ht="15" customHeight="1" x14ac:dyDescent="0.3">
      <c r="A151">
        <f>SEG_6P!J4</f>
        <v>100</v>
      </c>
      <c r="B151">
        <f>SEG_6P!K4</f>
        <v>600</v>
      </c>
    </row>
    <row r="152" spans="1:2" ht="15" customHeight="1" x14ac:dyDescent="0.3">
      <c r="A152">
        <f>SEG_6P!J5</f>
        <v>300</v>
      </c>
      <c r="B152">
        <f>SEG_6P!K5</f>
        <v>800</v>
      </c>
    </row>
    <row r="153" spans="1:2" ht="15" customHeight="1" x14ac:dyDescent="0.3">
      <c r="A153">
        <f>SEG_6P!J6</f>
        <v>500</v>
      </c>
      <c r="B153">
        <f>SEG_6P!K6</f>
        <v>1000</v>
      </c>
    </row>
    <row r="154" spans="1:2" ht="15" customHeight="1" x14ac:dyDescent="0.3">
      <c r="A154">
        <f>SEG_6P!J7</f>
        <v>700</v>
      </c>
      <c r="B154">
        <f>SEG_6P!K7</f>
        <v>1200</v>
      </c>
    </row>
    <row r="155" spans="1:2" ht="15" customHeight="1" x14ac:dyDescent="0.3">
      <c r="A155">
        <f>SEG_6P!J8</f>
        <v>900</v>
      </c>
      <c r="B155">
        <f>SEG_6P!K8</f>
        <v>1400</v>
      </c>
    </row>
    <row r="156" spans="1:2" ht="15" customHeight="1" x14ac:dyDescent="0.3">
      <c r="A156">
        <f>SEG_6P!J9</f>
        <v>1100</v>
      </c>
      <c r="B156">
        <f>SEG_6P!K9</f>
        <v>1600</v>
      </c>
    </row>
    <row r="157" spans="1:2" ht="15" customHeight="1" x14ac:dyDescent="0.3">
      <c r="A157">
        <f>SEG_6P!J10</f>
        <v>1300</v>
      </c>
      <c r="B157">
        <f>SEG_6P!K10</f>
        <v>1800</v>
      </c>
    </row>
    <row r="158" spans="1:2" ht="15" customHeight="1" x14ac:dyDescent="0.3">
      <c r="A158">
        <f>SEG_6P!J11</f>
        <v>1500</v>
      </c>
      <c r="B158">
        <f>SEG_6P!K11</f>
        <v>2000</v>
      </c>
    </row>
    <row r="159" spans="1:2" ht="15" customHeight="1" x14ac:dyDescent="0.3">
      <c r="A159">
        <f>SEG_6P!J12</f>
        <v>1700</v>
      </c>
      <c r="B159">
        <f>SEG_6P!K12</f>
        <v>2200</v>
      </c>
    </row>
    <row r="160" spans="1:2" ht="15" customHeight="1" x14ac:dyDescent="0.3">
      <c r="A160">
        <f>SEG_6P!J13</f>
        <v>1900</v>
      </c>
      <c r="B160">
        <f>SEG_6P!K13</f>
        <v>2400</v>
      </c>
    </row>
    <row r="161" spans="1:2" ht="15" customHeight="1" x14ac:dyDescent="0.3">
      <c r="A161">
        <f>SEG_6P!J14</f>
        <v>2100</v>
      </c>
      <c r="B161">
        <f>SEG_6P!K14</f>
        <v>2600</v>
      </c>
    </row>
    <row r="162" spans="1:2" ht="15" customHeight="1" x14ac:dyDescent="0.3">
      <c r="A162">
        <f>SEG_6P!J15</f>
        <v>2300</v>
      </c>
      <c r="B162">
        <f>SEG_6P!K15</f>
        <v>2800</v>
      </c>
    </row>
    <row r="163" spans="1:2" ht="15" customHeight="1" x14ac:dyDescent="0.3">
      <c r="A163">
        <f>SEG_6P!J16</f>
        <v>2500</v>
      </c>
      <c r="B163">
        <f>SEG_6P!K16</f>
        <v>3000</v>
      </c>
    </row>
    <row r="164" spans="1:2" ht="15" customHeight="1" x14ac:dyDescent="0.3">
      <c r="A164">
        <f>SEG_6P!J17</f>
        <v>2700</v>
      </c>
      <c r="B164">
        <f>SEG_6P!K17</f>
        <v>3200</v>
      </c>
    </row>
    <row r="165" spans="1:2" ht="15" customHeight="1" x14ac:dyDescent="0.3">
      <c r="A165">
        <f>SEG_6P!J18</f>
        <v>2900</v>
      </c>
      <c r="B165">
        <f>SEG_6P!K18</f>
        <v>3400</v>
      </c>
    </row>
    <row r="166" spans="1:2" ht="15" customHeight="1" x14ac:dyDescent="0.3">
      <c r="A166">
        <f>SEG_6P!J19</f>
        <v>0</v>
      </c>
      <c r="B166">
        <f>SEG_6P!K19</f>
        <v>0</v>
      </c>
    </row>
    <row r="167" spans="1:2" ht="15" customHeight="1" x14ac:dyDescent="0.3">
      <c r="A167">
        <f>SEG_6P!J20</f>
        <v>0</v>
      </c>
      <c r="B167">
        <f>SEG_6P!K20</f>
        <v>0</v>
      </c>
    </row>
    <row r="168" spans="1:2" ht="15" customHeight="1" x14ac:dyDescent="0.3">
      <c r="A168">
        <f>SEG_6P!J21</f>
        <v>0</v>
      </c>
      <c r="B168">
        <f>SEG_6P!K21</f>
        <v>0</v>
      </c>
    </row>
    <row r="169" spans="1:2" ht="15" customHeight="1" x14ac:dyDescent="0.3">
      <c r="A169">
        <f>SEG_6P!J22</f>
        <v>0</v>
      </c>
      <c r="B169">
        <f>SEG_6P!K22</f>
        <v>0</v>
      </c>
    </row>
    <row r="170" spans="1:2" ht="15" customHeight="1" x14ac:dyDescent="0.3">
      <c r="A170">
        <f>SEG_6P!J23</f>
        <v>0</v>
      </c>
      <c r="B170">
        <f>SEG_6P!K23</f>
        <v>0</v>
      </c>
    </row>
    <row r="171" spans="1:2" ht="15" customHeight="1" x14ac:dyDescent="0.3">
      <c r="A171">
        <f>SEG_6P!J24</f>
        <v>0</v>
      </c>
      <c r="B171">
        <f>SEG_6P!K24</f>
        <v>0</v>
      </c>
    </row>
    <row r="172" spans="1:2" ht="15" customHeight="1" x14ac:dyDescent="0.3">
      <c r="A172">
        <f>SEG_6P!J25</f>
        <v>0</v>
      </c>
      <c r="B172">
        <f>SEG_6P!K25</f>
        <v>0</v>
      </c>
    </row>
    <row r="173" spans="1:2" ht="15" customHeight="1" x14ac:dyDescent="0.3">
      <c r="A173">
        <f>SEG_6P!J26</f>
        <v>0</v>
      </c>
      <c r="B173">
        <f>SEG_6P!K26</f>
        <v>0</v>
      </c>
    </row>
    <row r="174" spans="1:2" ht="15" customHeight="1" x14ac:dyDescent="0.3">
      <c r="A174">
        <f>SEG_6P!J27</f>
        <v>0</v>
      </c>
      <c r="B174">
        <f>SEG_6P!K27</f>
        <v>0</v>
      </c>
    </row>
    <row r="175" spans="1:2" ht="15" customHeight="1" x14ac:dyDescent="0.3">
      <c r="A175">
        <f>SEG_6P!J28</f>
        <v>0</v>
      </c>
      <c r="B175">
        <f>SEG_6P!K28</f>
        <v>0</v>
      </c>
    </row>
    <row r="176" spans="1:2" ht="15" customHeight="1" x14ac:dyDescent="0.3">
      <c r="A176">
        <f>SEG_6P!J29</f>
        <v>0</v>
      </c>
      <c r="B176">
        <f>SEG_6P!K29</f>
        <v>0</v>
      </c>
    </row>
    <row r="177" spans="1:2" ht="15" customHeight="1" x14ac:dyDescent="0.3">
      <c r="A177">
        <f>SEG_6P!J30</f>
        <v>0</v>
      </c>
      <c r="B177">
        <f>SEG_6P!K30</f>
        <v>0</v>
      </c>
    </row>
    <row r="178" spans="1:2" ht="15" customHeight="1" x14ac:dyDescent="0.3">
      <c r="A178">
        <f>SEG_6P!J31</f>
        <v>0</v>
      </c>
      <c r="B178">
        <f>SEG_6P!K31</f>
        <v>0</v>
      </c>
    </row>
    <row r="179" spans="1:2" ht="15" customHeight="1" x14ac:dyDescent="0.3">
      <c r="A179">
        <f>SEG_6P!J32</f>
        <v>0</v>
      </c>
      <c r="B179">
        <f>SEG_6P!K32</f>
        <v>0</v>
      </c>
    </row>
    <row r="180" spans="1:2" ht="15" customHeight="1" x14ac:dyDescent="0.3">
      <c r="A180">
        <f>SEG_6P!J33</f>
        <v>0</v>
      </c>
      <c r="B180">
        <f>SEG_6P!K33</f>
        <v>0</v>
      </c>
    </row>
    <row r="181" spans="1:2" ht="15" customHeight="1" x14ac:dyDescent="0.3">
      <c r="A181">
        <f>SEG_6P!J34</f>
        <v>0</v>
      </c>
      <c r="B181">
        <f>SEG_6P!K34</f>
        <v>0</v>
      </c>
    </row>
    <row r="182" spans="1:2" ht="15" customHeight="1" x14ac:dyDescent="0.3">
      <c r="A182">
        <f>SEG_6P!J35</f>
        <v>0</v>
      </c>
      <c r="B182">
        <f>SEG_6P!K35</f>
        <v>0</v>
      </c>
    </row>
    <row r="183" spans="1:2" ht="15" customHeight="1" x14ac:dyDescent="0.3">
      <c r="A183">
        <f>SEG_6P!J36</f>
        <v>0</v>
      </c>
      <c r="B183">
        <f>SEG_6P!K36</f>
        <v>0</v>
      </c>
    </row>
    <row r="184" spans="1:2" ht="15" customHeight="1" x14ac:dyDescent="0.3">
      <c r="A184">
        <f>SEG_6P!J37</f>
        <v>0</v>
      </c>
      <c r="B184">
        <f>SEG_6P!K37</f>
        <v>0</v>
      </c>
    </row>
    <row r="185" spans="1:2" ht="15" customHeight="1" x14ac:dyDescent="0.3">
      <c r="A185">
        <f>SEG_6P!J38</f>
        <v>0</v>
      </c>
      <c r="B185">
        <f>SEG_6P!K38</f>
        <v>0</v>
      </c>
    </row>
    <row r="186" spans="1:2" ht="15" customHeight="1" x14ac:dyDescent="0.3">
      <c r="A186">
        <f>SEG_6P!J39</f>
        <v>0</v>
      </c>
      <c r="B186">
        <f>SEG_6P!K39</f>
        <v>0</v>
      </c>
    </row>
    <row r="187" spans="1:2" ht="15" customHeight="1" x14ac:dyDescent="0.3">
      <c r="A187">
        <f>SEG_6P!J40</f>
        <v>0</v>
      </c>
      <c r="B187">
        <f>SEG_6P!K40</f>
        <v>0</v>
      </c>
    </row>
    <row r="188" spans="1:2" ht="15" customHeight="1" x14ac:dyDescent="0.3">
      <c r="A188">
        <f>SEG_6P!J41</f>
        <v>0</v>
      </c>
      <c r="B188">
        <f>SEG_6P!K41</f>
        <v>0</v>
      </c>
    </row>
    <row r="189" spans="1:2" ht="15" customHeight="1" x14ac:dyDescent="0.3">
      <c r="A189">
        <f>SEG_6P!J42</f>
        <v>0</v>
      </c>
      <c r="B189">
        <f>SEG_6P!K42</f>
        <v>0</v>
      </c>
    </row>
    <row r="190" spans="1:2" ht="15" customHeight="1" x14ac:dyDescent="0.3">
      <c r="A190">
        <f>SEG_6P!J43</f>
        <v>0</v>
      </c>
      <c r="B190">
        <f>SEG_6P!K43</f>
        <v>0</v>
      </c>
    </row>
    <row r="191" spans="1:2" ht="15" customHeight="1" x14ac:dyDescent="0.3">
      <c r="A191">
        <f>SEG_6P!J44</f>
        <v>0</v>
      </c>
      <c r="B191">
        <f>SEG_6P!K44</f>
        <v>0</v>
      </c>
    </row>
    <row r="192" spans="1:2" ht="15" customHeight="1" x14ac:dyDescent="0.3">
      <c r="A192">
        <f>SEG_6P!J45</f>
        <v>0</v>
      </c>
      <c r="B192">
        <f>SEG_6P!K45</f>
        <v>0</v>
      </c>
    </row>
    <row r="193" spans="1:2" ht="15" customHeight="1" x14ac:dyDescent="0.3">
      <c r="A193">
        <f>SEG_6P!J46</f>
        <v>0</v>
      </c>
      <c r="B193">
        <f>SEG_6P!K46</f>
        <v>0</v>
      </c>
    </row>
    <row r="194" spans="1:2" ht="15" customHeight="1" x14ac:dyDescent="0.3">
      <c r="A194">
        <f>SEG_6P!J47</f>
        <v>0</v>
      </c>
      <c r="B194">
        <f>SEG_6P!K47</f>
        <v>0</v>
      </c>
    </row>
    <row r="195" spans="1:2" ht="15" customHeight="1" x14ac:dyDescent="0.3">
      <c r="A195">
        <f>SEG_6P!J48</f>
        <v>0</v>
      </c>
      <c r="B195">
        <f>SEG_6P!K48</f>
        <v>0</v>
      </c>
    </row>
    <row r="196" spans="1:2" ht="15" customHeight="1" x14ac:dyDescent="0.3">
      <c r="A196">
        <f>SEG_6P!J49</f>
        <v>0</v>
      </c>
      <c r="B196">
        <f>SEG_6P!K49</f>
        <v>0</v>
      </c>
    </row>
    <row r="197" spans="1:2" ht="15" customHeight="1" x14ac:dyDescent="0.3">
      <c r="A197">
        <f>SEG_6P!J50</f>
        <v>0</v>
      </c>
      <c r="B197">
        <f>SEG_6P!K50</f>
        <v>0</v>
      </c>
    </row>
    <row r="198" spans="1:2" ht="15" customHeight="1" x14ac:dyDescent="0.3">
      <c r="A198">
        <f>SEG_6P!J51</f>
        <v>0</v>
      </c>
      <c r="B198">
        <f>SEG_6P!K51</f>
        <v>0</v>
      </c>
    </row>
    <row r="199" spans="1:2" ht="15" customHeight="1" x14ac:dyDescent="0.3">
      <c r="A199">
        <f>SEG_6P!J52</f>
        <v>0</v>
      </c>
      <c r="B199">
        <f>SEG_6P!K52</f>
        <v>0</v>
      </c>
    </row>
    <row r="200" spans="1:2" ht="15" customHeight="1" x14ac:dyDescent="0.3">
      <c r="A200">
        <f>SEG_6P!J53</f>
        <v>0</v>
      </c>
      <c r="B200">
        <f>SEG_6P!K53</f>
        <v>0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K57"/>
  <sheetViews>
    <sheetView zoomScale="85" zoomScaleNormal="85" workbookViewId="0">
      <selection activeCell="E22" sqref="E22"/>
    </sheetView>
  </sheetViews>
  <sheetFormatPr defaultColWidth="8.6640625" defaultRowHeight="14.4" x14ac:dyDescent="0.3"/>
  <cols>
    <col min="1" max="1" width="13" customWidth="1"/>
    <col min="2" max="6" width="20.6640625" customWidth="1"/>
    <col min="7" max="7" width="13" style="78" customWidth="1"/>
    <col min="8" max="100" width="13" customWidth="1"/>
  </cols>
  <sheetData>
    <row r="2" spans="2:7" ht="21.75" customHeight="1" x14ac:dyDescent="0.45">
      <c r="B2" s="4" t="s">
        <v>257</v>
      </c>
    </row>
    <row r="4" spans="2:7" ht="15" customHeight="1" x14ac:dyDescent="0.3">
      <c r="B4" s="5" t="s">
        <v>258</v>
      </c>
      <c r="C4" s="5" t="s">
        <v>259</v>
      </c>
      <c r="D4" s="5" t="s">
        <v>260</v>
      </c>
      <c r="E4" s="5" t="s">
        <v>261</v>
      </c>
    </row>
    <row r="5" spans="2:7" ht="17.25" customHeight="1" x14ac:dyDescent="0.35">
      <c r="B5" s="6">
        <f>COUNTA(Job_Master!A4:A103)</f>
        <v>71</v>
      </c>
      <c r="C5" s="7">
        <f ca="1">MIN(Job_Master!E4:E103)</f>
        <v>46113.291666666657</v>
      </c>
      <c r="D5" s="7">
        <f ca="1">MAX(Job_Master!F4:F103)</f>
        <v>46334.958333333328</v>
      </c>
      <c r="E5" s="8">
        <f ca="1">INT(D5-C5)</f>
        <v>221</v>
      </c>
    </row>
    <row r="8" spans="2:7" ht="15" customHeight="1" x14ac:dyDescent="0.3">
      <c r="B8" s="9" t="s">
        <v>262</v>
      </c>
      <c r="C8" s="9" t="s">
        <v>263</v>
      </c>
      <c r="D8" s="9" t="s">
        <v>264</v>
      </c>
      <c r="E8" s="9" t="s">
        <v>249</v>
      </c>
      <c r="F8" s="9" t="s">
        <v>265</v>
      </c>
      <c r="G8" s="9" t="s">
        <v>266</v>
      </c>
    </row>
    <row r="9" spans="2:7" ht="15" customHeight="1" x14ac:dyDescent="0.3">
      <c r="B9" s="10" t="s">
        <v>131</v>
      </c>
      <c r="C9" s="10">
        <v>4</v>
      </c>
      <c r="D9" s="11">
        <f>SUM(VTL_Plan!L4:L103)</f>
        <v>7120</v>
      </c>
      <c r="E9" s="11">
        <f t="shared" ref="E9:E16" ca="1" si="0">C9*$E$5*24</f>
        <v>21216</v>
      </c>
      <c r="F9" s="12">
        <f t="shared" ref="F9:F16" ca="1" si="1">IF(E9&gt;0, D9/E9, 0)</f>
        <v>0.33559577677224733</v>
      </c>
      <c r="G9" s="10">
        <v>0.9</v>
      </c>
    </row>
    <row r="10" spans="2:7" ht="15" customHeight="1" x14ac:dyDescent="0.3">
      <c r="B10" s="10" t="s">
        <v>138</v>
      </c>
      <c r="C10" s="10">
        <v>6</v>
      </c>
      <c r="D10" s="11">
        <f>SUM(SPM_Plan!L4:L103)</f>
        <v>10652</v>
      </c>
      <c r="E10" s="11">
        <f t="shared" ca="1" si="0"/>
        <v>31824</v>
      </c>
      <c r="F10" s="12">
        <f t="shared" ca="1" si="1"/>
        <v>0.3347159376571141</v>
      </c>
      <c r="G10" s="10">
        <v>0.9</v>
      </c>
    </row>
    <row r="11" spans="2:7" ht="15" customHeight="1" x14ac:dyDescent="0.3">
      <c r="B11" s="10" t="s">
        <v>145</v>
      </c>
      <c r="C11" s="10">
        <v>6</v>
      </c>
      <c r="D11" s="11">
        <f>SUM(CARVING_Plan!L4:L103)</f>
        <v>8564</v>
      </c>
      <c r="E11" s="11">
        <f t="shared" ca="1" si="0"/>
        <v>31824</v>
      </c>
      <c r="F11" s="12">
        <f t="shared" ca="1" si="1"/>
        <v>0.26910507792860733</v>
      </c>
      <c r="G11" s="10">
        <v>0.9</v>
      </c>
    </row>
    <row r="12" spans="2:7" ht="15" customHeight="1" x14ac:dyDescent="0.3">
      <c r="B12" s="10" t="s">
        <v>152</v>
      </c>
      <c r="C12" s="10">
        <v>30</v>
      </c>
      <c r="D12" s="11">
        <f>SUM(EDM_Plan!L4:L103)</f>
        <v>8704</v>
      </c>
      <c r="E12" s="11">
        <f t="shared" ca="1" si="0"/>
        <v>159120</v>
      </c>
      <c r="F12" s="12">
        <f t="shared" ca="1" si="1"/>
        <v>5.4700854700854701E-2</v>
      </c>
      <c r="G12" s="10">
        <v>0.9</v>
      </c>
    </row>
    <row r="13" spans="2:7" ht="15" customHeight="1" x14ac:dyDescent="0.3">
      <c r="B13" s="10" t="s">
        <v>183</v>
      </c>
      <c r="C13" s="10">
        <v>14</v>
      </c>
      <c r="D13" s="11">
        <f>SUM(ENG_Plan!L4:L103)</f>
        <v>9356</v>
      </c>
      <c r="E13" s="11">
        <f t="shared" ca="1" si="0"/>
        <v>74256</v>
      </c>
      <c r="F13" s="12">
        <f t="shared" ca="1" si="1"/>
        <v>0.1259965524671407</v>
      </c>
      <c r="G13" s="10">
        <v>0.9</v>
      </c>
    </row>
    <row r="14" spans="2:7" ht="15" customHeight="1" x14ac:dyDescent="0.3">
      <c r="B14" s="10" t="s">
        <v>198</v>
      </c>
      <c r="C14" s="10">
        <v>8</v>
      </c>
      <c r="D14" s="11">
        <f>SUM(VENT_Plan!L4:L103)</f>
        <v>7462</v>
      </c>
      <c r="E14" s="11">
        <f t="shared" ca="1" si="0"/>
        <v>42432</v>
      </c>
      <c r="F14" s="12">
        <f t="shared" ca="1" si="1"/>
        <v>0.17585784313725492</v>
      </c>
      <c r="G14" s="10">
        <v>0.9</v>
      </c>
    </row>
    <row r="15" spans="2:7" ht="15" customHeight="1" x14ac:dyDescent="0.3">
      <c r="B15" s="10" t="s">
        <v>208</v>
      </c>
      <c r="C15" s="10">
        <v>10</v>
      </c>
      <c r="D15" s="11">
        <f>SUM(FID_Plan!L4:L103)</f>
        <v>7394</v>
      </c>
      <c r="E15" s="11">
        <f t="shared" ca="1" si="0"/>
        <v>53040</v>
      </c>
      <c r="F15" s="12">
        <f t="shared" ca="1" si="1"/>
        <v>0.13940422322775264</v>
      </c>
      <c r="G15" s="10">
        <v>0.9</v>
      </c>
    </row>
    <row r="16" spans="2:7" ht="15" customHeight="1" x14ac:dyDescent="0.3">
      <c r="B16" s="10" t="s">
        <v>219</v>
      </c>
      <c r="C16" s="10">
        <v>5</v>
      </c>
      <c r="D16" s="11">
        <f>SUM(QC_Plan!L4:L103)</f>
        <v>6524</v>
      </c>
      <c r="E16" s="11">
        <f t="shared" ca="1" si="0"/>
        <v>26520</v>
      </c>
      <c r="F16" s="12">
        <f t="shared" ca="1" si="1"/>
        <v>0.24600301659125187</v>
      </c>
      <c r="G16" s="10">
        <v>0.9</v>
      </c>
    </row>
    <row r="48" spans="2:11" ht="15" customHeight="1" x14ac:dyDescent="0.3">
      <c r="B48" s="125" t="s">
        <v>267</v>
      </c>
      <c r="C48" s="126"/>
      <c r="D48" s="126"/>
      <c r="E48" s="126"/>
      <c r="F48" s="126"/>
      <c r="G48" s="127"/>
      <c r="H48" s="126"/>
      <c r="I48" s="126"/>
      <c r="J48" s="126"/>
      <c r="K48" s="126"/>
    </row>
    <row r="49" spans="2:8" ht="15" customHeight="1" x14ac:dyDescent="0.3">
      <c r="B49" s="3" t="s">
        <v>268</v>
      </c>
      <c r="C49" s="3" t="s">
        <v>269</v>
      </c>
      <c r="D49" s="3" t="s">
        <v>270</v>
      </c>
      <c r="E49" s="3" t="s">
        <v>10</v>
      </c>
    </row>
    <row r="50" spans="2:8" ht="17.25" customHeight="1" x14ac:dyDescent="0.3">
      <c r="B50" s="13" t="s">
        <v>271</v>
      </c>
      <c r="C50" s="14" t="s">
        <v>272</v>
      </c>
      <c r="D50" s="15">
        <f ca="1">IFERROR(COUNTIF(Delivery_Tracker!I3:I100,"*ON TRACK*")/COUNTA(Delivery_Tracker!A3:A100),0)</f>
        <v>1</v>
      </c>
      <c r="E50" s="14" t="str">
        <f ca="1">IF(D50="","—","✅")</f>
        <v>✅</v>
      </c>
      <c r="G50" s="122" t="s">
        <v>273</v>
      </c>
      <c r="H50" s="17" t="str">
        <f ca="1">INDEX(B9:B16,MATCH(MAX(F9:F16),F9:F16,0))</f>
        <v>VTL</v>
      </c>
    </row>
    <row r="51" spans="2:8" ht="15" customHeight="1" x14ac:dyDescent="0.3">
      <c r="B51" s="13" t="s">
        <v>274</v>
      </c>
      <c r="C51" s="14" t="s">
        <v>275</v>
      </c>
      <c r="D51" s="15">
        <f ca="1">AVERAGE(F9:F16)</f>
        <v>0.21017241031027795</v>
      </c>
      <c r="E51" s="14" t="str">
        <f ca="1">IF(D51="","—","✅")</f>
        <v>✅</v>
      </c>
      <c r="G51" s="122" t="s">
        <v>276</v>
      </c>
      <c r="H51" s="18">
        <f ca="1">MAX(F9:F16)</f>
        <v>0.33559577677224733</v>
      </c>
    </row>
    <row r="52" spans="2:8" ht="15" customHeight="1" x14ac:dyDescent="0.3">
      <c r="B52" s="13" t="s">
        <v>277</v>
      </c>
      <c r="C52" s="14" t="s">
        <v>278</v>
      </c>
      <c r="D52" s="14" t="str">
        <f ca="1">INDEX(B9:B16,MATCH(MAX(F9:F16),F9:F16,0))</f>
        <v>VTL</v>
      </c>
      <c r="E52" s="14" t="str">
        <f ca="1">IF(D52="","—","✅")</f>
        <v>✅</v>
      </c>
      <c r="G52" s="122" t="s">
        <v>279</v>
      </c>
      <c r="H52" s="19" t="str">
        <f ca="1">INDEX(B9:B16,MATCH(MIN(F9:F16),F9:F16,0))</f>
        <v>EDM</v>
      </c>
    </row>
    <row r="53" spans="2:8" ht="15" customHeight="1" x14ac:dyDescent="0.3">
      <c r="B53" s="13" t="s">
        <v>280</v>
      </c>
      <c r="C53" s="14" t="s">
        <v>281</v>
      </c>
      <c r="D53" s="20">
        <f>COUNTIF(Job_Master!I4:I103,"On Hold")+COUNTIF(Job_Master!I4:I103,"Cancelled")</f>
        <v>21</v>
      </c>
      <c r="E53" s="14" t="str">
        <f>IF(D53="","—","✅")</f>
        <v>✅</v>
      </c>
    </row>
    <row r="54" spans="2:8" ht="15" customHeight="1" x14ac:dyDescent="0.3">
      <c r="B54" s="13" t="s">
        <v>282</v>
      </c>
      <c r="C54" s="14" t="s">
        <v>281</v>
      </c>
      <c r="D54" s="20">
        <f>COUNTIF(Downtime_Register!I3:I200,"Open")</f>
        <v>0</v>
      </c>
      <c r="E54" s="14" t="str">
        <f>IF(D54="","—","✅")</f>
        <v>✅</v>
      </c>
    </row>
    <row r="55" spans="2:8" ht="15" customHeight="1" x14ac:dyDescent="0.3">
      <c r="B55" s="13" t="s">
        <v>283</v>
      </c>
      <c r="C55" s="14" t="s">
        <v>278</v>
      </c>
      <c r="D55" s="20" t="s">
        <v>278</v>
      </c>
      <c r="E55" s="14" t="s">
        <v>284</v>
      </c>
    </row>
    <row r="56" spans="2:8" ht="15" customHeight="1" x14ac:dyDescent="0.3">
      <c r="B56" s="13" t="s">
        <v>285</v>
      </c>
      <c r="C56" s="14" t="s">
        <v>281</v>
      </c>
      <c r="D56" s="20">
        <f>COUNTIF(Material_Stock!I3:I72,"*Out*")</f>
        <v>0</v>
      </c>
      <c r="E56" s="14" t="str">
        <f>IF(D56="","—","✅")</f>
        <v>✅</v>
      </c>
    </row>
    <row r="57" spans="2:8" ht="15" customHeight="1" x14ac:dyDescent="0.3">
      <c r="B57" s="13" t="s">
        <v>286</v>
      </c>
      <c r="C57" s="14" t="s">
        <v>281</v>
      </c>
      <c r="D57" s="20">
        <f>COUNTIF(Material_Stock!I3:I72,"*Low*")</f>
        <v>4</v>
      </c>
      <c r="E57" s="14" t="str">
        <f>IF(D57="","—","✅")</f>
        <v>✅</v>
      </c>
    </row>
  </sheetData>
  <mergeCells count="1">
    <mergeCell ref="B48:K48"/>
  </mergeCells>
  <pageMargins left="0.7" right="0.7" top="0.75" bottom="0.75" header="0.511811023622047" footer="0.511811023622047"/>
  <pageSetup orientation="portrait" horizontalDpi="300" verticalDpi="30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CR86"/>
  <sheetViews>
    <sheetView zoomScaleNormal="100" workbookViewId="0">
      <pane xSplit="6" ySplit="3" topLeftCell="G4" activePane="bottomRight" state="frozen"/>
      <selection pane="topRight"/>
      <selection pane="bottomLeft"/>
      <selection pane="bottomRight"/>
    </sheetView>
  </sheetViews>
  <sheetFormatPr defaultColWidth="8.6640625" defaultRowHeight="14.4" x14ac:dyDescent="0.3"/>
  <cols>
    <col min="1" max="3" width="15" customWidth="1"/>
    <col min="4" max="4" width="12" customWidth="1"/>
    <col min="5" max="5" width="10" customWidth="1"/>
    <col min="6" max="6" width="15" customWidth="1"/>
    <col min="7" max="66" width="6" customWidth="1"/>
    <col min="67" max="100" width="13" customWidth="1"/>
  </cols>
  <sheetData>
    <row r="2" spans="1:96" ht="15" customHeight="1" x14ac:dyDescent="0.3">
      <c r="G2" s="24" t="str">
        <f t="shared" ref="G2:AL2" si="0">"Wk-"&amp;WEEKNUM(G$3,2)</f>
        <v>Wk-14</v>
      </c>
      <c r="H2" s="24" t="str">
        <f t="shared" si="0"/>
        <v>Wk-14</v>
      </c>
      <c r="I2" s="24" t="str">
        <f t="shared" si="0"/>
        <v>Wk-14</v>
      </c>
      <c r="J2" s="24" t="str">
        <f t="shared" si="0"/>
        <v>Wk-14</v>
      </c>
      <c r="K2" s="24" t="str">
        <f t="shared" si="0"/>
        <v>Wk-14</v>
      </c>
      <c r="L2" s="24" t="str">
        <f t="shared" si="0"/>
        <v>Wk-15</v>
      </c>
      <c r="M2" s="24" t="str">
        <f t="shared" si="0"/>
        <v>Wk-15</v>
      </c>
      <c r="N2" s="24" t="str">
        <f t="shared" si="0"/>
        <v>Wk-15</v>
      </c>
      <c r="O2" s="24" t="str">
        <f t="shared" si="0"/>
        <v>Wk-15</v>
      </c>
      <c r="P2" s="24" t="str">
        <f t="shared" si="0"/>
        <v>Wk-15</v>
      </c>
      <c r="Q2" s="24" t="str">
        <f t="shared" si="0"/>
        <v>Wk-15</v>
      </c>
      <c r="R2" s="24" t="str">
        <f t="shared" si="0"/>
        <v>Wk-15</v>
      </c>
      <c r="S2" s="24" t="str">
        <f t="shared" si="0"/>
        <v>Wk-16</v>
      </c>
      <c r="T2" s="24" t="str">
        <f t="shared" si="0"/>
        <v>Wk-16</v>
      </c>
      <c r="U2" s="24" t="str">
        <f t="shared" si="0"/>
        <v>Wk-16</v>
      </c>
      <c r="V2" s="24" t="str">
        <f t="shared" si="0"/>
        <v>Wk-16</v>
      </c>
      <c r="W2" s="24" t="str">
        <f t="shared" si="0"/>
        <v>Wk-16</v>
      </c>
      <c r="X2" s="24" t="str">
        <f t="shared" si="0"/>
        <v>Wk-16</v>
      </c>
      <c r="Y2" s="24" t="str">
        <f t="shared" si="0"/>
        <v>Wk-16</v>
      </c>
      <c r="Z2" s="24" t="str">
        <f t="shared" si="0"/>
        <v>Wk-17</v>
      </c>
      <c r="AA2" s="24" t="str">
        <f t="shared" si="0"/>
        <v>Wk-17</v>
      </c>
      <c r="AB2" s="24" t="str">
        <f t="shared" si="0"/>
        <v>Wk-17</v>
      </c>
      <c r="AC2" s="24" t="str">
        <f t="shared" si="0"/>
        <v>Wk-17</v>
      </c>
      <c r="AD2" s="24" t="str">
        <f t="shared" si="0"/>
        <v>Wk-17</v>
      </c>
      <c r="AE2" s="24" t="str">
        <f t="shared" si="0"/>
        <v>Wk-17</v>
      </c>
      <c r="AF2" s="24" t="str">
        <f t="shared" si="0"/>
        <v>Wk-17</v>
      </c>
      <c r="AG2" s="24" t="str">
        <f t="shared" si="0"/>
        <v>Wk-18</v>
      </c>
      <c r="AH2" s="24" t="str">
        <f t="shared" si="0"/>
        <v>Wk-18</v>
      </c>
      <c r="AI2" s="24" t="str">
        <f t="shared" si="0"/>
        <v>Wk-18</v>
      </c>
      <c r="AJ2" s="24" t="str">
        <f t="shared" si="0"/>
        <v>Wk-18</v>
      </c>
      <c r="AK2" s="24" t="str">
        <f t="shared" si="0"/>
        <v>Wk-18</v>
      </c>
      <c r="AL2" s="24" t="str">
        <f t="shared" si="0"/>
        <v>Wk-18</v>
      </c>
      <c r="AM2" s="24" t="str">
        <f t="shared" ref="AM2:BR2" si="1">"Wk-"&amp;WEEKNUM(AM$3,2)</f>
        <v>Wk-18</v>
      </c>
      <c r="AN2" s="24" t="str">
        <f t="shared" si="1"/>
        <v>Wk-19</v>
      </c>
      <c r="AO2" s="24" t="str">
        <f t="shared" si="1"/>
        <v>Wk-19</v>
      </c>
      <c r="AP2" s="24" t="str">
        <f t="shared" si="1"/>
        <v>Wk-19</v>
      </c>
      <c r="AQ2" s="24" t="str">
        <f t="shared" si="1"/>
        <v>Wk-19</v>
      </c>
      <c r="AR2" s="24" t="str">
        <f t="shared" si="1"/>
        <v>Wk-19</v>
      </c>
      <c r="AS2" s="24" t="str">
        <f t="shared" si="1"/>
        <v>Wk-19</v>
      </c>
      <c r="AT2" s="24" t="str">
        <f t="shared" si="1"/>
        <v>Wk-19</v>
      </c>
      <c r="AU2" s="24" t="str">
        <f t="shared" si="1"/>
        <v>Wk-20</v>
      </c>
      <c r="AV2" s="24" t="str">
        <f t="shared" si="1"/>
        <v>Wk-20</v>
      </c>
      <c r="AW2" s="24" t="str">
        <f t="shared" si="1"/>
        <v>Wk-20</v>
      </c>
      <c r="AX2" s="24" t="str">
        <f t="shared" si="1"/>
        <v>Wk-20</v>
      </c>
      <c r="AY2" s="24" t="str">
        <f t="shared" si="1"/>
        <v>Wk-20</v>
      </c>
      <c r="AZ2" s="24" t="str">
        <f t="shared" si="1"/>
        <v>Wk-20</v>
      </c>
      <c r="BA2" s="24" t="str">
        <f t="shared" si="1"/>
        <v>Wk-20</v>
      </c>
      <c r="BB2" s="24" t="str">
        <f t="shared" si="1"/>
        <v>Wk-21</v>
      </c>
      <c r="BC2" s="24" t="str">
        <f t="shared" si="1"/>
        <v>Wk-21</v>
      </c>
      <c r="BD2" s="24" t="str">
        <f t="shared" si="1"/>
        <v>Wk-21</v>
      </c>
      <c r="BE2" s="24" t="str">
        <f t="shared" si="1"/>
        <v>Wk-21</v>
      </c>
      <c r="BF2" s="24" t="str">
        <f t="shared" si="1"/>
        <v>Wk-21</v>
      </c>
      <c r="BG2" s="24" t="str">
        <f t="shared" si="1"/>
        <v>Wk-21</v>
      </c>
      <c r="BH2" s="24" t="str">
        <f t="shared" si="1"/>
        <v>Wk-21</v>
      </c>
      <c r="BI2" s="24" t="str">
        <f t="shared" si="1"/>
        <v>Wk-22</v>
      </c>
      <c r="BJ2" s="24" t="str">
        <f t="shared" si="1"/>
        <v>Wk-22</v>
      </c>
      <c r="BK2" s="24" t="str">
        <f t="shared" si="1"/>
        <v>Wk-22</v>
      </c>
      <c r="BL2" s="24" t="str">
        <f t="shared" si="1"/>
        <v>Wk-22</v>
      </c>
      <c r="BM2" s="24" t="str">
        <f t="shared" si="1"/>
        <v>Wk-22</v>
      </c>
      <c r="BN2" s="24" t="str">
        <f t="shared" si="1"/>
        <v>Wk-22</v>
      </c>
      <c r="BO2" s="24" t="str">
        <f t="shared" si="1"/>
        <v>Wk-1</v>
      </c>
      <c r="BP2" s="24" t="str">
        <f t="shared" si="1"/>
        <v>Wk-1</v>
      </c>
      <c r="BQ2" s="24" t="str">
        <f t="shared" si="1"/>
        <v>Wk-1</v>
      </c>
      <c r="BR2" s="24" t="str">
        <f t="shared" si="1"/>
        <v>Wk-1</v>
      </c>
      <c r="BS2" s="24" t="str">
        <f t="shared" ref="BS2:CR2" si="2">"Wk-"&amp;WEEKNUM(BS$3,2)</f>
        <v>Wk-1</v>
      </c>
      <c r="BT2" s="24" t="str">
        <f t="shared" si="2"/>
        <v>Wk-1</v>
      </c>
      <c r="BU2" s="24" t="str">
        <f t="shared" si="2"/>
        <v>Wk-1</v>
      </c>
      <c r="BV2" s="24" t="str">
        <f t="shared" si="2"/>
        <v>Wk-1</v>
      </c>
      <c r="BW2" s="24" t="str">
        <f t="shared" si="2"/>
        <v>Wk-1</v>
      </c>
      <c r="BX2" s="24" t="str">
        <f t="shared" si="2"/>
        <v>Wk-1</v>
      </c>
      <c r="BY2" s="24" t="str">
        <f t="shared" si="2"/>
        <v>Wk-1</v>
      </c>
      <c r="BZ2" s="24" t="str">
        <f t="shared" si="2"/>
        <v>Wk-1</v>
      </c>
      <c r="CA2" s="24" t="str">
        <f t="shared" si="2"/>
        <v>Wk-1</v>
      </c>
      <c r="CB2" s="24" t="str">
        <f t="shared" si="2"/>
        <v>Wk-1</v>
      </c>
      <c r="CC2" s="24" t="str">
        <f t="shared" si="2"/>
        <v>Wk-1</v>
      </c>
      <c r="CD2" s="24" t="str">
        <f t="shared" si="2"/>
        <v>Wk-1</v>
      </c>
      <c r="CE2" s="24" t="str">
        <f t="shared" si="2"/>
        <v>Wk-1</v>
      </c>
      <c r="CF2" s="24" t="str">
        <f t="shared" si="2"/>
        <v>Wk-1</v>
      </c>
      <c r="CG2" s="24" t="str">
        <f t="shared" si="2"/>
        <v>Wk-1</v>
      </c>
      <c r="CH2" s="24" t="str">
        <f t="shared" si="2"/>
        <v>Wk-1</v>
      </c>
      <c r="CI2" s="24" t="str">
        <f t="shared" si="2"/>
        <v>Wk-1</v>
      </c>
      <c r="CJ2" s="24" t="str">
        <f t="shared" si="2"/>
        <v>Wk-1</v>
      </c>
      <c r="CK2" s="24" t="str">
        <f t="shared" si="2"/>
        <v>Wk-1</v>
      </c>
      <c r="CL2" s="24" t="str">
        <f t="shared" si="2"/>
        <v>Wk-1</v>
      </c>
      <c r="CM2" s="24" t="str">
        <f t="shared" si="2"/>
        <v>Wk-1</v>
      </c>
      <c r="CN2" s="24" t="str">
        <f t="shared" si="2"/>
        <v>Wk-1</v>
      </c>
      <c r="CO2" s="24" t="str">
        <f t="shared" si="2"/>
        <v>Wk-1</v>
      </c>
      <c r="CP2" s="24" t="str">
        <f t="shared" si="2"/>
        <v>Wk-1</v>
      </c>
      <c r="CQ2" s="24" t="str">
        <f t="shared" si="2"/>
        <v>Wk-1</v>
      </c>
      <c r="CR2" s="24" t="str">
        <f t="shared" si="2"/>
        <v>Wk-1</v>
      </c>
    </row>
    <row r="3" spans="1:96" ht="15" customHeight="1" x14ac:dyDescent="0.3">
      <c r="A3" s="25" t="s">
        <v>122</v>
      </c>
      <c r="B3" s="25" t="s">
        <v>123</v>
      </c>
      <c r="C3" s="25" t="s">
        <v>124</v>
      </c>
      <c r="D3" s="25" t="s">
        <v>287</v>
      </c>
      <c r="E3" s="25" t="s">
        <v>288</v>
      </c>
      <c r="F3" s="25" t="s">
        <v>289</v>
      </c>
      <c r="G3" s="26">
        <v>46113</v>
      </c>
      <c r="H3" s="26">
        <v>46114</v>
      </c>
      <c r="I3" s="26">
        <v>46115</v>
      </c>
      <c r="J3" s="26">
        <v>46116</v>
      </c>
      <c r="K3" s="26">
        <v>46117</v>
      </c>
      <c r="L3" s="26">
        <v>46118</v>
      </c>
      <c r="M3" s="26">
        <v>46119</v>
      </c>
      <c r="N3" s="26">
        <v>46120</v>
      </c>
      <c r="O3" s="26">
        <v>46121</v>
      </c>
      <c r="P3" s="26">
        <v>46122</v>
      </c>
      <c r="Q3" s="26">
        <v>46123</v>
      </c>
      <c r="R3" s="26">
        <v>46124</v>
      </c>
      <c r="S3" s="26">
        <v>46125</v>
      </c>
      <c r="T3" s="26">
        <v>46126</v>
      </c>
      <c r="U3" s="26">
        <v>46127</v>
      </c>
      <c r="V3" s="26">
        <v>46128</v>
      </c>
      <c r="W3" s="26">
        <v>46129</v>
      </c>
      <c r="X3" s="26">
        <v>46130</v>
      </c>
      <c r="Y3" s="26">
        <v>46131</v>
      </c>
      <c r="Z3" s="26">
        <v>46132</v>
      </c>
      <c r="AA3" s="26">
        <v>46133</v>
      </c>
      <c r="AB3" s="26">
        <v>46134</v>
      </c>
      <c r="AC3" s="26">
        <v>46135</v>
      </c>
      <c r="AD3" s="26">
        <v>46136</v>
      </c>
      <c r="AE3" s="26">
        <v>46137</v>
      </c>
      <c r="AF3" s="26">
        <v>46138</v>
      </c>
      <c r="AG3" s="26">
        <v>46139</v>
      </c>
      <c r="AH3" s="26">
        <v>46140</v>
      </c>
      <c r="AI3" s="26">
        <v>46141</v>
      </c>
      <c r="AJ3" s="26">
        <v>46142</v>
      </c>
      <c r="AK3" s="26">
        <v>46143</v>
      </c>
      <c r="AL3" s="26">
        <v>46144</v>
      </c>
      <c r="AM3" s="26">
        <v>46145</v>
      </c>
      <c r="AN3" s="26">
        <v>46146</v>
      </c>
      <c r="AO3" s="26">
        <v>46147</v>
      </c>
      <c r="AP3" s="26">
        <v>46148</v>
      </c>
      <c r="AQ3" s="26">
        <v>46149</v>
      </c>
      <c r="AR3" s="26">
        <v>46150</v>
      </c>
      <c r="AS3" s="26">
        <v>46151</v>
      </c>
      <c r="AT3" s="26">
        <v>46152</v>
      </c>
      <c r="AU3" s="26">
        <v>46153</v>
      </c>
      <c r="AV3" s="26">
        <v>46154</v>
      </c>
      <c r="AW3" s="26">
        <v>46155</v>
      </c>
      <c r="AX3" s="26">
        <v>46156</v>
      </c>
      <c r="AY3" s="26">
        <v>46157</v>
      </c>
      <c r="AZ3" s="26">
        <v>46158</v>
      </c>
      <c r="BA3" s="26">
        <v>46159</v>
      </c>
      <c r="BB3" s="26">
        <v>46160</v>
      </c>
      <c r="BC3" s="26">
        <v>46161</v>
      </c>
      <c r="BD3" s="26">
        <v>46162</v>
      </c>
      <c r="BE3" s="26">
        <v>46163</v>
      </c>
      <c r="BF3" s="26">
        <v>46164</v>
      </c>
      <c r="BG3" s="26">
        <v>46165</v>
      </c>
      <c r="BH3" s="26">
        <v>46166</v>
      </c>
      <c r="BI3" s="26">
        <v>46167</v>
      </c>
      <c r="BJ3" s="26">
        <v>46168</v>
      </c>
      <c r="BK3" s="26">
        <v>46169</v>
      </c>
      <c r="BL3" s="26">
        <v>46170</v>
      </c>
      <c r="BM3" s="26">
        <v>46171</v>
      </c>
      <c r="BN3" s="26">
        <v>46172</v>
      </c>
    </row>
    <row r="4" spans="1:96" ht="15" customHeight="1" x14ac:dyDescent="0.3">
      <c r="A4" s="10" t="str">
        <f>Machine_List!A4</f>
        <v>VTL</v>
      </c>
      <c r="B4" s="10" t="str">
        <f>Machine_List!B4</f>
        <v>VTL-MC-01</v>
      </c>
      <c r="C4" s="22">
        <f>Machine_List!C4</f>
        <v>46133</v>
      </c>
      <c r="D4" s="10">
        <f>Machine_List!D4</f>
        <v>6</v>
      </c>
      <c r="E4" s="10">
        <f t="shared" ref="E4:E35" ca="1" si="3">C4-TODAY()</f>
        <v>14</v>
      </c>
      <c r="F4" s="10" t="str">
        <f t="shared" ref="F4:F35" ca="1" si="4">IF(E4&lt;0,"OVERDUE",IF(E4&lt;=5,"DUE SOON","OK"))</f>
        <v>OK</v>
      </c>
      <c r="G4" s="27" t="str">
        <f t="shared" ref="G4:P13" si="5">IF(INT(G$3)=INT($C4), TEXT($C4, "dd-mmm"), "")</f>
        <v/>
      </c>
      <c r="H4" s="27" t="str">
        <f t="shared" si="5"/>
        <v/>
      </c>
      <c r="I4" s="27" t="str">
        <f t="shared" si="5"/>
        <v/>
      </c>
      <c r="J4" s="27" t="str">
        <f t="shared" si="5"/>
        <v/>
      </c>
      <c r="K4" s="27" t="str">
        <f t="shared" si="5"/>
        <v/>
      </c>
      <c r="L4" s="27" t="str">
        <f t="shared" si="5"/>
        <v/>
      </c>
      <c r="M4" s="27" t="str">
        <f t="shared" si="5"/>
        <v/>
      </c>
      <c r="N4" s="27" t="str">
        <f t="shared" si="5"/>
        <v/>
      </c>
      <c r="O4" s="27" t="str">
        <f t="shared" si="5"/>
        <v/>
      </c>
      <c r="P4" s="27" t="str">
        <f t="shared" si="5"/>
        <v/>
      </c>
      <c r="Q4" s="27" t="str">
        <f t="shared" ref="Q4:Z13" si="6">IF(INT(Q$3)=INT($C4), TEXT($C4, "dd-mmm"), "")</f>
        <v/>
      </c>
      <c r="R4" s="27" t="str">
        <f t="shared" si="6"/>
        <v/>
      </c>
      <c r="S4" s="27" t="str">
        <f t="shared" si="6"/>
        <v/>
      </c>
      <c r="T4" s="27" t="str">
        <f t="shared" si="6"/>
        <v/>
      </c>
      <c r="U4" s="27" t="str">
        <f t="shared" si="6"/>
        <v/>
      </c>
      <c r="V4" s="27" t="str">
        <f t="shared" si="6"/>
        <v/>
      </c>
      <c r="W4" s="27" t="str">
        <f t="shared" si="6"/>
        <v/>
      </c>
      <c r="X4" s="27" t="str">
        <f t="shared" si="6"/>
        <v/>
      </c>
      <c r="Y4" s="27" t="str">
        <f t="shared" si="6"/>
        <v/>
      </c>
      <c r="Z4" s="27" t="str">
        <f t="shared" si="6"/>
        <v/>
      </c>
      <c r="AA4" s="27" t="str">
        <f t="shared" ref="AA4:AJ13" si="7">IF(INT(AA$3)=INT($C4), TEXT($C4, "dd-mmm"), "")</f>
        <v>21-Apr</v>
      </c>
      <c r="AB4" s="27" t="str">
        <f t="shared" si="7"/>
        <v/>
      </c>
      <c r="AC4" s="27" t="str">
        <f t="shared" si="7"/>
        <v/>
      </c>
      <c r="AD4" s="27" t="str">
        <f t="shared" si="7"/>
        <v/>
      </c>
      <c r="AE4" s="27" t="str">
        <f t="shared" si="7"/>
        <v/>
      </c>
      <c r="AF4" s="27" t="str">
        <f t="shared" si="7"/>
        <v/>
      </c>
      <c r="AG4" s="27" t="str">
        <f t="shared" si="7"/>
        <v/>
      </c>
      <c r="AH4" s="27" t="str">
        <f t="shared" si="7"/>
        <v/>
      </c>
      <c r="AI4" s="27" t="str">
        <f t="shared" si="7"/>
        <v/>
      </c>
      <c r="AJ4" s="27" t="str">
        <f t="shared" si="7"/>
        <v/>
      </c>
      <c r="AK4" s="27" t="str">
        <f t="shared" ref="AK4:AT13" si="8">IF(INT(AK$3)=INT($C4), TEXT($C4, "dd-mmm"), "")</f>
        <v/>
      </c>
      <c r="AL4" s="27" t="str">
        <f t="shared" si="8"/>
        <v/>
      </c>
      <c r="AM4" s="27" t="str">
        <f t="shared" si="8"/>
        <v/>
      </c>
      <c r="AN4" s="27" t="str">
        <f t="shared" si="8"/>
        <v/>
      </c>
      <c r="AO4" s="27" t="str">
        <f t="shared" si="8"/>
        <v/>
      </c>
      <c r="AP4" s="27" t="str">
        <f t="shared" si="8"/>
        <v/>
      </c>
      <c r="AQ4" s="27" t="str">
        <f t="shared" si="8"/>
        <v/>
      </c>
      <c r="AR4" s="27" t="str">
        <f t="shared" si="8"/>
        <v/>
      </c>
      <c r="AS4" s="27" t="str">
        <f t="shared" si="8"/>
        <v/>
      </c>
      <c r="AT4" s="27" t="str">
        <f t="shared" si="8"/>
        <v/>
      </c>
      <c r="AU4" s="27" t="str">
        <f t="shared" ref="AU4:BD13" si="9">IF(INT(AU$3)=INT($C4), TEXT($C4, "dd-mmm"), "")</f>
        <v/>
      </c>
      <c r="AV4" s="27" t="str">
        <f t="shared" si="9"/>
        <v/>
      </c>
      <c r="AW4" s="27" t="str">
        <f t="shared" si="9"/>
        <v/>
      </c>
      <c r="AX4" s="27" t="str">
        <f t="shared" si="9"/>
        <v/>
      </c>
      <c r="AY4" s="27" t="str">
        <f t="shared" si="9"/>
        <v/>
      </c>
      <c r="AZ4" s="27" t="str">
        <f t="shared" si="9"/>
        <v/>
      </c>
      <c r="BA4" s="27" t="str">
        <f t="shared" si="9"/>
        <v/>
      </c>
      <c r="BB4" s="27" t="str">
        <f t="shared" si="9"/>
        <v/>
      </c>
      <c r="BC4" s="27" t="str">
        <f t="shared" si="9"/>
        <v/>
      </c>
      <c r="BD4" s="27" t="str">
        <f t="shared" si="9"/>
        <v/>
      </c>
      <c r="BE4" s="27" t="str">
        <f t="shared" ref="BE4:BN13" si="10">IF(INT(BE$3)=INT($C4), TEXT($C4, "dd-mmm"), "")</f>
        <v/>
      </c>
      <c r="BF4" s="27" t="str">
        <f t="shared" si="10"/>
        <v/>
      </c>
      <c r="BG4" s="27" t="str">
        <f t="shared" si="10"/>
        <v/>
      </c>
      <c r="BH4" s="27" t="str">
        <f t="shared" si="10"/>
        <v/>
      </c>
      <c r="BI4" s="27" t="str">
        <f t="shared" si="10"/>
        <v/>
      </c>
      <c r="BJ4" s="27" t="str">
        <f t="shared" si="10"/>
        <v/>
      </c>
      <c r="BK4" s="27" t="str">
        <f t="shared" si="10"/>
        <v/>
      </c>
      <c r="BL4" s="27" t="str">
        <f t="shared" si="10"/>
        <v/>
      </c>
      <c r="BM4" s="27" t="str">
        <f t="shared" si="10"/>
        <v/>
      </c>
      <c r="BN4" s="27" t="str">
        <f t="shared" si="10"/>
        <v/>
      </c>
    </row>
    <row r="5" spans="1:96" ht="15" customHeight="1" x14ac:dyDescent="0.3">
      <c r="A5" s="10" t="str">
        <f>Machine_List!A5</f>
        <v>VTL</v>
      </c>
      <c r="B5" s="10" t="str">
        <f>Machine_List!B5</f>
        <v>VTL-MC-02</v>
      </c>
      <c r="C5" s="22">
        <f>Machine_List!C5</f>
        <v>46521</v>
      </c>
      <c r="D5" s="10">
        <f>Machine_List!D5</f>
        <v>6</v>
      </c>
      <c r="E5" s="10">
        <f t="shared" ca="1" si="3"/>
        <v>402</v>
      </c>
      <c r="F5" s="10" t="str">
        <f t="shared" ca="1" si="4"/>
        <v>OK</v>
      </c>
      <c r="G5" s="27" t="str">
        <f t="shared" si="5"/>
        <v/>
      </c>
      <c r="H5" s="27" t="str">
        <f t="shared" si="5"/>
        <v/>
      </c>
      <c r="I5" s="27" t="str">
        <f t="shared" si="5"/>
        <v/>
      </c>
      <c r="J5" s="27" t="str">
        <f t="shared" si="5"/>
        <v/>
      </c>
      <c r="K5" s="27" t="str">
        <f t="shared" si="5"/>
        <v/>
      </c>
      <c r="L5" s="27" t="str">
        <f t="shared" si="5"/>
        <v/>
      </c>
      <c r="M5" s="27" t="str">
        <f t="shared" si="5"/>
        <v/>
      </c>
      <c r="N5" s="27" t="str">
        <f t="shared" si="5"/>
        <v/>
      </c>
      <c r="O5" s="27" t="str">
        <f t="shared" si="5"/>
        <v/>
      </c>
      <c r="P5" s="27" t="str">
        <f t="shared" si="5"/>
        <v/>
      </c>
      <c r="Q5" s="27" t="str">
        <f t="shared" si="6"/>
        <v/>
      </c>
      <c r="R5" s="27" t="str">
        <f t="shared" si="6"/>
        <v/>
      </c>
      <c r="S5" s="27" t="str">
        <f t="shared" si="6"/>
        <v/>
      </c>
      <c r="T5" s="27" t="str">
        <f t="shared" si="6"/>
        <v/>
      </c>
      <c r="U5" s="27" t="str">
        <f t="shared" si="6"/>
        <v/>
      </c>
      <c r="V5" s="27" t="str">
        <f t="shared" si="6"/>
        <v/>
      </c>
      <c r="W5" s="27" t="str">
        <f t="shared" si="6"/>
        <v/>
      </c>
      <c r="X5" s="27" t="str">
        <f t="shared" si="6"/>
        <v/>
      </c>
      <c r="Y5" s="27" t="str">
        <f t="shared" si="6"/>
        <v/>
      </c>
      <c r="Z5" s="27" t="str">
        <f t="shared" si="6"/>
        <v/>
      </c>
      <c r="AA5" s="27" t="str">
        <f t="shared" si="7"/>
        <v/>
      </c>
      <c r="AB5" s="27" t="str">
        <f t="shared" si="7"/>
        <v/>
      </c>
      <c r="AC5" s="27" t="str">
        <f t="shared" si="7"/>
        <v/>
      </c>
      <c r="AD5" s="27" t="str">
        <f t="shared" si="7"/>
        <v/>
      </c>
      <c r="AE5" s="27" t="str">
        <f t="shared" si="7"/>
        <v/>
      </c>
      <c r="AF5" s="27" t="str">
        <f t="shared" si="7"/>
        <v/>
      </c>
      <c r="AG5" s="27" t="str">
        <f t="shared" si="7"/>
        <v/>
      </c>
      <c r="AH5" s="27" t="str">
        <f t="shared" si="7"/>
        <v/>
      </c>
      <c r="AI5" s="27" t="str">
        <f t="shared" si="7"/>
        <v/>
      </c>
      <c r="AJ5" s="27" t="str">
        <f t="shared" si="7"/>
        <v/>
      </c>
      <c r="AK5" s="27" t="str">
        <f t="shared" si="8"/>
        <v/>
      </c>
      <c r="AL5" s="27" t="str">
        <f t="shared" si="8"/>
        <v/>
      </c>
      <c r="AM5" s="27" t="str">
        <f t="shared" si="8"/>
        <v/>
      </c>
      <c r="AN5" s="27" t="str">
        <f t="shared" si="8"/>
        <v/>
      </c>
      <c r="AO5" s="27" t="str">
        <f t="shared" si="8"/>
        <v/>
      </c>
      <c r="AP5" s="27" t="str">
        <f t="shared" si="8"/>
        <v/>
      </c>
      <c r="AQ5" s="27" t="str">
        <f t="shared" si="8"/>
        <v/>
      </c>
      <c r="AR5" s="27" t="str">
        <f t="shared" si="8"/>
        <v/>
      </c>
      <c r="AS5" s="27" t="str">
        <f t="shared" si="8"/>
        <v/>
      </c>
      <c r="AT5" s="27" t="str">
        <f t="shared" si="8"/>
        <v/>
      </c>
      <c r="AU5" s="27" t="str">
        <f t="shared" si="9"/>
        <v/>
      </c>
      <c r="AV5" s="27" t="str">
        <f t="shared" si="9"/>
        <v/>
      </c>
      <c r="AW5" s="27" t="str">
        <f t="shared" si="9"/>
        <v/>
      </c>
      <c r="AX5" s="27" t="str">
        <f t="shared" si="9"/>
        <v/>
      </c>
      <c r="AY5" s="27" t="str">
        <f t="shared" si="9"/>
        <v/>
      </c>
      <c r="AZ5" s="27" t="str">
        <f t="shared" si="9"/>
        <v/>
      </c>
      <c r="BA5" s="27" t="str">
        <f t="shared" si="9"/>
        <v/>
      </c>
      <c r="BB5" s="27" t="str">
        <f t="shared" si="9"/>
        <v/>
      </c>
      <c r="BC5" s="27" t="str">
        <f t="shared" si="9"/>
        <v/>
      </c>
      <c r="BD5" s="27" t="str">
        <f t="shared" si="9"/>
        <v/>
      </c>
      <c r="BE5" s="27" t="str">
        <f t="shared" si="10"/>
        <v/>
      </c>
      <c r="BF5" s="27" t="str">
        <f t="shared" si="10"/>
        <v/>
      </c>
      <c r="BG5" s="27" t="str">
        <f t="shared" si="10"/>
        <v/>
      </c>
      <c r="BH5" s="27" t="str">
        <f t="shared" si="10"/>
        <v/>
      </c>
      <c r="BI5" s="27" t="str">
        <f t="shared" si="10"/>
        <v/>
      </c>
      <c r="BJ5" s="27" t="str">
        <f t="shared" si="10"/>
        <v/>
      </c>
      <c r="BK5" s="27" t="str">
        <f t="shared" si="10"/>
        <v/>
      </c>
      <c r="BL5" s="27" t="str">
        <f t="shared" si="10"/>
        <v/>
      </c>
      <c r="BM5" s="27" t="str">
        <f t="shared" si="10"/>
        <v/>
      </c>
      <c r="BN5" s="27" t="str">
        <f t="shared" si="10"/>
        <v/>
      </c>
    </row>
    <row r="6" spans="1:96" ht="15" customHeight="1" x14ac:dyDescent="0.3">
      <c r="A6" s="10" t="str">
        <f>Machine_List!A6</f>
        <v>VTL</v>
      </c>
      <c r="B6" s="10" t="str">
        <f>Machine_List!B6</f>
        <v>VTL-MC-03</v>
      </c>
      <c r="C6" s="22">
        <f>Machine_List!C6</f>
        <v>46174</v>
      </c>
      <c r="D6" s="10">
        <f>Machine_List!D6</f>
        <v>6</v>
      </c>
      <c r="E6" s="10">
        <f t="shared" ca="1" si="3"/>
        <v>55</v>
      </c>
      <c r="F6" s="10" t="str">
        <f t="shared" ca="1" si="4"/>
        <v>OK</v>
      </c>
      <c r="G6" s="27" t="str">
        <f t="shared" si="5"/>
        <v/>
      </c>
      <c r="H6" s="27" t="str">
        <f t="shared" si="5"/>
        <v/>
      </c>
      <c r="I6" s="27" t="str">
        <f t="shared" si="5"/>
        <v/>
      </c>
      <c r="J6" s="27" t="str">
        <f t="shared" si="5"/>
        <v/>
      </c>
      <c r="K6" s="27" t="str">
        <f t="shared" si="5"/>
        <v/>
      </c>
      <c r="L6" s="27" t="str">
        <f t="shared" si="5"/>
        <v/>
      </c>
      <c r="M6" s="27" t="str">
        <f t="shared" si="5"/>
        <v/>
      </c>
      <c r="N6" s="27" t="str">
        <f t="shared" si="5"/>
        <v/>
      </c>
      <c r="O6" s="27" t="str">
        <f t="shared" si="5"/>
        <v/>
      </c>
      <c r="P6" s="27" t="str">
        <f t="shared" si="5"/>
        <v/>
      </c>
      <c r="Q6" s="27" t="str">
        <f t="shared" si="6"/>
        <v/>
      </c>
      <c r="R6" s="27" t="str">
        <f t="shared" si="6"/>
        <v/>
      </c>
      <c r="S6" s="27" t="str">
        <f t="shared" si="6"/>
        <v/>
      </c>
      <c r="T6" s="27" t="str">
        <f t="shared" si="6"/>
        <v/>
      </c>
      <c r="U6" s="27" t="str">
        <f t="shared" si="6"/>
        <v/>
      </c>
      <c r="V6" s="27" t="str">
        <f t="shared" si="6"/>
        <v/>
      </c>
      <c r="W6" s="27" t="str">
        <f t="shared" si="6"/>
        <v/>
      </c>
      <c r="X6" s="27" t="str">
        <f t="shared" si="6"/>
        <v/>
      </c>
      <c r="Y6" s="27" t="str">
        <f t="shared" si="6"/>
        <v/>
      </c>
      <c r="Z6" s="27" t="str">
        <f t="shared" si="6"/>
        <v/>
      </c>
      <c r="AA6" s="27" t="str">
        <f t="shared" si="7"/>
        <v/>
      </c>
      <c r="AB6" s="27" t="str">
        <f t="shared" si="7"/>
        <v/>
      </c>
      <c r="AC6" s="27" t="str">
        <f t="shared" si="7"/>
        <v/>
      </c>
      <c r="AD6" s="27" t="str">
        <f t="shared" si="7"/>
        <v/>
      </c>
      <c r="AE6" s="27" t="str">
        <f t="shared" si="7"/>
        <v/>
      </c>
      <c r="AF6" s="27" t="str">
        <f t="shared" si="7"/>
        <v/>
      </c>
      <c r="AG6" s="27" t="str">
        <f t="shared" si="7"/>
        <v/>
      </c>
      <c r="AH6" s="27" t="str">
        <f t="shared" si="7"/>
        <v/>
      </c>
      <c r="AI6" s="27" t="str">
        <f t="shared" si="7"/>
        <v/>
      </c>
      <c r="AJ6" s="27" t="str">
        <f t="shared" si="7"/>
        <v/>
      </c>
      <c r="AK6" s="27" t="str">
        <f t="shared" si="8"/>
        <v/>
      </c>
      <c r="AL6" s="27" t="str">
        <f t="shared" si="8"/>
        <v/>
      </c>
      <c r="AM6" s="27" t="str">
        <f t="shared" si="8"/>
        <v/>
      </c>
      <c r="AN6" s="27" t="str">
        <f t="shared" si="8"/>
        <v/>
      </c>
      <c r="AO6" s="27" t="str">
        <f t="shared" si="8"/>
        <v/>
      </c>
      <c r="AP6" s="27" t="str">
        <f t="shared" si="8"/>
        <v/>
      </c>
      <c r="AQ6" s="27" t="str">
        <f t="shared" si="8"/>
        <v/>
      </c>
      <c r="AR6" s="27" t="str">
        <f t="shared" si="8"/>
        <v/>
      </c>
      <c r="AS6" s="27" t="str">
        <f t="shared" si="8"/>
        <v/>
      </c>
      <c r="AT6" s="27" t="str">
        <f t="shared" si="8"/>
        <v/>
      </c>
      <c r="AU6" s="27" t="str">
        <f t="shared" si="9"/>
        <v/>
      </c>
      <c r="AV6" s="27" t="str">
        <f t="shared" si="9"/>
        <v/>
      </c>
      <c r="AW6" s="27" t="str">
        <f t="shared" si="9"/>
        <v/>
      </c>
      <c r="AX6" s="27" t="str">
        <f t="shared" si="9"/>
        <v/>
      </c>
      <c r="AY6" s="27" t="str">
        <f t="shared" si="9"/>
        <v/>
      </c>
      <c r="AZ6" s="27" t="str">
        <f t="shared" si="9"/>
        <v/>
      </c>
      <c r="BA6" s="27" t="str">
        <f t="shared" si="9"/>
        <v/>
      </c>
      <c r="BB6" s="27" t="str">
        <f t="shared" si="9"/>
        <v/>
      </c>
      <c r="BC6" s="27" t="str">
        <f t="shared" si="9"/>
        <v/>
      </c>
      <c r="BD6" s="27" t="str">
        <f t="shared" si="9"/>
        <v/>
      </c>
      <c r="BE6" s="27" t="str">
        <f t="shared" si="10"/>
        <v/>
      </c>
      <c r="BF6" s="27" t="str">
        <f t="shared" si="10"/>
        <v/>
      </c>
      <c r="BG6" s="27" t="str">
        <f t="shared" si="10"/>
        <v/>
      </c>
      <c r="BH6" s="27" t="str">
        <f t="shared" si="10"/>
        <v/>
      </c>
      <c r="BI6" s="27" t="str">
        <f t="shared" si="10"/>
        <v/>
      </c>
      <c r="BJ6" s="27" t="str">
        <f t="shared" si="10"/>
        <v/>
      </c>
      <c r="BK6" s="27" t="str">
        <f t="shared" si="10"/>
        <v/>
      </c>
      <c r="BL6" s="27" t="str">
        <f t="shared" si="10"/>
        <v/>
      </c>
      <c r="BM6" s="27" t="str">
        <f t="shared" si="10"/>
        <v/>
      </c>
      <c r="BN6" s="27" t="str">
        <f t="shared" si="10"/>
        <v/>
      </c>
    </row>
    <row r="7" spans="1:96" ht="15" customHeight="1" x14ac:dyDescent="0.3">
      <c r="A7" s="10" t="str">
        <f>Machine_List!A7</f>
        <v>VTL</v>
      </c>
      <c r="B7" s="10" t="str">
        <f>Machine_List!B7</f>
        <v>VTL-MC-04</v>
      </c>
      <c r="C7" s="22">
        <f>Machine_List!C7</f>
        <v>46517</v>
      </c>
      <c r="D7" s="10">
        <f>Machine_List!D7</f>
        <v>6</v>
      </c>
      <c r="E7" s="10">
        <f t="shared" ca="1" si="3"/>
        <v>398</v>
      </c>
      <c r="F7" s="10" t="str">
        <f t="shared" ca="1" si="4"/>
        <v>OK</v>
      </c>
      <c r="G7" s="27" t="str">
        <f t="shared" si="5"/>
        <v/>
      </c>
      <c r="H7" s="27" t="str">
        <f t="shared" si="5"/>
        <v/>
      </c>
      <c r="I7" s="27" t="str">
        <f t="shared" si="5"/>
        <v/>
      </c>
      <c r="J7" s="27" t="str">
        <f t="shared" si="5"/>
        <v/>
      </c>
      <c r="K7" s="27" t="str">
        <f t="shared" si="5"/>
        <v/>
      </c>
      <c r="L7" s="27" t="str">
        <f t="shared" si="5"/>
        <v/>
      </c>
      <c r="M7" s="27" t="str">
        <f t="shared" si="5"/>
        <v/>
      </c>
      <c r="N7" s="27" t="str">
        <f t="shared" si="5"/>
        <v/>
      </c>
      <c r="O7" s="27" t="str">
        <f t="shared" si="5"/>
        <v/>
      </c>
      <c r="P7" s="27" t="str">
        <f t="shared" si="5"/>
        <v/>
      </c>
      <c r="Q7" s="27" t="str">
        <f t="shared" si="6"/>
        <v/>
      </c>
      <c r="R7" s="27" t="str">
        <f t="shared" si="6"/>
        <v/>
      </c>
      <c r="S7" s="27" t="str">
        <f t="shared" si="6"/>
        <v/>
      </c>
      <c r="T7" s="27" t="str">
        <f t="shared" si="6"/>
        <v/>
      </c>
      <c r="U7" s="27" t="str">
        <f t="shared" si="6"/>
        <v/>
      </c>
      <c r="V7" s="27" t="str">
        <f t="shared" si="6"/>
        <v/>
      </c>
      <c r="W7" s="27" t="str">
        <f t="shared" si="6"/>
        <v/>
      </c>
      <c r="X7" s="27" t="str">
        <f t="shared" si="6"/>
        <v/>
      </c>
      <c r="Y7" s="27" t="str">
        <f t="shared" si="6"/>
        <v/>
      </c>
      <c r="Z7" s="27" t="str">
        <f t="shared" si="6"/>
        <v/>
      </c>
      <c r="AA7" s="27" t="str">
        <f t="shared" si="7"/>
        <v/>
      </c>
      <c r="AB7" s="27" t="str">
        <f t="shared" si="7"/>
        <v/>
      </c>
      <c r="AC7" s="27" t="str">
        <f t="shared" si="7"/>
        <v/>
      </c>
      <c r="AD7" s="27" t="str">
        <f t="shared" si="7"/>
        <v/>
      </c>
      <c r="AE7" s="27" t="str">
        <f t="shared" si="7"/>
        <v/>
      </c>
      <c r="AF7" s="27" t="str">
        <f t="shared" si="7"/>
        <v/>
      </c>
      <c r="AG7" s="27" t="str">
        <f t="shared" si="7"/>
        <v/>
      </c>
      <c r="AH7" s="27" t="str">
        <f t="shared" si="7"/>
        <v/>
      </c>
      <c r="AI7" s="27" t="str">
        <f t="shared" si="7"/>
        <v/>
      </c>
      <c r="AJ7" s="27" t="str">
        <f t="shared" si="7"/>
        <v/>
      </c>
      <c r="AK7" s="27" t="str">
        <f t="shared" si="8"/>
        <v/>
      </c>
      <c r="AL7" s="27" t="str">
        <f t="shared" si="8"/>
        <v/>
      </c>
      <c r="AM7" s="27" t="str">
        <f t="shared" si="8"/>
        <v/>
      </c>
      <c r="AN7" s="27" t="str">
        <f t="shared" si="8"/>
        <v/>
      </c>
      <c r="AO7" s="27" t="str">
        <f t="shared" si="8"/>
        <v/>
      </c>
      <c r="AP7" s="27" t="str">
        <f t="shared" si="8"/>
        <v/>
      </c>
      <c r="AQ7" s="27" t="str">
        <f t="shared" si="8"/>
        <v/>
      </c>
      <c r="AR7" s="27" t="str">
        <f t="shared" si="8"/>
        <v/>
      </c>
      <c r="AS7" s="27" t="str">
        <f t="shared" si="8"/>
        <v/>
      </c>
      <c r="AT7" s="27" t="str">
        <f t="shared" si="8"/>
        <v/>
      </c>
      <c r="AU7" s="27" t="str">
        <f t="shared" si="9"/>
        <v/>
      </c>
      <c r="AV7" s="27" t="str">
        <f t="shared" si="9"/>
        <v/>
      </c>
      <c r="AW7" s="27" t="str">
        <f t="shared" si="9"/>
        <v/>
      </c>
      <c r="AX7" s="27" t="str">
        <f t="shared" si="9"/>
        <v/>
      </c>
      <c r="AY7" s="27" t="str">
        <f t="shared" si="9"/>
        <v/>
      </c>
      <c r="AZ7" s="27" t="str">
        <f t="shared" si="9"/>
        <v/>
      </c>
      <c r="BA7" s="27" t="str">
        <f t="shared" si="9"/>
        <v/>
      </c>
      <c r="BB7" s="27" t="str">
        <f t="shared" si="9"/>
        <v/>
      </c>
      <c r="BC7" s="27" t="str">
        <f t="shared" si="9"/>
        <v/>
      </c>
      <c r="BD7" s="27" t="str">
        <f t="shared" si="9"/>
        <v/>
      </c>
      <c r="BE7" s="27" t="str">
        <f t="shared" si="10"/>
        <v/>
      </c>
      <c r="BF7" s="27" t="str">
        <f t="shared" si="10"/>
        <v/>
      </c>
      <c r="BG7" s="27" t="str">
        <f t="shared" si="10"/>
        <v/>
      </c>
      <c r="BH7" s="27" t="str">
        <f t="shared" si="10"/>
        <v/>
      </c>
      <c r="BI7" s="27" t="str">
        <f t="shared" si="10"/>
        <v/>
      </c>
      <c r="BJ7" s="27" t="str">
        <f t="shared" si="10"/>
        <v/>
      </c>
      <c r="BK7" s="27" t="str">
        <f t="shared" si="10"/>
        <v/>
      </c>
      <c r="BL7" s="27" t="str">
        <f t="shared" si="10"/>
        <v/>
      </c>
      <c r="BM7" s="27" t="str">
        <f t="shared" si="10"/>
        <v/>
      </c>
      <c r="BN7" s="27" t="str">
        <f t="shared" si="10"/>
        <v/>
      </c>
    </row>
    <row r="8" spans="1:96" ht="15" customHeight="1" x14ac:dyDescent="0.3">
      <c r="A8" s="10" t="str">
        <f>Machine_List!A8</f>
        <v>SPM</v>
      </c>
      <c r="B8" s="10" t="str">
        <f>Machine_List!B8</f>
        <v>SPM-MC-01</v>
      </c>
      <c r="C8" s="22">
        <f>Machine_List!C8</f>
        <v>46285</v>
      </c>
      <c r="D8" s="10">
        <f>Machine_List!D8</f>
        <v>6</v>
      </c>
      <c r="E8" s="10">
        <f t="shared" ca="1" si="3"/>
        <v>166</v>
      </c>
      <c r="F8" s="10" t="str">
        <f t="shared" ca="1" si="4"/>
        <v>OK</v>
      </c>
      <c r="G8" s="27" t="str">
        <f t="shared" si="5"/>
        <v/>
      </c>
      <c r="H8" s="27" t="str">
        <f t="shared" si="5"/>
        <v/>
      </c>
      <c r="I8" s="27" t="str">
        <f t="shared" si="5"/>
        <v/>
      </c>
      <c r="J8" s="27" t="str">
        <f t="shared" si="5"/>
        <v/>
      </c>
      <c r="K8" s="27" t="str">
        <f t="shared" si="5"/>
        <v/>
      </c>
      <c r="L8" s="27" t="str">
        <f t="shared" si="5"/>
        <v/>
      </c>
      <c r="M8" s="27" t="str">
        <f t="shared" si="5"/>
        <v/>
      </c>
      <c r="N8" s="27" t="str">
        <f t="shared" si="5"/>
        <v/>
      </c>
      <c r="O8" s="27" t="str">
        <f t="shared" si="5"/>
        <v/>
      </c>
      <c r="P8" s="27" t="str">
        <f t="shared" si="5"/>
        <v/>
      </c>
      <c r="Q8" s="27" t="str">
        <f t="shared" si="6"/>
        <v/>
      </c>
      <c r="R8" s="27" t="str">
        <f t="shared" si="6"/>
        <v/>
      </c>
      <c r="S8" s="27" t="str">
        <f t="shared" si="6"/>
        <v/>
      </c>
      <c r="T8" s="27" t="str">
        <f t="shared" si="6"/>
        <v/>
      </c>
      <c r="U8" s="27" t="str">
        <f t="shared" si="6"/>
        <v/>
      </c>
      <c r="V8" s="27" t="str">
        <f t="shared" si="6"/>
        <v/>
      </c>
      <c r="W8" s="27" t="str">
        <f t="shared" si="6"/>
        <v/>
      </c>
      <c r="X8" s="27" t="str">
        <f t="shared" si="6"/>
        <v/>
      </c>
      <c r="Y8" s="27" t="str">
        <f t="shared" si="6"/>
        <v/>
      </c>
      <c r="Z8" s="27" t="str">
        <f t="shared" si="6"/>
        <v/>
      </c>
      <c r="AA8" s="27" t="str">
        <f t="shared" si="7"/>
        <v/>
      </c>
      <c r="AB8" s="27" t="str">
        <f t="shared" si="7"/>
        <v/>
      </c>
      <c r="AC8" s="27" t="str">
        <f t="shared" si="7"/>
        <v/>
      </c>
      <c r="AD8" s="27" t="str">
        <f t="shared" si="7"/>
        <v/>
      </c>
      <c r="AE8" s="27" t="str">
        <f t="shared" si="7"/>
        <v/>
      </c>
      <c r="AF8" s="27" t="str">
        <f t="shared" si="7"/>
        <v/>
      </c>
      <c r="AG8" s="27" t="str">
        <f t="shared" si="7"/>
        <v/>
      </c>
      <c r="AH8" s="27" t="str">
        <f t="shared" si="7"/>
        <v/>
      </c>
      <c r="AI8" s="27" t="str">
        <f t="shared" si="7"/>
        <v/>
      </c>
      <c r="AJ8" s="27" t="str">
        <f t="shared" si="7"/>
        <v/>
      </c>
      <c r="AK8" s="27" t="str">
        <f t="shared" si="8"/>
        <v/>
      </c>
      <c r="AL8" s="27" t="str">
        <f t="shared" si="8"/>
        <v/>
      </c>
      <c r="AM8" s="27" t="str">
        <f t="shared" si="8"/>
        <v/>
      </c>
      <c r="AN8" s="27" t="str">
        <f t="shared" si="8"/>
        <v/>
      </c>
      <c r="AO8" s="27" t="str">
        <f t="shared" si="8"/>
        <v/>
      </c>
      <c r="AP8" s="27" t="str">
        <f t="shared" si="8"/>
        <v/>
      </c>
      <c r="AQ8" s="27" t="str">
        <f t="shared" si="8"/>
        <v/>
      </c>
      <c r="AR8" s="27" t="str">
        <f t="shared" si="8"/>
        <v/>
      </c>
      <c r="AS8" s="27" t="str">
        <f t="shared" si="8"/>
        <v/>
      </c>
      <c r="AT8" s="27" t="str">
        <f t="shared" si="8"/>
        <v/>
      </c>
      <c r="AU8" s="27" t="str">
        <f t="shared" si="9"/>
        <v/>
      </c>
      <c r="AV8" s="27" t="str">
        <f t="shared" si="9"/>
        <v/>
      </c>
      <c r="AW8" s="27" t="str">
        <f t="shared" si="9"/>
        <v/>
      </c>
      <c r="AX8" s="27" t="str">
        <f t="shared" si="9"/>
        <v/>
      </c>
      <c r="AY8" s="27" t="str">
        <f t="shared" si="9"/>
        <v/>
      </c>
      <c r="AZ8" s="27" t="str">
        <f t="shared" si="9"/>
        <v/>
      </c>
      <c r="BA8" s="27" t="str">
        <f t="shared" si="9"/>
        <v/>
      </c>
      <c r="BB8" s="27" t="str">
        <f t="shared" si="9"/>
        <v/>
      </c>
      <c r="BC8" s="27" t="str">
        <f t="shared" si="9"/>
        <v/>
      </c>
      <c r="BD8" s="27" t="str">
        <f t="shared" si="9"/>
        <v/>
      </c>
      <c r="BE8" s="27" t="str">
        <f t="shared" si="10"/>
        <v/>
      </c>
      <c r="BF8" s="27" t="str">
        <f t="shared" si="10"/>
        <v/>
      </c>
      <c r="BG8" s="27" t="str">
        <f t="shared" si="10"/>
        <v/>
      </c>
      <c r="BH8" s="27" t="str">
        <f t="shared" si="10"/>
        <v/>
      </c>
      <c r="BI8" s="27" t="str">
        <f t="shared" si="10"/>
        <v/>
      </c>
      <c r="BJ8" s="27" t="str">
        <f t="shared" si="10"/>
        <v/>
      </c>
      <c r="BK8" s="27" t="str">
        <f t="shared" si="10"/>
        <v/>
      </c>
      <c r="BL8" s="27" t="str">
        <f t="shared" si="10"/>
        <v/>
      </c>
      <c r="BM8" s="27" t="str">
        <f t="shared" si="10"/>
        <v/>
      </c>
      <c r="BN8" s="27" t="str">
        <f t="shared" si="10"/>
        <v/>
      </c>
    </row>
    <row r="9" spans="1:96" ht="15" customHeight="1" x14ac:dyDescent="0.3">
      <c r="A9" s="10" t="str">
        <f>Machine_List!A9</f>
        <v>SPM</v>
      </c>
      <c r="B9" s="10" t="str">
        <f>Machine_List!B9</f>
        <v>SPM-MC-02</v>
      </c>
      <c r="C9" s="22">
        <f>Machine_List!C9</f>
        <v>46459</v>
      </c>
      <c r="D9" s="10">
        <f>Machine_List!D9</f>
        <v>6</v>
      </c>
      <c r="E9" s="10">
        <f t="shared" ca="1" si="3"/>
        <v>340</v>
      </c>
      <c r="F9" s="10" t="str">
        <f t="shared" ca="1" si="4"/>
        <v>OK</v>
      </c>
      <c r="G9" s="27" t="str">
        <f t="shared" si="5"/>
        <v/>
      </c>
      <c r="H9" s="27" t="str">
        <f t="shared" si="5"/>
        <v/>
      </c>
      <c r="I9" s="27" t="str">
        <f t="shared" si="5"/>
        <v/>
      </c>
      <c r="J9" s="27" t="str">
        <f t="shared" si="5"/>
        <v/>
      </c>
      <c r="K9" s="27" t="str">
        <f t="shared" si="5"/>
        <v/>
      </c>
      <c r="L9" s="27" t="str">
        <f t="shared" si="5"/>
        <v/>
      </c>
      <c r="M9" s="27" t="str">
        <f t="shared" si="5"/>
        <v/>
      </c>
      <c r="N9" s="27" t="str">
        <f t="shared" si="5"/>
        <v/>
      </c>
      <c r="O9" s="27" t="str">
        <f t="shared" si="5"/>
        <v/>
      </c>
      <c r="P9" s="27" t="str">
        <f t="shared" si="5"/>
        <v/>
      </c>
      <c r="Q9" s="27" t="str">
        <f t="shared" si="6"/>
        <v/>
      </c>
      <c r="R9" s="27" t="str">
        <f t="shared" si="6"/>
        <v/>
      </c>
      <c r="S9" s="27" t="str">
        <f t="shared" si="6"/>
        <v/>
      </c>
      <c r="T9" s="27" t="str">
        <f t="shared" si="6"/>
        <v/>
      </c>
      <c r="U9" s="27" t="str">
        <f t="shared" si="6"/>
        <v/>
      </c>
      <c r="V9" s="27" t="str">
        <f t="shared" si="6"/>
        <v/>
      </c>
      <c r="W9" s="27" t="str">
        <f t="shared" si="6"/>
        <v/>
      </c>
      <c r="X9" s="27" t="str">
        <f t="shared" si="6"/>
        <v/>
      </c>
      <c r="Y9" s="27" t="str">
        <f t="shared" si="6"/>
        <v/>
      </c>
      <c r="Z9" s="27" t="str">
        <f t="shared" si="6"/>
        <v/>
      </c>
      <c r="AA9" s="27" t="str">
        <f t="shared" si="7"/>
        <v/>
      </c>
      <c r="AB9" s="27" t="str">
        <f t="shared" si="7"/>
        <v/>
      </c>
      <c r="AC9" s="27" t="str">
        <f t="shared" si="7"/>
        <v/>
      </c>
      <c r="AD9" s="27" t="str">
        <f t="shared" si="7"/>
        <v/>
      </c>
      <c r="AE9" s="27" t="str">
        <f t="shared" si="7"/>
        <v/>
      </c>
      <c r="AF9" s="27" t="str">
        <f t="shared" si="7"/>
        <v/>
      </c>
      <c r="AG9" s="27" t="str">
        <f t="shared" si="7"/>
        <v/>
      </c>
      <c r="AH9" s="27" t="str">
        <f t="shared" si="7"/>
        <v/>
      </c>
      <c r="AI9" s="27" t="str">
        <f t="shared" si="7"/>
        <v/>
      </c>
      <c r="AJ9" s="27" t="str">
        <f t="shared" si="7"/>
        <v/>
      </c>
      <c r="AK9" s="27" t="str">
        <f t="shared" si="8"/>
        <v/>
      </c>
      <c r="AL9" s="27" t="str">
        <f t="shared" si="8"/>
        <v/>
      </c>
      <c r="AM9" s="27" t="str">
        <f t="shared" si="8"/>
        <v/>
      </c>
      <c r="AN9" s="27" t="str">
        <f t="shared" si="8"/>
        <v/>
      </c>
      <c r="AO9" s="27" t="str">
        <f t="shared" si="8"/>
        <v/>
      </c>
      <c r="AP9" s="27" t="str">
        <f t="shared" si="8"/>
        <v/>
      </c>
      <c r="AQ9" s="27" t="str">
        <f t="shared" si="8"/>
        <v/>
      </c>
      <c r="AR9" s="27" t="str">
        <f t="shared" si="8"/>
        <v/>
      </c>
      <c r="AS9" s="27" t="str">
        <f t="shared" si="8"/>
        <v/>
      </c>
      <c r="AT9" s="27" t="str">
        <f t="shared" si="8"/>
        <v/>
      </c>
      <c r="AU9" s="27" t="str">
        <f t="shared" si="9"/>
        <v/>
      </c>
      <c r="AV9" s="27" t="str">
        <f t="shared" si="9"/>
        <v/>
      </c>
      <c r="AW9" s="27" t="str">
        <f t="shared" si="9"/>
        <v/>
      </c>
      <c r="AX9" s="27" t="str">
        <f t="shared" si="9"/>
        <v/>
      </c>
      <c r="AY9" s="27" t="str">
        <f t="shared" si="9"/>
        <v/>
      </c>
      <c r="AZ9" s="27" t="str">
        <f t="shared" si="9"/>
        <v/>
      </c>
      <c r="BA9" s="27" t="str">
        <f t="shared" si="9"/>
        <v/>
      </c>
      <c r="BB9" s="27" t="str">
        <f t="shared" si="9"/>
        <v/>
      </c>
      <c r="BC9" s="27" t="str">
        <f t="shared" si="9"/>
        <v/>
      </c>
      <c r="BD9" s="27" t="str">
        <f t="shared" si="9"/>
        <v/>
      </c>
      <c r="BE9" s="27" t="str">
        <f t="shared" si="10"/>
        <v/>
      </c>
      <c r="BF9" s="27" t="str">
        <f t="shared" si="10"/>
        <v/>
      </c>
      <c r="BG9" s="27" t="str">
        <f t="shared" si="10"/>
        <v/>
      </c>
      <c r="BH9" s="27" t="str">
        <f t="shared" si="10"/>
        <v/>
      </c>
      <c r="BI9" s="27" t="str">
        <f t="shared" si="10"/>
        <v/>
      </c>
      <c r="BJ9" s="27" t="str">
        <f t="shared" si="10"/>
        <v/>
      </c>
      <c r="BK9" s="27" t="str">
        <f t="shared" si="10"/>
        <v/>
      </c>
      <c r="BL9" s="27" t="str">
        <f t="shared" si="10"/>
        <v/>
      </c>
      <c r="BM9" s="27" t="str">
        <f t="shared" si="10"/>
        <v/>
      </c>
      <c r="BN9" s="27" t="str">
        <f t="shared" si="10"/>
        <v/>
      </c>
    </row>
    <row r="10" spans="1:96" ht="15" customHeight="1" x14ac:dyDescent="0.3">
      <c r="A10" s="10" t="str">
        <f>Machine_List!A10</f>
        <v>SPM</v>
      </c>
      <c r="B10" s="10" t="str">
        <f>Machine_List!B10</f>
        <v>SPM-MC-03</v>
      </c>
      <c r="C10" s="22">
        <f>Machine_List!C10</f>
        <v>46104</v>
      </c>
      <c r="D10" s="10">
        <f>Machine_List!D10</f>
        <v>6</v>
      </c>
      <c r="E10" s="10">
        <f t="shared" ca="1" si="3"/>
        <v>-15</v>
      </c>
      <c r="F10" s="10" t="str">
        <f t="shared" ca="1" si="4"/>
        <v>OVERDUE</v>
      </c>
      <c r="G10" s="27" t="str">
        <f t="shared" si="5"/>
        <v/>
      </c>
      <c r="H10" s="27" t="str">
        <f t="shared" si="5"/>
        <v/>
      </c>
      <c r="I10" s="27" t="str">
        <f t="shared" si="5"/>
        <v/>
      </c>
      <c r="J10" s="27" t="str">
        <f t="shared" si="5"/>
        <v/>
      </c>
      <c r="K10" s="27" t="str">
        <f t="shared" si="5"/>
        <v/>
      </c>
      <c r="L10" s="27" t="str">
        <f t="shared" si="5"/>
        <v/>
      </c>
      <c r="M10" s="27" t="str">
        <f t="shared" si="5"/>
        <v/>
      </c>
      <c r="N10" s="27" t="str">
        <f t="shared" si="5"/>
        <v/>
      </c>
      <c r="O10" s="27" t="str">
        <f t="shared" si="5"/>
        <v/>
      </c>
      <c r="P10" s="27" t="str">
        <f t="shared" si="5"/>
        <v/>
      </c>
      <c r="Q10" s="27" t="str">
        <f t="shared" si="6"/>
        <v/>
      </c>
      <c r="R10" s="27" t="str">
        <f t="shared" si="6"/>
        <v/>
      </c>
      <c r="S10" s="27" t="str">
        <f t="shared" si="6"/>
        <v/>
      </c>
      <c r="T10" s="27" t="str">
        <f t="shared" si="6"/>
        <v/>
      </c>
      <c r="U10" s="27" t="str">
        <f t="shared" si="6"/>
        <v/>
      </c>
      <c r="V10" s="27" t="str">
        <f t="shared" si="6"/>
        <v/>
      </c>
      <c r="W10" s="27" t="str">
        <f t="shared" si="6"/>
        <v/>
      </c>
      <c r="X10" s="27" t="str">
        <f t="shared" si="6"/>
        <v/>
      </c>
      <c r="Y10" s="27" t="str">
        <f t="shared" si="6"/>
        <v/>
      </c>
      <c r="Z10" s="27" t="str">
        <f t="shared" si="6"/>
        <v/>
      </c>
      <c r="AA10" s="27" t="str">
        <f t="shared" si="7"/>
        <v/>
      </c>
      <c r="AB10" s="27" t="str">
        <f t="shared" si="7"/>
        <v/>
      </c>
      <c r="AC10" s="27" t="str">
        <f t="shared" si="7"/>
        <v/>
      </c>
      <c r="AD10" s="27" t="str">
        <f t="shared" si="7"/>
        <v/>
      </c>
      <c r="AE10" s="27" t="str">
        <f t="shared" si="7"/>
        <v/>
      </c>
      <c r="AF10" s="27" t="str">
        <f t="shared" si="7"/>
        <v/>
      </c>
      <c r="AG10" s="27" t="str">
        <f t="shared" si="7"/>
        <v/>
      </c>
      <c r="AH10" s="27" t="str">
        <f t="shared" si="7"/>
        <v/>
      </c>
      <c r="AI10" s="27" t="str">
        <f t="shared" si="7"/>
        <v/>
      </c>
      <c r="AJ10" s="27" t="str">
        <f t="shared" si="7"/>
        <v/>
      </c>
      <c r="AK10" s="27" t="str">
        <f t="shared" si="8"/>
        <v/>
      </c>
      <c r="AL10" s="27" t="str">
        <f t="shared" si="8"/>
        <v/>
      </c>
      <c r="AM10" s="27" t="str">
        <f t="shared" si="8"/>
        <v/>
      </c>
      <c r="AN10" s="27" t="str">
        <f t="shared" si="8"/>
        <v/>
      </c>
      <c r="AO10" s="27" t="str">
        <f t="shared" si="8"/>
        <v/>
      </c>
      <c r="AP10" s="27" t="str">
        <f t="shared" si="8"/>
        <v/>
      </c>
      <c r="AQ10" s="27" t="str">
        <f t="shared" si="8"/>
        <v/>
      </c>
      <c r="AR10" s="27" t="str">
        <f t="shared" si="8"/>
        <v/>
      </c>
      <c r="AS10" s="27" t="str">
        <f t="shared" si="8"/>
        <v/>
      </c>
      <c r="AT10" s="27" t="str">
        <f t="shared" si="8"/>
        <v/>
      </c>
      <c r="AU10" s="27" t="str">
        <f t="shared" si="9"/>
        <v/>
      </c>
      <c r="AV10" s="27" t="str">
        <f t="shared" si="9"/>
        <v/>
      </c>
      <c r="AW10" s="27" t="str">
        <f t="shared" si="9"/>
        <v/>
      </c>
      <c r="AX10" s="27" t="str">
        <f t="shared" si="9"/>
        <v/>
      </c>
      <c r="AY10" s="27" t="str">
        <f t="shared" si="9"/>
        <v/>
      </c>
      <c r="AZ10" s="27" t="str">
        <f t="shared" si="9"/>
        <v/>
      </c>
      <c r="BA10" s="27" t="str">
        <f t="shared" si="9"/>
        <v/>
      </c>
      <c r="BB10" s="27" t="str">
        <f t="shared" si="9"/>
        <v/>
      </c>
      <c r="BC10" s="27" t="str">
        <f t="shared" si="9"/>
        <v/>
      </c>
      <c r="BD10" s="27" t="str">
        <f t="shared" si="9"/>
        <v/>
      </c>
      <c r="BE10" s="27" t="str">
        <f t="shared" si="10"/>
        <v/>
      </c>
      <c r="BF10" s="27" t="str">
        <f t="shared" si="10"/>
        <v/>
      </c>
      <c r="BG10" s="27" t="str">
        <f t="shared" si="10"/>
        <v/>
      </c>
      <c r="BH10" s="27" t="str">
        <f t="shared" si="10"/>
        <v/>
      </c>
      <c r="BI10" s="27" t="str">
        <f t="shared" si="10"/>
        <v/>
      </c>
      <c r="BJ10" s="27" t="str">
        <f t="shared" si="10"/>
        <v/>
      </c>
      <c r="BK10" s="27" t="str">
        <f t="shared" si="10"/>
        <v/>
      </c>
      <c r="BL10" s="27" t="str">
        <f t="shared" si="10"/>
        <v/>
      </c>
      <c r="BM10" s="27" t="str">
        <f t="shared" si="10"/>
        <v/>
      </c>
      <c r="BN10" s="27" t="str">
        <f t="shared" si="10"/>
        <v/>
      </c>
    </row>
    <row r="11" spans="1:96" ht="15" customHeight="1" x14ac:dyDescent="0.3">
      <c r="A11" s="10" t="str">
        <f>Machine_List!A11</f>
        <v>SPM</v>
      </c>
      <c r="B11" s="10" t="str">
        <f>Machine_List!B11</f>
        <v>SPM-MC-04</v>
      </c>
      <c r="C11" s="22">
        <f>Machine_List!C11</f>
        <v>46197</v>
      </c>
      <c r="D11" s="10">
        <f>Machine_List!D11</f>
        <v>6</v>
      </c>
      <c r="E11" s="10">
        <f t="shared" ca="1" si="3"/>
        <v>78</v>
      </c>
      <c r="F11" s="10" t="str">
        <f t="shared" ca="1" si="4"/>
        <v>OK</v>
      </c>
      <c r="G11" s="27" t="str">
        <f t="shared" si="5"/>
        <v/>
      </c>
      <c r="H11" s="27" t="str">
        <f t="shared" si="5"/>
        <v/>
      </c>
      <c r="I11" s="27" t="str">
        <f t="shared" si="5"/>
        <v/>
      </c>
      <c r="J11" s="27" t="str">
        <f t="shared" si="5"/>
        <v/>
      </c>
      <c r="K11" s="27" t="str">
        <f t="shared" si="5"/>
        <v/>
      </c>
      <c r="L11" s="27" t="str">
        <f t="shared" si="5"/>
        <v/>
      </c>
      <c r="M11" s="27" t="str">
        <f t="shared" si="5"/>
        <v/>
      </c>
      <c r="N11" s="27" t="str">
        <f t="shared" si="5"/>
        <v/>
      </c>
      <c r="O11" s="27" t="str">
        <f t="shared" si="5"/>
        <v/>
      </c>
      <c r="P11" s="27" t="str">
        <f t="shared" si="5"/>
        <v/>
      </c>
      <c r="Q11" s="27" t="str">
        <f t="shared" si="6"/>
        <v/>
      </c>
      <c r="R11" s="27" t="str">
        <f t="shared" si="6"/>
        <v/>
      </c>
      <c r="S11" s="27" t="str">
        <f t="shared" si="6"/>
        <v/>
      </c>
      <c r="T11" s="27" t="str">
        <f t="shared" si="6"/>
        <v/>
      </c>
      <c r="U11" s="27" t="str">
        <f t="shared" si="6"/>
        <v/>
      </c>
      <c r="V11" s="27" t="str">
        <f t="shared" si="6"/>
        <v/>
      </c>
      <c r="W11" s="27" t="str">
        <f t="shared" si="6"/>
        <v/>
      </c>
      <c r="X11" s="27" t="str">
        <f t="shared" si="6"/>
        <v/>
      </c>
      <c r="Y11" s="27" t="str">
        <f t="shared" si="6"/>
        <v/>
      </c>
      <c r="Z11" s="27" t="str">
        <f t="shared" si="6"/>
        <v/>
      </c>
      <c r="AA11" s="27" t="str">
        <f t="shared" si="7"/>
        <v/>
      </c>
      <c r="AB11" s="27" t="str">
        <f t="shared" si="7"/>
        <v/>
      </c>
      <c r="AC11" s="27" t="str">
        <f t="shared" si="7"/>
        <v/>
      </c>
      <c r="AD11" s="27" t="str">
        <f t="shared" si="7"/>
        <v/>
      </c>
      <c r="AE11" s="27" t="str">
        <f t="shared" si="7"/>
        <v/>
      </c>
      <c r="AF11" s="27" t="str">
        <f t="shared" si="7"/>
        <v/>
      </c>
      <c r="AG11" s="27" t="str">
        <f t="shared" si="7"/>
        <v/>
      </c>
      <c r="AH11" s="27" t="str">
        <f t="shared" si="7"/>
        <v/>
      </c>
      <c r="AI11" s="27" t="str">
        <f t="shared" si="7"/>
        <v/>
      </c>
      <c r="AJ11" s="27" t="str">
        <f t="shared" si="7"/>
        <v/>
      </c>
      <c r="AK11" s="27" t="str">
        <f t="shared" si="8"/>
        <v/>
      </c>
      <c r="AL11" s="27" t="str">
        <f t="shared" si="8"/>
        <v/>
      </c>
      <c r="AM11" s="27" t="str">
        <f t="shared" si="8"/>
        <v/>
      </c>
      <c r="AN11" s="27" t="str">
        <f t="shared" si="8"/>
        <v/>
      </c>
      <c r="AO11" s="27" t="str">
        <f t="shared" si="8"/>
        <v/>
      </c>
      <c r="AP11" s="27" t="str">
        <f t="shared" si="8"/>
        <v/>
      </c>
      <c r="AQ11" s="27" t="str">
        <f t="shared" si="8"/>
        <v/>
      </c>
      <c r="AR11" s="27" t="str">
        <f t="shared" si="8"/>
        <v/>
      </c>
      <c r="AS11" s="27" t="str">
        <f t="shared" si="8"/>
        <v/>
      </c>
      <c r="AT11" s="27" t="str">
        <f t="shared" si="8"/>
        <v/>
      </c>
      <c r="AU11" s="27" t="str">
        <f t="shared" si="9"/>
        <v/>
      </c>
      <c r="AV11" s="27" t="str">
        <f t="shared" si="9"/>
        <v/>
      </c>
      <c r="AW11" s="27" t="str">
        <f t="shared" si="9"/>
        <v/>
      </c>
      <c r="AX11" s="27" t="str">
        <f t="shared" si="9"/>
        <v/>
      </c>
      <c r="AY11" s="27" t="str">
        <f t="shared" si="9"/>
        <v/>
      </c>
      <c r="AZ11" s="27" t="str">
        <f t="shared" si="9"/>
        <v/>
      </c>
      <c r="BA11" s="27" t="str">
        <f t="shared" si="9"/>
        <v/>
      </c>
      <c r="BB11" s="27" t="str">
        <f t="shared" si="9"/>
        <v/>
      </c>
      <c r="BC11" s="27" t="str">
        <f t="shared" si="9"/>
        <v/>
      </c>
      <c r="BD11" s="27" t="str">
        <f t="shared" si="9"/>
        <v/>
      </c>
      <c r="BE11" s="27" t="str">
        <f t="shared" si="10"/>
        <v/>
      </c>
      <c r="BF11" s="27" t="str">
        <f t="shared" si="10"/>
        <v/>
      </c>
      <c r="BG11" s="27" t="str">
        <f t="shared" si="10"/>
        <v/>
      </c>
      <c r="BH11" s="27" t="str">
        <f t="shared" si="10"/>
        <v/>
      </c>
      <c r="BI11" s="27" t="str">
        <f t="shared" si="10"/>
        <v/>
      </c>
      <c r="BJ11" s="27" t="str">
        <f t="shared" si="10"/>
        <v/>
      </c>
      <c r="BK11" s="27" t="str">
        <f t="shared" si="10"/>
        <v/>
      </c>
      <c r="BL11" s="27" t="str">
        <f t="shared" si="10"/>
        <v/>
      </c>
      <c r="BM11" s="27" t="str">
        <f t="shared" si="10"/>
        <v/>
      </c>
      <c r="BN11" s="27" t="str">
        <f t="shared" si="10"/>
        <v/>
      </c>
    </row>
    <row r="12" spans="1:96" ht="15" customHeight="1" x14ac:dyDescent="0.3">
      <c r="A12" s="10" t="str">
        <f>Machine_List!A12</f>
        <v>SPM</v>
      </c>
      <c r="B12" s="10" t="str">
        <f>Machine_List!B12</f>
        <v>SPM-MC-05</v>
      </c>
      <c r="C12" s="22">
        <f>Machine_List!C12</f>
        <v>46271</v>
      </c>
      <c r="D12" s="10">
        <f>Machine_List!D12</f>
        <v>6</v>
      </c>
      <c r="E12" s="10">
        <f t="shared" ca="1" si="3"/>
        <v>152</v>
      </c>
      <c r="F12" s="10" t="str">
        <f t="shared" ca="1" si="4"/>
        <v>OK</v>
      </c>
      <c r="G12" s="27" t="str">
        <f t="shared" si="5"/>
        <v/>
      </c>
      <c r="H12" s="27" t="str">
        <f t="shared" si="5"/>
        <v/>
      </c>
      <c r="I12" s="27" t="str">
        <f t="shared" si="5"/>
        <v/>
      </c>
      <c r="J12" s="27" t="str">
        <f t="shared" si="5"/>
        <v/>
      </c>
      <c r="K12" s="27" t="str">
        <f t="shared" si="5"/>
        <v/>
      </c>
      <c r="L12" s="27" t="str">
        <f t="shared" si="5"/>
        <v/>
      </c>
      <c r="M12" s="27" t="str">
        <f t="shared" si="5"/>
        <v/>
      </c>
      <c r="N12" s="27" t="str">
        <f t="shared" si="5"/>
        <v/>
      </c>
      <c r="O12" s="27" t="str">
        <f t="shared" si="5"/>
        <v/>
      </c>
      <c r="P12" s="27" t="str">
        <f t="shared" si="5"/>
        <v/>
      </c>
      <c r="Q12" s="27" t="str">
        <f t="shared" si="6"/>
        <v/>
      </c>
      <c r="R12" s="27" t="str">
        <f t="shared" si="6"/>
        <v/>
      </c>
      <c r="S12" s="27" t="str">
        <f t="shared" si="6"/>
        <v/>
      </c>
      <c r="T12" s="27" t="str">
        <f t="shared" si="6"/>
        <v/>
      </c>
      <c r="U12" s="27" t="str">
        <f t="shared" si="6"/>
        <v/>
      </c>
      <c r="V12" s="27" t="str">
        <f t="shared" si="6"/>
        <v/>
      </c>
      <c r="W12" s="27" t="str">
        <f t="shared" si="6"/>
        <v/>
      </c>
      <c r="X12" s="27" t="str">
        <f t="shared" si="6"/>
        <v/>
      </c>
      <c r="Y12" s="27" t="str">
        <f t="shared" si="6"/>
        <v/>
      </c>
      <c r="Z12" s="27" t="str">
        <f t="shared" si="6"/>
        <v/>
      </c>
      <c r="AA12" s="27" t="str">
        <f t="shared" si="7"/>
        <v/>
      </c>
      <c r="AB12" s="27" t="str">
        <f t="shared" si="7"/>
        <v/>
      </c>
      <c r="AC12" s="27" t="str">
        <f t="shared" si="7"/>
        <v/>
      </c>
      <c r="AD12" s="27" t="str">
        <f t="shared" si="7"/>
        <v/>
      </c>
      <c r="AE12" s="27" t="str">
        <f t="shared" si="7"/>
        <v/>
      </c>
      <c r="AF12" s="27" t="str">
        <f t="shared" si="7"/>
        <v/>
      </c>
      <c r="AG12" s="27" t="str">
        <f t="shared" si="7"/>
        <v/>
      </c>
      <c r="AH12" s="27" t="str">
        <f t="shared" si="7"/>
        <v/>
      </c>
      <c r="AI12" s="27" t="str">
        <f t="shared" si="7"/>
        <v/>
      </c>
      <c r="AJ12" s="27" t="str">
        <f t="shared" si="7"/>
        <v/>
      </c>
      <c r="AK12" s="27" t="str">
        <f t="shared" si="8"/>
        <v/>
      </c>
      <c r="AL12" s="27" t="str">
        <f t="shared" si="8"/>
        <v/>
      </c>
      <c r="AM12" s="27" t="str">
        <f t="shared" si="8"/>
        <v/>
      </c>
      <c r="AN12" s="27" t="str">
        <f t="shared" si="8"/>
        <v/>
      </c>
      <c r="AO12" s="27" t="str">
        <f t="shared" si="8"/>
        <v/>
      </c>
      <c r="AP12" s="27" t="str">
        <f t="shared" si="8"/>
        <v/>
      </c>
      <c r="AQ12" s="27" t="str">
        <f t="shared" si="8"/>
        <v/>
      </c>
      <c r="AR12" s="27" t="str">
        <f t="shared" si="8"/>
        <v/>
      </c>
      <c r="AS12" s="27" t="str">
        <f t="shared" si="8"/>
        <v/>
      </c>
      <c r="AT12" s="27" t="str">
        <f t="shared" si="8"/>
        <v/>
      </c>
      <c r="AU12" s="27" t="str">
        <f t="shared" si="9"/>
        <v/>
      </c>
      <c r="AV12" s="27" t="str">
        <f t="shared" si="9"/>
        <v/>
      </c>
      <c r="AW12" s="27" t="str">
        <f t="shared" si="9"/>
        <v/>
      </c>
      <c r="AX12" s="27" t="str">
        <f t="shared" si="9"/>
        <v/>
      </c>
      <c r="AY12" s="27" t="str">
        <f t="shared" si="9"/>
        <v/>
      </c>
      <c r="AZ12" s="27" t="str">
        <f t="shared" si="9"/>
        <v/>
      </c>
      <c r="BA12" s="27" t="str">
        <f t="shared" si="9"/>
        <v/>
      </c>
      <c r="BB12" s="27" t="str">
        <f t="shared" si="9"/>
        <v/>
      </c>
      <c r="BC12" s="27" t="str">
        <f t="shared" si="9"/>
        <v/>
      </c>
      <c r="BD12" s="27" t="str">
        <f t="shared" si="9"/>
        <v/>
      </c>
      <c r="BE12" s="27" t="str">
        <f t="shared" si="10"/>
        <v/>
      </c>
      <c r="BF12" s="27" t="str">
        <f t="shared" si="10"/>
        <v/>
      </c>
      <c r="BG12" s="27" t="str">
        <f t="shared" si="10"/>
        <v/>
      </c>
      <c r="BH12" s="27" t="str">
        <f t="shared" si="10"/>
        <v/>
      </c>
      <c r="BI12" s="27" t="str">
        <f t="shared" si="10"/>
        <v/>
      </c>
      <c r="BJ12" s="27" t="str">
        <f t="shared" si="10"/>
        <v/>
      </c>
      <c r="BK12" s="27" t="str">
        <f t="shared" si="10"/>
        <v/>
      </c>
      <c r="BL12" s="27" t="str">
        <f t="shared" si="10"/>
        <v/>
      </c>
      <c r="BM12" s="27" t="str">
        <f t="shared" si="10"/>
        <v/>
      </c>
      <c r="BN12" s="27" t="str">
        <f t="shared" si="10"/>
        <v/>
      </c>
    </row>
    <row r="13" spans="1:96" ht="15" customHeight="1" x14ac:dyDescent="0.3">
      <c r="A13" s="10" t="str">
        <f>Machine_List!A13</f>
        <v>SPM</v>
      </c>
      <c r="B13" s="10" t="str">
        <f>Machine_List!B13</f>
        <v>SPM-MC-06</v>
      </c>
      <c r="C13" s="22">
        <f>Machine_List!C13</f>
        <v>46176</v>
      </c>
      <c r="D13" s="10">
        <f>Machine_List!D13</f>
        <v>6</v>
      </c>
      <c r="E13" s="10">
        <f t="shared" ca="1" si="3"/>
        <v>57</v>
      </c>
      <c r="F13" s="10" t="str">
        <f t="shared" ca="1" si="4"/>
        <v>OK</v>
      </c>
      <c r="G13" s="27" t="str">
        <f t="shared" si="5"/>
        <v/>
      </c>
      <c r="H13" s="27" t="str">
        <f t="shared" si="5"/>
        <v/>
      </c>
      <c r="I13" s="27" t="str">
        <f t="shared" si="5"/>
        <v/>
      </c>
      <c r="J13" s="27" t="str">
        <f t="shared" si="5"/>
        <v/>
      </c>
      <c r="K13" s="27" t="str">
        <f t="shared" si="5"/>
        <v/>
      </c>
      <c r="L13" s="27" t="str">
        <f t="shared" si="5"/>
        <v/>
      </c>
      <c r="M13" s="27" t="str">
        <f t="shared" si="5"/>
        <v/>
      </c>
      <c r="N13" s="27" t="str">
        <f t="shared" si="5"/>
        <v/>
      </c>
      <c r="O13" s="27" t="str">
        <f t="shared" si="5"/>
        <v/>
      </c>
      <c r="P13" s="27" t="str">
        <f t="shared" si="5"/>
        <v/>
      </c>
      <c r="Q13" s="27" t="str">
        <f t="shared" si="6"/>
        <v/>
      </c>
      <c r="R13" s="27" t="str">
        <f t="shared" si="6"/>
        <v/>
      </c>
      <c r="S13" s="27" t="str">
        <f t="shared" si="6"/>
        <v/>
      </c>
      <c r="T13" s="27" t="str">
        <f t="shared" si="6"/>
        <v/>
      </c>
      <c r="U13" s="27" t="str">
        <f t="shared" si="6"/>
        <v/>
      </c>
      <c r="V13" s="27" t="str">
        <f t="shared" si="6"/>
        <v/>
      </c>
      <c r="W13" s="27" t="str">
        <f t="shared" si="6"/>
        <v/>
      </c>
      <c r="X13" s="27" t="str">
        <f t="shared" si="6"/>
        <v/>
      </c>
      <c r="Y13" s="27" t="str">
        <f t="shared" si="6"/>
        <v/>
      </c>
      <c r="Z13" s="27" t="str">
        <f t="shared" si="6"/>
        <v/>
      </c>
      <c r="AA13" s="27" t="str">
        <f t="shared" si="7"/>
        <v/>
      </c>
      <c r="AB13" s="27" t="str">
        <f t="shared" si="7"/>
        <v/>
      </c>
      <c r="AC13" s="27" t="str">
        <f t="shared" si="7"/>
        <v/>
      </c>
      <c r="AD13" s="27" t="str">
        <f t="shared" si="7"/>
        <v/>
      </c>
      <c r="AE13" s="27" t="str">
        <f t="shared" si="7"/>
        <v/>
      </c>
      <c r="AF13" s="27" t="str">
        <f t="shared" si="7"/>
        <v/>
      </c>
      <c r="AG13" s="27" t="str">
        <f t="shared" si="7"/>
        <v/>
      </c>
      <c r="AH13" s="27" t="str">
        <f t="shared" si="7"/>
        <v/>
      </c>
      <c r="AI13" s="27" t="str">
        <f t="shared" si="7"/>
        <v/>
      </c>
      <c r="AJ13" s="27" t="str">
        <f t="shared" si="7"/>
        <v/>
      </c>
      <c r="AK13" s="27" t="str">
        <f t="shared" si="8"/>
        <v/>
      </c>
      <c r="AL13" s="27" t="str">
        <f t="shared" si="8"/>
        <v/>
      </c>
      <c r="AM13" s="27" t="str">
        <f t="shared" si="8"/>
        <v/>
      </c>
      <c r="AN13" s="27" t="str">
        <f t="shared" si="8"/>
        <v/>
      </c>
      <c r="AO13" s="27" t="str">
        <f t="shared" si="8"/>
        <v/>
      </c>
      <c r="AP13" s="27" t="str">
        <f t="shared" si="8"/>
        <v/>
      </c>
      <c r="AQ13" s="27" t="str">
        <f t="shared" si="8"/>
        <v/>
      </c>
      <c r="AR13" s="27" t="str">
        <f t="shared" si="8"/>
        <v/>
      </c>
      <c r="AS13" s="27" t="str">
        <f t="shared" si="8"/>
        <v/>
      </c>
      <c r="AT13" s="27" t="str">
        <f t="shared" si="8"/>
        <v/>
      </c>
      <c r="AU13" s="27" t="str">
        <f t="shared" si="9"/>
        <v/>
      </c>
      <c r="AV13" s="27" t="str">
        <f t="shared" si="9"/>
        <v/>
      </c>
      <c r="AW13" s="27" t="str">
        <f t="shared" si="9"/>
        <v/>
      </c>
      <c r="AX13" s="27" t="str">
        <f t="shared" si="9"/>
        <v/>
      </c>
      <c r="AY13" s="27" t="str">
        <f t="shared" si="9"/>
        <v/>
      </c>
      <c r="AZ13" s="27" t="str">
        <f t="shared" si="9"/>
        <v/>
      </c>
      <c r="BA13" s="27" t="str">
        <f t="shared" si="9"/>
        <v/>
      </c>
      <c r="BB13" s="27" t="str">
        <f t="shared" si="9"/>
        <v/>
      </c>
      <c r="BC13" s="27" t="str">
        <f t="shared" si="9"/>
        <v/>
      </c>
      <c r="BD13" s="27" t="str">
        <f t="shared" si="9"/>
        <v/>
      </c>
      <c r="BE13" s="27" t="str">
        <f t="shared" si="10"/>
        <v/>
      </c>
      <c r="BF13" s="27" t="str">
        <f t="shared" si="10"/>
        <v/>
      </c>
      <c r="BG13" s="27" t="str">
        <f t="shared" si="10"/>
        <v/>
      </c>
      <c r="BH13" s="27" t="str">
        <f t="shared" si="10"/>
        <v/>
      </c>
      <c r="BI13" s="27" t="str">
        <f t="shared" si="10"/>
        <v/>
      </c>
      <c r="BJ13" s="27" t="str">
        <f t="shared" si="10"/>
        <v/>
      </c>
      <c r="BK13" s="27" t="str">
        <f t="shared" si="10"/>
        <v/>
      </c>
      <c r="BL13" s="27" t="str">
        <f t="shared" si="10"/>
        <v/>
      </c>
      <c r="BM13" s="27" t="str">
        <f t="shared" si="10"/>
        <v/>
      </c>
      <c r="BN13" s="27" t="str">
        <f t="shared" si="10"/>
        <v/>
      </c>
    </row>
    <row r="14" spans="1:96" ht="15" customHeight="1" x14ac:dyDescent="0.3">
      <c r="A14" s="10" t="str">
        <f>Machine_List!A14</f>
        <v>CARVING</v>
      </c>
      <c r="B14" s="10" t="str">
        <f>Machine_List!B14</f>
        <v>CARVING-MC-01</v>
      </c>
      <c r="C14" s="22">
        <f>Machine_List!C14</f>
        <v>46418</v>
      </c>
      <c r="D14" s="10">
        <f>Machine_List!D14</f>
        <v>6</v>
      </c>
      <c r="E14" s="10">
        <f t="shared" ca="1" si="3"/>
        <v>299</v>
      </c>
      <c r="F14" s="10" t="str">
        <f t="shared" ca="1" si="4"/>
        <v>OK</v>
      </c>
      <c r="G14" s="27" t="str">
        <f t="shared" ref="G14:P23" si="11">IF(INT(G$3)=INT($C14), TEXT($C14, "dd-mmm"), "")</f>
        <v/>
      </c>
      <c r="H14" s="27" t="str">
        <f t="shared" si="11"/>
        <v/>
      </c>
      <c r="I14" s="27" t="str">
        <f t="shared" si="11"/>
        <v/>
      </c>
      <c r="J14" s="27" t="str">
        <f t="shared" si="11"/>
        <v/>
      </c>
      <c r="K14" s="27" t="str">
        <f t="shared" si="11"/>
        <v/>
      </c>
      <c r="L14" s="27" t="str">
        <f t="shared" si="11"/>
        <v/>
      </c>
      <c r="M14" s="27" t="str">
        <f t="shared" si="11"/>
        <v/>
      </c>
      <c r="N14" s="27" t="str">
        <f t="shared" si="11"/>
        <v/>
      </c>
      <c r="O14" s="27" t="str">
        <f t="shared" si="11"/>
        <v/>
      </c>
      <c r="P14" s="27" t="str">
        <f t="shared" si="11"/>
        <v/>
      </c>
      <c r="Q14" s="27" t="str">
        <f t="shared" ref="Q14:Z23" si="12">IF(INT(Q$3)=INT($C14), TEXT($C14, "dd-mmm"), "")</f>
        <v/>
      </c>
      <c r="R14" s="27" t="str">
        <f t="shared" si="12"/>
        <v/>
      </c>
      <c r="S14" s="27" t="str">
        <f t="shared" si="12"/>
        <v/>
      </c>
      <c r="T14" s="27" t="str">
        <f t="shared" si="12"/>
        <v/>
      </c>
      <c r="U14" s="27" t="str">
        <f t="shared" si="12"/>
        <v/>
      </c>
      <c r="V14" s="27" t="str">
        <f t="shared" si="12"/>
        <v/>
      </c>
      <c r="W14" s="27" t="str">
        <f t="shared" si="12"/>
        <v/>
      </c>
      <c r="X14" s="27" t="str">
        <f t="shared" si="12"/>
        <v/>
      </c>
      <c r="Y14" s="27" t="str">
        <f t="shared" si="12"/>
        <v/>
      </c>
      <c r="Z14" s="27" t="str">
        <f t="shared" si="12"/>
        <v/>
      </c>
      <c r="AA14" s="27" t="str">
        <f t="shared" ref="AA14:AJ23" si="13">IF(INT(AA$3)=INT($C14), TEXT($C14, "dd-mmm"), "")</f>
        <v/>
      </c>
      <c r="AB14" s="27" t="str">
        <f t="shared" si="13"/>
        <v/>
      </c>
      <c r="AC14" s="27" t="str">
        <f t="shared" si="13"/>
        <v/>
      </c>
      <c r="AD14" s="27" t="str">
        <f t="shared" si="13"/>
        <v/>
      </c>
      <c r="AE14" s="27" t="str">
        <f t="shared" si="13"/>
        <v/>
      </c>
      <c r="AF14" s="27" t="str">
        <f t="shared" si="13"/>
        <v/>
      </c>
      <c r="AG14" s="27" t="str">
        <f t="shared" si="13"/>
        <v/>
      </c>
      <c r="AH14" s="27" t="str">
        <f t="shared" si="13"/>
        <v/>
      </c>
      <c r="AI14" s="27" t="str">
        <f t="shared" si="13"/>
        <v/>
      </c>
      <c r="AJ14" s="27" t="str">
        <f t="shared" si="13"/>
        <v/>
      </c>
      <c r="AK14" s="27" t="str">
        <f t="shared" ref="AK14:AT23" si="14">IF(INT(AK$3)=INT($C14), TEXT($C14, "dd-mmm"), "")</f>
        <v/>
      </c>
      <c r="AL14" s="27" t="str">
        <f t="shared" si="14"/>
        <v/>
      </c>
      <c r="AM14" s="27" t="str">
        <f t="shared" si="14"/>
        <v/>
      </c>
      <c r="AN14" s="27" t="str">
        <f t="shared" si="14"/>
        <v/>
      </c>
      <c r="AO14" s="27" t="str">
        <f t="shared" si="14"/>
        <v/>
      </c>
      <c r="AP14" s="27" t="str">
        <f t="shared" si="14"/>
        <v/>
      </c>
      <c r="AQ14" s="27" t="str">
        <f t="shared" si="14"/>
        <v/>
      </c>
      <c r="AR14" s="27" t="str">
        <f t="shared" si="14"/>
        <v/>
      </c>
      <c r="AS14" s="27" t="str">
        <f t="shared" si="14"/>
        <v/>
      </c>
      <c r="AT14" s="27" t="str">
        <f t="shared" si="14"/>
        <v/>
      </c>
      <c r="AU14" s="27" t="str">
        <f t="shared" ref="AU14:BD23" si="15">IF(INT(AU$3)=INT($C14), TEXT($C14, "dd-mmm"), "")</f>
        <v/>
      </c>
      <c r="AV14" s="27" t="str">
        <f t="shared" si="15"/>
        <v/>
      </c>
      <c r="AW14" s="27" t="str">
        <f t="shared" si="15"/>
        <v/>
      </c>
      <c r="AX14" s="27" t="str">
        <f t="shared" si="15"/>
        <v/>
      </c>
      <c r="AY14" s="27" t="str">
        <f t="shared" si="15"/>
        <v/>
      </c>
      <c r="AZ14" s="27" t="str">
        <f t="shared" si="15"/>
        <v/>
      </c>
      <c r="BA14" s="27" t="str">
        <f t="shared" si="15"/>
        <v/>
      </c>
      <c r="BB14" s="27" t="str">
        <f t="shared" si="15"/>
        <v/>
      </c>
      <c r="BC14" s="27" t="str">
        <f t="shared" si="15"/>
        <v/>
      </c>
      <c r="BD14" s="27" t="str">
        <f t="shared" si="15"/>
        <v/>
      </c>
      <c r="BE14" s="27" t="str">
        <f t="shared" ref="BE14:BN23" si="16">IF(INT(BE$3)=INT($C14), TEXT($C14, "dd-mmm"), "")</f>
        <v/>
      </c>
      <c r="BF14" s="27" t="str">
        <f t="shared" si="16"/>
        <v/>
      </c>
      <c r="BG14" s="27" t="str">
        <f t="shared" si="16"/>
        <v/>
      </c>
      <c r="BH14" s="27" t="str">
        <f t="shared" si="16"/>
        <v/>
      </c>
      <c r="BI14" s="27" t="str">
        <f t="shared" si="16"/>
        <v/>
      </c>
      <c r="BJ14" s="27" t="str">
        <f t="shared" si="16"/>
        <v/>
      </c>
      <c r="BK14" s="27" t="str">
        <f t="shared" si="16"/>
        <v/>
      </c>
      <c r="BL14" s="27" t="str">
        <f t="shared" si="16"/>
        <v/>
      </c>
      <c r="BM14" s="27" t="str">
        <f t="shared" si="16"/>
        <v/>
      </c>
      <c r="BN14" s="27" t="str">
        <f t="shared" si="16"/>
        <v/>
      </c>
    </row>
    <row r="15" spans="1:96" ht="15" customHeight="1" x14ac:dyDescent="0.3">
      <c r="A15" s="10" t="str">
        <f>Machine_List!A15</f>
        <v>CARVING</v>
      </c>
      <c r="B15" s="10" t="str">
        <f>Machine_List!B15</f>
        <v>CARVING-MC-02</v>
      </c>
      <c r="C15" s="22">
        <f>Machine_List!C15</f>
        <v>46282</v>
      </c>
      <c r="D15" s="10">
        <f>Machine_List!D15</f>
        <v>6</v>
      </c>
      <c r="E15" s="10">
        <f t="shared" ca="1" si="3"/>
        <v>163</v>
      </c>
      <c r="F15" s="10" t="str">
        <f t="shared" ca="1" si="4"/>
        <v>OK</v>
      </c>
      <c r="G15" s="27" t="str">
        <f t="shared" si="11"/>
        <v/>
      </c>
      <c r="H15" s="27" t="str">
        <f t="shared" si="11"/>
        <v/>
      </c>
      <c r="I15" s="27" t="str">
        <f t="shared" si="11"/>
        <v/>
      </c>
      <c r="J15" s="27" t="str">
        <f t="shared" si="11"/>
        <v/>
      </c>
      <c r="K15" s="27" t="str">
        <f t="shared" si="11"/>
        <v/>
      </c>
      <c r="L15" s="27" t="str">
        <f t="shared" si="11"/>
        <v/>
      </c>
      <c r="M15" s="27" t="str">
        <f t="shared" si="11"/>
        <v/>
      </c>
      <c r="N15" s="27" t="str">
        <f t="shared" si="11"/>
        <v/>
      </c>
      <c r="O15" s="27" t="str">
        <f t="shared" si="11"/>
        <v/>
      </c>
      <c r="P15" s="27" t="str">
        <f t="shared" si="11"/>
        <v/>
      </c>
      <c r="Q15" s="27" t="str">
        <f t="shared" si="12"/>
        <v/>
      </c>
      <c r="R15" s="27" t="str">
        <f t="shared" si="12"/>
        <v/>
      </c>
      <c r="S15" s="27" t="str">
        <f t="shared" si="12"/>
        <v/>
      </c>
      <c r="T15" s="27" t="str">
        <f t="shared" si="12"/>
        <v/>
      </c>
      <c r="U15" s="27" t="str">
        <f t="shared" si="12"/>
        <v/>
      </c>
      <c r="V15" s="27" t="str">
        <f t="shared" si="12"/>
        <v/>
      </c>
      <c r="W15" s="27" t="str">
        <f t="shared" si="12"/>
        <v/>
      </c>
      <c r="X15" s="27" t="str">
        <f t="shared" si="12"/>
        <v/>
      </c>
      <c r="Y15" s="27" t="str">
        <f t="shared" si="12"/>
        <v/>
      </c>
      <c r="Z15" s="27" t="str">
        <f t="shared" si="12"/>
        <v/>
      </c>
      <c r="AA15" s="27" t="str">
        <f t="shared" si="13"/>
        <v/>
      </c>
      <c r="AB15" s="27" t="str">
        <f t="shared" si="13"/>
        <v/>
      </c>
      <c r="AC15" s="27" t="str">
        <f t="shared" si="13"/>
        <v/>
      </c>
      <c r="AD15" s="27" t="str">
        <f t="shared" si="13"/>
        <v/>
      </c>
      <c r="AE15" s="27" t="str">
        <f t="shared" si="13"/>
        <v/>
      </c>
      <c r="AF15" s="27" t="str">
        <f t="shared" si="13"/>
        <v/>
      </c>
      <c r="AG15" s="27" t="str">
        <f t="shared" si="13"/>
        <v/>
      </c>
      <c r="AH15" s="27" t="str">
        <f t="shared" si="13"/>
        <v/>
      </c>
      <c r="AI15" s="27" t="str">
        <f t="shared" si="13"/>
        <v/>
      </c>
      <c r="AJ15" s="27" t="str">
        <f t="shared" si="13"/>
        <v/>
      </c>
      <c r="AK15" s="27" t="str">
        <f t="shared" si="14"/>
        <v/>
      </c>
      <c r="AL15" s="27" t="str">
        <f t="shared" si="14"/>
        <v/>
      </c>
      <c r="AM15" s="27" t="str">
        <f t="shared" si="14"/>
        <v/>
      </c>
      <c r="AN15" s="27" t="str">
        <f t="shared" si="14"/>
        <v/>
      </c>
      <c r="AO15" s="27" t="str">
        <f t="shared" si="14"/>
        <v/>
      </c>
      <c r="AP15" s="27" t="str">
        <f t="shared" si="14"/>
        <v/>
      </c>
      <c r="AQ15" s="27" t="str">
        <f t="shared" si="14"/>
        <v/>
      </c>
      <c r="AR15" s="27" t="str">
        <f t="shared" si="14"/>
        <v/>
      </c>
      <c r="AS15" s="27" t="str">
        <f t="shared" si="14"/>
        <v/>
      </c>
      <c r="AT15" s="27" t="str">
        <f t="shared" si="14"/>
        <v/>
      </c>
      <c r="AU15" s="27" t="str">
        <f t="shared" si="15"/>
        <v/>
      </c>
      <c r="AV15" s="27" t="str">
        <f t="shared" si="15"/>
        <v/>
      </c>
      <c r="AW15" s="27" t="str">
        <f t="shared" si="15"/>
        <v/>
      </c>
      <c r="AX15" s="27" t="str">
        <f t="shared" si="15"/>
        <v/>
      </c>
      <c r="AY15" s="27" t="str">
        <f t="shared" si="15"/>
        <v/>
      </c>
      <c r="AZ15" s="27" t="str">
        <f t="shared" si="15"/>
        <v/>
      </c>
      <c r="BA15" s="27" t="str">
        <f t="shared" si="15"/>
        <v/>
      </c>
      <c r="BB15" s="27" t="str">
        <f t="shared" si="15"/>
        <v/>
      </c>
      <c r="BC15" s="27" t="str">
        <f t="shared" si="15"/>
        <v/>
      </c>
      <c r="BD15" s="27" t="str">
        <f t="shared" si="15"/>
        <v/>
      </c>
      <c r="BE15" s="27" t="str">
        <f t="shared" si="16"/>
        <v/>
      </c>
      <c r="BF15" s="27" t="str">
        <f t="shared" si="16"/>
        <v/>
      </c>
      <c r="BG15" s="27" t="str">
        <f t="shared" si="16"/>
        <v/>
      </c>
      <c r="BH15" s="27" t="str">
        <f t="shared" si="16"/>
        <v/>
      </c>
      <c r="BI15" s="27" t="str">
        <f t="shared" si="16"/>
        <v/>
      </c>
      <c r="BJ15" s="27" t="str">
        <f t="shared" si="16"/>
        <v/>
      </c>
      <c r="BK15" s="27" t="str">
        <f t="shared" si="16"/>
        <v/>
      </c>
      <c r="BL15" s="27" t="str">
        <f t="shared" si="16"/>
        <v/>
      </c>
      <c r="BM15" s="27" t="str">
        <f t="shared" si="16"/>
        <v/>
      </c>
      <c r="BN15" s="27" t="str">
        <f t="shared" si="16"/>
        <v/>
      </c>
    </row>
    <row r="16" spans="1:96" ht="15" customHeight="1" x14ac:dyDescent="0.3">
      <c r="A16" s="10" t="str">
        <f>Machine_List!A16</f>
        <v>CARVING</v>
      </c>
      <c r="B16" s="10" t="str">
        <f>Machine_List!B16</f>
        <v>CARVING-MC-03</v>
      </c>
      <c r="C16" s="22">
        <f>Machine_List!C16</f>
        <v>46296</v>
      </c>
      <c r="D16" s="10">
        <f>Machine_List!D16</f>
        <v>6</v>
      </c>
      <c r="E16" s="10">
        <f t="shared" ca="1" si="3"/>
        <v>177</v>
      </c>
      <c r="F16" s="10" t="str">
        <f t="shared" ca="1" si="4"/>
        <v>OK</v>
      </c>
      <c r="G16" s="27" t="str">
        <f t="shared" si="11"/>
        <v/>
      </c>
      <c r="H16" s="27" t="str">
        <f t="shared" si="11"/>
        <v/>
      </c>
      <c r="I16" s="27" t="str">
        <f t="shared" si="11"/>
        <v/>
      </c>
      <c r="J16" s="27" t="str">
        <f t="shared" si="11"/>
        <v/>
      </c>
      <c r="K16" s="27" t="str">
        <f t="shared" si="11"/>
        <v/>
      </c>
      <c r="L16" s="27" t="str">
        <f t="shared" si="11"/>
        <v/>
      </c>
      <c r="M16" s="27" t="str">
        <f t="shared" si="11"/>
        <v/>
      </c>
      <c r="N16" s="27" t="str">
        <f t="shared" si="11"/>
        <v/>
      </c>
      <c r="O16" s="27" t="str">
        <f t="shared" si="11"/>
        <v/>
      </c>
      <c r="P16" s="27" t="str">
        <f t="shared" si="11"/>
        <v/>
      </c>
      <c r="Q16" s="27" t="str">
        <f t="shared" si="12"/>
        <v/>
      </c>
      <c r="R16" s="27" t="str">
        <f t="shared" si="12"/>
        <v/>
      </c>
      <c r="S16" s="27" t="str">
        <f t="shared" si="12"/>
        <v/>
      </c>
      <c r="T16" s="27" t="str">
        <f t="shared" si="12"/>
        <v/>
      </c>
      <c r="U16" s="27" t="str">
        <f t="shared" si="12"/>
        <v/>
      </c>
      <c r="V16" s="27" t="str">
        <f t="shared" si="12"/>
        <v/>
      </c>
      <c r="W16" s="27" t="str">
        <f t="shared" si="12"/>
        <v/>
      </c>
      <c r="X16" s="27" t="str">
        <f t="shared" si="12"/>
        <v/>
      </c>
      <c r="Y16" s="27" t="str">
        <f t="shared" si="12"/>
        <v/>
      </c>
      <c r="Z16" s="27" t="str">
        <f t="shared" si="12"/>
        <v/>
      </c>
      <c r="AA16" s="27" t="str">
        <f t="shared" si="13"/>
        <v/>
      </c>
      <c r="AB16" s="27" t="str">
        <f t="shared" si="13"/>
        <v/>
      </c>
      <c r="AC16" s="27" t="str">
        <f t="shared" si="13"/>
        <v/>
      </c>
      <c r="AD16" s="27" t="str">
        <f t="shared" si="13"/>
        <v/>
      </c>
      <c r="AE16" s="27" t="str">
        <f t="shared" si="13"/>
        <v/>
      </c>
      <c r="AF16" s="27" t="str">
        <f t="shared" si="13"/>
        <v/>
      </c>
      <c r="AG16" s="27" t="str">
        <f t="shared" si="13"/>
        <v/>
      </c>
      <c r="AH16" s="27" t="str">
        <f t="shared" si="13"/>
        <v/>
      </c>
      <c r="AI16" s="27" t="str">
        <f t="shared" si="13"/>
        <v/>
      </c>
      <c r="AJ16" s="27" t="str">
        <f t="shared" si="13"/>
        <v/>
      </c>
      <c r="AK16" s="27" t="str">
        <f t="shared" si="14"/>
        <v/>
      </c>
      <c r="AL16" s="27" t="str">
        <f t="shared" si="14"/>
        <v/>
      </c>
      <c r="AM16" s="27" t="str">
        <f t="shared" si="14"/>
        <v/>
      </c>
      <c r="AN16" s="27" t="str">
        <f t="shared" si="14"/>
        <v/>
      </c>
      <c r="AO16" s="27" t="str">
        <f t="shared" si="14"/>
        <v/>
      </c>
      <c r="AP16" s="27" t="str">
        <f t="shared" si="14"/>
        <v/>
      </c>
      <c r="AQ16" s="27" t="str">
        <f t="shared" si="14"/>
        <v/>
      </c>
      <c r="AR16" s="27" t="str">
        <f t="shared" si="14"/>
        <v/>
      </c>
      <c r="AS16" s="27" t="str">
        <f t="shared" si="14"/>
        <v/>
      </c>
      <c r="AT16" s="27" t="str">
        <f t="shared" si="14"/>
        <v/>
      </c>
      <c r="AU16" s="27" t="str">
        <f t="shared" si="15"/>
        <v/>
      </c>
      <c r="AV16" s="27" t="str">
        <f t="shared" si="15"/>
        <v/>
      </c>
      <c r="AW16" s="27" t="str">
        <f t="shared" si="15"/>
        <v/>
      </c>
      <c r="AX16" s="27" t="str">
        <f t="shared" si="15"/>
        <v/>
      </c>
      <c r="AY16" s="27" t="str">
        <f t="shared" si="15"/>
        <v/>
      </c>
      <c r="AZ16" s="27" t="str">
        <f t="shared" si="15"/>
        <v/>
      </c>
      <c r="BA16" s="27" t="str">
        <f t="shared" si="15"/>
        <v/>
      </c>
      <c r="BB16" s="27" t="str">
        <f t="shared" si="15"/>
        <v/>
      </c>
      <c r="BC16" s="27" t="str">
        <f t="shared" si="15"/>
        <v/>
      </c>
      <c r="BD16" s="27" t="str">
        <f t="shared" si="15"/>
        <v/>
      </c>
      <c r="BE16" s="27" t="str">
        <f t="shared" si="16"/>
        <v/>
      </c>
      <c r="BF16" s="27" t="str">
        <f t="shared" si="16"/>
        <v/>
      </c>
      <c r="BG16" s="27" t="str">
        <f t="shared" si="16"/>
        <v/>
      </c>
      <c r="BH16" s="27" t="str">
        <f t="shared" si="16"/>
        <v/>
      </c>
      <c r="BI16" s="27" t="str">
        <f t="shared" si="16"/>
        <v/>
      </c>
      <c r="BJ16" s="27" t="str">
        <f t="shared" si="16"/>
        <v/>
      </c>
      <c r="BK16" s="27" t="str">
        <f t="shared" si="16"/>
        <v/>
      </c>
      <c r="BL16" s="27" t="str">
        <f t="shared" si="16"/>
        <v/>
      </c>
      <c r="BM16" s="27" t="str">
        <f t="shared" si="16"/>
        <v/>
      </c>
      <c r="BN16" s="27" t="str">
        <f t="shared" si="16"/>
        <v/>
      </c>
    </row>
    <row r="17" spans="1:66" ht="15" customHeight="1" x14ac:dyDescent="0.3">
      <c r="A17" s="10" t="str">
        <f>Machine_List!A17</f>
        <v>CARVING</v>
      </c>
      <c r="B17" s="10" t="str">
        <f>Machine_List!B17</f>
        <v>CARVING-MC-04</v>
      </c>
      <c r="C17" s="22">
        <f>Machine_List!C17</f>
        <v>46237</v>
      </c>
      <c r="D17" s="10">
        <f>Machine_List!D17</f>
        <v>6</v>
      </c>
      <c r="E17" s="10">
        <f t="shared" ca="1" si="3"/>
        <v>118</v>
      </c>
      <c r="F17" s="10" t="str">
        <f t="shared" ca="1" si="4"/>
        <v>OK</v>
      </c>
      <c r="G17" s="27" t="str">
        <f t="shared" si="11"/>
        <v/>
      </c>
      <c r="H17" s="27" t="str">
        <f t="shared" si="11"/>
        <v/>
      </c>
      <c r="I17" s="27" t="str">
        <f t="shared" si="11"/>
        <v/>
      </c>
      <c r="J17" s="27" t="str">
        <f t="shared" si="11"/>
        <v/>
      </c>
      <c r="K17" s="27" t="str">
        <f t="shared" si="11"/>
        <v/>
      </c>
      <c r="L17" s="27" t="str">
        <f t="shared" si="11"/>
        <v/>
      </c>
      <c r="M17" s="27" t="str">
        <f t="shared" si="11"/>
        <v/>
      </c>
      <c r="N17" s="27" t="str">
        <f t="shared" si="11"/>
        <v/>
      </c>
      <c r="O17" s="27" t="str">
        <f t="shared" si="11"/>
        <v/>
      </c>
      <c r="P17" s="27" t="str">
        <f t="shared" si="11"/>
        <v/>
      </c>
      <c r="Q17" s="27" t="str">
        <f t="shared" si="12"/>
        <v/>
      </c>
      <c r="R17" s="27" t="str">
        <f t="shared" si="12"/>
        <v/>
      </c>
      <c r="S17" s="27" t="str">
        <f t="shared" si="12"/>
        <v/>
      </c>
      <c r="T17" s="27" t="str">
        <f t="shared" si="12"/>
        <v/>
      </c>
      <c r="U17" s="27" t="str">
        <f t="shared" si="12"/>
        <v/>
      </c>
      <c r="V17" s="27" t="str">
        <f t="shared" si="12"/>
        <v/>
      </c>
      <c r="W17" s="27" t="str">
        <f t="shared" si="12"/>
        <v/>
      </c>
      <c r="X17" s="27" t="str">
        <f t="shared" si="12"/>
        <v/>
      </c>
      <c r="Y17" s="27" t="str">
        <f t="shared" si="12"/>
        <v/>
      </c>
      <c r="Z17" s="27" t="str">
        <f t="shared" si="12"/>
        <v/>
      </c>
      <c r="AA17" s="27" t="str">
        <f t="shared" si="13"/>
        <v/>
      </c>
      <c r="AB17" s="27" t="str">
        <f t="shared" si="13"/>
        <v/>
      </c>
      <c r="AC17" s="27" t="str">
        <f t="shared" si="13"/>
        <v/>
      </c>
      <c r="AD17" s="27" t="str">
        <f t="shared" si="13"/>
        <v/>
      </c>
      <c r="AE17" s="27" t="str">
        <f t="shared" si="13"/>
        <v/>
      </c>
      <c r="AF17" s="27" t="str">
        <f t="shared" si="13"/>
        <v/>
      </c>
      <c r="AG17" s="27" t="str">
        <f t="shared" si="13"/>
        <v/>
      </c>
      <c r="AH17" s="27" t="str">
        <f t="shared" si="13"/>
        <v/>
      </c>
      <c r="AI17" s="27" t="str">
        <f t="shared" si="13"/>
        <v/>
      </c>
      <c r="AJ17" s="27" t="str">
        <f t="shared" si="13"/>
        <v/>
      </c>
      <c r="AK17" s="27" t="str">
        <f t="shared" si="14"/>
        <v/>
      </c>
      <c r="AL17" s="27" t="str">
        <f t="shared" si="14"/>
        <v/>
      </c>
      <c r="AM17" s="27" t="str">
        <f t="shared" si="14"/>
        <v/>
      </c>
      <c r="AN17" s="27" t="str">
        <f t="shared" si="14"/>
        <v/>
      </c>
      <c r="AO17" s="27" t="str">
        <f t="shared" si="14"/>
        <v/>
      </c>
      <c r="AP17" s="27" t="str">
        <f t="shared" si="14"/>
        <v/>
      </c>
      <c r="AQ17" s="27" t="str">
        <f t="shared" si="14"/>
        <v/>
      </c>
      <c r="AR17" s="27" t="str">
        <f t="shared" si="14"/>
        <v/>
      </c>
      <c r="AS17" s="27" t="str">
        <f t="shared" si="14"/>
        <v/>
      </c>
      <c r="AT17" s="27" t="str">
        <f t="shared" si="14"/>
        <v/>
      </c>
      <c r="AU17" s="27" t="str">
        <f t="shared" si="15"/>
        <v/>
      </c>
      <c r="AV17" s="27" t="str">
        <f t="shared" si="15"/>
        <v/>
      </c>
      <c r="AW17" s="27" t="str">
        <f t="shared" si="15"/>
        <v/>
      </c>
      <c r="AX17" s="27" t="str">
        <f t="shared" si="15"/>
        <v/>
      </c>
      <c r="AY17" s="27" t="str">
        <f t="shared" si="15"/>
        <v/>
      </c>
      <c r="AZ17" s="27" t="str">
        <f t="shared" si="15"/>
        <v/>
      </c>
      <c r="BA17" s="27" t="str">
        <f t="shared" si="15"/>
        <v/>
      </c>
      <c r="BB17" s="27" t="str">
        <f t="shared" si="15"/>
        <v/>
      </c>
      <c r="BC17" s="27" t="str">
        <f t="shared" si="15"/>
        <v/>
      </c>
      <c r="BD17" s="27" t="str">
        <f t="shared" si="15"/>
        <v/>
      </c>
      <c r="BE17" s="27" t="str">
        <f t="shared" si="16"/>
        <v/>
      </c>
      <c r="BF17" s="27" t="str">
        <f t="shared" si="16"/>
        <v/>
      </c>
      <c r="BG17" s="27" t="str">
        <f t="shared" si="16"/>
        <v/>
      </c>
      <c r="BH17" s="27" t="str">
        <f t="shared" si="16"/>
        <v/>
      </c>
      <c r="BI17" s="27" t="str">
        <f t="shared" si="16"/>
        <v/>
      </c>
      <c r="BJ17" s="27" t="str">
        <f t="shared" si="16"/>
        <v/>
      </c>
      <c r="BK17" s="27" t="str">
        <f t="shared" si="16"/>
        <v/>
      </c>
      <c r="BL17" s="27" t="str">
        <f t="shared" si="16"/>
        <v/>
      </c>
      <c r="BM17" s="27" t="str">
        <f t="shared" si="16"/>
        <v/>
      </c>
      <c r="BN17" s="27" t="str">
        <f t="shared" si="16"/>
        <v/>
      </c>
    </row>
    <row r="18" spans="1:66" ht="15" customHeight="1" x14ac:dyDescent="0.3">
      <c r="A18" s="10" t="str">
        <f>Machine_List!A18</f>
        <v>CARVING</v>
      </c>
      <c r="B18" s="10" t="str">
        <f>Machine_List!B18</f>
        <v>CARVING-MC-05</v>
      </c>
      <c r="C18" s="22">
        <f>Machine_List!C18</f>
        <v>46238</v>
      </c>
      <c r="D18" s="10">
        <f>Machine_List!D18</f>
        <v>6</v>
      </c>
      <c r="E18" s="10">
        <f t="shared" ca="1" si="3"/>
        <v>119</v>
      </c>
      <c r="F18" s="10" t="str">
        <f t="shared" ca="1" si="4"/>
        <v>OK</v>
      </c>
      <c r="G18" s="27" t="str">
        <f t="shared" si="11"/>
        <v/>
      </c>
      <c r="H18" s="27" t="str">
        <f t="shared" si="11"/>
        <v/>
      </c>
      <c r="I18" s="27" t="str">
        <f t="shared" si="11"/>
        <v/>
      </c>
      <c r="J18" s="27" t="str">
        <f t="shared" si="11"/>
        <v/>
      </c>
      <c r="K18" s="27" t="str">
        <f t="shared" si="11"/>
        <v/>
      </c>
      <c r="L18" s="27" t="str">
        <f t="shared" si="11"/>
        <v/>
      </c>
      <c r="M18" s="27" t="str">
        <f t="shared" si="11"/>
        <v/>
      </c>
      <c r="N18" s="27" t="str">
        <f t="shared" si="11"/>
        <v/>
      </c>
      <c r="O18" s="27" t="str">
        <f t="shared" si="11"/>
        <v/>
      </c>
      <c r="P18" s="27" t="str">
        <f t="shared" si="11"/>
        <v/>
      </c>
      <c r="Q18" s="27" t="str">
        <f t="shared" si="12"/>
        <v/>
      </c>
      <c r="R18" s="27" t="str">
        <f t="shared" si="12"/>
        <v/>
      </c>
      <c r="S18" s="27" t="str">
        <f t="shared" si="12"/>
        <v/>
      </c>
      <c r="T18" s="27" t="str">
        <f t="shared" si="12"/>
        <v/>
      </c>
      <c r="U18" s="27" t="str">
        <f t="shared" si="12"/>
        <v/>
      </c>
      <c r="V18" s="27" t="str">
        <f t="shared" si="12"/>
        <v/>
      </c>
      <c r="W18" s="27" t="str">
        <f t="shared" si="12"/>
        <v/>
      </c>
      <c r="X18" s="27" t="str">
        <f t="shared" si="12"/>
        <v/>
      </c>
      <c r="Y18" s="27" t="str">
        <f t="shared" si="12"/>
        <v/>
      </c>
      <c r="Z18" s="27" t="str">
        <f t="shared" si="12"/>
        <v/>
      </c>
      <c r="AA18" s="27" t="str">
        <f t="shared" si="13"/>
        <v/>
      </c>
      <c r="AB18" s="27" t="str">
        <f t="shared" si="13"/>
        <v/>
      </c>
      <c r="AC18" s="27" t="str">
        <f t="shared" si="13"/>
        <v/>
      </c>
      <c r="AD18" s="27" t="str">
        <f t="shared" si="13"/>
        <v/>
      </c>
      <c r="AE18" s="27" t="str">
        <f t="shared" si="13"/>
        <v/>
      </c>
      <c r="AF18" s="27" t="str">
        <f t="shared" si="13"/>
        <v/>
      </c>
      <c r="AG18" s="27" t="str">
        <f t="shared" si="13"/>
        <v/>
      </c>
      <c r="AH18" s="27" t="str">
        <f t="shared" si="13"/>
        <v/>
      </c>
      <c r="AI18" s="27" t="str">
        <f t="shared" si="13"/>
        <v/>
      </c>
      <c r="AJ18" s="27" t="str">
        <f t="shared" si="13"/>
        <v/>
      </c>
      <c r="AK18" s="27" t="str">
        <f t="shared" si="14"/>
        <v/>
      </c>
      <c r="AL18" s="27" t="str">
        <f t="shared" si="14"/>
        <v/>
      </c>
      <c r="AM18" s="27" t="str">
        <f t="shared" si="14"/>
        <v/>
      </c>
      <c r="AN18" s="27" t="str">
        <f t="shared" si="14"/>
        <v/>
      </c>
      <c r="AO18" s="27" t="str">
        <f t="shared" si="14"/>
        <v/>
      </c>
      <c r="AP18" s="27" t="str">
        <f t="shared" si="14"/>
        <v/>
      </c>
      <c r="AQ18" s="27" t="str">
        <f t="shared" si="14"/>
        <v/>
      </c>
      <c r="AR18" s="27" t="str">
        <f t="shared" si="14"/>
        <v/>
      </c>
      <c r="AS18" s="27" t="str">
        <f t="shared" si="14"/>
        <v/>
      </c>
      <c r="AT18" s="27" t="str">
        <f t="shared" si="14"/>
        <v/>
      </c>
      <c r="AU18" s="27" t="str">
        <f t="shared" si="15"/>
        <v/>
      </c>
      <c r="AV18" s="27" t="str">
        <f t="shared" si="15"/>
        <v/>
      </c>
      <c r="AW18" s="27" t="str">
        <f t="shared" si="15"/>
        <v/>
      </c>
      <c r="AX18" s="27" t="str">
        <f t="shared" si="15"/>
        <v/>
      </c>
      <c r="AY18" s="27" t="str">
        <f t="shared" si="15"/>
        <v/>
      </c>
      <c r="AZ18" s="27" t="str">
        <f t="shared" si="15"/>
        <v/>
      </c>
      <c r="BA18" s="27" t="str">
        <f t="shared" si="15"/>
        <v/>
      </c>
      <c r="BB18" s="27" t="str">
        <f t="shared" si="15"/>
        <v/>
      </c>
      <c r="BC18" s="27" t="str">
        <f t="shared" si="15"/>
        <v/>
      </c>
      <c r="BD18" s="27" t="str">
        <f t="shared" si="15"/>
        <v/>
      </c>
      <c r="BE18" s="27" t="str">
        <f t="shared" si="16"/>
        <v/>
      </c>
      <c r="BF18" s="27" t="str">
        <f t="shared" si="16"/>
        <v/>
      </c>
      <c r="BG18" s="27" t="str">
        <f t="shared" si="16"/>
        <v/>
      </c>
      <c r="BH18" s="27" t="str">
        <f t="shared" si="16"/>
        <v/>
      </c>
      <c r="BI18" s="27" t="str">
        <f t="shared" si="16"/>
        <v/>
      </c>
      <c r="BJ18" s="27" t="str">
        <f t="shared" si="16"/>
        <v/>
      </c>
      <c r="BK18" s="27" t="str">
        <f t="shared" si="16"/>
        <v/>
      </c>
      <c r="BL18" s="27" t="str">
        <f t="shared" si="16"/>
        <v/>
      </c>
      <c r="BM18" s="27" t="str">
        <f t="shared" si="16"/>
        <v/>
      </c>
      <c r="BN18" s="27" t="str">
        <f t="shared" si="16"/>
        <v/>
      </c>
    </row>
    <row r="19" spans="1:66" ht="15" customHeight="1" x14ac:dyDescent="0.3">
      <c r="A19" s="10" t="str">
        <f>Machine_List!A19</f>
        <v>CARVING</v>
      </c>
      <c r="B19" s="10" t="str">
        <f>Machine_List!B19</f>
        <v>CARVING-MC-06</v>
      </c>
      <c r="C19" s="22">
        <f>Machine_List!C19</f>
        <v>46397</v>
      </c>
      <c r="D19" s="10">
        <f>Machine_List!D19</f>
        <v>6</v>
      </c>
      <c r="E19" s="10">
        <f t="shared" ca="1" si="3"/>
        <v>278</v>
      </c>
      <c r="F19" s="10" t="str">
        <f t="shared" ca="1" si="4"/>
        <v>OK</v>
      </c>
      <c r="G19" s="27" t="str">
        <f t="shared" si="11"/>
        <v/>
      </c>
      <c r="H19" s="27" t="str">
        <f t="shared" si="11"/>
        <v/>
      </c>
      <c r="I19" s="27" t="str">
        <f t="shared" si="11"/>
        <v/>
      </c>
      <c r="J19" s="27" t="str">
        <f t="shared" si="11"/>
        <v/>
      </c>
      <c r="K19" s="27" t="str">
        <f t="shared" si="11"/>
        <v/>
      </c>
      <c r="L19" s="27" t="str">
        <f t="shared" si="11"/>
        <v/>
      </c>
      <c r="M19" s="27" t="str">
        <f t="shared" si="11"/>
        <v/>
      </c>
      <c r="N19" s="27" t="str">
        <f t="shared" si="11"/>
        <v/>
      </c>
      <c r="O19" s="27" t="str">
        <f t="shared" si="11"/>
        <v/>
      </c>
      <c r="P19" s="27" t="str">
        <f t="shared" si="11"/>
        <v/>
      </c>
      <c r="Q19" s="27" t="str">
        <f t="shared" si="12"/>
        <v/>
      </c>
      <c r="R19" s="27" t="str">
        <f t="shared" si="12"/>
        <v/>
      </c>
      <c r="S19" s="27" t="str">
        <f t="shared" si="12"/>
        <v/>
      </c>
      <c r="T19" s="27" t="str">
        <f t="shared" si="12"/>
        <v/>
      </c>
      <c r="U19" s="27" t="str">
        <f t="shared" si="12"/>
        <v/>
      </c>
      <c r="V19" s="27" t="str">
        <f t="shared" si="12"/>
        <v/>
      </c>
      <c r="W19" s="27" t="str">
        <f t="shared" si="12"/>
        <v/>
      </c>
      <c r="X19" s="27" t="str">
        <f t="shared" si="12"/>
        <v/>
      </c>
      <c r="Y19" s="27" t="str">
        <f t="shared" si="12"/>
        <v/>
      </c>
      <c r="Z19" s="27" t="str">
        <f t="shared" si="12"/>
        <v/>
      </c>
      <c r="AA19" s="27" t="str">
        <f t="shared" si="13"/>
        <v/>
      </c>
      <c r="AB19" s="27" t="str">
        <f t="shared" si="13"/>
        <v/>
      </c>
      <c r="AC19" s="27" t="str">
        <f t="shared" si="13"/>
        <v/>
      </c>
      <c r="AD19" s="27" t="str">
        <f t="shared" si="13"/>
        <v/>
      </c>
      <c r="AE19" s="27" t="str">
        <f t="shared" si="13"/>
        <v/>
      </c>
      <c r="AF19" s="27" t="str">
        <f t="shared" si="13"/>
        <v/>
      </c>
      <c r="AG19" s="27" t="str">
        <f t="shared" si="13"/>
        <v/>
      </c>
      <c r="AH19" s="27" t="str">
        <f t="shared" si="13"/>
        <v/>
      </c>
      <c r="AI19" s="27" t="str">
        <f t="shared" si="13"/>
        <v/>
      </c>
      <c r="AJ19" s="27" t="str">
        <f t="shared" si="13"/>
        <v/>
      </c>
      <c r="AK19" s="27" t="str">
        <f t="shared" si="14"/>
        <v/>
      </c>
      <c r="AL19" s="27" t="str">
        <f t="shared" si="14"/>
        <v/>
      </c>
      <c r="AM19" s="27" t="str">
        <f t="shared" si="14"/>
        <v/>
      </c>
      <c r="AN19" s="27" t="str">
        <f t="shared" si="14"/>
        <v/>
      </c>
      <c r="AO19" s="27" t="str">
        <f t="shared" si="14"/>
        <v/>
      </c>
      <c r="AP19" s="27" t="str">
        <f t="shared" si="14"/>
        <v/>
      </c>
      <c r="AQ19" s="27" t="str">
        <f t="shared" si="14"/>
        <v/>
      </c>
      <c r="AR19" s="27" t="str">
        <f t="shared" si="14"/>
        <v/>
      </c>
      <c r="AS19" s="27" t="str">
        <f t="shared" si="14"/>
        <v/>
      </c>
      <c r="AT19" s="27" t="str">
        <f t="shared" si="14"/>
        <v/>
      </c>
      <c r="AU19" s="27" t="str">
        <f t="shared" si="15"/>
        <v/>
      </c>
      <c r="AV19" s="27" t="str">
        <f t="shared" si="15"/>
        <v/>
      </c>
      <c r="AW19" s="27" t="str">
        <f t="shared" si="15"/>
        <v/>
      </c>
      <c r="AX19" s="27" t="str">
        <f t="shared" si="15"/>
        <v/>
      </c>
      <c r="AY19" s="27" t="str">
        <f t="shared" si="15"/>
        <v/>
      </c>
      <c r="AZ19" s="27" t="str">
        <f t="shared" si="15"/>
        <v/>
      </c>
      <c r="BA19" s="27" t="str">
        <f t="shared" si="15"/>
        <v/>
      </c>
      <c r="BB19" s="27" t="str">
        <f t="shared" si="15"/>
        <v/>
      </c>
      <c r="BC19" s="27" t="str">
        <f t="shared" si="15"/>
        <v/>
      </c>
      <c r="BD19" s="27" t="str">
        <f t="shared" si="15"/>
        <v/>
      </c>
      <c r="BE19" s="27" t="str">
        <f t="shared" si="16"/>
        <v/>
      </c>
      <c r="BF19" s="27" t="str">
        <f t="shared" si="16"/>
        <v/>
      </c>
      <c r="BG19" s="27" t="str">
        <f t="shared" si="16"/>
        <v/>
      </c>
      <c r="BH19" s="27" t="str">
        <f t="shared" si="16"/>
        <v/>
      </c>
      <c r="BI19" s="27" t="str">
        <f t="shared" si="16"/>
        <v/>
      </c>
      <c r="BJ19" s="27" t="str">
        <f t="shared" si="16"/>
        <v/>
      </c>
      <c r="BK19" s="27" t="str">
        <f t="shared" si="16"/>
        <v/>
      </c>
      <c r="BL19" s="27" t="str">
        <f t="shared" si="16"/>
        <v/>
      </c>
      <c r="BM19" s="27" t="str">
        <f t="shared" si="16"/>
        <v/>
      </c>
      <c r="BN19" s="27" t="str">
        <f t="shared" si="16"/>
        <v/>
      </c>
    </row>
    <row r="20" spans="1:66" ht="15" customHeight="1" x14ac:dyDescent="0.3">
      <c r="A20" s="10" t="str">
        <f>Machine_List!A20</f>
        <v>EDM</v>
      </c>
      <c r="B20" s="10" t="str">
        <f>Machine_List!B20</f>
        <v>EDM-MC-01</v>
      </c>
      <c r="C20" s="22">
        <f>Machine_List!C20</f>
        <v>46092</v>
      </c>
      <c r="D20" s="10">
        <f>Machine_List!D20</f>
        <v>6</v>
      </c>
      <c r="E20" s="10">
        <f t="shared" ca="1" si="3"/>
        <v>-27</v>
      </c>
      <c r="F20" s="10" t="str">
        <f t="shared" ca="1" si="4"/>
        <v>OVERDUE</v>
      </c>
      <c r="G20" s="27" t="str">
        <f t="shared" si="11"/>
        <v/>
      </c>
      <c r="H20" s="27" t="str">
        <f t="shared" si="11"/>
        <v/>
      </c>
      <c r="I20" s="27" t="str">
        <f t="shared" si="11"/>
        <v/>
      </c>
      <c r="J20" s="27" t="str">
        <f t="shared" si="11"/>
        <v/>
      </c>
      <c r="K20" s="27" t="str">
        <f t="shared" si="11"/>
        <v/>
      </c>
      <c r="L20" s="27" t="str">
        <f t="shared" si="11"/>
        <v/>
      </c>
      <c r="M20" s="27" t="str">
        <f t="shared" si="11"/>
        <v/>
      </c>
      <c r="N20" s="27" t="str">
        <f t="shared" si="11"/>
        <v/>
      </c>
      <c r="O20" s="27" t="str">
        <f t="shared" si="11"/>
        <v/>
      </c>
      <c r="P20" s="27" t="str">
        <f t="shared" si="11"/>
        <v/>
      </c>
      <c r="Q20" s="27" t="str">
        <f t="shared" si="12"/>
        <v/>
      </c>
      <c r="R20" s="27" t="str">
        <f t="shared" si="12"/>
        <v/>
      </c>
      <c r="S20" s="27" t="str">
        <f t="shared" si="12"/>
        <v/>
      </c>
      <c r="T20" s="27" t="str">
        <f t="shared" si="12"/>
        <v/>
      </c>
      <c r="U20" s="27" t="str">
        <f t="shared" si="12"/>
        <v/>
      </c>
      <c r="V20" s="27" t="str">
        <f t="shared" si="12"/>
        <v/>
      </c>
      <c r="W20" s="27" t="str">
        <f t="shared" si="12"/>
        <v/>
      </c>
      <c r="X20" s="27" t="str">
        <f t="shared" si="12"/>
        <v/>
      </c>
      <c r="Y20" s="27" t="str">
        <f t="shared" si="12"/>
        <v/>
      </c>
      <c r="Z20" s="27" t="str">
        <f t="shared" si="12"/>
        <v/>
      </c>
      <c r="AA20" s="27" t="str">
        <f t="shared" si="13"/>
        <v/>
      </c>
      <c r="AB20" s="27" t="str">
        <f t="shared" si="13"/>
        <v/>
      </c>
      <c r="AC20" s="27" t="str">
        <f t="shared" si="13"/>
        <v/>
      </c>
      <c r="AD20" s="27" t="str">
        <f t="shared" si="13"/>
        <v/>
      </c>
      <c r="AE20" s="27" t="str">
        <f t="shared" si="13"/>
        <v/>
      </c>
      <c r="AF20" s="27" t="str">
        <f t="shared" si="13"/>
        <v/>
      </c>
      <c r="AG20" s="27" t="str">
        <f t="shared" si="13"/>
        <v/>
      </c>
      <c r="AH20" s="27" t="str">
        <f t="shared" si="13"/>
        <v/>
      </c>
      <c r="AI20" s="27" t="str">
        <f t="shared" si="13"/>
        <v/>
      </c>
      <c r="AJ20" s="27" t="str">
        <f t="shared" si="13"/>
        <v/>
      </c>
      <c r="AK20" s="27" t="str">
        <f t="shared" si="14"/>
        <v/>
      </c>
      <c r="AL20" s="27" t="str">
        <f t="shared" si="14"/>
        <v/>
      </c>
      <c r="AM20" s="27" t="str">
        <f t="shared" si="14"/>
        <v/>
      </c>
      <c r="AN20" s="27" t="str">
        <f t="shared" si="14"/>
        <v/>
      </c>
      <c r="AO20" s="27" t="str">
        <f t="shared" si="14"/>
        <v/>
      </c>
      <c r="AP20" s="27" t="str">
        <f t="shared" si="14"/>
        <v/>
      </c>
      <c r="AQ20" s="27" t="str">
        <f t="shared" si="14"/>
        <v/>
      </c>
      <c r="AR20" s="27" t="str">
        <f t="shared" si="14"/>
        <v/>
      </c>
      <c r="AS20" s="27" t="str">
        <f t="shared" si="14"/>
        <v/>
      </c>
      <c r="AT20" s="27" t="str">
        <f t="shared" si="14"/>
        <v/>
      </c>
      <c r="AU20" s="27" t="str">
        <f t="shared" si="15"/>
        <v/>
      </c>
      <c r="AV20" s="27" t="str">
        <f t="shared" si="15"/>
        <v/>
      </c>
      <c r="AW20" s="27" t="str">
        <f t="shared" si="15"/>
        <v/>
      </c>
      <c r="AX20" s="27" t="str">
        <f t="shared" si="15"/>
        <v/>
      </c>
      <c r="AY20" s="27" t="str">
        <f t="shared" si="15"/>
        <v/>
      </c>
      <c r="AZ20" s="27" t="str">
        <f t="shared" si="15"/>
        <v/>
      </c>
      <c r="BA20" s="27" t="str">
        <f t="shared" si="15"/>
        <v/>
      </c>
      <c r="BB20" s="27" t="str">
        <f t="shared" si="15"/>
        <v/>
      </c>
      <c r="BC20" s="27" t="str">
        <f t="shared" si="15"/>
        <v/>
      </c>
      <c r="BD20" s="27" t="str">
        <f t="shared" si="15"/>
        <v/>
      </c>
      <c r="BE20" s="27" t="str">
        <f t="shared" si="16"/>
        <v/>
      </c>
      <c r="BF20" s="27" t="str">
        <f t="shared" si="16"/>
        <v/>
      </c>
      <c r="BG20" s="27" t="str">
        <f t="shared" si="16"/>
        <v/>
      </c>
      <c r="BH20" s="27" t="str">
        <f t="shared" si="16"/>
        <v/>
      </c>
      <c r="BI20" s="27" t="str">
        <f t="shared" si="16"/>
        <v/>
      </c>
      <c r="BJ20" s="27" t="str">
        <f t="shared" si="16"/>
        <v/>
      </c>
      <c r="BK20" s="27" t="str">
        <f t="shared" si="16"/>
        <v/>
      </c>
      <c r="BL20" s="27" t="str">
        <f t="shared" si="16"/>
        <v/>
      </c>
      <c r="BM20" s="27" t="str">
        <f t="shared" si="16"/>
        <v/>
      </c>
      <c r="BN20" s="27" t="str">
        <f t="shared" si="16"/>
        <v/>
      </c>
    </row>
    <row r="21" spans="1:66" ht="15" customHeight="1" x14ac:dyDescent="0.3">
      <c r="A21" s="10" t="str">
        <f>Machine_List!A21</f>
        <v>EDM</v>
      </c>
      <c r="B21" s="10" t="str">
        <f>Machine_List!B21</f>
        <v>EDM-MC-02</v>
      </c>
      <c r="C21" s="22">
        <f>Machine_List!C21</f>
        <v>46160</v>
      </c>
      <c r="D21" s="10">
        <f>Machine_List!D21</f>
        <v>6</v>
      </c>
      <c r="E21" s="10">
        <f t="shared" ca="1" si="3"/>
        <v>41</v>
      </c>
      <c r="F21" s="10" t="str">
        <f t="shared" ca="1" si="4"/>
        <v>OK</v>
      </c>
      <c r="G21" s="27" t="str">
        <f t="shared" si="11"/>
        <v/>
      </c>
      <c r="H21" s="27" t="str">
        <f t="shared" si="11"/>
        <v/>
      </c>
      <c r="I21" s="27" t="str">
        <f t="shared" si="11"/>
        <v/>
      </c>
      <c r="J21" s="27" t="str">
        <f t="shared" si="11"/>
        <v/>
      </c>
      <c r="K21" s="27" t="str">
        <f t="shared" si="11"/>
        <v/>
      </c>
      <c r="L21" s="27" t="str">
        <f t="shared" si="11"/>
        <v/>
      </c>
      <c r="M21" s="27" t="str">
        <f t="shared" si="11"/>
        <v/>
      </c>
      <c r="N21" s="27" t="str">
        <f t="shared" si="11"/>
        <v/>
      </c>
      <c r="O21" s="27" t="str">
        <f t="shared" si="11"/>
        <v/>
      </c>
      <c r="P21" s="27" t="str">
        <f t="shared" si="11"/>
        <v/>
      </c>
      <c r="Q21" s="27" t="str">
        <f t="shared" si="12"/>
        <v/>
      </c>
      <c r="R21" s="27" t="str">
        <f t="shared" si="12"/>
        <v/>
      </c>
      <c r="S21" s="27" t="str">
        <f t="shared" si="12"/>
        <v/>
      </c>
      <c r="T21" s="27" t="str">
        <f t="shared" si="12"/>
        <v/>
      </c>
      <c r="U21" s="27" t="str">
        <f t="shared" si="12"/>
        <v/>
      </c>
      <c r="V21" s="27" t="str">
        <f t="shared" si="12"/>
        <v/>
      </c>
      <c r="W21" s="27" t="str">
        <f t="shared" si="12"/>
        <v/>
      </c>
      <c r="X21" s="27" t="str">
        <f t="shared" si="12"/>
        <v/>
      </c>
      <c r="Y21" s="27" t="str">
        <f t="shared" si="12"/>
        <v/>
      </c>
      <c r="Z21" s="27" t="str">
        <f t="shared" si="12"/>
        <v/>
      </c>
      <c r="AA21" s="27" t="str">
        <f t="shared" si="13"/>
        <v/>
      </c>
      <c r="AB21" s="27" t="str">
        <f t="shared" si="13"/>
        <v/>
      </c>
      <c r="AC21" s="27" t="str">
        <f t="shared" si="13"/>
        <v/>
      </c>
      <c r="AD21" s="27" t="str">
        <f t="shared" si="13"/>
        <v/>
      </c>
      <c r="AE21" s="27" t="str">
        <f t="shared" si="13"/>
        <v/>
      </c>
      <c r="AF21" s="27" t="str">
        <f t="shared" si="13"/>
        <v/>
      </c>
      <c r="AG21" s="27" t="str">
        <f t="shared" si="13"/>
        <v/>
      </c>
      <c r="AH21" s="27" t="str">
        <f t="shared" si="13"/>
        <v/>
      </c>
      <c r="AI21" s="27" t="str">
        <f t="shared" si="13"/>
        <v/>
      </c>
      <c r="AJ21" s="27" t="str">
        <f t="shared" si="13"/>
        <v/>
      </c>
      <c r="AK21" s="27" t="str">
        <f t="shared" si="14"/>
        <v/>
      </c>
      <c r="AL21" s="27" t="str">
        <f t="shared" si="14"/>
        <v/>
      </c>
      <c r="AM21" s="27" t="str">
        <f t="shared" si="14"/>
        <v/>
      </c>
      <c r="AN21" s="27" t="str">
        <f t="shared" si="14"/>
        <v/>
      </c>
      <c r="AO21" s="27" t="str">
        <f t="shared" si="14"/>
        <v/>
      </c>
      <c r="AP21" s="27" t="str">
        <f t="shared" si="14"/>
        <v/>
      </c>
      <c r="AQ21" s="27" t="str">
        <f t="shared" si="14"/>
        <v/>
      </c>
      <c r="AR21" s="27" t="str">
        <f t="shared" si="14"/>
        <v/>
      </c>
      <c r="AS21" s="27" t="str">
        <f t="shared" si="14"/>
        <v/>
      </c>
      <c r="AT21" s="27" t="str">
        <f t="shared" si="14"/>
        <v/>
      </c>
      <c r="AU21" s="27" t="str">
        <f t="shared" si="15"/>
        <v/>
      </c>
      <c r="AV21" s="27" t="str">
        <f t="shared" si="15"/>
        <v/>
      </c>
      <c r="AW21" s="27" t="str">
        <f t="shared" si="15"/>
        <v/>
      </c>
      <c r="AX21" s="27" t="str">
        <f t="shared" si="15"/>
        <v/>
      </c>
      <c r="AY21" s="27" t="str">
        <f t="shared" si="15"/>
        <v/>
      </c>
      <c r="AZ21" s="27" t="str">
        <f t="shared" si="15"/>
        <v/>
      </c>
      <c r="BA21" s="27" t="str">
        <f t="shared" si="15"/>
        <v/>
      </c>
      <c r="BB21" s="27" t="str">
        <f t="shared" si="15"/>
        <v>18-May</v>
      </c>
      <c r="BC21" s="27" t="str">
        <f t="shared" si="15"/>
        <v/>
      </c>
      <c r="BD21" s="27" t="str">
        <f t="shared" si="15"/>
        <v/>
      </c>
      <c r="BE21" s="27" t="str">
        <f t="shared" si="16"/>
        <v/>
      </c>
      <c r="BF21" s="27" t="str">
        <f t="shared" si="16"/>
        <v/>
      </c>
      <c r="BG21" s="27" t="str">
        <f t="shared" si="16"/>
        <v/>
      </c>
      <c r="BH21" s="27" t="str">
        <f t="shared" si="16"/>
        <v/>
      </c>
      <c r="BI21" s="27" t="str">
        <f t="shared" si="16"/>
        <v/>
      </c>
      <c r="BJ21" s="27" t="str">
        <f t="shared" si="16"/>
        <v/>
      </c>
      <c r="BK21" s="27" t="str">
        <f t="shared" si="16"/>
        <v/>
      </c>
      <c r="BL21" s="27" t="str">
        <f t="shared" si="16"/>
        <v/>
      </c>
      <c r="BM21" s="27" t="str">
        <f t="shared" si="16"/>
        <v/>
      </c>
      <c r="BN21" s="27" t="str">
        <f t="shared" si="16"/>
        <v/>
      </c>
    </row>
    <row r="22" spans="1:66" ht="15" customHeight="1" x14ac:dyDescent="0.3">
      <c r="A22" s="10" t="str">
        <f>Machine_List!A22</f>
        <v>EDM</v>
      </c>
      <c r="B22" s="10" t="str">
        <f>Machine_List!B22</f>
        <v>EDM-MC-03</v>
      </c>
      <c r="C22" s="22">
        <f>Machine_List!C22</f>
        <v>46057</v>
      </c>
      <c r="D22" s="10">
        <f>Machine_List!D22</f>
        <v>6</v>
      </c>
      <c r="E22" s="10">
        <f t="shared" ca="1" si="3"/>
        <v>-62</v>
      </c>
      <c r="F22" s="10" t="str">
        <f t="shared" ca="1" si="4"/>
        <v>OVERDUE</v>
      </c>
      <c r="G22" s="27" t="str">
        <f t="shared" si="11"/>
        <v/>
      </c>
      <c r="H22" s="27" t="str">
        <f t="shared" si="11"/>
        <v/>
      </c>
      <c r="I22" s="27" t="str">
        <f t="shared" si="11"/>
        <v/>
      </c>
      <c r="J22" s="27" t="str">
        <f t="shared" si="11"/>
        <v/>
      </c>
      <c r="K22" s="27" t="str">
        <f t="shared" si="11"/>
        <v/>
      </c>
      <c r="L22" s="27" t="str">
        <f t="shared" si="11"/>
        <v/>
      </c>
      <c r="M22" s="27" t="str">
        <f t="shared" si="11"/>
        <v/>
      </c>
      <c r="N22" s="27" t="str">
        <f t="shared" si="11"/>
        <v/>
      </c>
      <c r="O22" s="27" t="str">
        <f t="shared" si="11"/>
        <v/>
      </c>
      <c r="P22" s="27" t="str">
        <f t="shared" si="11"/>
        <v/>
      </c>
      <c r="Q22" s="27" t="str">
        <f t="shared" si="12"/>
        <v/>
      </c>
      <c r="R22" s="27" t="str">
        <f t="shared" si="12"/>
        <v/>
      </c>
      <c r="S22" s="27" t="str">
        <f t="shared" si="12"/>
        <v/>
      </c>
      <c r="T22" s="27" t="str">
        <f t="shared" si="12"/>
        <v/>
      </c>
      <c r="U22" s="27" t="str">
        <f t="shared" si="12"/>
        <v/>
      </c>
      <c r="V22" s="27" t="str">
        <f t="shared" si="12"/>
        <v/>
      </c>
      <c r="W22" s="27" t="str">
        <f t="shared" si="12"/>
        <v/>
      </c>
      <c r="X22" s="27" t="str">
        <f t="shared" si="12"/>
        <v/>
      </c>
      <c r="Y22" s="27" t="str">
        <f t="shared" si="12"/>
        <v/>
      </c>
      <c r="Z22" s="27" t="str">
        <f t="shared" si="12"/>
        <v/>
      </c>
      <c r="AA22" s="27" t="str">
        <f t="shared" si="13"/>
        <v/>
      </c>
      <c r="AB22" s="27" t="str">
        <f t="shared" si="13"/>
        <v/>
      </c>
      <c r="AC22" s="27" t="str">
        <f t="shared" si="13"/>
        <v/>
      </c>
      <c r="AD22" s="27" t="str">
        <f t="shared" si="13"/>
        <v/>
      </c>
      <c r="AE22" s="27" t="str">
        <f t="shared" si="13"/>
        <v/>
      </c>
      <c r="AF22" s="27" t="str">
        <f t="shared" si="13"/>
        <v/>
      </c>
      <c r="AG22" s="27" t="str">
        <f t="shared" si="13"/>
        <v/>
      </c>
      <c r="AH22" s="27" t="str">
        <f t="shared" si="13"/>
        <v/>
      </c>
      <c r="AI22" s="27" t="str">
        <f t="shared" si="13"/>
        <v/>
      </c>
      <c r="AJ22" s="27" t="str">
        <f t="shared" si="13"/>
        <v/>
      </c>
      <c r="AK22" s="27" t="str">
        <f t="shared" si="14"/>
        <v/>
      </c>
      <c r="AL22" s="27" t="str">
        <f t="shared" si="14"/>
        <v/>
      </c>
      <c r="AM22" s="27" t="str">
        <f t="shared" si="14"/>
        <v/>
      </c>
      <c r="AN22" s="27" t="str">
        <f t="shared" si="14"/>
        <v/>
      </c>
      <c r="AO22" s="27" t="str">
        <f t="shared" si="14"/>
        <v/>
      </c>
      <c r="AP22" s="27" t="str">
        <f t="shared" si="14"/>
        <v/>
      </c>
      <c r="AQ22" s="27" t="str">
        <f t="shared" si="14"/>
        <v/>
      </c>
      <c r="AR22" s="27" t="str">
        <f t="shared" si="14"/>
        <v/>
      </c>
      <c r="AS22" s="27" t="str">
        <f t="shared" si="14"/>
        <v/>
      </c>
      <c r="AT22" s="27" t="str">
        <f t="shared" si="14"/>
        <v/>
      </c>
      <c r="AU22" s="27" t="str">
        <f t="shared" si="15"/>
        <v/>
      </c>
      <c r="AV22" s="27" t="str">
        <f t="shared" si="15"/>
        <v/>
      </c>
      <c r="AW22" s="27" t="str">
        <f t="shared" si="15"/>
        <v/>
      </c>
      <c r="AX22" s="27" t="str">
        <f t="shared" si="15"/>
        <v/>
      </c>
      <c r="AY22" s="27" t="str">
        <f t="shared" si="15"/>
        <v/>
      </c>
      <c r="AZ22" s="27" t="str">
        <f t="shared" si="15"/>
        <v/>
      </c>
      <c r="BA22" s="27" t="str">
        <f t="shared" si="15"/>
        <v/>
      </c>
      <c r="BB22" s="27" t="str">
        <f t="shared" si="15"/>
        <v/>
      </c>
      <c r="BC22" s="27" t="str">
        <f t="shared" si="15"/>
        <v/>
      </c>
      <c r="BD22" s="27" t="str">
        <f t="shared" si="15"/>
        <v/>
      </c>
      <c r="BE22" s="27" t="str">
        <f t="shared" si="16"/>
        <v/>
      </c>
      <c r="BF22" s="27" t="str">
        <f t="shared" si="16"/>
        <v/>
      </c>
      <c r="BG22" s="27" t="str">
        <f t="shared" si="16"/>
        <v/>
      </c>
      <c r="BH22" s="27" t="str">
        <f t="shared" si="16"/>
        <v/>
      </c>
      <c r="BI22" s="27" t="str">
        <f t="shared" si="16"/>
        <v/>
      </c>
      <c r="BJ22" s="27" t="str">
        <f t="shared" si="16"/>
        <v/>
      </c>
      <c r="BK22" s="27" t="str">
        <f t="shared" si="16"/>
        <v/>
      </c>
      <c r="BL22" s="27" t="str">
        <f t="shared" si="16"/>
        <v/>
      </c>
      <c r="BM22" s="27" t="str">
        <f t="shared" si="16"/>
        <v/>
      </c>
      <c r="BN22" s="27" t="str">
        <f t="shared" si="16"/>
        <v/>
      </c>
    </row>
    <row r="23" spans="1:66" ht="15" customHeight="1" x14ac:dyDescent="0.3">
      <c r="A23" s="10" t="str">
        <f>Machine_List!A23</f>
        <v>EDM</v>
      </c>
      <c r="B23" s="10" t="str">
        <f>Machine_List!B23</f>
        <v>EDM-MC-04</v>
      </c>
      <c r="C23" s="22">
        <f>Machine_List!C23</f>
        <v>46111</v>
      </c>
      <c r="D23" s="10">
        <f>Machine_List!D23</f>
        <v>6</v>
      </c>
      <c r="E23" s="10">
        <f t="shared" ca="1" si="3"/>
        <v>-8</v>
      </c>
      <c r="F23" s="10" t="str">
        <f t="shared" ca="1" si="4"/>
        <v>OVERDUE</v>
      </c>
      <c r="G23" s="27" t="str">
        <f t="shared" si="11"/>
        <v/>
      </c>
      <c r="H23" s="27" t="str">
        <f t="shared" si="11"/>
        <v/>
      </c>
      <c r="I23" s="27" t="str">
        <f t="shared" si="11"/>
        <v/>
      </c>
      <c r="J23" s="27" t="str">
        <f t="shared" si="11"/>
        <v/>
      </c>
      <c r="K23" s="27" t="str">
        <f t="shared" si="11"/>
        <v/>
      </c>
      <c r="L23" s="27" t="str">
        <f t="shared" si="11"/>
        <v/>
      </c>
      <c r="M23" s="27" t="str">
        <f t="shared" si="11"/>
        <v/>
      </c>
      <c r="N23" s="27" t="str">
        <f t="shared" si="11"/>
        <v/>
      </c>
      <c r="O23" s="27" t="str">
        <f t="shared" si="11"/>
        <v/>
      </c>
      <c r="P23" s="27" t="str">
        <f t="shared" si="11"/>
        <v/>
      </c>
      <c r="Q23" s="27" t="str">
        <f t="shared" si="12"/>
        <v/>
      </c>
      <c r="R23" s="27" t="str">
        <f t="shared" si="12"/>
        <v/>
      </c>
      <c r="S23" s="27" t="str">
        <f t="shared" si="12"/>
        <v/>
      </c>
      <c r="T23" s="27" t="str">
        <f t="shared" si="12"/>
        <v/>
      </c>
      <c r="U23" s="27" t="str">
        <f t="shared" si="12"/>
        <v/>
      </c>
      <c r="V23" s="27" t="str">
        <f t="shared" si="12"/>
        <v/>
      </c>
      <c r="W23" s="27" t="str">
        <f t="shared" si="12"/>
        <v/>
      </c>
      <c r="X23" s="27" t="str">
        <f t="shared" si="12"/>
        <v/>
      </c>
      <c r="Y23" s="27" t="str">
        <f t="shared" si="12"/>
        <v/>
      </c>
      <c r="Z23" s="27" t="str">
        <f t="shared" si="12"/>
        <v/>
      </c>
      <c r="AA23" s="27" t="str">
        <f t="shared" si="13"/>
        <v/>
      </c>
      <c r="AB23" s="27" t="str">
        <f t="shared" si="13"/>
        <v/>
      </c>
      <c r="AC23" s="27" t="str">
        <f t="shared" si="13"/>
        <v/>
      </c>
      <c r="AD23" s="27" t="str">
        <f t="shared" si="13"/>
        <v/>
      </c>
      <c r="AE23" s="27" t="str">
        <f t="shared" si="13"/>
        <v/>
      </c>
      <c r="AF23" s="27" t="str">
        <f t="shared" si="13"/>
        <v/>
      </c>
      <c r="AG23" s="27" t="str">
        <f t="shared" si="13"/>
        <v/>
      </c>
      <c r="AH23" s="27" t="str">
        <f t="shared" si="13"/>
        <v/>
      </c>
      <c r="AI23" s="27" t="str">
        <f t="shared" si="13"/>
        <v/>
      </c>
      <c r="AJ23" s="27" t="str">
        <f t="shared" si="13"/>
        <v/>
      </c>
      <c r="AK23" s="27" t="str">
        <f t="shared" si="14"/>
        <v/>
      </c>
      <c r="AL23" s="27" t="str">
        <f t="shared" si="14"/>
        <v/>
      </c>
      <c r="AM23" s="27" t="str">
        <f t="shared" si="14"/>
        <v/>
      </c>
      <c r="AN23" s="27" t="str">
        <f t="shared" si="14"/>
        <v/>
      </c>
      <c r="AO23" s="27" t="str">
        <f t="shared" si="14"/>
        <v/>
      </c>
      <c r="AP23" s="27" t="str">
        <f t="shared" si="14"/>
        <v/>
      </c>
      <c r="AQ23" s="27" t="str">
        <f t="shared" si="14"/>
        <v/>
      </c>
      <c r="AR23" s="27" t="str">
        <f t="shared" si="14"/>
        <v/>
      </c>
      <c r="AS23" s="27" t="str">
        <f t="shared" si="14"/>
        <v/>
      </c>
      <c r="AT23" s="27" t="str">
        <f t="shared" si="14"/>
        <v/>
      </c>
      <c r="AU23" s="27" t="str">
        <f t="shared" si="15"/>
        <v/>
      </c>
      <c r="AV23" s="27" t="str">
        <f t="shared" si="15"/>
        <v/>
      </c>
      <c r="AW23" s="27" t="str">
        <f t="shared" si="15"/>
        <v/>
      </c>
      <c r="AX23" s="27" t="str">
        <f t="shared" si="15"/>
        <v/>
      </c>
      <c r="AY23" s="27" t="str">
        <f t="shared" si="15"/>
        <v/>
      </c>
      <c r="AZ23" s="27" t="str">
        <f t="shared" si="15"/>
        <v/>
      </c>
      <c r="BA23" s="27" t="str">
        <f t="shared" si="15"/>
        <v/>
      </c>
      <c r="BB23" s="27" t="str">
        <f t="shared" si="15"/>
        <v/>
      </c>
      <c r="BC23" s="27" t="str">
        <f t="shared" si="15"/>
        <v/>
      </c>
      <c r="BD23" s="27" t="str">
        <f t="shared" si="15"/>
        <v/>
      </c>
      <c r="BE23" s="27" t="str">
        <f t="shared" si="16"/>
        <v/>
      </c>
      <c r="BF23" s="27" t="str">
        <f t="shared" si="16"/>
        <v/>
      </c>
      <c r="BG23" s="27" t="str">
        <f t="shared" si="16"/>
        <v/>
      </c>
      <c r="BH23" s="27" t="str">
        <f t="shared" si="16"/>
        <v/>
      </c>
      <c r="BI23" s="27" t="str">
        <f t="shared" si="16"/>
        <v/>
      </c>
      <c r="BJ23" s="27" t="str">
        <f t="shared" si="16"/>
        <v/>
      </c>
      <c r="BK23" s="27" t="str">
        <f t="shared" si="16"/>
        <v/>
      </c>
      <c r="BL23" s="27" t="str">
        <f t="shared" si="16"/>
        <v/>
      </c>
      <c r="BM23" s="27" t="str">
        <f t="shared" si="16"/>
        <v/>
      </c>
      <c r="BN23" s="27" t="str">
        <f t="shared" si="16"/>
        <v/>
      </c>
    </row>
    <row r="24" spans="1:66" ht="15" customHeight="1" x14ac:dyDescent="0.3">
      <c r="A24" s="10" t="str">
        <f>Machine_List!A24</f>
        <v>EDM</v>
      </c>
      <c r="B24" s="10" t="str">
        <f>Machine_List!B24</f>
        <v>EDM-MC-05</v>
      </c>
      <c r="C24" s="22">
        <f>Machine_List!C24</f>
        <v>46225</v>
      </c>
      <c r="D24" s="10">
        <f>Machine_List!D24</f>
        <v>6</v>
      </c>
      <c r="E24" s="10">
        <f t="shared" ca="1" si="3"/>
        <v>106</v>
      </c>
      <c r="F24" s="10" t="str">
        <f t="shared" ca="1" si="4"/>
        <v>OK</v>
      </c>
      <c r="G24" s="27" t="str">
        <f t="shared" ref="G24:P33" si="17">IF(INT(G$3)=INT($C24), TEXT($C24, "dd-mmm"), "")</f>
        <v/>
      </c>
      <c r="H24" s="27" t="str">
        <f t="shared" si="17"/>
        <v/>
      </c>
      <c r="I24" s="27" t="str">
        <f t="shared" si="17"/>
        <v/>
      </c>
      <c r="J24" s="27" t="str">
        <f t="shared" si="17"/>
        <v/>
      </c>
      <c r="K24" s="27" t="str">
        <f t="shared" si="17"/>
        <v/>
      </c>
      <c r="L24" s="27" t="str">
        <f t="shared" si="17"/>
        <v/>
      </c>
      <c r="M24" s="27" t="str">
        <f t="shared" si="17"/>
        <v/>
      </c>
      <c r="N24" s="27" t="str">
        <f t="shared" si="17"/>
        <v/>
      </c>
      <c r="O24" s="27" t="str">
        <f t="shared" si="17"/>
        <v/>
      </c>
      <c r="P24" s="27" t="str">
        <f t="shared" si="17"/>
        <v/>
      </c>
      <c r="Q24" s="27" t="str">
        <f t="shared" ref="Q24:Z33" si="18">IF(INT(Q$3)=INT($C24), TEXT($C24, "dd-mmm"), "")</f>
        <v/>
      </c>
      <c r="R24" s="27" t="str">
        <f t="shared" si="18"/>
        <v/>
      </c>
      <c r="S24" s="27" t="str">
        <f t="shared" si="18"/>
        <v/>
      </c>
      <c r="T24" s="27" t="str">
        <f t="shared" si="18"/>
        <v/>
      </c>
      <c r="U24" s="27" t="str">
        <f t="shared" si="18"/>
        <v/>
      </c>
      <c r="V24" s="27" t="str">
        <f t="shared" si="18"/>
        <v/>
      </c>
      <c r="W24" s="27" t="str">
        <f t="shared" si="18"/>
        <v/>
      </c>
      <c r="X24" s="27" t="str">
        <f t="shared" si="18"/>
        <v/>
      </c>
      <c r="Y24" s="27" t="str">
        <f t="shared" si="18"/>
        <v/>
      </c>
      <c r="Z24" s="27" t="str">
        <f t="shared" si="18"/>
        <v/>
      </c>
      <c r="AA24" s="27" t="str">
        <f t="shared" ref="AA24:AJ33" si="19">IF(INT(AA$3)=INT($C24), TEXT($C24, "dd-mmm"), "")</f>
        <v/>
      </c>
      <c r="AB24" s="27" t="str">
        <f t="shared" si="19"/>
        <v/>
      </c>
      <c r="AC24" s="27" t="str">
        <f t="shared" si="19"/>
        <v/>
      </c>
      <c r="AD24" s="27" t="str">
        <f t="shared" si="19"/>
        <v/>
      </c>
      <c r="AE24" s="27" t="str">
        <f t="shared" si="19"/>
        <v/>
      </c>
      <c r="AF24" s="27" t="str">
        <f t="shared" si="19"/>
        <v/>
      </c>
      <c r="AG24" s="27" t="str">
        <f t="shared" si="19"/>
        <v/>
      </c>
      <c r="AH24" s="27" t="str">
        <f t="shared" si="19"/>
        <v/>
      </c>
      <c r="AI24" s="27" t="str">
        <f t="shared" si="19"/>
        <v/>
      </c>
      <c r="AJ24" s="27" t="str">
        <f t="shared" si="19"/>
        <v/>
      </c>
      <c r="AK24" s="27" t="str">
        <f t="shared" ref="AK24:AT33" si="20">IF(INT(AK$3)=INT($C24), TEXT($C24, "dd-mmm"), "")</f>
        <v/>
      </c>
      <c r="AL24" s="27" t="str">
        <f t="shared" si="20"/>
        <v/>
      </c>
      <c r="AM24" s="27" t="str">
        <f t="shared" si="20"/>
        <v/>
      </c>
      <c r="AN24" s="27" t="str">
        <f t="shared" si="20"/>
        <v/>
      </c>
      <c r="AO24" s="27" t="str">
        <f t="shared" si="20"/>
        <v/>
      </c>
      <c r="AP24" s="27" t="str">
        <f t="shared" si="20"/>
        <v/>
      </c>
      <c r="AQ24" s="27" t="str">
        <f t="shared" si="20"/>
        <v/>
      </c>
      <c r="AR24" s="27" t="str">
        <f t="shared" si="20"/>
        <v/>
      </c>
      <c r="AS24" s="27" t="str">
        <f t="shared" si="20"/>
        <v/>
      </c>
      <c r="AT24" s="27" t="str">
        <f t="shared" si="20"/>
        <v/>
      </c>
      <c r="AU24" s="27" t="str">
        <f t="shared" ref="AU24:BD33" si="21">IF(INT(AU$3)=INT($C24), TEXT($C24, "dd-mmm"), "")</f>
        <v/>
      </c>
      <c r="AV24" s="27" t="str">
        <f t="shared" si="21"/>
        <v/>
      </c>
      <c r="AW24" s="27" t="str">
        <f t="shared" si="21"/>
        <v/>
      </c>
      <c r="AX24" s="27" t="str">
        <f t="shared" si="21"/>
        <v/>
      </c>
      <c r="AY24" s="27" t="str">
        <f t="shared" si="21"/>
        <v/>
      </c>
      <c r="AZ24" s="27" t="str">
        <f t="shared" si="21"/>
        <v/>
      </c>
      <c r="BA24" s="27" t="str">
        <f t="shared" si="21"/>
        <v/>
      </c>
      <c r="BB24" s="27" t="str">
        <f t="shared" si="21"/>
        <v/>
      </c>
      <c r="BC24" s="27" t="str">
        <f t="shared" si="21"/>
        <v/>
      </c>
      <c r="BD24" s="27" t="str">
        <f t="shared" si="21"/>
        <v/>
      </c>
      <c r="BE24" s="27" t="str">
        <f t="shared" ref="BE24:BN33" si="22">IF(INT(BE$3)=INT($C24), TEXT($C24, "dd-mmm"), "")</f>
        <v/>
      </c>
      <c r="BF24" s="27" t="str">
        <f t="shared" si="22"/>
        <v/>
      </c>
      <c r="BG24" s="27" t="str">
        <f t="shared" si="22"/>
        <v/>
      </c>
      <c r="BH24" s="27" t="str">
        <f t="shared" si="22"/>
        <v/>
      </c>
      <c r="BI24" s="27" t="str">
        <f t="shared" si="22"/>
        <v/>
      </c>
      <c r="BJ24" s="27" t="str">
        <f t="shared" si="22"/>
        <v/>
      </c>
      <c r="BK24" s="27" t="str">
        <f t="shared" si="22"/>
        <v/>
      </c>
      <c r="BL24" s="27" t="str">
        <f t="shared" si="22"/>
        <v/>
      </c>
      <c r="BM24" s="27" t="str">
        <f t="shared" si="22"/>
        <v/>
      </c>
      <c r="BN24" s="27" t="str">
        <f t="shared" si="22"/>
        <v/>
      </c>
    </row>
    <row r="25" spans="1:66" ht="15" customHeight="1" x14ac:dyDescent="0.3">
      <c r="A25" s="10" t="str">
        <f>Machine_List!A25</f>
        <v>EDM</v>
      </c>
      <c r="B25" s="10" t="str">
        <f>Machine_List!B25</f>
        <v>EDM-MC-06</v>
      </c>
      <c r="C25" s="22">
        <f>Machine_List!C25</f>
        <v>46330</v>
      </c>
      <c r="D25" s="10">
        <f>Machine_List!D25</f>
        <v>6</v>
      </c>
      <c r="E25" s="10">
        <f t="shared" ca="1" si="3"/>
        <v>211</v>
      </c>
      <c r="F25" s="10" t="str">
        <f t="shared" ca="1" si="4"/>
        <v>OK</v>
      </c>
      <c r="G25" s="27" t="str">
        <f t="shared" si="17"/>
        <v/>
      </c>
      <c r="H25" s="27" t="str">
        <f t="shared" si="17"/>
        <v/>
      </c>
      <c r="I25" s="27" t="str">
        <f t="shared" si="17"/>
        <v/>
      </c>
      <c r="J25" s="27" t="str">
        <f t="shared" si="17"/>
        <v/>
      </c>
      <c r="K25" s="27" t="str">
        <f t="shared" si="17"/>
        <v/>
      </c>
      <c r="L25" s="27" t="str">
        <f t="shared" si="17"/>
        <v/>
      </c>
      <c r="M25" s="27" t="str">
        <f t="shared" si="17"/>
        <v/>
      </c>
      <c r="N25" s="27" t="str">
        <f t="shared" si="17"/>
        <v/>
      </c>
      <c r="O25" s="27" t="str">
        <f t="shared" si="17"/>
        <v/>
      </c>
      <c r="P25" s="27" t="str">
        <f t="shared" si="17"/>
        <v/>
      </c>
      <c r="Q25" s="27" t="str">
        <f t="shared" si="18"/>
        <v/>
      </c>
      <c r="R25" s="27" t="str">
        <f t="shared" si="18"/>
        <v/>
      </c>
      <c r="S25" s="27" t="str">
        <f t="shared" si="18"/>
        <v/>
      </c>
      <c r="T25" s="27" t="str">
        <f t="shared" si="18"/>
        <v/>
      </c>
      <c r="U25" s="27" t="str">
        <f t="shared" si="18"/>
        <v/>
      </c>
      <c r="V25" s="27" t="str">
        <f t="shared" si="18"/>
        <v/>
      </c>
      <c r="W25" s="27" t="str">
        <f t="shared" si="18"/>
        <v/>
      </c>
      <c r="X25" s="27" t="str">
        <f t="shared" si="18"/>
        <v/>
      </c>
      <c r="Y25" s="27" t="str">
        <f t="shared" si="18"/>
        <v/>
      </c>
      <c r="Z25" s="27" t="str">
        <f t="shared" si="18"/>
        <v/>
      </c>
      <c r="AA25" s="27" t="str">
        <f t="shared" si="19"/>
        <v/>
      </c>
      <c r="AB25" s="27" t="str">
        <f t="shared" si="19"/>
        <v/>
      </c>
      <c r="AC25" s="27" t="str">
        <f t="shared" si="19"/>
        <v/>
      </c>
      <c r="AD25" s="27" t="str">
        <f t="shared" si="19"/>
        <v/>
      </c>
      <c r="AE25" s="27" t="str">
        <f t="shared" si="19"/>
        <v/>
      </c>
      <c r="AF25" s="27" t="str">
        <f t="shared" si="19"/>
        <v/>
      </c>
      <c r="AG25" s="27" t="str">
        <f t="shared" si="19"/>
        <v/>
      </c>
      <c r="AH25" s="27" t="str">
        <f t="shared" si="19"/>
        <v/>
      </c>
      <c r="AI25" s="27" t="str">
        <f t="shared" si="19"/>
        <v/>
      </c>
      <c r="AJ25" s="27" t="str">
        <f t="shared" si="19"/>
        <v/>
      </c>
      <c r="AK25" s="27" t="str">
        <f t="shared" si="20"/>
        <v/>
      </c>
      <c r="AL25" s="27" t="str">
        <f t="shared" si="20"/>
        <v/>
      </c>
      <c r="AM25" s="27" t="str">
        <f t="shared" si="20"/>
        <v/>
      </c>
      <c r="AN25" s="27" t="str">
        <f t="shared" si="20"/>
        <v/>
      </c>
      <c r="AO25" s="27" t="str">
        <f t="shared" si="20"/>
        <v/>
      </c>
      <c r="AP25" s="27" t="str">
        <f t="shared" si="20"/>
        <v/>
      </c>
      <c r="AQ25" s="27" t="str">
        <f t="shared" si="20"/>
        <v/>
      </c>
      <c r="AR25" s="27" t="str">
        <f t="shared" si="20"/>
        <v/>
      </c>
      <c r="AS25" s="27" t="str">
        <f t="shared" si="20"/>
        <v/>
      </c>
      <c r="AT25" s="27" t="str">
        <f t="shared" si="20"/>
        <v/>
      </c>
      <c r="AU25" s="27" t="str">
        <f t="shared" si="21"/>
        <v/>
      </c>
      <c r="AV25" s="27" t="str">
        <f t="shared" si="21"/>
        <v/>
      </c>
      <c r="AW25" s="27" t="str">
        <f t="shared" si="21"/>
        <v/>
      </c>
      <c r="AX25" s="27" t="str">
        <f t="shared" si="21"/>
        <v/>
      </c>
      <c r="AY25" s="27" t="str">
        <f t="shared" si="21"/>
        <v/>
      </c>
      <c r="AZ25" s="27" t="str">
        <f t="shared" si="21"/>
        <v/>
      </c>
      <c r="BA25" s="27" t="str">
        <f t="shared" si="21"/>
        <v/>
      </c>
      <c r="BB25" s="27" t="str">
        <f t="shared" si="21"/>
        <v/>
      </c>
      <c r="BC25" s="27" t="str">
        <f t="shared" si="21"/>
        <v/>
      </c>
      <c r="BD25" s="27" t="str">
        <f t="shared" si="21"/>
        <v/>
      </c>
      <c r="BE25" s="27" t="str">
        <f t="shared" si="22"/>
        <v/>
      </c>
      <c r="BF25" s="27" t="str">
        <f t="shared" si="22"/>
        <v/>
      </c>
      <c r="BG25" s="27" t="str">
        <f t="shared" si="22"/>
        <v/>
      </c>
      <c r="BH25" s="27" t="str">
        <f t="shared" si="22"/>
        <v/>
      </c>
      <c r="BI25" s="27" t="str">
        <f t="shared" si="22"/>
        <v/>
      </c>
      <c r="BJ25" s="27" t="str">
        <f t="shared" si="22"/>
        <v/>
      </c>
      <c r="BK25" s="27" t="str">
        <f t="shared" si="22"/>
        <v/>
      </c>
      <c r="BL25" s="27" t="str">
        <f t="shared" si="22"/>
        <v/>
      </c>
      <c r="BM25" s="27" t="str">
        <f t="shared" si="22"/>
        <v/>
      </c>
      <c r="BN25" s="27" t="str">
        <f t="shared" si="22"/>
        <v/>
      </c>
    </row>
    <row r="26" spans="1:66" ht="15" customHeight="1" x14ac:dyDescent="0.3">
      <c r="A26" s="10" t="str">
        <f>Machine_List!A26</f>
        <v>EDM</v>
      </c>
      <c r="B26" s="10" t="str">
        <f>Machine_List!B26</f>
        <v>EDM-MC-07</v>
      </c>
      <c r="C26" s="22">
        <f>Machine_List!C26</f>
        <v>46208</v>
      </c>
      <c r="D26" s="10">
        <f>Machine_List!D26</f>
        <v>6</v>
      </c>
      <c r="E26" s="10">
        <f t="shared" ca="1" si="3"/>
        <v>89</v>
      </c>
      <c r="F26" s="10" t="str">
        <f t="shared" ca="1" si="4"/>
        <v>OK</v>
      </c>
      <c r="G26" s="27" t="str">
        <f t="shared" si="17"/>
        <v/>
      </c>
      <c r="H26" s="27" t="str">
        <f t="shared" si="17"/>
        <v/>
      </c>
      <c r="I26" s="27" t="str">
        <f t="shared" si="17"/>
        <v/>
      </c>
      <c r="J26" s="27" t="str">
        <f t="shared" si="17"/>
        <v/>
      </c>
      <c r="K26" s="27" t="str">
        <f t="shared" si="17"/>
        <v/>
      </c>
      <c r="L26" s="27" t="str">
        <f t="shared" si="17"/>
        <v/>
      </c>
      <c r="M26" s="27" t="str">
        <f t="shared" si="17"/>
        <v/>
      </c>
      <c r="N26" s="27" t="str">
        <f t="shared" si="17"/>
        <v/>
      </c>
      <c r="O26" s="27" t="str">
        <f t="shared" si="17"/>
        <v/>
      </c>
      <c r="P26" s="27" t="str">
        <f t="shared" si="17"/>
        <v/>
      </c>
      <c r="Q26" s="27" t="str">
        <f t="shared" si="18"/>
        <v/>
      </c>
      <c r="R26" s="27" t="str">
        <f t="shared" si="18"/>
        <v/>
      </c>
      <c r="S26" s="27" t="str">
        <f t="shared" si="18"/>
        <v/>
      </c>
      <c r="T26" s="27" t="str">
        <f t="shared" si="18"/>
        <v/>
      </c>
      <c r="U26" s="27" t="str">
        <f t="shared" si="18"/>
        <v/>
      </c>
      <c r="V26" s="27" t="str">
        <f t="shared" si="18"/>
        <v/>
      </c>
      <c r="W26" s="27" t="str">
        <f t="shared" si="18"/>
        <v/>
      </c>
      <c r="X26" s="27" t="str">
        <f t="shared" si="18"/>
        <v/>
      </c>
      <c r="Y26" s="27" t="str">
        <f t="shared" si="18"/>
        <v/>
      </c>
      <c r="Z26" s="27" t="str">
        <f t="shared" si="18"/>
        <v/>
      </c>
      <c r="AA26" s="27" t="str">
        <f t="shared" si="19"/>
        <v/>
      </c>
      <c r="AB26" s="27" t="str">
        <f t="shared" si="19"/>
        <v/>
      </c>
      <c r="AC26" s="27" t="str">
        <f t="shared" si="19"/>
        <v/>
      </c>
      <c r="AD26" s="27" t="str">
        <f t="shared" si="19"/>
        <v/>
      </c>
      <c r="AE26" s="27" t="str">
        <f t="shared" si="19"/>
        <v/>
      </c>
      <c r="AF26" s="27" t="str">
        <f t="shared" si="19"/>
        <v/>
      </c>
      <c r="AG26" s="27" t="str">
        <f t="shared" si="19"/>
        <v/>
      </c>
      <c r="AH26" s="27" t="str">
        <f t="shared" si="19"/>
        <v/>
      </c>
      <c r="AI26" s="27" t="str">
        <f t="shared" si="19"/>
        <v/>
      </c>
      <c r="AJ26" s="27" t="str">
        <f t="shared" si="19"/>
        <v/>
      </c>
      <c r="AK26" s="27" t="str">
        <f t="shared" si="20"/>
        <v/>
      </c>
      <c r="AL26" s="27" t="str">
        <f t="shared" si="20"/>
        <v/>
      </c>
      <c r="AM26" s="27" t="str">
        <f t="shared" si="20"/>
        <v/>
      </c>
      <c r="AN26" s="27" t="str">
        <f t="shared" si="20"/>
        <v/>
      </c>
      <c r="AO26" s="27" t="str">
        <f t="shared" si="20"/>
        <v/>
      </c>
      <c r="AP26" s="27" t="str">
        <f t="shared" si="20"/>
        <v/>
      </c>
      <c r="AQ26" s="27" t="str">
        <f t="shared" si="20"/>
        <v/>
      </c>
      <c r="AR26" s="27" t="str">
        <f t="shared" si="20"/>
        <v/>
      </c>
      <c r="AS26" s="27" t="str">
        <f t="shared" si="20"/>
        <v/>
      </c>
      <c r="AT26" s="27" t="str">
        <f t="shared" si="20"/>
        <v/>
      </c>
      <c r="AU26" s="27" t="str">
        <f t="shared" si="21"/>
        <v/>
      </c>
      <c r="AV26" s="27" t="str">
        <f t="shared" si="21"/>
        <v/>
      </c>
      <c r="AW26" s="27" t="str">
        <f t="shared" si="21"/>
        <v/>
      </c>
      <c r="AX26" s="27" t="str">
        <f t="shared" si="21"/>
        <v/>
      </c>
      <c r="AY26" s="27" t="str">
        <f t="shared" si="21"/>
        <v/>
      </c>
      <c r="AZ26" s="27" t="str">
        <f t="shared" si="21"/>
        <v/>
      </c>
      <c r="BA26" s="27" t="str">
        <f t="shared" si="21"/>
        <v/>
      </c>
      <c r="BB26" s="27" t="str">
        <f t="shared" si="21"/>
        <v/>
      </c>
      <c r="BC26" s="27" t="str">
        <f t="shared" si="21"/>
        <v/>
      </c>
      <c r="BD26" s="27" t="str">
        <f t="shared" si="21"/>
        <v/>
      </c>
      <c r="BE26" s="27" t="str">
        <f t="shared" si="22"/>
        <v/>
      </c>
      <c r="BF26" s="27" t="str">
        <f t="shared" si="22"/>
        <v/>
      </c>
      <c r="BG26" s="27" t="str">
        <f t="shared" si="22"/>
        <v/>
      </c>
      <c r="BH26" s="27" t="str">
        <f t="shared" si="22"/>
        <v/>
      </c>
      <c r="BI26" s="27" t="str">
        <f t="shared" si="22"/>
        <v/>
      </c>
      <c r="BJ26" s="27" t="str">
        <f t="shared" si="22"/>
        <v/>
      </c>
      <c r="BK26" s="27" t="str">
        <f t="shared" si="22"/>
        <v/>
      </c>
      <c r="BL26" s="27" t="str">
        <f t="shared" si="22"/>
        <v/>
      </c>
      <c r="BM26" s="27" t="str">
        <f t="shared" si="22"/>
        <v/>
      </c>
      <c r="BN26" s="27" t="str">
        <f t="shared" si="22"/>
        <v/>
      </c>
    </row>
    <row r="27" spans="1:66" ht="15" customHeight="1" x14ac:dyDescent="0.3">
      <c r="A27" s="10" t="str">
        <f>Machine_List!A27</f>
        <v>EDM</v>
      </c>
      <c r="B27" s="10" t="str">
        <f>Machine_List!B27</f>
        <v>EDM-MC-08</v>
      </c>
      <c r="C27" s="22">
        <f>Machine_List!C27</f>
        <v>46291</v>
      </c>
      <c r="D27" s="10">
        <f>Machine_List!D27</f>
        <v>6</v>
      </c>
      <c r="E27" s="10">
        <f t="shared" ca="1" si="3"/>
        <v>172</v>
      </c>
      <c r="F27" s="10" t="str">
        <f t="shared" ca="1" si="4"/>
        <v>OK</v>
      </c>
      <c r="G27" s="27" t="str">
        <f t="shared" si="17"/>
        <v/>
      </c>
      <c r="H27" s="27" t="str">
        <f t="shared" si="17"/>
        <v/>
      </c>
      <c r="I27" s="27" t="str">
        <f t="shared" si="17"/>
        <v/>
      </c>
      <c r="J27" s="27" t="str">
        <f t="shared" si="17"/>
        <v/>
      </c>
      <c r="K27" s="27" t="str">
        <f t="shared" si="17"/>
        <v/>
      </c>
      <c r="L27" s="27" t="str">
        <f t="shared" si="17"/>
        <v/>
      </c>
      <c r="M27" s="27" t="str">
        <f t="shared" si="17"/>
        <v/>
      </c>
      <c r="N27" s="27" t="str">
        <f t="shared" si="17"/>
        <v/>
      </c>
      <c r="O27" s="27" t="str">
        <f t="shared" si="17"/>
        <v/>
      </c>
      <c r="P27" s="27" t="str">
        <f t="shared" si="17"/>
        <v/>
      </c>
      <c r="Q27" s="27" t="str">
        <f t="shared" si="18"/>
        <v/>
      </c>
      <c r="R27" s="27" t="str">
        <f t="shared" si="18"/>
        <v/>
      </c>
      <c r="S27" s="27" t="str">
        <f t="shared" si="18"/>
        <v/>
      </c>
      <c r="T27" s="27" t="str">
        <f t="shared" si="18"/>
        <v/>
      </c>
      <c r="U27" s="27" t="str">
        <f t="shared" si="18"/>
        <v/>
      </c>
      <c r="V27" s="27" t="str">
        <f t="shared" si="18"/>
        <v/>
      </c>
      <c r="W27" s="27" t="str">
        <f t="shared" si="18"/>
        <v/>
      </c>
      <c r="X27" s="27" t="str">
        <f t="shared" si="18"/>
        <v/>
      </c>
      <c r="Y27" s="27" t="str">
        <f t="shared" si="18"/>
        <v/>
      </c>
      <c r="Z27" s="27" t="str">
        <f t="shared" si="18"/>
        <v/>
      </c>
      <c r="AA27" s="27" t="str">
        <f t="shared" si="19"/>
        <v/>
      </c>
      <c r="AB27" s="27" t="str">
        <f t="shared" si="19"/>
        <v/>
      </c>
      <c r="AC27" s="27" t="str">
        <f t="shared" si="19"/>
        <v/>
      </c>
      <c r="AD27" s="27" t="str">
        <f t="shared" si="19"/>
        <v/>
      </c>
      <c r="AE27" s="27" t="str">
        <f t="shared" si="19"/>
        <v/>
      </c>
      <c r="AF27" s="27" t="str">
        <f t="shared" si="19"/>
        <v/>
      </c>
      <c r="AG27" s="27" t="str">
        <f t="shared" si="19"/>
        <v/>
      </c>
      <c r="AH27" s="27" t="str">
        <f t="shared" si="19"/>
        <v/>
      </c>
      <c r="AI27" s="27" t="str">
        <f t="shared" si="19"/>
        <v/>
      </c>
      <c r="AJ27" s="27" t="str">
        <f t="shared" si="19"/>
        <v/>
      </c>
      <c r="AK27" s="27" t="str">
        <f t="shared" si="20"/>
        <v/>
      </c>
      <c r="AL27" s="27" t="str">
        <f t="shared" si="20"/>
        <v/>
      </c>
      <c r="AM27" s="27" t="str">
        <f t="shared" si="20"/>
        <v/>
      </c>
      <c r="AN27" s="27" t="str">
        <f t="shared" si="20"/>
        <v/>
      </c>
      <c r="AO27" s="27" t="str">
        <f t="shared" si="20"/>
        <v/>
      </c>
      <c r="AP27" s="27" t="str">
        <f t="shared" si="20"/>
        <v/>
      </c>
      <c r="AQ27" s="27" t="str">
        <f t="shared" si="20"/>
        <v/>
      </c>
      <c r="AR27" s="27" t="str">
        <f t="shared" si="20"/>
        <v/>
      </c>
      <c r="AS27" s="27" t="str">
        <f t="shared" si="20"/>
        <v/>
      </c>
      <c r="AT27" s="27" t="str">
        <f t="shared" si="20"/>
        <v/>
      </c>
      <c r="AU27" s="27" t="str">
        <f t="shared" si="21"/>
        <v/>
      </c>
      <c r="AV27" s="27" t="str">
        <f t="shared" si="21"/>
        <v/>
      </c>
      <c r="AW27" s="27" t="str">
        <f t="shared" si="21"/>
        <v/>
      </c>
      <c r="AX27" s="27" t="str">
        <f t="shared" si="21"/>
        <v/>
      </c>
      <c r="AY27" s="27" t="str">
        <f t="shared" si="21"/>
        <v/>
      </c>
      <c r="AZ27" s="27" t="str">
        <f t="shared" si="21"/>
        <v/>
      </c>
      <c r="BA27" s="27" t="str">
        <f t="shared" si="21"/>
        <v/>
      </c>
      <c r="BB27" s="27" t="str">
        <f t="shared" si="21"/>
        <v/>
      </c>
      <c r="BC27" s="27" t="str">
        <f t="shared" si="21"/>
        <v/>
      </c>
      <c r="BD27" s="27" t="str">
        <f t="shared" si="21"/>
        <v/>
      </c>
      <c r="BE27" s="27" t="str">
        <f t="shared" si="22"/>
        <v/>
      </c>
      <c r="BF27" s="27" t="str">
        <f t="shared" si="22"/>
        <v/>
      </c>
      <c r="BG27" s="27" t="str">
        <f t="shared" si="22"/>
        <v/>
      </c>
      <c r="BH27" s="27" t="str">
        <f t="shared" si="22"/>
        <v/>
      </c>
      <c r="BI27" s="27" t="str">
        <f t="shared" si="22"/>
        <v/>
      </c>
      <c r="BJ27" s="27" t="str">
        <f t="shared" si="22"/>
        <v/>
      </c>
      <c r="BK27" s="27" t="str">
        <f t="shared" si="22"/>
        <v/>
      </c>
      <c r="BL27" s="27" t="str">
        <f t="shared" si="22"/>
        <v/>
      </c>
      <c r="BM27" s="27" t="str">
        <f t="shared" si="22"/>
        <v/>
      </c>
      <c r="BN27" s="27" t="str">
        <f t="shared" si="22"/>
        <v/>
      </c>
    </row>
    <row r="28" spans="1:66" ht="15" customHeight="1" x14ac:dyDescent="0.3">
      <c r="A28" s="10" t="str">
        <f>Machine_List!A28</f>
        <v>EDM</v>
      </c>
      <c r="B28" s="10" t="str">
        <f>Machine_List!B28</f>
        <v>EDM-MC-09</v>
      </c>
      <c r="C28" s="22">
        <f>Machine_List!C28</f>
        <v>46237</v>
      </c>
      <c r="D28" s="10">
        <f>Machine_List!D28</f>
        <v>6</v>
      </c>
      <c r="E28" s="10">
        <f t="shared" ca="1" si="3"/>
        <v>118</v>
      </c>
      <c r="F28" s="10" t="str">
        <f t="shared" ca="1" si="4"/>
        <v>OK</v>
      </c>
      <c r="G28" s="27" t="str">
        <f t="shared" si="17"/>
        <v/>
      </c>
      <c r="H28" s="27" t="str">
        <f t="shared" si="17"/>
        <v/>
      </c>
      <c r="I28" s="27" t="str">
        <f t="shared" si="17"/>
        <v/>
      </c>
      <c r="J28" s="27" t="str">
        <f t="shared" si="17"/>
        <v/>
      </c>
      <c r="K28" s="27" t="str">
        <f t="shared" si="17"/>
        <v/>
      </c>
      <c r="L28" s="27" t="str">
        <f t="shared" si="17"/>
        <v/>
      </c>
      <c r="M28" s="27" t="str">
        <f t="shared" si="17"/>
        <v/>
      </c>
      <c r="N28" s="27" t="str">
        <f t="shared" si="17"/>
        <v/>
      </c>
      <c r="O28" s="27" t="str">
        <f t="shared" si="17"/>
        <v/>
      </c>
      <c r="P28" s="27" t="str">
        <f t="shared" si="17"/>
        <v/>
      </c>
      <c r="Q28" s="27" t="str">
        <f t="shared" si="18"/>
        <v/>
      </c>
      <c r="R28" s="27" t="str">
        <f t="shared" si="18"/>
        <v/>
      </c>
      <c r="S28" s="27" t="str">
        <f t="shared" si="18"/>
        <v/>
      </c>
      <c r="T28" s="27" t="str">
        <f t="shared" si="18"/>
        <v/>
      </c>
      <c r="U28" s="27" t="str">
        <f t="shared" si="18"/>
        <v/>
      </c>
      <c r="V28" s="27" t="str">
        <f t="shared" si="18"/>
        <v/>
      </c>
      <c r="W28" s="27" t="str">
        <f t="shared" si="18"/>
        <v/>
      </c>
      <c r="X28" s="27" t="str">
        <f t="shared" si="18"/>
        <v/>
      </c>
      <c r="Y28" s="27" t="str">
        <f t="shared" si="18"/>
        <v/>
      </c>
      <c r="Z28" s="27" t="str">
        <f t="shared" si="18"/>
        <v/>
      </c>
      <c r="AA28" s="27" t="str">
        <f t="shared" si="19"/>
        <v/>
      </c>
      <c r="AB28" s="27" t="str">
        <f t="shared" si="19"/>
        <v/>
      </c>
      <c r="AC28" s="27" t="str">
        <f t="shared" si="19"/>
        <v/>
      </c>
      <c r="AD28" s="27" t="str">
        <f t="shared" si="19"/>
        <v/>
      </c>
      <c r="AE28" s="27" t="str">
        <f t="shared" si="19"/>
        <v/>
      </c>
      <c r="AF28" s="27" t="str">
        <f t="shared" si="19"/>
        <v/>
      </c>
      <c r="AG28" s="27" t="str">
        <f t="shared" si="19"/>
        <v/>
      </c>
      <c r="AH28" s="27" t="str">
        <f t="shared" si="19"/>
        <v/>
      </c>
      <c r="AI28" s="27" t="str">
        <f t="shared" si="19"/>
        <v/>
      </c>
      <c r="AJ28" s="27" t="str">
        <f t="shared" si="19"/>
        <v/>
      </c>
      <c r="AK28" s="27" t="str">
        <f t="shared" si="20"/>
        <v/>
      </c>
      <c r="AL28" s="27" t="str">
        <f t="shared" si="20"/>
        <v/>
      </c>
      <c r="AM28" s="27" t="str">
        <f t="shared" si="20"/>
        <v/>
      </c>
      <c r="AN28" s="27" t="str">
        <f t="shared" si="20"/>
        <v/>
      </c>
      <c r="AO28" s="27" t="str">
        <f t="shared" si="20"/>
        <v/>
      </c>
      <c r="AP28" s="27" t="str">
        <f t="shared" si="20"/>
        <v/>
      </c>
      <c r="AQ28" s="27" t="str">
        <f t="shared" si="20"/>
        <v/>
      </c>
      <c r="AR28" s="27" t="str">
        <f t="shared" si="20"/>
        <v/>
      </c>
      <c r="AS28" s="27" t="str">
        <f t="shared" si="20"/>
        <v/>
      </c>
      <c r="AT28" s="27" t="str">
        <f t="shared" si="20"/>
        <v/>
      </c>
      <c r="AU28" s="27" t="str">
        <f t="shared" si="21"/>
        <v/>
      </c>
      <c r="AV28" s="27" t="str">
        <f t="shared" si="21"/>
        <v/>
      </c>
      <c r="AW28" s="27" t="str">
        <f t="shared" si="21"/>
        <v/>
      </c>
      <c r="AX28" s="27" t="str">
        <f t="shared" si="21"/>
        <v/>
      </c>
      <c r="AY28" s="27" t="str">
        <f t="shared" si="21"/>
        <v/>
      </c>
      <c r="AZ28" s="27" t="str">
        <f t="shared" si="21"/>
        <v/>
      </c>
      <c r="BA28" s="27" t="str">
        <f t="shared" si="21"/>
        <v/>
      </c>
      <c r="BB28" s="27" t="str">
        <f t="shared" si="21"/>
        <v/>
      </c>
      <c r="BC28" s="27" t="str">
        <f t="shared" si="21"/>
        <v/>
      </c>
      <c r="BD28" s="27" t="str">
        <f t="shared" si="21"/>
        <v/>
      </c>
      <c r="BE28" s="27" t="str">
        <f t="shared" si="22"/>
        <v/>
      </c>
      <c r="BF28" s="27" t="str">
        <f t="shared" si="22"/>
        <v/>
      </c>
      <c r="BG28" s="27" t="str">
        <f t="shared" si="22"/>
        <v/>
      </c>
      <c r="BH28" s="27" t="str">
        <f t="shared" si="22"/>
        <v/>
      </c>
      <c r="BI28" s="27" t="str">
        <f t="shared" si="22"/>
        <v/>
      </c>
      <c r="BJ28" s="27" t="str">
        <f t="shared" si="22"/>
        <v/>
      </c>
      <c r="BK28" s="27" t="str">
        <f t="shared" si="22"/>
        <v/>
      </c>
      <c r="BL28" s="27" t="str">
        <f t="shared" si="22"/>
        <v/>
      </c>
      <c r="BM28" s="27" t="str">
        <f t="shared" si="22"/>
        <v/>
      </c>
      <c r="BN28" s="27" t="str">
        <f t="shared" si="22"/>
        <v/>
      </c>
    </row>
    <row r="29" spans="1:66" ht="15" customHeight="1" x14ac:dyDescent="0.3">
      <c r="A29" s="10" t="str">
        <f>Machine_List!A29</f>
        <v>EDM</v>
      </c>
      <c r="B29" s="10" t="str">
        <f>Machine_List!B29</f>
        <v>EDM-MC-10</v>
      </c>
      <c r="C29" s="22">
        <f>Machine_List!C29</f>
        <v>46503</v>
      </c>
      <c r="D29" s="10">
        <f>Machine_List!D29</f>
        <v>6</v>
      </c>
      <c r="E29" s="10">
        <f t="shared" ca="1" si="3"/>
        <v>384</v>
      </c>
      <c r="F29" s="10" t="str">
        <f t="shared" ca="1" si="4"/>
        <v>OK</v>
      </c>
      <c r="G29" s="27" t="str">
        <f t="shared" si="17"/>
        <v/>
      </c>
      <c r="H29" s="27" t="str">
        <f t="shared" si="17"/>
        <v/>
      </c>
      <c r="I29" s="27" t="str">
        <f t="shared" si="17"/>
        <v/>
      </c>
      <c r="J29" s="27" t="str">
        <f t="shared" si="17"/>
        <v/>
      </c>
      <c r="K29" s="27" t="str">
        <f t="shared" si="17"/>
        <v/>
      </c>
      <c r="L29" s="27" t="str">
        <f t="shared" si="17"/>
        <v/>
      </c>
      <c r="M29" s="27" t="str">
        <f t="shared" si="17"/>
        <v/>
      </c>
      <c r="N29" s="27" t="str">
        <f t="shared" si="17"/>
        <v/>
      </c>
      <c r="O29" s="27" t="str">
        <f t="shared" si="17"/>
        <v/>
      </c>
      <c r="P29" s="27" t="str">
        <f t="shared" si="17"/>
        <v/>
      </c>
      <c r="Q29" s="27" t="str">
        <f t="shared" si="18"/>
        <v/>
      </c>
      <c r="R29" s="27" t="str">
        <f t="shared" si="18"/>
        <v/>
      </c>
      <c r="S29" s="27" t="str">
        <f t="shared" si="18"/>
        <v/>
      </c>
      <c r="T29" s="27" t="str">
        <f t="shared" si="18"/>
        <v/>
      </c>
      <c r="U29" s="27" t="str">
        <f t="shared" si="18"/>
        <v/>
      </c>
      <c r="V29" s="27" t="str">
        <f t="shared" si="18"/>
        <v/>
      </c>
      <c r="W29" s="27" t="str">
        <f t="shared" si="18"/>
        <v/>
      </c>
      <c r="X29" s="27" t="str">
        <f t="shared" si="18"/>
        <v/>
      </c>
      <c r="Y29" s="27" t="str">
        <f t="shared" si="18"/>
        <v/>
      </c>
      <c r="Z29" s="27" t="str">
        <f t="shared" si="18"/>
        <v/>
      </c>
      <c r="AA29" s="27" t="str">
        <f t="shared" si="19"/>
        <v/>
      </c>
      <c r="AB29" s="27" t="str">
        <f t="shared" si="19"/>
        <v/>
      </c>
      <c r="AC29" s="27" t="str">
        <f t="shared" si="19"/>
        <v/>
      </c>
      <c r="AD29" s="27" t="str">
        <f t="shared" si="19"/>
        <v/>
      </c>
      <c r="AE29" s="27" t="str">
        <f t="shared" si="19"/>
        <v/>
      </c>
      <c r="AF29" s="27" t="str">
        <f t="shared" si="19"/>
        <v/>
      </c>
      <c r="AG29" s="27" t="str">
        <f t="shared" si="19"/>
        <v/>
      </c>
      <c r="AH29" s="27" t="str">
        <f t="shared" si="19"/>
        <v/>
      </c>
      <c r="AI29" s="27" t="str">
        <f t="shared" si="19"/>
        <v/>
      </c>
      <c r="AJ29" s="27" t="str">
        <f t="shared" si="19"/>
        <v/>
      </c>
      <c r="AK29" s="27" t="str">
        <f t="shared" si="20"/>
        <v/>
      </c>
      <c r="AL29" s="27" t="str">
        <f t="shared" si="20"/>
        <v/>
      </c>
      <c r="AM29" s="27" t="str">
        <f t="shared" si="20"/>
        <v/>
      </c>
      <c r="AN29" s="27" t="str">
        <f t="shared" si="20"/>
        <v/>
      </c>
      <c r="AO29" s="27" t="str">
        <f t="shared" si="20"/>
        <v/>
      </c>
      <c r="AP29" s="27" t="str">
        <f t="shared" si="20"/>
        <v/>
      </c>
      <c r="AQ29" s="27" t="str">
        <f t="shared" si="20"/>
        <v/>
      </c>
      <c r="AR29" s="27" t="str">
        <f t="shared" si="20"/>
        <v/>
      </c>
      <c r="AS29" s="27" t="str">
        <f t="shared" si="20"/>
        <v/>
      </c>
      <c r="AT29" s="27" t="str">
        <f t="shared" si="20"/>
        <v/>
      </c>
      <c r="AU29" s="27" t="str">
        <f t="shared" si="21"/>
        <v/>
      </c>
      <c r="AV29" s="27" t="str">
        <f t="shared" si="21"/>
        <v/>
      </c>
      <c r="AW29" s="27" t="str">
        <f t="shared" si="21"/>
        <v/>
      </c>
      <c r="AX29" s="27" t="str">
        <f t="shared" si="21"/>
        <v/>
      </c>
      <c r="AY29" s="27" t="str">
        <f t="shared" si="21"/>
        <v/>
      </c>
      <c r="AZ29" s="27" t="str">
        <f t="shared" si="21"/>
        <v/>
      </c>
      <c r="BA29" s="27" t="str">
        <f t="shared" si="21"/>
        <v/>
      </c>
      <c r="BB29" s="27" t="str">
        <f t="shared" si="21"/>
        <v/>
      </c>
      <c r="BC29" s="27" t="str">
        <f t="shared" si="21"/>
        <v/>
      </c>
      <c r="BD29" s="27" t="str">
        <f t="shared" si="21"/>
        <v/>
      </c>
      <c r="BE29" s="27" t="str">
        <f t="shared" si="22"/>
        <v/>
      </c>
      <c r="BF29" s="27" t="str">
        <f t="shared" si="22"/>
        <v/>
      </c>
      <c r="BG29" s="27" t="str">
        <f t="shared" si="22"/>
        <v/>
      </c>
      <c r="BH29" s="27" t="str">
        <f t="shared" si="22"/>
        <v/>
      </c>
      <c r="BI29" s="27" t="str">
        <f t="shared" si="22"/>
        <v/>
      </c>
      <c r="BJ29" s="27" t="str">
        <f t="shared" si="22"/>
        <v/>
      </c>
      <c r="BK29" s="27" t="str">
        <f t="shared" si="22"/>
        <v/>
      </c>
      <c r="BL29" s="27" t="str">
        <f t="shared" si="22"/>
        <v/>
      </c>
      <c r="BM29" s="27" t="str">
        <f t="shared" si="22"/>
        <v/>
      </c>
      <c r="BN29" s="27" t="str">
        <f t="shared" si="22"/>
        <v/>
      </c>
    </row>
    <row r="30" spans="1:66" ht="15" customHeight="1" x14ac:dyDescent="0.3">
      <c r="A30" s="10" t="str">
        <f>Machine_List!A30</f>
        <v>EDM</v>
      </c>
      <c r="B30" s="10" t="str">
        <f>Machine_List!B30</f>
        <v>EDM-MC-11</v>
      </c>
      <c r="C30" s="22">
        <f>Machine_List!C30</f>
        <v>46098</v>
      </c>
      <c r="D30" s="10">
        <f>Machine_List!D30</f>
        <v>6</v>
      </c>
      <c r="E30" s="10">
        <f t="shared" ca="1" si="3"/>
        <v>-21</v>
      </c>
      <c r="F30" s="10" t="str">
        <f t="shared" ca="1" si="4"/>
        <v>OVERDUE</v>
      </c>
      <c r="G30" s="27" t="str">
        <f t="shared" si="17"/>
        <v/>
      </c>
      <c r="H30" s="27" t="str">
        <f t="shared" si="17"/>
        <v/>
      </c>
      <c r="I30" s="27" t="str">
        <f t="shared" si="17"/>
        <v/>
      </c>
      <c r="J30" s="27" t="str">
        <f t="shared" si="17"/>
        <v/>
      </c>
      <c r="K30" s="27" t="str">
        <f t="shared" si="17"/>
        <v/>
      </c>
      <c r="L30" s="27" t="str">
        <f t="shared" si="17"/>
        <v/>
      </c>
      <c r="M30" s="27" t="str">
        <f t="shared" si="17"/>
        <v/>
      </c>
      <c r="N30" s="27" t="str">
        <f t="shared" si="17"/>
        <v/>
      </c>
      <c r="O30" s="27" t="str">
        <f t="shared" si="17"/>
        <v/>
      </c>
      <c r="P30" s="27" t="str">
        <f t="shared" si="17"/>
        <v/>
      </c>
      <c r="Q30" s="27" t="str">
        <f t="shared" si="18"/>
        <v/>
      </c>
      <c r="R30" s="27" t="str">
        <f t="shared" si="18"/>
        <v/>
      </c>
      <c r="S30" s="27" t="str">
        <f t="shared" si="18"/>
        <v/>
      </c>
      <c r="T30" s="27" t="str">
        <f t="shared" si="18"/>
        <v/>
      </c>
      <c r="U30" s="27" t="str">
        <f t="shared" si="18"/>
        <v/>
      </c>
      <c r="V30" s="27" t="str">
        <f t="shared" si="18"/>
        <v/>
      </c>
      <c r="W30" s="27" t="str">
        <f t="shared" si="18"/>
        <v/>
      </c>
      <c r="X30" s="27" t="str">
        <f t="shared" si="18"/>
        <v/>
      </c>
      <c r="Y30" s="27" t="str">
        <f t="shared" si="18"/>
        <v/>
      </c>
      <c r="Z30" s="27" t="str">
        <f t="shared" si="18"/>
        <v/>
      </c>
      <c r="AA30" s="27" t="str">
        <f t="shared" si="19"/>
        <v/>
      </c>
      <c r="AB30" s="27" t="str">
        <f t="shared" si="19"/>
        <v/>
      </c>
      <c r="AC30" s="27" t="str">
        <f t="shared" si="19"/>
        <v/>
      </c>
      <c r="AD30" s="27" t="str">
        <f t="shared" si="19"/>
        <v/>
      </c>
      <c r="AE30" s="27" t="str">
        <f t="shared" si="19"/>
        <v/>
      </c>
      <c r="AF30" s="27" t="str">
        <f t="shared" si="19"/>
        <v/>
      </c>
      <c r="AG30" s="27" t="str">
        <f t="shared" si="19"/>
        <v/>
      </c>
      <c r="AH30" s="27" t="str">
        <f t="shared" si="19"/>
        <v/>
      </c>
      <c r="AI30" s="27" t="str">
        <f t="shared" si="19"/>
        <v/>
      </c>
      <c r="AJ30" s="27" t="str">
        <f t="shared" si="19"/>
        <v/>
      </c>
      <c r="AK30" s="27" t="str">
        <f t="shared" si="20"/>
        <v/>
      </c>
      <c r="AL30" s="27" t="str">
        <f t="shared" si="20"/>
        <v/>
      </c>
      <c r="AM30" s="27" t="str">
        <f t="shared" si="20"/>
        <v/>
      </c>
      <c r="AN30" s="27" t="str">
        <f t="shared" si="20"/>
        <v/>
      </c>
      <c r="AO30" s="27" t="str">
        <f t="shared" si="20"/>
        <v/>
      </c>
      <c r="AP30" s="27" t="str">
        <f t="shared" si="20"/>
        <v/>
      </c>
      <c r="AQ30" s="27" t="str">
        <f t="shared" si="20"/>
        <v/>
      </c>
      <c r="AR30" s="27" t="str">
        <f t="shared" si="20"/>
        <v/>
      </c>
      <c r="AS30" s="27" t="str">
        <f t="shared" si="20"/>
        <v/>
      </c>
      <c r="AT30" s="27" t="str">
        <f t="shared" si="20"/>
        <v/>
      </c>
      <c r="AU30" s="27" t="str">
        <f t="shared" si="21"/>
        <v/>
      </c>
      <c r="AV30" s="27" t="str">
        <f t="shared" si="21"/>
        <v/>
      </c>
      <c r="AW30" s="27" t="str">
        <f t="shared" si="21"/>
        <v/>
      </c>
      <c r="AX30" s="27" t="str">
        <f t="shared" si="21"/>
        <v/>
      </c>
      <c r="AY30" s="27" t="str">
        <f t="shared" si="21"/>
        <v/>
      </c>
      <c r="AZ30" s="27" t="str">
        <f t="shared" si="21"/>
        <v/>
      </c>
      <c r="BA30" s="27" t="str">
        <f t="shared" si="21"/>
        <v/>
      </c>
      <c r="BB30" s="27" t="str">
        <f t="shared" si="21"/>
        <v/>
      </c>
      <c r="BC30" s="27" t="str">
        <f t="shared" si="21"/>
        <v/>
      </c>
      <c r="BD30" s="27" t="str">
        <f t="shared" si="21"/>
        <v/>
      </c>
      <c r="BE30" s="27" t="str">
        <f t="shared" si="22"/>
        <v/>
      </c>
      <c r="BF30" s="27" t="str">
        <f t="shared" si="22"/>
        <v/>
      </c>
      <c r="BG30" s="27" t="str">
        <f t="shared" si="22"/>
        <v/>
      </c>
      <c r="BH30" s="27" t="str">
        <f t="shared" si="22"/>
        <v/>
      </c>
      <c r="BI30" s="27" t="str">
        <f t="shared" si="22"/>
        <v/>
      </c>
      <c r="BJ30" s="27" t="str">
        <f t="shared" si="22"/>
        <v/>
      </c>
      <c r="BK30" s="27" t="str">
        <f t="shared" si="22"/>
        <v/>
      </c>
      <c r="BL30" s="27" t="str">
        <f t="shared" si="22"/>
        <v/>
      </c>
      <c r="BM30" s="27" t="str">
        <f t="shared" si="22"/>
        <v/>
      </c>
      <c r="BN30" s="27" t="str">
        <f t="shared" si="22"/>
        <v/>
      </c>
    </row>
    <row r="31" spans="1:66" ht="15" customHeight="1" x14ac:dyDescent="0.3">
      <c r="A31" s="10" t="str">
        <f>Machine_List!A31</f>
        <v>EDM</v>
      </c>
      <c r="B31" s="10" t="str">
        <f>Machine_List!B31</f>
        <v>EDM-MC-12</v>
      </c>
      <c r="C31" s="22">
        <f>Machine_List!C31</f>
        <v>46337</v>
      </c>
      <c r="D31" s="10">
        <f>Machine_List!D31</f>
        <v>6</v>
      </c>
      <c r="E31" s="10">
        <f t="shared" ca="1" si="3"/>
        <v>218</v>
      </c>
      <c r="F31" s="10" t="str">
        <f t="shared" ca="1" si="4"/>
        <v>OK</v>
      </c>
      <c r="G31" s="27" t="str">
        <f t="shared" si="17"/>
        <v/>
      </c>
      <c r="H31" s="27" t="str">
        <f t="shared" si="17"/>
        <v/>
      </c>
      <c r="I31" s="27" t="str">
        <f t="shared" si="17"/>
        <v/>
      </c>
      <c r="J31" s="27" t="str">
        <f t="shared" si="17"/>
        <v/>
      </c>
      <c r="K31" s="27" t="str">
        <f t="shared" si="17"/>
        <v/>
      </c>
      <c r="L31" s="27" t="str">
        <f t="shared" si="17"/>
        <v/>
      </c>
      <c r="M31" s="27" t="str">
        <f t="shared" si="17"/>
        <v/>
      </c>
      <c r="N31" s="27" t="str">
        <f t="shared" si="17"/>
        <v/>
      </c>
      <c r="O31" s="27" t="str">
        <f t="shared" si="17"/>
        <v/>
      </c>
      <c r="P31" s="27" t="str">
        <f t="shared" si="17"/>
        <v/>
      </c>
      <c r="Q31" s="27" t="str">
        <f t="shared" si="18"/>
        <v/>
      </c>
      <c r="R31" s="27" t="str">
        <f t="shared" si="18"/>
        <v/>
      </c>
      <c r="S31" s="27" t="str">
        <f t="shared" si="18"/>
        <v/>
      </c>
      <c r="T31" s="27" t="str">
        <f t="shared" si="18"/>
        <v/>
      </c>
      <c r="U31" s="27" t="str">
        <f t="shared" si="18"/>
        <v/>
      </c>
      <c r="V31" s="27" t="str">
        <f t="shared" si="18"/>
        <v/>
      </c>
      <c r="W31" s="27" t="str">
        <f t="shared" si="18"/>
        <v/>
      </c>
      <c r="X31" s="27" t="str">
        <f t="shared" si="18"/>
        <v/>
      </c>
      <c r="Y31" s="27" t="str">
        <f t="shared" si="18"/>
        <v/>
      </c>
      <c r="Z31" s="27" t="str">
        <f t="shared" si="18"/>
        <v/>
      </c>
      <c r="AA31" s="27" t="str">
        <f t="shared" si="19"/>
        <v/>
      </c>
      <c r="AB31" s="27" t="str">
        <f t="shared" si="19"/>
        <v/>
      </c>
      <c r="AC31" s="27" t="str">
        <f t="shared" si="19"/>
        <v/>
      </c>
      <c r="AD31" s="27" t="str">
        <f t="shared" si="19"/>
        <v/>
      </c>
      <c r="AE31" s="27" t="str">
        <f t="shared" si="19"/>
        <v/>
      </c>
      <c r="AF31" s="27" t="str">
        <f t="shared" si="19"/>
        <v/>
      </c>
      <c r="AG31" s="27" t="str">
        <f t="shared" si="19"/>
        <v/>
      </c>
      <c r="AH31" s="27" t="str">
        <f t="shared" si="19"/>
        <v/>
      </c>
      <c r="AI31" s="27" t="str">
        <f t="shared" si="19"/>
        <v/>
      </c>
      <c r="AJ31" s="27" t="str">
        <f t="shared" si="19"/>
        <v/>
      </c>
      <c r="AK31" s="27" t="str">
        <f t="shared" si="20"/>
        <v/>
      </c>
      <c r="AL31" s="27" t="str">
        <f t="shared" si="20"/>
        <v/>
      </c>
      <c r="AM31" s="27" t="str">
        <f t="shared" si="20"/>
        <v/>
      </c>
      <c r="AN31" s="27" t="str">
        <f t="shared" si="20"/>
        <v/>
      </c>
      <c r="AO31" s="27" t="str">
        <f t="shared" si="20"/>
        <v/>
      </c>
      <c r="AP31" s="27" t="str">
        <f t="shared" si="20"/>
        <v/>
      </c>
      <c r="AQ31" s="27" t="str">
        <f t="shared" si="20"/>
        <v/>
      </c>
      <c r="AR31" s="27" t="str">
        <f t="shared" si="20"/>
        <v/>
      </c>
      <c r="AS31" s="27" t="str">
        <f t="shared" si="20"/>
        <v/>
      </c>
      <c r="AT31" s="27" t="str">
        <f t="shared" si="20"/>
        <v/>
      </c>
      <c r="AU31" s="27" t="str">
        <f t="shared" si="21"/>
        <v/>
      </c>
      <c r="AV31" s="27" t="str">
        <f t="shared" si="21"/>
        <v/>
      </c>
      <c r="AW31" s="27" t="str">
        <f t="shared" si="21"/>
        <v/>
      </c>
      <c r="AX31" s="27" t="str">
        <f t="shared" si="21"/>
        <v/>
      </c>
      <c r="AY31" s="27" t="str">
        <f t="shared" si="21"/>
        <v/>
      </c>
      <c r="AZ31" s="27" t="str">
        <f t="shared" si="21"/>
        <v/>
      </c>
      <c r="BA31" s="27" t="str">
        <f t="shared" si="21"/>
        <v/>
      </c>
      <c r="BB31" s="27" t="str">
        <f t="shared" si="21"/>
        <v/>
      </c>
      <c r="BC31" s="27" t="str">
        <f t="shared" si="21"/>
        <v/>
      </c>
      <c r="BD31" s="27" t="str">
        <f t="shared" si="21"/>
        <v/>
      </c>
      <c r="BE31" s="27" t="str">
        <f t="shared" si="22"/>
        <v/>
      </c>
      <c r="BF31" s="27" t="str">
        <f t="shared" si="22"/>
        <v/>
      </c>
      <c r="BG31" s="27" t="str">
        <f t="shared" si="22"/>
        <v/>
      </c>
      <c r="BH31" s="27" t="str">
        <f t="shared" si="22"/>
        <v/>
      </c>
      <c r="BI31" s="27" t="str">
        <f t="shared" si="22"/>
        <v/>
      </c>
      <c r="BJ31" s="27" t="str">
        <f t="shared" si="22"/>
        <v/>
      </c>
      <c r="BK31" s="27" t="str">
        <f t="shared" si="22"/>
        <v/>
      </c>
      <c r="BL31" s="27" t="str">
        <f t="shared" si="22"/>
        <v/>
      </c>
      <c r="BM31" s="27" t="str">
        <f t="shared" si="22"/>
        <v/>
      </c>
      <c r="BN31" s="27" t="str">
        <f t="shared" si="22"/>
        <v/>
      </c>
    </row>
    <row r="32" spans="1:66" ht="15" customHeight="1" x14ac:dyDescent="0.3">
      <c r="A32" s="10" t="str">
        <f>Machine_List!A32</f>
        <v>EDM</v>
      </c>
      <c r="B32" s="10" t="str">
        <f>Machine_List!B32</f>
        <v>EDM-MC-13</v>
      </c>
      <c r="C32" s="22">
        <f>Machine_List!C32</f>
        <v>46212</v>
      </c>
      <c r="D32" s="10">
        <f>Machine_List!D32</f>
        <v>6</v>
      </c>
      <c r="E32" s="10">
        <f t="shared" ca="1" si="3"/>
        <v>93</v>
      </c>
      <c r="F32" s="10" t="str">
        <f t="shared" ca="1" si="4"/>
        <v>OK</v>
      </c>
      <c r="G32" s="27" t="str">
        <f t="shared" si="17"/>
        <v/>
      </c>
      <c r="H32" s="27" t="str">
        <f t="shared" si="17"/>
        <v/>
      </c>
      <c r="I32" s="27" t="str">
        <f t="shared" si="17"/>
        <v/>
      </c>
      <c r="J32" s="27" t="str">
        <f t="shared" si="17"/>
        <v/>
      </c>
      <c r="K32" s="27" t="str">
        <f t="shared" si="17"/>
        <v/>
      </c>
      <c r="L32" s="27" t="str">
        <f t="shared" si="17"/>
        <v/>
      </c>
      <c r="M32" s="27" t="str">
        <f t="shared" si="17"/>
        <v/>
      </c>
      <c r="N32" s="27" t="str">
        <f t="shared" si="17"/>
        <v/>
      </c>
      <c r="O32" s="27" t="str">
        <f t="shared" si="17"/>
        <v/>
      </c>
      <c r="P32" s="27" t="str">
        <f t="shared" si="17"/>
        <v/>
      </c>
      <c r="Q32" s="27" t="str">
        <f t="shared" si="18"/>
        <v/>
      </c>
      <c r="R32" s="27" t="str">
        <f t="shared" si="18"/>
        <v/>
      </c>
      <c r="S32" s="27" t="str">
        <f t="shared" si="18"/>
        <v/>
      </c>
      <c r="T32" s="27" t="str">
        <f t="shared" si="18"/>
        <v/>
      </c>
      <c r="U32" s="27" t="str">
        <f t="shared" si="18"/>
        <v/>
      </c>
      <c r="V32" s="27" t="str">
        <f t="shared" si="18"/>
        <v/>
      </c>
      <c r="W32" s="27" t="str">
        <f t="shared" si="18"/>
        <v/>
      </c>
      <c r="X32" s="27" t="str">
        <f t="shared" si="18"/>
        <v/>
      </c>
      <c r="Y32" s="27" t="str">
        <f t="shared" si="18"/>
        <v/>
      </c>
      <c r="Z32" s="27" t="str">
        <f t="shared" si="18"/>
        <v/>
      </c>
      <c r="AA32" s="27" t="str">
        <f t="shared" si="19"/>
        <v/>
      </c>
      <c r="AB32" s="27" t="str">
        <f t="shared" si="19"/>
        <v/>
      </c>
      <c r="AC32" s="27" t="str">
        <f t="shared" si="19"/>
        <v/>
      </c>
      <c r="AD32" s="27" t="str">
        <f t="shared" si="19"/>
        <v/>
      </c>
      <c r="AE32" s="27" t="str">
        <f t="shared" si="19"/>
        <v/>
      </c>
      <c r="AF32" s="27" t="str">
        <f t="shared" si="19"/>
        <v/>
      </c>
      <c r="AG32" s="27" t="str">
        <f t="shared" si="19"/>
        <v/>
      </c>
      <c r="AH32" s="27" t="str">
        <f t="shared" si="19"/>
        <v/>
      </c>
      <c r="AI32" s="27" t="str">
        <f t="shared" si="19"/>
        <v/>
      </c>
      <c r="AJ32" s="27" t="str">
        <f t="shared" si="19"/>
        <v/>
      </c>
      <c r="AK32" s="27" t="str">
        <f t="shared" si="20"/>
        <v/>
      </c>
      <c r="AL32" s="27" t="str">
        <f t="shared" si="20"/>
        <v/>
      </c>
      <c r="AM32" s="27" t="str">
        <f t="shared" si="20"/>
        <v/>
      </c>
      <c r="AN32" s="27" t="str">
        <f t="shared" si="20"/>
        <v/>
      </c>
      <c r="AO32" s="27" t="str">
        <f t="shared" si="20"/>
        <v/>
      </c>
      <c r="AP32" s="27" t="str">
        <f t="shared" si="20"/>
        <v/>
      </c>
      <c r="AQ32" s="27" t="str">
        <f t="shared" si="20"/>
        <v/>
      </c>
      <c r="AR32" s="27" t="str">
        <f t="shared" si="20"/>
        <v/>
      </c>
      <c r="AS32" s="27" t="str">
        <f t="shared" si="20"/>
        <v/>
      </c>
      <c r="AT32" s="27" t="str">
        <f t="shared" si="20"/>
        <v/>
      </c>
      <c r="AU32" s="27" t="str">
        <f t="shared" si="21"/>
        <v/>
      </c>
      <c r="AV32" s="27" t="str">
        <f t="shared" si="21"/>
        <v/>
      </c>
      <c r="AW32" s="27" t="str">
        <f t="shared" si="21"/>
        <v/>
      </c>
      <c r="AX32" s="27" t="str">
        <f t="shared" si="21"/>
        <v/>
      </c>
      <c r="AY32" s="27" t="str">
        <f t="shared" si="21"/>
        <v/>
      </c>
      <c r="AZ32" s="27" t="str">
        <f t="shared" si="21"/>
        <v/>
      </c>
      <c r="BA32" s="27" t="str">
        <f t="shared" si="21"/>
        <v/>
      </c>
      <c r="BB32" s="27" t="str">
        <f t="shared" si="21"/>
        <v/>
      </c>
      <c r="BC32" s="27" t="str">
        <f t="shared" si="21"/>
        <v/>
      </c>
      <c r="BD32" s="27" t="str">
        <f t="shared" si="21"/>
        <v/>
      </c>
      <c r="BE32" s="27" t="str">
        <f t="shared" si="22"/>
        <v/>
      </c>
      <c r="BF32" s="27" t="str">
        <f t="shared" si="22"/>
        <v/>
      </c>
      <c r="BG32" s="27" t="str">
        <f t="shared" si="22"/>
        <v/>
      </c>
      <c r="BH32" s="27" t="str">
        <f t="shared" si="22"/>
        <v/>
      </c>
      <c r="BI32" s="27" t="str">
        <f t="shared" si="22"/>
        <v/>
      </c>
      <c r="BJ32" s="27" t="str">
        <f t="shared" si="22"/>
        <v/>
      </c>
      <c r="BK32" s="27" t="str">
        <f t="shared" si="22"/>
        <v/>
      </c>
      <c r="BL32" s="27" t="str">
        <f t="shared" si="22"/>
        <v/>
      </c>
      <c r="BM32" s="27" t="str">
        <f t="shared" si="22"/>
        <v/>
      </c>
      <c r="BN32" s="27" t="str">
        <f t="shared" si="22"/>
        <v/>
      </c>
    </row>
    <row r="33" spans="1:66" ht="15" customHeight="1" x14ac:dyDescent="0.3">
      <c r="A33" s="10" t="str">
        <f>Machine_List!A33</f>
        <v>EDM</v>
      </c>
      <c r="B33" s="10" t="str">
        <f>Machine_List!B33</f>
        <v>EDM-MC-14</v>
      </c>
      <c r="C33" s="22">
        <f>Machine_List!C33</f>
        <v>46447</v>
      </c>
      <c r="D33" s="10">
        <f>Machine_List!D33</f>
        <v>6</v>
      </c>
      <c r="E33" s="10">
        <f t="shared" ca="1" si="3"/>
        <v>328</v>
      </c>
      <c r="F33" s="10" t="str">
        <f t="shared" ca="1" si="4"/>
        <v>OK</v>
      </c>
      <c r="G33" s="27" t="str">
        <f t="shared" si="17"/>
        <v/>
      </c>
      <c r="H33" s="27" t="str">
        <f t="shared" si="17"/>
        <v/>
      </c>
      <c r="I33" s="27" t="str">
        <f t="shared" si="17"/>
        <v/>
      </c>
      <c r="J33" s="27" t="str">
        <f t="shared" si="17"/>
        <v/>
      </c>
      <c r="K33" s="27" t="str">
        <f t="shared" si="17"/>
        <v/>
      </c>
      <c r="L33" s="27" t="str">
        <f t="shared" si="17"/>
        <v/>
      </c>
      <c r="M33" s="27" t="str">
        <f t="shared" si="17"/>
        <v/>
      </c>
      <c r="N33" s="27" t="str">
        <f t="shared" si="17"/>
        <v/>
      </c>
      <c r="O33" s="27" t="str">
        <f t="shared" si="17"/>
        <v/>
      </c>
      <c r="P33" s="27" t="str">
        <f t="shared" si="17"/>
        <v/>
      </c>
      <c r="Q33" s="27" t="str">
        <f t="shared" si="18"/>
        <v/>
      </c>
      <c r="R33" s="27" t="str">
        <f t="shared" si="18"/>
        <v/>
      </c>
      <c r="S33" s="27" t="str">
        <f t="shared" si="18"/>
        <v/>
      </c>
      <c r="T33" s="27" t="str">
        <f t="shared" si="18"/>
        <v/>
      </c>
      <c r="U33" s="27" t="str">
        <f t="shared" si="18"/>
        <v/>
      </c>
      <c r="V33" s="27" t="str">
        <f t="shared" si="18"/>
        <v/>
      </c>
      <c r="W33" s="27" t="str">
        <f t="shared" si="18"/>
        <v/>
      </c>
      <c r="X33" s="27" t="str">
        <f t="shared" si="18"/>
        <v/>
      </c>
      <c r="Y33" s="27" t="str">
        <f t="shared" si="18"/>
        <v/>
      </c>
      <c r="Z33" s="27" t="str">
        <f t="shared" si="18"/>
        <v/>
      </c>
      <c r="AA33" s="27" t="str">
        <f t="shared" si="19"/>
        <v/>
      </c>
      <c r="AB33" s="27" t="str">
        <f t="shared" si="19"/>
        <v/>
      </c>
      <c r="AC33" s="27" t="str">
        <f t="shared" si="19"/>
        <v/>
      </c>
      <c r="AD33" s="27" t="str">
        <f t="shared" si="19"/>
        <v/>
      </c>
      <c r="AE33" s="27" t="str">
        <f t="shared" si="19"/>
        <v/>
      </c>
      <c r="AF33" s="27" t="str">
        <f t="shared" si="19"/>
        <v/>
      </c>
      <c r="AG33" s="27" t="str">
        <f t="shared" si="19"/>
        <v/>
      </c>
      <c r="AH33" s="27" t="str">
        <f t="shared" si="19"/>
        <v/>
      </c>
      <c r="AI33" s="27" t="str">
        <f t="shared" si="19"/>
        <v/>
      </c>
      <c r="AJ33" s="27" t="str">
        <f t="shared" si="19"/>
        <v/>
      </c>
      <c r="AK33" s="27" t="str">
        <f t="shared" si="20"/>
        <v/>
      </c>
      <c r="AL33" s="27" t="str">
        <f t="shared" si="20"/>
        <v/>
      </c>
      <c r="AM33" s="27" t="str">
        <f t="shared" si="20"/>
        <v/>
      </c>
      <c r="AN33" s="27" t="str">
        <f t="shared" si="20"/>
        <v/>
      </c>
      <c r="AO33" s="27" t="str">
        <f t="shared" si="20"/>
        <v/>
      </c>
      <c r="AP33" s="27" t="str">
        <f t="shared" si="20"/>
        <v/>
      </c>
      <c r="AQ33" s="27" t="str">
        <f t="shared" si="20"/>
        <v/>
      </c>
      <c r="AR33" s="27" t="str">
        <f t="shared" si="20"/>
        <v/>
      </c>
      <c r="AS33" s="27" t="str">
        <f t="shared" si="20"/>
        <v/>
      </c>
      <c r="AT33" s="27" t="str">
        <f t="shared" si="20"/>
        <v/>
      </c>
      <c r="AU33" s="27" t="str">
        <f t="shared" si="21"/>
        <v/>
      </c>
      <c r="AV33" s="27" t="str">
        <f t="shared" si="21"/>
        <v/>
      </c>
      <c r="AW33" s="27" t="str">
        <f t="shared" si="21"/>
        <v/>
      </c>
      <c r="AX33" s="27" t="str">
        <f t="shared" si="21"/>
        <v/>
      </c>
      <c r="AY33" s="27" t="str">
        <f t="shared" si="21"/>
        <v/>
      </c>
      <c r="AZ33" s="27" t="str">
        <f t="shared" si="21"/>
        <v/>
      </c>
      <c r="BA33" s="27" t="str">
        <f t="shared" si="21"/>
        <v/>
      </c>
      <c r="BB33" s="27" t="str">
        <f t="shared" si="21"/>
        <v/>
      </c>
      <c r="BC33" s="27" t="str">
        <f t="shared" si="21"/>
        <v/>
      </c>
      <c r="BD33" s="27" t="str">
        <f t="shared" si="21"/>
        <v/>
      </c>
      <c r="BE33" s="27" t="str">
        <f t="shared" si="22"/>
        <v/>
      </c>
      <c r="BF33" s="27" t="str">
        <f t="shared" si="22"/>
        <v/>
      </c>
      <c r="BG33" s="27" t="str">
        <f t="shared" si="22"/>
        <v/>
      </c>
      <c r="BH33" s="27" t="str">
        <f t="shared" si="22"/>
        <v/>
      </c>
      <c r="BI33" s="27" t="str">
        <f t="shared" si="22"/>
        <v/>
      </c>
      <c r="BJ33" s="27" t="str">
        <f t="shared" si="22"/>
        <v/>
      </c>
      <c r="BK33" s="27" t="str">
        <f t="shared" si="22"/>
        <v/>
      </c>
      <c r="BL33" s="27" t="str">
        <f t="shared" si="22"/>
        <v/>
      </c>
      <c r="BM33" s="27" t="str">
        <f t="shared" si="22"/>
        <v/>
      </c>
      <c r="BN33" s="27" t="str">
        <f t="shared" si="22"/>
        <v/>
      </c>
    </row>
    <row r="34" spans="1:66" ht="15" customHeight="1" x14ac:dyDescent="0.3">
      <c r="A34" s="10" t="str">
        <f>Machine_List!A34</f>
        <v>EDM</v>
      </c>
      <c r="B34" s="10" t="str">
        <f>Machine_List!B34</f>
        <v>EDM-MC-15</v>
      </c>
      <c r="C34" s="22">
        <f>Machine_List!C34</f>
        <v>46357</v>
      </c>
      <c r="D34" s="10">
        <f>Machine_List!D34</f>
        <v>6</v>
      </c>
      <c r="E34" s="10">
        <f t="shared" ca="1" si="3"/>
        <v>238</v>
      </c>
      <c r="F34" s="10" t="str">
        <f t="shared" ca="1" si="4"/>
        <v>OK</v>
      </c>
      <c r="G34" s="27" t="str">
        <f t="shared" ref="G34:P43" si="23">IF(INT(G$3)=INT($C34), TEXT($C34, "dd-mmm"), "")</f>
        <v/>
      </c>
      <c r="H34" s="27" t="str">
        <f t="shared" si="23"/>
        <v/>
      </c>
      <c r="I34" s="27" t="str">
        <f t="shared" si="23"/>
        <v/>
      </c>
      <c r="J34" s="27" t="str">
        <f t="shared" si="23"/>
        <v/>
      </c>
      <c r="K34" s="27" t="str">
        <f t="shared" si="23"/>
        <v/>
      </c>
      <c r="L34" s="27" t="str">
        <f t="shared" si="23"/>
        <v/>
      </c>
      <c r="M34" s="27" t="str">
        <f t="shared" si="23"/>
        <v/>
      </c>
      <c r="N34" s="27" t="str">
        <f t="shared" si="23"/>
        <v/>
      </c>
      <c r="O34" s="27" t="str">
        <f t="shared" si="23"/>
        <v/>
      </c>
      <c r="P34" s="27" t="str">
        <f t="shared" si="23"/>
        <v/>
      </c>
      <c r="Q34" s="27" t="str">
        <f t="shared" ref="Q34:Z43" si="24">IF(INT(Q$3)=INT($C34), TEXT($C34, "dd-mmm"), "")</f>
        <v/>
      </c>
      <c r="R34" s="27" t="str">
        <f t="shared" si="24"/>
        <v/>
      </c>
      <c r="S34" s="27" t="str">
        <f t="shared" si="24"/>
        <v/>
      </c>
      <c r="T34" s="27" t="str">
        <f t="shared" si="24"/>
        <v/>
      </c>
      <c r="U34" s="27" t="str">
        <f t="shared" si="24"/>
        <v/>
      </c>
      <c r="V34" s="27" t="str">
        <f t="shared" si="24"/>
        <v/>
      </c>
      <c r="W34" s="27" t="str">
        <f t="shared" si="24"/>
        <v/>
      </c>
      <c r="X34" s="27" t="str">
        <f t="shared" si="24"/>
        <v/>
      </c>
      <c r="Y34" s="27" t="str">
        <f t="shared" si="24"/>
        <v/>
      </c>
      <c r="Z34" s="27" t="str">
        <f t="shared" si="24"/>
        <v/>
      </c>
      <c r="AA34" s="27" t="str">
        <f t="shared" ref="AA34:AJ43" si="25">IF(INT(AA$3)=INT($C34), TEXT($C34, "dd-mmm"), "")</f>
        <v/>
      </c>
      <c r="AB34" s="27" t="str">
        <f t="shared" si="25"/>
        <v/>
      </c>
      <c r="AC34" s="27" t="str">
        <f t="shared" si="25"/>
        <v/>
      </c>
      <c r="AD34" s="27" t="str">
        <f t="shared" si="25"/>
        <v/>
      </c>
      <c r="AE34" s="27" t="str">
        <f t="shared" si="25"/>
        <v/>
      </c>
      <c r="AF34" s="27" t="str">
        <f t="shared" si="25"/>
        <v/>
      </c>
      <c r="AG34" s="27" t="str">
        <f t="shared" si="25"/>
        <v/>
      </c>
      <c r="AH34" s="27" t="str">
        <f t="shared" si="25"/>
        <v/>
      </c>
      <c r="AI34" s="27" t="str">
        <f t="shared" si="25"/>
        <v/>
      </c>
      <c r="AJ34" s="27" t="str">
        <f t="shared" si="25"/>
        <v/>
      </c>
      <c r="AK34" s="27" t="str">
        <f t="shared" ref="AK34:AT43" si="26">IF(INT(AK$3)=INT($C34), TEXT($C34, "dd-mmm"), "")</f>
        <v/>
      </c>
      <c r="AL34" s="27" t="str">
        <f t="shared" si="26"/>
        <v/>
      </c>
      <c r="AM34" s="27" t="str">
        <f t="shared" si="26"/>
        <v/>
      </c>
      <c r="AN34" s="27" t="str">
        <f t="shared" si="26"/>
        <v/>
      </c>
      <c r="AO34" s="27" t="str">
        <f t="shared" si="26"/>
        <v/>
      </c>
      <c r="AP34" s="27" t="str">
        <f t="shared" si="26"/>
        <v/>
      </c>
      <c r="AQ34" s="27" t="str">
        <f t="shared" si="26"/>
        <v/>
      </c>
      <c r="AR34" s="27" t="str">
        <f t="shared" si="26"/>
        <v/>
      </c>
      <c r="AS34" s="27" t="str">
        <f t="shared" si="26"/>
        <v/>
      </c>
      <c r="AT34" s="27" t="str">
        <f t="shared" si="26"/>
        <v/>
      </c>
      <c r="AU34" s="27" t="str">
        <f t="shared" ref="AU34:BD43" si="27">IF(INT(AU$3)=INT($C34), TEXT($C34, "dd-mmm"), "")</f>
        <v/>
      </c>
      <c r="AV34" s="27" t="str">
        <f t="shared" si="27"/>
        <v/>
      </c>
      <c r="AW34" s="27" t="str">
        <f t="shared" si="27"/>
        <v/>
      </c>
      <c r="AX34" s="27" t="str">
        <f t="shared" si="27"/>
        <v/>
      </c>
      <c r="AY34" s="27" t="str">
        <f t="shared" si="27"/>
        <v/>
      </c>
      <c r="AZ34" s="27" t="str">
        <f t="shared" si="27"/>
        <v/>
      </c>
      <c r="BA34" s="27" t="str">
        <f t="shared" si="27"/>
        <v/>
      </c>
      <c r="BB34" s="27" t="str">
        <f t="shared" si="27"/>
        <v/>
      </c>
      <c r="BC34" s="27" t="str">
        <f t="shared" si="27"/>
        <v/>
      </c>
      <c r="BD34" s="27" t="str">
        <f t="shared" si="27"/>
        <v/>
      </c>
      <c r="BE34" s="27" t="str">
        <f t="shared" ref="BE34:BN43" si="28">IF(INT(BE$3)=INT($C34), TEXT($C34, "dd-mmm"), "")</f>
        <v/>
      </c>
      <c r="BF34" s="27" t="str">
        <f t="shared" si="28"/>
        <v/>
      </c>
      <c r="BG34" s="27" t="str">
        <f t="shared" si="28"/>
        <v/>
      </c>
      <c r="BH34" s="27" t="str">
        <f t="shared" si="28"/>
        <v/>
      </c>
      <c r="BI34" s="27" t="str">
        <f t="shared" si="28"/>
        <v/>
      </c>
      <c r="BJ34" s="27" t="str">
        <f t="shared" si="28"/>
        <v/>
      </c>
      <c r="BK34" s="27" t="str">
        <f t="shared" si="28"/>
        <v/>
      </c>
      <c r="BL34" s="27" t="str">
        <f t="shared" si="28"/>
        <v/>
      </c>
      <c r="BM34" s="27" t="str">
        <f t="shared" si="28"/>
        <v/>
      </c>
      <c r="BN34" s="27" t="str">
        <f t="shared" si="28"/>
        <v/>
      </c>
    </row>
    <row r="35" spans="1:66" ht="15" customHeight="1" x14ac:dyDescent="0.3">
      <c r="A35" s="10" t="str">
        <f>Machine_List!A35</f>
        <v>EDM</v>
      </c>
      <c r="B35" s="10" t="str">
        <f>Machine_List!B35</f>
        <v>EDM-MC-16</v>
      </c>
      <c r="C35" s="22">
        <f>Machine_List!C35</f>
        <v>46105</v>
      </c>
      <c r="D35" s="10">
        <f>Machine_List!D35</f>
        <v>6</v>
      </c>
      <c r="E35" s="10">
        <f t="shared" ca="1" si="3"/>
        <v>-14</v>
      </c>
      <c r="F35" s="10" t="str">
        <f t="shared" ca="1" si="4"/>
        <v>OVERDUE</v>
      </c>
      <c r="G35" s="27" t="str">
        <f t="shared" si="23"/>
        <v/>
      </c>
      <c r="H35" s="27" t="str">
        <f t="shared" si="23"/>
        <v/>
      </c>
      <c r="I35" s="27" t="str">
        <f t="shared" si="23"/>
        <v/>
      </c>
      <c r="J35" s="27" t="str">
        <f t="shared" si="23"/>
        <v/>
      </c>
      <c r="K35" s="27" t="str">
        <f t="shared" si="23"/>
        <v/>
      </c>
      <c r="L35" s="27" t="str">
        <f t="shared" si="23"/>
        <v/>
      </c>
      <c r="M35" s="27" t="str">
        <f t="shared" si="23"/>
        <v/>
      </c>
      <c r="N35" s="27" t="str">
        <f t="shared" si="23"/>
        <v/>
      </c>
      <c r="O35" s="27" t="str">
        <f t="shared" si="23"/>
        <v/>
      </c>
      <c r="P35" s="27" t="str">
        <f t="shared" si="23"/>
        <v/>
      </c>
      <c r="Q35" s="27" t="str">
        <f t="shared" si="24"/>
        <v/>
      </c>
      <c r="R35" s="27" t="str">
        <f t="shared" si="24"/>
        <v/>
      </c>
      <c r="S35" s="27" t="str">
        <f t="shared" si="24"/>
        <v/>
      </c>
      <c r="T35" s="27" t="str">
        <f t="shared" si="24"/>
        <v/>
      </c>
      <c r="U35" s="27" t="str">
        <f t="shared" si="24"/>
        <v/>
      </c>
      <c r="V35" s="27" t="str">
        <f t="shared" si="24"/>
        <v/>
      </c>
      <c r="W35" s="27" t="str">
        <f t="shared" si="24"/>
        <v/>
      </c>
      <c r="X35" s="27" t="str">
        <f t="shared" si="24"/>
        <v/>
      </c>
      <c r="Y35" s="27" t="str">
        <f t="shared" si="24"/>
        <v/>
      </c>
      <c r="Z35" s="27" t="str">
        <f t="shared" si="24"/>
        <v/>
      </c>
      <c r="AA35" s="27" t="str">
        <f t="shared" si="25"/>
        <v/>
      </c>
      <c r="AB35" s="27" t="str">
        <f t="shared" si="25"/>
        <v/>
      </c>
      <c r="AC35" s="27" t="str">
        <f t="shared" si="25"/>
        <v/>
      </c>
      <c r="AD35" s="27" t="str">
        <f t="shared" si="25"/>
        <v/>
      </c>
      <c r="AE35" s="27" t="str">
        <f t="shared" si="25"/>
        <v/>
      </c>
      <c r="AF35" s="27" t="str">
        <f t="shared" si="25"/>
        <v/>
      </c>
      <c r="AG35" s="27" t="str">
        <f t="shared" si="25"/>
        <v/>
      </c>
      <c r="AH35" s="27" t="str">
        <f t="shared" si="25"/>
        <v/>
      </c>
      <c r="AI35" s="27" t="str">
        <f t="shared" si="25"/>
        <v/>
      </c>
      <c r="AJ35" s="27" t="str">
        <f t="shared" si="25"/>
        <v/>
      </c>
      <c r="AK35" s="27" t="str">
        <f t="shared" si="26"/>
        <v/>
      </c>
      <c r="AL35" s="27" t="str">
        <f t="shared" si="26"/>
        <v/>
      </c>
      <c r="AM35" s="27" t="str">
        <f t="shared" si="26"/>
        <v/>
      </c>
      <c r="AN35" s="27" t="str">
        <f t="shared" si="26"/>
        <v/>
      </c>
      <c r="AO35" s="27" t="str">
        <f t="shared" si="26"/>
        <v/>
      </c>
      <c r="AP35" s="27" t="str">
        <f t="shared" si="26"/>
        <v/>
      </c>
      <c r="AQ35" s="27" t="str">
        <f t="shared" si="26"/>
        <v/>
      </c>
      <c r="AR35" s="27" t="str">
        <f t="shared" si="26"/>
        <v/>
      </c>
      <c r="AS35" s="27" t="str">
        <f t="shared" si="26"/>
        <v/>
      </c>
      <c r="AT35" s="27" t="str">
        <f t="shared" si="26"/>
        <v/>
      </c>
      <c r="AU35" s="27" t="str">
        <f t="shared" si="27"/>
        <v/>
      </c>
      <c r="AV35" s="27" t="str">
        <f t="shared" si="27"/>
        <v/>
      </c>
      <c r="AW35" s="27" t="str">
        <f t="shared" si="27"/>
        <v/>
      </c>
      <c r="AX35" s="27" t="str">
        <f t="shared" si="27"/>
        <v/>
      </c>
      <c r="AY35" s="27" t="str">
        <f t="shared" si="27"/>
        <v/>
      </c>
      <c r="AZ35" s="27" t="str">
        <f t="shared" si="27"/>
        <v/>
      </c>
      <c r="BA35" s="27" t="str">
        <f t="shared" si="27"/>
        <v/>
      </c>
      <c r="BB35" s="27" t="str">
        <f t="shared" si="27"/>
        <v/>
      </c>
      <c r="BC35" s="27" t="str">
        <f t="shared" si="27"/>
        <v/>
      </c>
      <c r="BD35" s="27" t="str">
        <f t="shared" si="27"/>
        <v/>
      </c>
      <c r="BE35" s="27" t="str">
        <f t="shared" si="28"/>
        <v/>
      </c>
      <c r="BF35" s="27" t="str">
        <f t="shared" si="28"/>
        <v/>
      </c>
      <c r="BG35" s="27" t="str">
        <f t="shared" si="28"/>
        <v/>
      </c>
      <c r="BH35" s="27" t="str">
        <f t="shared" si="28"/>
        <v/>
      </c>
      <c r="BI35" s="27" t="str">
        <f t="shared" si="28"/>
        <v/>
      </c>
      <c r="BJ35" s="27" t="str">
        <f t="shared" si="28"/>
        <v/>
      </c>
      <c r="BK35" s="27" t="str">
        <f t="shared" si="28"/>
        <v/>
      </c>
      <c r="BL35" s="27" t="str">
        <f t="shared" si="28"/>
        <v/>
      </c>
      <c r="BM35" s="27" t="str">
        <f t="shared" si="28"/>
        <v/>
      </c>
      <c r="BN35" s="27" t="str">
        <f t="shared" si="28"/>
        <v/>
      </c>
    </row>
    <row r="36" spans="1:66" ht="15" customHeight="1" x14ac:dyDescent="0.3">
      <c r="A36" s="10" t="str">
        <f>Machine_List!A36</f>
        <v>EDM</v>
      </c>
      <c r="B36" s="10" t="str">
        <f>Machine_List!B36</f>
        <v>EDM-MC-17</v>
      </c>
      <c r="C36" s="22">
        <f>Machine_List!C36</f>
        <v>46504</v>
      </c>
      <c r="D36" s="10">
        <f>Machine_List!D36</f>
        <v>6</v>
      </c>
      <c r="E36" s="10">
        <f t="shared" ref="E36:E67" ca="1" si="29">C36-TODAY()</f>
        <v>385</v>
      </c>
      <c r="F36" s="10" t="str">
        <f t="shared" ref="F36:F67" ca="1" si="30">IF(E36&lt;0,"OVERDUE",IF(E36&lt;=5,"DUE SOON","OK"))</f>
        <v>OK</v>
      </c>
      <c r="G36" s="27" t="str">
        <f t="shared" si="23"/>
        <v/>
      </c>
      <c r="H36" s="27" t="str">
        <f t="shared" si="23"/>
        <v/>
      </c>
      <c r="I36" s="27" t="str">
        <f t="shared" si="23"/>
        <v/>
      </c>
      <c r="J36" s="27" t="str">
        <f t="shared" si="23"/>
        <v/>
      </c>
      <c r="K36" s="27" t="str">
        <f t="shared" si="23"/>
        <v/>
      </c>
      <c r="L36" s="27" t="str">
        <f t="shared" si="23"/>
        <v/>
      </c>
      <c r="M36" s="27" t="str">
        <f t="shared" si="23"/>
        <v/>
      </c>
      <c r="N36" s="27" t="str">
        <f t="shared" si="23"/>
        <v/>
      </c>
      <c r="O36" s="27" t="str">
        <f t="shared" si="23"/>
        <v/>
      </c>
      <c r="P36" s="27" t="str">
        <f t="shared" si="23"/>
        <v/>
      </c>
      <c r="Q36" s="27" t="str">
        <f t="shared" si="24"/>
        <v/>
      </c>
      <c r="R36" s="27" t="str">
        <f t="shared" si="24"/>
        <v/>
      </c>
      <c r="S36" s="27" t="str">
        <f t="shared" si="24"/>
        <v/>
      </c>
      <c r="T36" s="27" t="str">
        <f t="shared" si="24"/>
        <v/>
      </c>
      <c r="U36" s="27" t="str">
        <f t="shared" si="24"/>
        <v/>
      </c>
      <c r="V36" s="27" t="str">
        <f t="shared" si="24"/>
        <v/>
      </c>
      <c r="W36" s="27" t="str">
        <f t="shared" si="24"/>
        <v/>
      </c>
      <c r="X36" s="27" t="str">
        <f t="shared" si="24"/>
        <v/>
      </c>
      <c r="Y36" s="27" t="str">
        <f t="shared" si="24"/>
        <v/>
      </c>
      <c r="Z36" s="27" t="str">
        <f t="shared" si="24"/>
        <v/>
      </c>
      <c r="AA36" s="27" t="str">
        <f t="shared" si="25"/>
        <v/>
      </c>
      <c r="AB36" s="27" t="str">
        <f t="shared" si="25"/>
        <v/>
      </c>
      <c r="AC36" s="27" t="str">
        <f t="shared" si="25"/>
        <v/>
      </c>
      <c r="AD36" s="27" t="str">
        <f t="shared" si="25"/>
        <v/>
      </c>
      <c r="AE36" s="27" t="str">
        <f t="shared" si="25"/>
        <v/>
      </c>
      <c r="AF36" s="27" t="str">
        <f t="shared" si="25"/>
        <v/>
      </c>
      <c r="AG36" s="27" t="str">
        <f t="shared" si="25"/>
        <v/>
      </c>
      <c r="AH36" s="27" t="str">
        <f t="shared" si="25"/>
        <v/>
      </c>
      <c r="AI36" s="27" t="str">
        <f t="shared" si="25"/>
        <v/>
      </c>
      <c r="AJ36" s="27" t="str">
        <f t="shared" si="25"/>
        <v/>
      </c>
      <c r="AK36" s="27" t="str">
        <f t="shared" si="26"/>
        <v/>
      </c>
      <c r="AL36" s="27" t="str">
        <f t="shared" si="26"/>
        <v/>
      </c>
      <c r="AM36" s="27" t="str">
        <f t="shared" si="26"/>
        <v/>
      </c>
      <c r="AN36" s="27" t="str">
        <f t="shared" si="26"/>
        <v/>
      </c>
      <c r="AO36" s="27" t="str">
        <f t="shared" si="26"/>
        <v/>
      </c>
      <c r="AP36" s="27" t="str">
        <f t="shared" si="26"/>
        <v/>
      </c>
      <c r="AQ36" s="27" t="str">
        <f t="shared" si="26"/>
        <v/>
      </c>
      <c r="AR36" s="27" t="str">
        <f t="shared" si="26"/>
        <v/>
      </c>
      <c r="AS36" s="27" t="str">
        <f t="shared" si="26"/>
        <v/>
      </c>
      <c r="AT36" s="27" t="str">
        <f t="shared" si="26"/>
        <v/>
      </c>
      <c r="AU36" s="27" t="str">
        <f t="shared" si="27"/>
        <v/>
      </c>
      <c r="AV36" s="27" t="str">
        <f t="shared" si="27"/>
        <v/>
      </c>
      <c r="AW36" s="27" t="str">
        <f t="shared" si="27"/>
        <v/>
      </c>
      <c r="AX36" s="27" t="str">
        <f t="shared" si="27"/>
        <v/>
      </c>
      <c r="AY36" s="27" t="str">
        <f t="shared" si="27"/>
        <v/>
      </c>
      <c r="AZ36" s="27" t="str">
        <f t="shared" si="27"/>
        <v/>
      </c>
      <c r="BA36" s="27" t="str">
        <f t="shared" si="27"/>
        <v/>
      </c>
      <c r="BB36" s="27" t="str">
        <f t="shared" si="27"/>
        <v/>
      </c>
      <c r="BC36" s="27" t="str">
        <f t="shared" si="27"/>
        <v/>
      </c>
      <c r="BD36" s="27" t="str">
        <f t="shared" si="27"/>
        <v/>
      </c>
      <c r="BE36" s="27" t="str">
        <f t="shared" si="28"/>
        <v/>
      </c>
      <c r="BF36" s="27" t="str">
        <f t="shared" si="28"/>
        <v/>
      </c>
      <c r="BG36" s="27" t="str">
        <f t="shared" si="28"/>
        <v/>
      </c>
      <c r="BH36" s="27" t="str">
        <f t="shared" si="28"/>
        <v/>
      </c>
      <c r="BI36" s="27" t="str">
        <f t="shared" si="28"/>
        <v/>
      </c>
      <c r="BJ36" s="27" t="str">
        <f t="shared" si="28"/>
        <v/>
      </c>
      <c r="BK36" s="27" t="str">
        <f t="shared" si="28"/>
        <v/>
      </c>
      <c r="BL36" s="27" t="str">
        <f t="shared" si="28"/>
        <v/>
      </c>
      <c r="BM36" s="27" t="str">
        <f t="shared" si="28"/>
        <v/>
      </c>
      <c r="BN36" s="27" t="str">
        <f t="shared" si="28"/>
        <v/>
      </c>
    </row>
    <row r="37" spans="1:66" ht="15" customHeight="1" x14ac:dyDescent="0.3">
      <c r="A37" s="10" t="str">
        <f>Machine_List!A37</f>
        <v>EDM</v>
      </c>
      <c r="B37" s="10" t="str">
        <f>Machine_List!B37</f>
        <v>EDM-MC-18</v>
      </c>
      <c r="C37" s="22">
        <f>Machine_List!C37</f>
        <v>46225</v>
      </c>
      <c r="D37" s="10">
        <f>Machine_List!D37</f>
        <v>6</v>
      </c>
      <c r="E37" s="10">
        <f t="shared" ca="1" si="29"/>
        <v>106</v>
      </c>
      <c r="F37" s="10" t="str">
        <f t="shared" ca="1" si="30"/>
        <v>OK</v>
      </c>
      <c r="G37" s="27" t="str">
        <f t="shared" si="23"/>
        <v/>
      </c>
      <c r="H37" s="27" t="str">
        <f t="shared" si="23"/>
        <v/>
      </c>
      <c r="I37" s="27" t="str">
        <f t="shared" si="23"/>
        <v/>
      </c>
      <c r="J37" s="27" t="str">
        <f t="shared" si="23"/>
        <v/>
      </c>
      <c r="K37" s="27" t="str">
        <f t="shared" si="23"/>
        <v/>
      </c>
      <c r="L37" s="27" t="str">
        <f t="shared" si="23"/>
        <v/>
      </c>
      <c r="M37" s="27" t="str">
        <f t="shared" si="23"/>
        <v/>
      </c>
      <c r="N37" s="27" t="str">
        <f t="shared" si="23"/>
        <v/>
      </c>
      <c r="O37" s="27" t="str">
        <f t="shared" si="23"/>
        <v/>
      </c>
      <c r="P37" s="27" t="str">
        <f t="shared" si="23"/>
        <v/>
      </c>
      <c r="Q37" s="27" t="str">
        <f t="shared" si="24"/>
        <v/>
      </c>
      <c r="R37" s="27" t="str">
        <f t="shared" si="24"/>
        <v/>
      </c>
      <c r="S37" s="27" t="str">
        <f t="shared" si="24"/>
        <v/>
      </c>
      <c r="T37" s="27" t="str">
        <f t="shared" si="24"/>
        <v/>
      </c>
      <c r="U37" s="27" t="str">
        <f t="shared" si="24"/>
        <v/>
      </c>
      <c r="V37" s="27" t="str">
        <f t="shared" si="24"/>
        <v/>
      </c>
      <c r="W37" s="27" t="str">
        <f t="shared" si="24"/>
        <v/>
      </c>
      <c r="X37" s="27" t="str">
        <f t="shared" si="24"/>
        <v/>
      </c>
      <c r="Y37" s="27" t="str">
        <f t="shared" si="24"/>
        <v/>
      </c>
      <c r="Z37" s="27" t="str">
        <f t="shared" si="24"/>
        <v/>
      </c>
      <c r="AA37" s="27" t="str">
        <f t="shared" si="25"/>
        <v/>
      </c>
      <c r="AB37" s="27" t="str">
        <f t="shared" si="25"/>
        <v/>
      </c>
      <c r="AC37" s="27" t="str">
        <f t="shared" si="25"/>
        <v/>
      </c>
      <c r="AD37" s="27" t="str">
        <f t="shared" si="25"/>
        <v/>
      </c>
      <c r="AE37" s="27" t="str">
        <f t="shared" si="25"/>
        <v/>
      </c>
      <c r="AF37" s="27" t="str">
        <f t="shared" si="25"/>
        <v/>
      </c>
      <c r="AG37" s="27" t="str">
        <f t="shared" si="25"/>
        <v/>
      </c>
      <c r="AH37" s="27" t="str">
        <f t="shared" si="25"/>
        <v/>
      </c>
      <c r="AI37" s="27" t="str">
        <f t="shared" si="25"/>
        <v/>
      </c>
      <c r="AJ37" s="27" t="str">
        <f t="shared" si="25"/>
        <v/>
      </c>
      <c r="AK37" s="27" t="str">
        <f t="shared" si="26"/>
        <v/>
      </c>
      <c r="AL37" s="27" t="str">
        <f t="shared" si="26"/>
        <v/>
      </c>
      <c r="AM37" s="27" t="str">
        <f t="shared" si="26"/>
        <v/>
      </c>
      <c r="AN37" s="27" t="str">
        <f t="shared" si="26"/>
        <v/>
      </c>
      <c r="AO37" s="27" t="str">
        <f t="shared" si="26"/>
        <v/>
      </c>
      <c r="AP37" s="27" t="str">
        <f t="shared" si="26"/>
        <v/>
      </c>
      <c r="AQ37" s="27" t="str">
        <f t="shared" si="26"/>
        <v/>
      </c>
      <c r="AR37" s="27" t="str">
        <f t="shared" si="26"/>
        <v/>
      </c>
      <c r="AS37" s="27" t="str">
        <f t="shared" si="26"/>
        <v/>
      </c>
      <c r="AT37" s="27" t="str">
        <f t="shared" si="26"/>
        <v/>
      </c>
      <c r="AU37" s="27" t="str">
        <f t="shared" si="27"/>
        <v/>
      </c>
      <c r="AV37" s="27" t="str">
        <f t="shared" si="27"/>
        <v/>
      </c>
      <c r="AW37" s="27" t="str">
        <f t="shared" si="27"/>
        <v/>
      </c>
      <c r="AX37" s="27" t="str">
        <f t="shared" si="27"/>
        <v/>
      </c>
      <c r="AY37" s="27" t="str">
        <f t="shared" si="27"/>
        <v/>
      </c>
      <c r="AZ37" s="27" t="str">
        <f t="shared" si="27"/>
        <v/>
      </c>
      <c r="BA37" s="27" t="str">
        <f t="shared" si="27"/>
        <v/>
      </c>
      <c r="BB37" s="27" t="str">
        <f t="shared" si="27"/>
        <v/>
      </c>
      <c r="BC37" s="27" t="str">
        <f t="shared" si="27"/>
        <v/>
      </c>
      <c r="BD37" s="27" t="str">
        <f t="shared" si="27"/>
        <v/>
      </c>
      <c r="BE37" s="27" t="str">
        <f t="shared" si="28"/>
        <v/>
      </c>
      <c r="BF37" s="27" t="str">
        <f t="shared" si="28"/>
        <v/>
      </c>
      <c r="BG37" s="27" t="str">
        <f t="shared" si="28"/>
        <v/>
      </c>
      <c r="BH37" s="27" t="str">
        <f t="shared" si="28"/>
        <v/>
      </c>
      <c r="BI37" s="27" t="str">
        <f t="shared" si="28"/>
        <v/>
      </c>
      <c r="BJ37" s="27" t="str">
        <f t="shared" si="28"/>
        <v/>
      </c>
      <c r="BK37" s="27" t="str">
        <f t="shared" si="28"/>
        <v/>
      </c>
      <c r="BL37" s="27" t="str">
        <f t="shared" si="28"/>
        <v/>
      </c>
      <c r="BM37" s="27" t="str">
        <f t="shared" si="28"/>
        <v/>
      </c>
      <c r="BN37" s="27" t="str">
        <f t="shared" si="28"/>
        <v/>
      </c>
    </row>
    <row r="38" spans="1:66" ht="15" customHeight="1" x14ac:dyDescent="0.3">
      <c r="A38" s="10" t="str">
        <f>Machine_List!A38</f>
        <v>EDM</v>
      </c>
      <c r="B38" s="10" t="str">
        <f>Machine_List!B38</f>
        <v>EDM-MC-19</v>
      </c>
      <c r="C38" s="22">
        <f>Machine_List!C38</f>
        <v>46263</v>
      </c>
      <c r="D38" s="10">
        <f>Machine_List!D38</f>
        <v>6</v>
      </c>
      <c r="E38" s="10">
        <f t="shared" ca="1" si="29"/>
        <v>144</v>
      </c>
      <c r="F38" s="10" t="str">
        <f t="shared" ca="1" si="30"/>
        <v>OK</v>
      </c>
      <c r="G38" s="27" t="str">
        <f t="shared" si="23"/>
        <v/>
      </c>
      <c r="H38" s="27" t="str">
        <f t="shared" si="23"/>
        <v/>
      </c>
      <c r="I38" s="27" t="str">
        <f t="shared" si="23"/>
        <v/>
      </c>
      <c r="J38" s="27" t="str">
        <f t="shared" si="23"/>
        <v/>
      </c>
      <c r="K38" s="27" t="str">
        <f t="shared" si="23"/>
        <v/>
      </c>
      <c r="L38" s="27" t="str">
        <f t="shared" si="23"/>
        <v/>
      </c>
      <c r="M38" s="27" t="str">
        <f t="shared" si="23"/>
        <v/>
      </c>
      <c r="N38" s="27" t="str">
        <f t="shared" si="23"/>
        <v/>
      </c>
      <c r="O38" s="27" t="str">
        <f t="shared" si="23"/>
        <v/>
      </c>
      <c r="P38" s="27" t="str">
        <f t="shared" si="23"/>
        <v/>
      </c>
      <c r="Q38" s="27" t="str">
        <f t="shared" si="24"/>
        <v/>
      </c>
      <c r="R38" s="27" t="str">
        <f t="shared" si="24"/>
        <v/>
      </c>
      <c r="S38" s="27" t="str">
        <f t="shared" si="24"/>
        <v/>
      </c>
      <c r="T38" s="27" t="str">
        <f t="shared" si="24"/>
        <v/>
      </c>
      <c r="U38" s="27" t="str">
        <f t="shared" si="24"/>
        <v/>
      </c>
      <c r="V38" s="27" t="str">
        <f t="shared" si="24"/>
        <v/>
      </c>
      <c r="W38" s="27" t="str">
        <f t="shared" si="24"/>
        <v/>
      </c>
      <c r="X38" s="27" t="str">
        <f t="shared" si="24"/>
        <v/>
      </c>
      <c r="Y38" s="27" t="str">
        <f t="shared" si="24"/>
        <v/>
      </c>
      <c r="Z38" s="27" t="str">
        <f t="shared" si="24"/>
        <v/>
      </c>
      <c r="AA38" s="27" t="str">
        <f t="shared" si="25"/>
        <v/>
      </c>
      <c r="AB38" s="27" t="str">
        <f t="shared" si="25"/>
        <v/>
      </c>
      <c r="AC38" s="27" t="str">
        <f t="shared" si="25"/>
        <v/>
      </c>
      <c r="AD38" s="27" t="str">
        <f t="shared" si="25"/>
        <v/>
      </c>
      <c r="AE38" s="27" t="str">
        <f t="shared" si="25"/>
        <v/>
      </c>
      <c r="AF38" s="27" t="str">
        <f t="shared" si="25"/>
        <v/>
      </c>
      <c r="AG38" s="27" t="str">
        <f t="shared" si="25"/>
        <v/>
      </c>
      <c r="AH38" s="27" t="str">
        <f t="shared" si="25"/>
        <v/>
      </c>
      <c r="AI38" s="27" t="str">
        <f t="shared" si="25"/>
        <v/>
      </c>
      <c r="AJ38" s="27" t="str">
        <f t="shared" si="25"/>
        <v/>
      </c>
      <c r="AK38" s="27" t="str">
        <f t="shared" si="26"/>
        <v/>
      </c>
      <c r="AL38" s="27" t="str">
        <f t="shared" si="26"/>
        <v/>
      </c>
      <c r="AM38" s="27" t="str">
        <f t="shared" si="26"/>
        <v/>
      </c>
      <c r="AN38" s="27" t="str">
        <f t="shared" si="26"/>
        <v/>
      </c>
      <c r="AO38" s="27" t="str">
        <f t="shared" si="26"/>
        <v/>
      </c>
      <c r="AP38" s="27" t="str">
        <f t="shared" si="26"/>
        <v/>
      </c>
      <c r="AQ38" s="27" t="str">
        <f t="shared" si="26"/>
        <v/>
      </c>
      <c r="AR38" s="27" t="str">
        <f t="shared" si="26"/>
        <v/>
      </c>
      <c r="AS38" s="27" t="str">
        <f t="shared" si="26"/>
        <v/>
      </c>
      <c r="AT38" s="27" t="str">
        <f t="shared" si="26"/>
        <v/>
      </c>
      <c r="AU38" s="27" t="str">
        <f t="shared" si="27"/>
        <v/>
      </c>
      <c r="AV38" s="27" t="str">
        <f t="shared" si="27"/>
        <v/>
      </c>
      <c r="AW38" s="27" t="str">
        <f t="shared" si="27"/>
        <v/>
      </c>
      <c r="AX38" s="27" t="str">
        <f t="shared" si="27"/>
        <v/>
      </c>
      <c r="AY38" s="27" t="str">
        <f t="shared" si="27"/>
        <v/>
      </c>
      <c r="AZ38" s="27" t="str">
        <f t="shared" si="27"/>
        <v/>
      </c>
      <c r="BA38" s="27" t="str">
        <f t="shared" si="27"/>
        <v/>
      </c>
      <c r="BB38" s="27" t="str">
        <f t="shared" si="27"/>
        <v/>
      </c>
      <c r="BC38" s="27" t="str">
        <f t="shared" si="27"/>
        <v/>
      </c>
      <c r="BD38" s="27" t="str">
        <f t="shared" si="27"/>
        <v/>
      </c>
      <c r="BE38" s="27" t="str">
        <f t="shared" si="28"/>
        <v/>
      </c>
      <c r="BF38" s="27" t="str">
        <f t="shared" si="28"/>
        <v/>
      </c>
      <c r="BG38" s="27" t="str">
        <f t="shared" si="28"/>
        <v/>
      </c>
      <c r="BH38" s="27" t="str">
        <f t="shared" si="28"/>
        <v/>
      </c>
      <c r="BI38" s="27" t="str">
        <f t="shared" si="28"/>
        <v/>
      </c>
      <c r="BJ38" s="27" t="str">
        <f t="shared" si="28"/>
        <v/>
      </c>
      <c r="BK38" s="27" t="str">
        <f t="shared" si="28"/>
        <v/>
      </c>
      <c r="BL38" s="27" t="str">
        <f t="shared" si="28"/>
        <v/>
      </c>
      <c r="BM38" s="27" t="str">
        <f t="shared" si="28"/>
        <v/>
      </c>
      <c r="BN38" s="27" t="str">
        <f t="shared" si="28"/>
        <v/>
      </c>
    </row>
    <row r="39" spans="1:66" ht="15" customHeight="1" x14ac:dyDescent="0.3">
      <c r="A39" s="10" t="str">
        <f>Machine_List!A39</f>
        <v>EDM</v>
      </c>
      <c r="B39" s="10" t="str">
        <f>Machine_List!B39</f>
        <v>EDM-MC-20</v>
      </c>
      <c r="C39" s="22">
        <f>Machine_List!C39</f>
        <v>46040</v>
      </c>
      <c r="D39" s="10">
        <f>Machine_List!D39</f>
        <v>6</v>
      </c>
      <c r="E39" s="10">
        <f t="shared" ca="1" si="29"/>
        <v>-79</v>
      </c>
      <c r="F39" s="10" t="str">
        <f t="shared" ca="1" si="30"/>
        <v>OVERDUE</v>
      </c>
      <c r="G39" s="27" t="str">
        <f t="shared" si="23"/>
        <v/>
      </c>
      <c r="H39" s="27" t="str">
        <f t="shared" si="23"/>
        <v/>
      </c>
      <c r="I39" s="27" t="str">
        <f t="shared" si="23"/>
        <v/>
      </c>
      <c r="J39" s="27" t="str">
        <f t="shared" si="23"/>
        <v/>
      </c>
      <c r="K39" s="27" t="str">
        <f t="shared" si="23"/>
        <v/>
      </c>
      <c r="L39" s="27" t="str">
        <f t="shared" si="23"/>
        <v/>
      </c>
      <c r="M39" s="27" t="str">
        <f t="shared" si="23"/>
        <v/>
      </c>
      <c r="N39" s="27" t="str">
        <f t="shared" si="23"/>
        <v/>
      </c>
      <c r="O39" s="27" t="str">
        <f t="shared" si="23"/>
        <v/>
      </c>
      <c r="P39" s="27" t="str">
        <f t="shared" si="23"/>
        <v/>
      </c>
      <c r="Q39" s="27" t="str">
        <f t="shared" si="24"/>
        <v/>
      </c>
      <c r="R39" s="27" t="str">
        <f t="shared" si="24"/>
        <v/>
      </c>
      <c r="S39" s="27" t="str">
        <f t="shared" si="24"/>
        <v/>
      </c>
      <c r="T39" s="27" t="str">
        <f t="shared" si="24"/>
        <v/>
      </c>
      <c r="U39" s="27" t="str">
        <f t="shared" si="24"/>
        <v/>
      </c>
      <c r="V39" s="27" t="str">
        <f t="shared" si="24"/>
        <v/>
      </c>
      <c r="W39" s="27" t="str">
        <f t="shared" si="24"/>
        <v/>
      </c>
      <c r="X39" s="27" t="str">
        <f t="shared" si="24"/>
        <v/>
      </c>
      <c r="Y39" s="27" t="str">
        <f t="shared" si="24"/>
        <v/>
      </c>
      <c r="Z39" s="27" t="str">
        <f t="shared" si="24"/>
        <v/>
      </c>
      <c r="AA39" s="27" t="str">
        <f t="shared" si="25"/>
        <v/>
      </c>
      <c r="AB39" s="27" t="str">
        <f t="shared" si="25"/>
        <v/>
      </c>
      <c r="AC39" s="27" t="str">
        <f t="shared" si="25"/>
        <v/>
      </c>
      <c r="AD39" s="27" t="str">
        <f t="shared" si="25"/>
        <v/>
      </c>
      <c r="AE39" s="27" t="str">
        <f t="shared" si="25"/>
        <v/>
      </c>
      <c r="AF39" s="27" t="str">
        <f t="shared" si="25"/>
        <v/>
      </c>
      <c r="AG39" s="27" t="str">
        <f t="shared" si="25"/>
        <v/>
      </c>
      <c r="AH39" s="27" t="str">
        <f t="shared" si="25"/>
        <v/>
      </c>
      <c r="AI39" s="27" t="str">
        <f t="shared" si="25"/>
        <v/>
      </c>
      <c r="AJ39" s="27" t="str">
        <f t="shared" si="25"/>
        <v/>
      </c>
      <c r="AK39" s="27" t="str">
        <f t="shared" si="26"/>
        <v/>
      </c>
      <c r="AL39" s="27" t="str">
        <f t="shared" si="26"/>
        <v/>
      </c>
      <c r="AM39" s="27" t="str">
        <f t="shared" si="26"/>
        <v/>
      </c>
      <c r="AN39" s="27" t="str">
        <f t="shared" si="26"/>
        <v/>
      </c>
      <c r="AO39" s="27" t="str">
        <f t="shared" si="26"/>
        <v/>
      </c>
      <c r="AP39" s="27" t="str">
        <f t="shared" si="26"/>
        <v/>
      </c>
      <c r="AQ39" s="27" t="str">
        <f t="shared" si="26"/>
        <v/>
      </c>
      <c r="AR39" s="27" t="str">
        <f t="shared" si="26"/>
        <v/>
      </c>
      <c r="AS39" s="27" t="str">
        <f t="shared" si="26"/>
        <v/>
      </c>
      <c r="AT39" s="27" t="str">
        <f t="shared" si="26"/>
        <v/>
      </c>
      <c r="AU39" s="27" t="str">
        <f t="shared" si="27"/>
        <v/>
      </c>
      <c r="AV39" s="27" t="str">
        <f t="shared" si="27"/>
        <v/>
      </c>
      <c r="AW39" s="27" t="str">
        <f t="shared" si="27"/>
        <v/>
      </c>
      <c r="AX39" s="27" t="str">
        <f t="shared" si="27"/>
        <v/>
      </c>
      <c r="AY39" s="27" t="str">
        <f t="shared" si="27"/>
        <v/>
      </c>
      <c r="AZ39" s="27" t="str">
        <f t="shared" si="27"/>
        <v/>
      </c>
      <c r="BA39" s="27" t="str">
        <f t="shared" si="27"/>
        <v/>
      </c>
      <c r="BB39" s="27" t="str">
        <f t="shared" si="27"/>
        <v/>
      </c>
      <c r="BC39" s="27" t="str">
        <f t="shared" si="27"/>
        <v/>
      </c>
      <c r="BD39" s="27" t="str">
        <f t="shared" si="27"/>
        <v/>
      </c>
      <c r="BE39" s="27" t="str">
        <f t="shared" si="28"/>
        <v/>
      </c>
      <c r="BF39" s="27" t="str">
        <f t="shared" si="28"/>
        <v/>
      </c>
      <c r="BG39" s="27" t="str">
        <f t="shared" si="28"/>
        <v/>
      </c>
      <c r="BH39" s="27" t="str">
        <f t="shared" si="28"/>
        <v/>
      </c>
      <c r="BI39" s="27" t="str">
        <f t="shared" si="28"/>
        <v/>
      </c>
      <c r="BJ39" s="27" t="str">
        <f t="shared" si="28"/>
        <v/>
      </c>
      <c r="BK39" s="27" t="str">
        <f t="shared" si="28"/>
        <v/>
      </c>
      <c r="BL39" s="27" t="str">
        <f t="shared" si="28"/>
        <v/>
      </c>
      <c r="BM39" s="27" t="str">
        <f t="shared" si="28"/>
        <v/>
      </c>
      <c r="BN39" s="27" t="str">
        <f t="shared" si="28"/>
        <v/>
      </c>
    </row>
    <row r="40" spans="1:66" ht="15" customHeight="1" x14ac:dyDescent="0.3">
      <c r="A40" s="10" t="str">
        <f>Machine_List!A40</f>
        <v>EDM</v>
      </c>
      <c r="B40" s="10" t="str">
        <f>Machine_List!B40</f>
        <v>EDM-MC-21</v>
      </c>
      <c r="C40" s="22">
        <f>Machine_List!C40</f>
        <v>46476</v>
      </c>
      <c r="D40" s="10">
        <f>Machine_List!D40</f>
        <v>6</v>
      </c>
      <c r="E40" s="10">
        <f t="shared" ca="1" si="29"/>
        <v>357</v>
      </c>
      <c r="F40" s="10" t="str">
        <f t="shared" ca="1" si="30"/>
        <v>OK</v>
      </c>
      <c r="G40" s="27" t="str">
        <f t="shared" si="23"/>
        <v/>
      </c>
      <c r="H40" s="27" t="str">
        <f t="shared" si="23"/>
        <v/>
      </c>
      <c r="I40" s="27" t="str">
        <f t="shared" si="23"/>
        <v/>
      </c>
      <c r="J40" s="27" t="str">
        <f t="shared" si="23"/>
        <v/>
      </c>
      <c r="K40" s="27" t="str">
        <f t="shared" si="23"/>
        <v/>
      </c>
      <c r="L40" s="27" t="str">
        <f t="shared" si="23"/>
        <v/>
      </c>
      <c r="M40" s="27" t="str">
        <f t="shared" si="23"/>
        <v/>
      </c>
      <c r="N40" s="27" t="str">
        <f t="shared" si="23"/>
        <v/>
      </c>
      <c r="O40" s="27" t="str">
        <f t="shared" si="23"/>
        <v/>
      </c>
      <c r="P40" s="27" t="str">
        <f t="shared" si="23"/>
        <v/>
      </c>
      <c r="Q40" s="27" t="str">
        <f t="shared" si="24"/>
        <v/>
      </c>
      <c r="R40" s="27" t="str">
        <f t="shared" si="24"/>
        <v/>
      </c>
      <c r="S40" s="27" t="str">
        <f t="shared" si="24"/>
        <v/>
      </c>
      <c r="T40" s="27" t="str">
        <f t="shared" si="24"/>
        <v/>
      </c>
      <c r="U40" s="27" t="str">
        <f t="shared" si="24"/>
        <v/>
      </c>
      <c r="V40" s="27" t="str">
        <f t="shared" si="24"/>
        <v/>
      </c>
      <c r="W40" s="27" t="str">
        <f t="shared" si="24"/>
        <v/>
      </c>
      <c r="X40" s="27" t="str">
        <f t="shared" si="24"/>
        <v/>
      </c>
      <c r="Y40" s="27" t="str">
        <f t="shared" si="24"/>
        <v/>
      </c>
      <c r="Z40" s="27" t="str">
        <f t="shared" si="24"/>
        <v/>
      </c>
      <c r="AA40" s="27" t="str">
        <f t="shared" si="25"/>
        <v/>
      </c>
      <c r="AB40" s="27" t="str">
        <f t="shared" si="25"/>
        <v/>
      </c>
      <c r="AC40" s="27" t="str">
        <f t="shared" si="25"/>
        <v/>
      </c>
      <c r="AD40" s="27" t="str">
        <f t="shared" si="25"/>
        <v/>
      </c>
      <c r="AE40" s="27" t="str">
        <f t="shared" si="25"/>
        <v/>
      </c>
      <c r="AF40" s="27" t="str">
        <f t="shared" si="25"/>
        <v/>
      </c>
      <c r="AG40" s="27" t="str">
        <f t="shared" si="25"/>
        <v/>
      </c>
      <c r="AH40" s="27" t="str">
        <f t="shared" si="25"/>
        <v/>
      </c>
      <c r="AI40" s="27" t="str">
        <f t="shared" si="25"/>
        <v/>
      </c>
      <c r="AJ40" s="27" t="str">
        <f t="shared" si="25"/>
        <v/>
      </c>
      <c r="AK40" s="27" t="str">
        <f t="shared" si="26"/>
        <v/>
      </c>
      <c r="AL40" s="27" t="str">
        <f t="shared" si="26"/>
        <v/>
      </c>
      <c r="AM40" s="27" t="str">
        <f t="shared" si="26"/>
        <v/>
      </c>
      <c r="AN40" s="27" t="str">
        <f t="shared" si="26"/>
        <v/>
      </c>
      <c r="AO40" s="27" t="str">
        <f t="shared" si="26"/>
        <v/>
      </c>
      <c r="AP40" s="27" t="str">
        <f t="shared" si="26"/>
        <v/>
      </c>
      <c r="AQ40" s="27" t="str">
        <f t="shared" si="26"/>
        <v/>
      </c>
      <c r="AR40" s="27" t="str">
        <f t="shared" si="26"/>
        <v/>
      </c>
      <c r="AS40" s="27" t="str">
        <f t="shared" si="26"/>
        <v/>
      </c>
      <c r="AT40" s="27" t="str">
        <f t="shared" si="26"/>
        <v/>
      </c>
      <c r="AU40" s="27" t="str">
        <f t="shared" si="27"/>
        <v/>
      </c>
      <c r="AV40" s="27" t="str">
        <f t="shared" si="27"/>
        <v/>
      </c>
      <c r="AW40" s="27" t="str">
        <f t="shared" si="27"/>
        <v/>
      </c>
      <c r="AX40" s="27" t="str">
        <f t="shared" si="27"/>
        <v/>
      </c>
      <c r="AY40" s="27" t="str">
        <f t="shared" si="27"/>
        <v/>
      </c>
      <c r="AZ40" s="27" t="str">
        <f t="shared" si="27"/>
        <v/>
      </c>
      <c r="BA40" s="27" t="str">
        <f t="shared" si="27"/>
        <v/>
      </c>
      <c r="BB40" s="27" t="str">
        <f t="shared" si="27"/>
        <v/>
      </c>
      <c r="BC40" s="27" t="str">
        <f t="shared" si="27"/>
        <v/>
      </c>
      <c r="BD40" s="27" t="str">
        <f t="shared" si="27"/>
        <v/>
      </c>
      <c r="BE40" s="27" t="str">
        <f t="shared" si="28"/>
        <v/>
      </c>
      <c r="BF40" s="27" t="str">
        <f t="shared" si="28"/>
        <v/>
      </c>
      <c r="BG40" s="27" t="str">
        <f t="shared" si="28"/>
        <v/>
      </c>
      <c r="BH40" s="27" t="str">
        <f t="shared" si="28"/>
        <v/>
      </c>
      <c r="BI40" s="27" t="str">
        <f t="shared" si="28"/>
        <v/>
      </c>
      <c r="BJ40" s="27" t="str">
        <f t="shared" si="28"/>
        <v/>
      </c>
      <c r="BK40" s="27" t="str">
        <f t="shared" si="28"/>
        <v/>
      </c>
      <c r="BL40" s="27" t="str">
        <f t="shared" si="28"/>
        <v/>
      </c>
      <c r="BM40" s="27" t="str">
        <f t="shared" si="28"/>
        <v/>
      </c>
      <c r="BN40" s="27" t="str">
        <f t="shared" si="28"/>
        <v/>
      </c>
    </row>
    <row r="41" spans="1:66" ht="15" customHeight="1" x14ac:dyDescent="0.3">
      <c r="A41" s="10" t="str">
        <f>Machine_List!A41</f>
        <v>EDM</v>
      </c>
      <c r="B41" s="10" t="str">
        <f>Machine_List!B41</f>
        <v>EDM-MC-22</v>
      </c>
      <c r="C41" s="22">
        <f>Machine_List!C41</f>
        <v>46239</v>
      </c>
      <c r="D41" s="10">
        <f>Machine_List!D41</f>
        <v>6</v>
      </c>
      <c r="E41" s="10">
        <f t="shared" ca="1" si="29"/>
        <v>120</v>
      </c>
      <c r="F41" s="10" t="str">
        <f t="shared" ca="1" si="30"/>
        <v>OK</v>
      </c>
      <c r="G41" s="27" t="str">
        <f t="shared" si="23"/>
        <v/>
      </c>
      <c r="H41" s="27" t="str">
        <f t="shared" si="23"/>
        <v/>
      </c>
      <c r="I41" s="27" t="str">
        <f t="shared" si="23"/>
        <v/>
      </c>
      <c r="J41" s="27" t="str">
        <f t="shared" si="23"/>
        <v/>
      </c>
      <c r="K41" s="27" t="str">
        <f t="shared" si="23"/>
        <v/>
      </c>
      <c r="L41" s="27" t="str">
        <f t="shared" si="23"/>
        <v/>
      </c>
      <c r="M41" s="27" t="str">
        <f t="shared" si="23"/>
        <v/>
      </c>
      <c r="N41" s="27" t="str">
        <f t="shared" si="23"/>
        <v/>
      </c>
      <c r="O41" s="27" t="str">
        <f t="shared" si="23"/>
        <v/>
      </c>
      <c r="P41" s="27" t="str">
        <f t="shared" si="23"/>
        <v/>
      </c>
      <c r="Q41" s="27" t="str">
        <f t="shared" si="24"/>
        <v/>
      </c>
      <c r="R41" s="27" t="str">
        <f t="shared" si="24"/>
        <v/>
      </c>
      <c r="S41" s="27" t="str">
        <f t="shared" si="24"/>
        <v/>
      </c>
      <c r="T41" s="27" t="str">
        <f t="shared" si="24"/>
        <v/>
      </c>
      <c r="U41" s="27" t="str">
        <f t="shared" si="24"/>
        <v/>
      </c>
      <c r="V41" s="27" t="str">
        <f t="shared" si="24"/>
        <v/>
      </c>
      <c r="W41" s="27" t="str">
        <f t="shared" si="24"/>
        <v/>
      </c>
      <c r="X41" s="27" t="str">
        <f t="shared" si="24"/>
        <v/>
      </c>
      <c r="Y41" s="27" t="str">
        <f t="shared" si="24"/>
        <v/>
      </c>
      <c r="Z41" s="27" t="str">
        <f t="shared" si="24"/>
        <v/>
      </c>
      <c r="AA41" s="27" t="str">
        <f t="shared" si="25"/>
        <v/>
      </c>
      <c r="AB41" s="27" t="str">
        <f t="shared" si="25"/>
        <v/>
      </c>
      <c r="AC41" s="27" t="str">
        <f t="shared" si="25"/>
        <v/>
      </c>
      <c r="AD41" s="27" t="str">
        <f t="shared" si="25"/>
        <v/>
      </c>
      <c r="AE41" s="27" t="str">
        <f t="shared" si="25"/>
        <v/>
      </c>
      <c r="AF41" s="27" t="str">
        <f t="shared" si="25"/>
        <v/>
      </c>
      <c r="AG41" s="27" t="str">
        <f t="shared" si="25"/>
        <v/>
      </c>
      <c r="AH41" s="27" t="str">
        <f t="shared" si="25"/>
        <v/>
      </c>
      <c r="AI41" s="27" t="str">
        <f t="shared" si="25"/>
        <v/>
      </c>
      <c r="AJ41" s="27" t="str">
        <f t="shared" si="25"/>
        <v/>
      </c>
      <c r="AK41" s="27" t="str">
        <f t="shared" si="26"/>
        <v/>
      </c>
      <c r="AL41" s="27" t="str">
        <f t="shared" si="26"/>
        <v/>
      </c>
      <c r="AM41" s="27" t="str">
        <f t="shared" si="26"/>
        <v/>
      </c>
      <c r="AN41" s="27" t="str">
        <f t="shared" si="26"/>
        <v/>
      </c>
      <c r="AO41" s="27" t="str">
        <f t="shared" si="26"/>
        <v/>
      </c>
      <c r="AP41" s="27" t="str">
        <f t="shared" si="26"/>
        <v/>
      </c>
      <c r="AQ41" s="27" t="str">
        <f t="shared" si="26"/>
        <v/>
      </c>
      <c r="AR41" s="27" t="str">
        <f t="shared" si="26"/>
        <v/>
      </c>
      <c r="AS41" s="27" t="str">
        <f t="shared" si="26"/>
        <v/>
      </c>
      <c r="AT41" s="27" t="str">
        <f t="shared" si="26"/>
        <v/>
      </c>
      <c r="AU41" s="27" t="str">
        <f t="shared" si="27"/>
        <v/>
      </c>
      <c r="AV41" s="27" t="str">
        <f t="shared" si="27"/>
        <v/>
      </c>
      <c r="AW41" s="27" t="str">
        <f t="shared" si="27"/>
        <v/>
      </c>
      <c r="AX41" s="27" t="str">
        <f t="shared" si="27"/>
        <v/>
      </c>
      <c r="AY41" s="27" t="str">
        <f t="shared" si="27"/>
        <v/>
      </c>
      <c r="AZ41" s="27" t="str">
        <f t="shared" si="27"/>
        <v/>
      </c>
      <c r="BA41" s="27" t="str">
        <f t="shared" si="27"/>
        <v/>
      </c>
      <c r="BB41" s="27" t="str">
        <f t="shared" si="27"/>
        <v/>
      </c>
      <c r="BC41" s="27" t="str">
        <f t="shared" si="27"/>
        <v/>
      </c>
      <c r="BD41" s="27" t="str">
        <f t="shared" si="27"/>
        <v/>
      </c>
      <c r="BE41" s="27" t="str">
        <f t="shared" si="28"/>
        <v/>
      </c>
      <c r="BF41" s="27" t="str">
        <f t="shared" si="28"/>
        <v/>
      </c>
      <c r="BG41" s="27" t="str">
        <f t="shared" si="28"/>
        <v/>
      </c>
      <c r="BH41" s="27" t="str">
        <f t="shared" si="28"/>
        <v/>
      </c>
      <c r="BI41" s="27" t="str">
        <f t="shared" si="28"/>
        <v/>
      </c>
      <c r="BJ41" s="27" t="str">
        <f t="shared" si="28"/>
        <v/>
      </c>
      <c r="BK41" s="27" t="str">
        <f t="shared" si="28"/>
        <v/>
      </c>
      <c r="BL41" s="27" t="str">
        <f t="shared" si="28"/>
        <v/>
      </c>
      <c r="BM41" s="27" t="str">
        <f t="shared" si="28"/>
        <v/>
      </c>
      <c r="BN41" s="27" t="str">
        <f t="shared" si="28"/>
        <v/>
      </c>
    </row>
    <row r="42" spans="1:66" ht="15" customHeight="1" x14ac:dyDescent="0.3">
      <c r="A42" s="10" t="str">
        <f>Machine_List!A42</f>
        <v>EDM</v>
      </c>
      <c r="B42" s="10" t="str">
        <f>Machine_List!B42</f>
        <v>EDM-MC-23</v>
      </c>
      <c r="C42" s="22">
        <f>Machine_List!C42</f>
        <v>46324</v>
      </c>
      <c r="D42" s="10">
        <f>Machine_List!D42</f>
        <v>6</v>
      </c>
      <c r="E42" s="10">
        <f t="shared" ca="1" si="29"/>
        <v>205</v>
      </c>
      <c r="F42" s="10" t="str">
        <f t="shared" ca="1" si="30"/>
        <v>OK</v>
      </c>
      <c r="G42" s="27" t="str">
        <f t="shared" si="23"/>
        <v/>
      </c>
      <c r="H42" s="27" t="str">
        <f t="shared" si="23"/>
        <v/>
      </c>
      <c r="I42" s="27" t="str">
        <f t="shared" si="23"/>
        <v/>
      </c>
      <c r="J42" s="27" t="str">
        <f t="shared" si="23"/>
        <v/>
      </c>
      <c r="K42" s="27" t="str">
        <f t="shared" si="23"/>
        <v/>
      </c>
      <c r="L42" s="27" t="str">
        <f t="shared" si="23"/>
        <v/>
      </c>
      <c r="M42" s="27" t="str">
        <f t="shared" si="23"/>
        <v/>
      </c>
      <c r="N42" s="27" t="str">
        <f t="shared" si="23"/>
        <v/>
      </c>
      <c r="O42" s="27" t="str">
        <f t="shared" si="23"/>
        <v/>
      </c>
      <c r="P42" s="27" t="str">
        <f t="shared" si="23"/>
        <v/>
      </c>
      <c r="Q42" s="27" t="str">
        <f t="shared" si="24"/>
        <v/>
      </c>
      <c r="R42" s="27" t="str">
        <f t="shared" si="24"/>
        <v/>
      </c>
      <c r="S42" s="27" t="str">
        <f t="shared" si="24"/>
        <v/>
      </c>
      <c r="T42" s="27" t="str">
        <f t="shared" si="24"/>
        <v/>
      </c>
      <c r="U42" s="27" t="str">
        <f t="shared" si="24"/>
        <v/>
      </c>
      <c r="V42" s="27" t="str">
        <f t="shared" si="24"/>
        <v/>
      </c>
      <c r="W42" s="27" t="str">
        <f t="shared" si="24"/>
        <v/>
      </c>
      <c r="X42" s="27" t="str">
        <f t="shared" si="24"/>
        <v/>
      </c>
      <c r="Y42" s="27" t="str">
        <f t="shared" si="24"/>
        <v/>
      </c>
      <c r="Z42" s="27" t="str">
        <f t="shared" si="24"/>
        <v/>
      </c>
      <c r="AA42" s="27" t="str">
        <f t="shared" si="25"/>
        <v/>
      </c>
      <c r="AB42" s="27" t="str">
        <f t="shared" si="25"/>
        <v/>
      </c>
      <c r="AC42" s="27" t="str">
        <f t="shared" si="25"/>
        <v/>
      </c>
      <c r="AD42" s="27" t="str">
        <f t="shared" si="25"/>
        <v/>
      </c>
      <c r="AE42" s="27" t="str">
        <f t="shared" si="25"/>
        <v/>
      </c>
      <c r="AF42" s="27" t="str">
        <f t="shared" si="25"/>
        <v/>
      </c>
      <c r="AG42" s="27" t="str">
        <f t="shared" si="25"/>
        <v/>
      </c>
      <c r="AH42" s="27" t="str">
        <f t="shared" si="25"/>
        <v/>
      </c>
      <c r="AI42" s="27" t="str">
        <f t="shared" si="25"/>
        <v/>
      </c>
      <c r="AJ42" s="27" t="str">
        <f t="shared" si="25"/>
        <v/>
      </c>
      <c r="AK42" s="27" t="str">
        <f t="shared" si="26"/>
        <v/>
      </c>
      <c r="AL42" s="27" t="str">
        <f t="shared" si="26"/>
        <v/>
      </c>
      <c r="AM42" s="27" t="str">
        <f t="shared" si="26"/>
        <v/>
      </c>
      <c r="AN42" s="27" t="str">
        <f t="shared" si="26"/>
        <v/>
      </c>
      <c r="AO42" s="27" t="str">
        <f t="shared" si="26"/>
        <v/>
      </c>
      <c r="AP42" s="27" t="str">
        <f t="shared" si="26"/>
        <v/>
      </c>
      <c r="AQ42" s="27" t="str">
        <f t="shared" si="26"/>
        <v/>
      </c>
      <c r="AR42" s="27" t="str">
        <f t="shared" si="26"/>
        <v/>
      </c>
      <c r="AS42" s="27" t="str">
        <f t="shared" si="26"/>
        <v/>
      </c>
      <c r="AT42" s="27" t="str">
        <f t="shared" si="26"/>
        <v/>
      </c>
      <c r="AU42" s="27" t="str">
        <f t="shared" si="27"/>
        <v/>
      </c>
      <c r="AV42" s="27" t="str">
        <f t="shared" si="27"/>
        <v/>
      </c>
      <c r="AW42" s="27" t="str">
        <f t="shared" si="27"/>
        <v/>
      </c>
      <c r="AX42" s="27" t="str">
        <f t="shared" si="27"/>
        <v/>
      </c>
      <c r="AY42" s="27" t="str">
        <f t="shared" si="27"/>
        <v/>
      </c>
      <c r="AZ42" s="27" t="str">
        <f t="shared" si="27"/>
        <v/>
      </c>
      <c r="BA42" s="27" t="str">
        <f t="shared" si="27"/>
        <v/>
      </c>
      <c r="BB42" s="27" t="str">
        <f t="shared" si="27"/>
        <v/>
      </c>
      <c r="BC42" s="27" t="str">
        <f t="shared" si="27"/>
        <v/>
      </c>
      <c r="BD42" s="27" t="str">
        <f t="shared" si="27"/>
        <v/>
      </c>
      <c r="BE42" s="27" t="str">
        <f t="shared" si="28"/>
        <v/>
      </c>
      <c r="BF42" s="27" t="str">
        <f t="shared" si="28"/>
        <v/>
      </c>
      <c r="BG42" s="27" t="str">
        <f t="shared" si="28"/>
        <v/>
      </c>
      <c r="BH42" s="27" t="str">
        <f t="shared" si="28"/>
        <v/>
      </c>
      <c r="BI42" s="27" t="str">
        <f t="shared" si="28"/>
        <v/>
      </c>
      <c r="BJ42" s="27" t="str">
        <f t="shared" si="28"/>
        <v/>
      </c>
      <c r="BK42" s="27" t="str">
        <f t="shared" si="28"/>
        <v/>
      </c>
      <c r="BL42" s="27" t="str">
        <f t="shared" si="28"/>
        <v/>
      </c>
      <c r="BM42" s="27" t="str">
        <f t="shared" si="28"/>
        <v/>
      </c>
      <c r="BN42" s="27" t="str">
        <f t="shared" si="28"/>
        <v/>
      </c>
    </row>
    <row r="43" spans="1:66" ht="15" customHeight="1" x14ac:dyDescent="0.3">
      <c r="A43" s="10" t="str">
        <f>Machine_List!A43</f>
        <v>EDM</v>
      </c>
      <c r="B43" s="10" t="str">
        <f>Machine_List!B43</f>
        <v>EDM-MC-24</v>
      </c>
      <c r="C43" s="22">
        <f>Machine_List!C43</f>
        <v>46097</v>
      </c>
      <c r="D43" s="10">
        <f>Machine_List!D43</f>
        <v>6</v>
      </c>
      <c r="E43" s="10">
        <f t="shared" ca="1" si="29"/>
        <v>-22</v>
      </c>
      <c r="F43" s="10" t="str">
        <f t="shared" ca="1" si="30"/>
        <v>OVERDUE</v>
      </c>
      <c r="G43" s="27" t="str">
        <f t="shared" si="23"/>
        <v/>
      </c>
      <c r="H43" s="27" t="str">
        <f t="shared" si="23"/>
        <v/>
      </c>
      <c r="I43" s="27" t="str">
        <f t="shared" si="23"/>
        <v/>
      </c>
      <c r="J43" s="27" t="str">
        <f t="shared" si="23"/>
        <v/>
      </c>
      <c r="K43" s="27" t="str">
        <f t="shared" si="23"/>
        <v/>
      </c>
      <c r="L43" s="27" t="str">
        <f t="shared" si="23"/>
        <v/>
      </c>
      <c r="M43" s="27" t="str">
        <f t="shared" si="23"/>
        <v/>
      </c>
      <c r="N43" s="27" t="str">
        <f t="shared" si="23"/>
        <v/>
      </c>
      <c r="O43" s="27" t="str">
        <f t="shared" si="23"/>
        <v/>
      </c>
      <c r="P43" s="27" t="str">
        <f t="shared" si="23"/>
        <v/>
      </c>
      <c r="Q43" s="27" t="str">
        <f t="shared" si="24"/>
        <v/>
      </c>
      <c r="R43" s="27" t="str">
        <f t="shared" si="24"/>
        <v/>
      </c>
      <c r="S43" s="27" t="str">
        <f t="shared" si="24"/>
        <v/>
      </c>
      <c r="T43" s="27" t="str">
        <f t="shared" si="24"/>
        <v/>
      </c>
      <c r="U43" s="27" t="str">
        <f t="shared" si="24"/>
        <v/>
      </c>
      <c r="V43" s="27" t="str">
        <f t="shared" si="24"/>
        <v/>
      </c>
      <c r="W43" s="27" t="str">
        <f t="shared" si="24"/>
        <v/>
      </c>
      <c r="X43" s="27" t="str">
        <f t="shared" si="24"/>
        <v/>
      </c>
      <c r="Y43" s="27" t="str">
        <f t="shared" si="24"/>
        <v/>
      </c>
      <c r="Z43" s="27" t="str">
        <f t="shared" si="24"/>
        <v/>
      </c>
      <c r="AA43" s="27" t="str">
        <f t="shared" si="25"/>
        <v/>
      </c>
      <c r="AB43" s="27" t="str">
        <f t="shared" si="25"/>
        <v/>
      </c>
      <c r="AC43" s="27" t="str">
        <f t="shared" si="25"/>
        <v/>
      </c>
      <c r="AD43" s="27" t="str">
        <f t="shared" si="25"/>
        <v/>
      </c>
      <c r="AE43" s="27" t="str">
        <f t="shared" si="25"/>
        <v/>
      </c>
      <c r="AF43" s="27" t="str">
        <f t="shared" si="25"/>
        <v/>
      </c>
      <c r="AG43" s="27" t="str">
        <f t="shared" si="25"/>
        <v/>
      </c>
      <c r="AH43" s="27" t="str">
        <f t="shared" si="25"/>
        <v/>
      </c>
      <c r="AI43" s="27" t="str">
        <f t="shared" si="25"/>
        <v/>
      </c>
      <c r="AJ43" s="27" t="str">
        <f t="shared" si="25"/>
        <v/>
      </c>
      <c r="AK43" s="27" t="str">
        <f t="shared" si="26"/>
        <v/>
      </c>
      <c r="AL43" s="27" t="str">
        <f t="shared" si="26"/>
        <v/>
      </c>
      <c r="AM43" s="27" t="str">
        <f t="shared" si="26"/>
        <v/>
      </c>
      <c r="AN43" s="27" t="str">
        <f t="shared" si="26"/>
        <v/>
      </c>
      <c r="AO43" s="27" t="str">
        <f t="shared" si="26"/>
        <v/>
      </c>
      <c r="AP43" s="27" t="str">
        <f t="shared" si="26"/>
        <v/>
      </c>
      <c r="AQ43" s="27" t="str">
        <f t="shared" si="26"/>
        <v/>
      </c>
      <c r="AR43" s="27" t="str">
        <f t="shared" si="26"/>
        <v/>
      </c>
      <c r="AS43" s="27" t="str">
        <f t="shared" si="26"/>
        <v/>
      </c>
      <c r="AT43" s="27" t="str">
        <f t="shared" si="26"/>
        <v/>
      </c>
      <c r="AU43" s="27" t="str">
        <f t="shared" si="27"/>
        <v/>
      </c>
      <c r="AV43" s="27" t="str">
        <f t="shared" si="27"/>
        <v/>
      </c>
      <c r="AW43" s="27" t="str">
        <f t="shared" si="27"/>
        <v/>
      </c>
      <c r="AX43" s="27" t="str">
        <f t="shared" si="27"/>
        <v/>
      </c>
      <c r="AY43" s="27" t="str">
        <f t="shared" si="27"/>
        <v/>
      </c>
      <c r="AZ43" s="27" t="str">
        <f t="shared" si="27"/>
        <v/>
      </c>
      <c r="BA43" s="27" t="str">
        <f t="shared" si="27"/>
        <v/>
      </c>
      <c r="BB43" s="27" t="str">
        <f t="shared" si="27"/>
        <v/>
      </c>
      <c r="BC43" s="27" t="str">
        <f t="shared" si="27"/>
        <v/>
      </c>
      <c r="BD43" s="27" t="str">
        <f t="shared" si="27"/>
        <v/>
      </c>
      <c r="BE43" s="27" t="str">
        <f t="shared" si="28"/>
        <v/>
      </c>
      <c r="BF43" s="27" t="str">
        <f t="shared" si="28"/>
        <v/>
      </c>
      <c r="BG43" s="27" t="str">
        <f t="shared" si="28"/>
        <v/>
      </c>
      <c r="BH43" s="27" t="str">
        <f t="shared" si="28"/>
        <v/>
      </c>
      <c r="BI43" s="27" t="str">
        <f t="shared" si="28"/>
        <v/>
      </c>
      <c r="BJ43" s="27" t="str">
        <f t="shared" si="28"/>
        <v/>
      </c>
      <c r="BK43" s="27" t="str">
        <f t="shared" si="28"/>
        <v/>
      </c>
      <c r="BL43" s="27" t="str">
        <f t="shared" si="28"/>
        <v/>
      </c>
      <c r="BM43" s="27" t="str">
        <f t="shared" si="28"/>
        <v/>
      </c>
      <c r="BN43" s="27" t="str">
        <f t="shared" si="28"/>
        <v/>
      </c>
    </row>
    <row r="44" spans="1:66" ht="15" customHeight="1" x14ac:dyDescent="0.3">
      <c r="A44" s="10" t="str">
        <f>Machine_List!A44</f>
        <v>EDM</v>
      </c>
      <c r="B44" s="10" t="str">
        <f>Machine_List!B44</f>
        <v>EDM-MC-25</v>
      </c>
      <c r="C44" s="22">
        <f>Machine_List!C44</f>
        <v>46098</v>
      </c>
      <c r="D44" s="10">
        <f>Machine_List!D44</f>
        <v>6</v>
      </c>
      <c r="E44" s="10">
        <f t="shared" ca="1" si="29"/>
        <v>-21</v>
      </c>
      <c r="F44" s="10" t="str">
        <f t="shared" ca="1" si="30"/>
        <v>OVERDUE</v>
      </c>
      <c r="G44" s="27" t="str">
        <f t="shared" ref="G44:P53" si="31">IF(INT(G$3)=INT($C44), TEXT($C44, "dd-mmm"), "")</f>
        <v/>
      </c>
      <c r="H44" s="27" t="str">
        <f t="shared" si="31"/>
        <v/>
      </c>
      <c r="I44" s="27" t="str">
        <f t="shared" si="31"/>
        <v/>
      </c>
      <c r="J44" s="27" t="str">
        <f t="shared" si="31"/>
        <v/>
      </c>
      <c r="K44" s="27" t="str">
        <f t="shared" si="31"/>
        <v/>
      </c>
      <c r="L44" s="27" t="str">
        <f t="shared" si="31"/>
        <v/>
      </c>
      <c r="M44" s="27" t="str">
        <f t="shared" si="31"/>
        <v/>
      </c>
      <c r="N44" s="27" t="str">
        <f t="shared" si="31"/>
        <v/>
      </c>
      <c r="O44" s="27" t="str">
        <f t="shared" si="31"/>
        <v/>
      </c>
      <c r="P44" s="27" t="str">
        <f t="shared" si="31"/>
        <v/>
      </c>
      <c r="Q44" s="27" t="str">
        <f t="shared" ref="Q44:Z53" si="32">IF(INT(Q$3)=INT($C44), TEXT($C44, "dd-mmm"), "")</f>
        <v/>
      </c>
      <c r="R44" s="27" t="str">
        <f t="shared" si="32"/>
        <v/>
      </c>
      <c r="S44" s="27" t="str">
        <f t="shared" si="32"/>
        <v/>
      </c>
      <c r="T44" s="27" t="str">
        <f t="shared" si="32"/>
        <v/>
      </c>
      <c r="U44" s="27" t="str">
        <f t="shared" si="32"/>
        <v/>
      </c>
      <c r="V44" s="27" t="str">
        <f t="shared" si="32"/>
        <v/>
      </c>
      <c r="W44" s="27" t="str">
        <f t="shared" si="32"/>
        <v/>
      </c>
      <c r="X44" s="27" t="str">
        <f t="shared" si="32"/>
        <v/>
      </c>
      <c r="Y44" s="27" t="str">
        <f t="shared" si="32"/>
        <v/>
      </c>
      <c r="Z44" s="27" t="str">
        <f t="shared" si="32"/>
        <v/>
      </c>
      <c r="AA44" s="27" t="str">
        <f t="shared" ref="AA44:AJ53" si="33">IF(INT(AA$3)=INT($C44), TEXT($C44, "dd-mmm"), "")</f>
        <v/>
      </c>
      <c r="AB44" s="27" t="str">
        <f t="shared" si="33"/>
        <v/>
      </c>
      <c r="AC44" s="27" t="str">
        <f t="shared" si="33"/>
        <v/>
      </c>
      <c r="AD44" s="27" t="str">
        <f t="shared" si="33"/>
        <v/>
      </c>
      <c r="AE44" s="27" t="str">
        <f t="shared" si="33"/>
        <v/>
      </c>
      <c r="AF44" s="27" t="str">
        <f t="shared" si="33"/>
        <v/>
      </c>
      <c r="AG44" s="27" t="str">
        <f t="shared" si="33"/>
        <v/>
      </c>
      <c r="AH44" s="27" t="str">
        <f t="shared" si="33"/>
        <v/>
      </c>
      <c r="AI44" s="27" t="str">
        <f t="shared" si="33"/>
        <v/>
      </c>
      <c r="AJ44" s="27" t="str">
        <f t="shared" si="33"/>
        <v/>
      </c>
      <c r="AK44" s="27" t="str">
        <f t="shared" ref="AK44:AT53" si="34">IF(INT(AK$3)=INT($C44), TEXT($C44, "dd-mmm"), "")</f>
        <v/>
      </c>
      <c r="AL44" s="27" t="str">
        <f t="shared" si="34"/>
        <v/>
      </c>
      <c r="AM44" s="27" t="str">
        <f t="shared" si="34"/>
        <v/>
      </c>
      <c r="AN44" s="27" t="str">
        <f t="shared" si="34"/>
        <v/>
      </c>
      <c r="AO44" s="27" t="str">
        <f t="shared" si="34"/>
        <v/>
      </c>
      <c r="AP44" s="27" t="str">
        <f t="shared" si="34"/>
        <v/>
      </c>
      <c r="AQ44" s="27" t="str">
        <f t="shared" si="34"/>
        <v/>
      </c>
      <c r="AR44" s="27" t="str">
        <f t="shared" si="34"/>
        <v/>
      </c>
      <c r="AS44" s="27" t="str">
        <f t="shared" si="34"/>
        <v/>
      </c>
      <c r="AT44" s="27" t="str">
        <f t="shared" si="34"/>
        <v/>
      </c>
      <c r="AU44" s="27" t="str">
        <f t="shared" ref="AU44:BD53" si="35">IF(INT(AU$3)=INT($C44), TEXT($C44, "dd-mmm"), "")</f>
        <v/>
      </c>
      <c r="AV44" s="27" t="str">
        <f t="shared" si="35"/>
        <v/>
      </c>
      <c r="AW44" s="27" t="str">
        <f t="shared" si="35"/>
        <v/>
      </c>
      <c r="AX44" s="27" t="str">
        <f t="shared" si="35"/>
        <v/>
      </c>
      <c r="AY44" s="27" t="str">
        <f t="shared" si="35"/>
        <v/>
      </c>
      <c r="AZ44" s="27" t="str">
        <f t="shared" si="35"/>
        <v/>
      </c>
      <c r="BA44" s="27" t="str">
        <f t="shared" si="35"/>
        <v/>
      </c>
      <c r="BB44" s="27" t="str">
        <f t="shared" si="35"/>
        <v/>
      </c>
      <c r="BC44" s="27" t="str">
        <f t="shared" si="35"/>
        <v/>
      </c>
      <c r="BD44" s="27" t="str">
        <f t="shared" si="35"/>
        <v/>
      </c>
      <c r="BE44" s="27" t="str">
        <f t="shared" ref="BE44:BN53" si="36">IF(INT(BE$3)=INT($C44), TEXT($C44, "dd-mmm"), "")</f>
        <v/>
      </c>
      <c r="BF44" s="27" t="str">
        <f t="shared" si="36"/>
        <v/>
      </c>
      <c r="BG44" s="27" t="str">
        <f t="shared" si="36"/>
        <v/>
      </c>
      <c r="BH44" s="27" t="str">
        <f t="shared" si="36"/>
        <v/>
      </c>
      <c r="BI44" s="27" t="str">
        <f t="shared" si="36"/>
        <v/>
      </c>
      <c r="BJ44" s="27" t="str">
        <f t="shared" si="36"/>
        <v/>
      </c>
      <c r="BK44" s="27" t="str">
        <f t="shared" si="36"/>
        <v/>
      </c>
      <c r="BL44" s="27" t="str">
        <f t="shared" si="36"/>
        <v/>
      </c>
      <c r="BM44" s="27" t="str">
        <f t="shared" si="36"/>
        <v/>
      </c>
      <c r="BN44" s="27" t="str">
        <f t="shared" si="36"/>
        <v/>
      </c>
    </row>
    <row r="45" spans="1:66" ht="15" customHeight="1" x14ac:dyDescent="0.3">
      <c r="A45" s="10" t="str">
        <f>Machine_List!A45</f>
        <v>EDM</v>
      </c>
      <c r="B45" s="10" t="str">
        <f>Machine_List!B45</f>
        <v>EDM-MC-26</v>
      </c>
      <c r="C45" s="22">
        <f>Machine_List!C45</f>
        <v>46202</v>
      </c>
      <c r="D45" s="10">
        <f>Machine_List!D45</f>
        <v>6</v>
      </c>
      <c r="E45" s="10">
        <f t="shared" ca="1" si="29"/>
        <v>83</v>
      </c>
      <c r="F45" s="10" t="str">
        <f t="shared" ca="1" si="30"/>
        <v>OK</v>
      </c>
      <c r="G45" s="27" t="str">
        <f t="shared" si="31"/>
        <v/>
      </c>
      <c r="H45" s="27" t="str">
        <f t="shared" si="31"/>
        <v/>
      </c>
      <c r="I45" s="27" t="str">
        <f t="shared" si="31"/>
        <v/>
      </c>
      <c r="J45" s="27" t="str">
        <f t="shared" si="31"/>
        <v/>
      </c>
      <c r="K45" s="27" t="str">
        <f t="shared" si="31"/>
        <v/>
      </c>
      <c r="L45" s="27" t="str">
        <f t="shared" si="31"/>
        <v/>
      </c>
      <c r="M45" s="27" t="str">
        <f t="shared" si="31"/>
        <v/>
      </c>
      <c r="N45" s="27" t="str">
        <f t="shared" si="31"/>
        <v/>
      </c>
      <c r="O45" s="27" t="str">
        <f t="shared" si="31"/>
        <v/>
      </c>
      <c r="P45" s="27" t="str">
        <f t="shared" si="31"/>
        <v/>
      </c>
      <c r="Q45" s="27" t="str">
        <f t="shared" si="32"/>
        <v/>
      </c>
      <c r="R45" s="27" t="str">
        <f t="shared" si="32"/>
        <v/>
      </c>
      <c r="S45" s="27" t="str">
        <f t="shared" si="32"/>
        <v/>
      </c>
      <c r="T45" s="27" t="str">
        <f t="shared" si="32"/>
        <v/>
      </c>
      <c r="U45" s="27" t="str">
        <f t="shared" si="32"/>
        <v/>
      </c>
      <c r="V45" s="27" t="str">
        <f t="shared" si="32"/>
        <v/>
      </c>
      <c r="W45" s="27" t="str">
        <f t="shared" si="32"/>
        <v/>
      </c>
      <c r="X45" s="27" t="str">
        <f t="shared" si="32"/>
        <v/>
      </c>
      <c r="Y45" s="27" t="str">
        <f t="shared" si="32"/>
        <v/>
      </c>
      <c r="Z45" s="27" t="str">
        <f t="shared" si="32"/>
        <v/>
      </c>
      <c r="AA45" s="27" t="str">
        <f t="shared" si="33"/>
        <v/>
      </c>
      <c r="AB45" s="27" t="str">
        <f t="shared" si="33"/>
        <v/>
      </c>
      <c r="AC45" s="27" t="str">
        <f t="shared" si="33"/>
        <v/>
      </c>
      <c r="AD45" s="27" t="str">
        <f t="shared" si="33"/>
        <v/>
      </c>
      <c r="AE45" s="27" t="str">
        <f t="shared" si="33"/>
        <v/>
      </c>
      <c r="AF45" s="27" t="str">
        <f t="shared" si="33"/>
        <v/>
      </c>
      <c r="AG45" s="27" t="str">
        <f t="shared" si="33"/>
        <v/>
      </c>
      <c r="AH45" s="27" t="str">
        <f t="shared" si="33"/>
        <v/>
      </c>
      <c r="AI45" s="27" t="str">
        <f t="shared" si="33"/>
        <v/>
      </c>
      <c r="AJ45" s="27" t="str">
        <f t="shared" si="33"/>
        <v/>
      </c>
      <c r="AK45" s="27" t="str">
        <f t="shared" si="34"/>
        <v/>
      </c>
      <c r="AL45" s="27" t="str">
        <f t="shared" si="34"/>
        <v/>
      </c>
      <c r="AM45" s="27" t="str">
        <f t="shared" si="34"/>
        <v/>
      </c>
      <c r="AN45" s="27" t="str">
        <f t="shared" si="34"/>
        <v/>
      </c>
      <c r="AO45" s="27" t="str">
        <f t="shared" si="34"/>
        <v/>
      </c>
      <c r="AP45" s="27" t="str">
        <f t="shared" si="34"/>
        <v/>
      </c>
      <c r="AQ45" s="27" t="str">
        <f t="shared" si="34"/>
        <v/>
      </c>
      <c r="AR45" s="27" t="str">
        <f t="shared" si="34"/>
        <v/>
      </c>
      <c r="AS45" s="27" t="str">
        <f t="shared" si="34"/>
        <v/>
      </c>
      <c r="AT45" s="27" t="str">
        <f t="shared" si="34"/>
        <v/>
      </c>
      <c r="AU45" s="27" t="str">
        <f t="shared" si="35"/>
        <v/>
      </c>
      <c r="AV45" s="27" t="str">
        <f t="shared" si="35"/>
        <v/>
      </c>
      <c r="AW45" s="27" t="str">
        <f t="shared" si="35"/>
        <v/>
      </c>
      <c r="AX45" s="27" t="str">
        <f t="shared" si="35"/>
        <v/>
      </c>
      <c r="AY45" s="27" t="str">
        <f t="shared" si="35"/>
        <v/>
      </c>
      <c r="AZ45" s="27" t="str">
        <f t="shared" si="35"/>
        <v/>
      </c>
      <c r="BA45" s="27" t="str">
        <f t="shared" si="35"/>
        <v/>
      </c>
      <c r="BB45" s="27" t="str">
        <f t="shared" si="35"/>
        <v/>
      </c>
      <c r="BC45" s="27" t="str">
        <f t="shared" si="35"/>
        <v/>
      </c>
      <c r="BD45" s="27" t="str">
        <f t="shared" si="35"/>
        <v/>
      </c>
      <c r="BE45" s="27" t="str">
        <f t="shared" si="36"/>
        <v/>
      </c>
      <c r="BF45" s="27" t="str">
        <f t="shared" si="36"/>
        <v/>
      </c>
      <c r="BG45" s="27" t="str">
        <f t="shared" si="36"/>
        <v/>
      </c>
      <c r="BH45" s="27" t="str">
        <f t="shared" si="36"/>
        <v/>
      </c>
      <c r="BI45" s="27" t="str">
        <f t="shared" si="36"/>
        <v/>
      </c>
      <c r="BJ45" s="27" t="str">
        <f t="shared" si="36"/>
        <v/>
      </c>
      <c r="BK45" s="27" t="str">
        <f t="shared" si="36"/>
        <v/>
      </c>
      <c r="BL45" s="27" t="str">
        <f t="shared" si="36"/>
        <v/>
      </c>
      <c r="BM45" s="27" t="str">
        <f t="shared" si="36"/>
        <v/>
      </c>
      <c r="BN45" s="27" t="str">
        <f t="shared" si="36"/>
        <v/>
      </c>
    </row>
    <row r="46" spans="1:66" ht="15" customHeight="1" x14ac:dyDescent="0.3">
      <c r="A46" s="10" t="str">
        <f>Machine_List!A46</f>
        <v>EDM</v>
      </c>
      <c r="B46" s="10" t="str">
        <f>Machine_List!B46</f>
        <v>EDM-MC-27</v>
      </c>
      <c r="C46" s="22">
        <f>Machine_List!C46</f>
        <v>46188</v>
      </c>
      <c r="D46" s="10">
        <f>Machine_List!D46</f>
        <v>6</v>
      </c>
      <c r="E46" s="10">
        <f t="shared" ca="1" si="29"/>
        <v>69</v>
      </c>
      <c r="F46" s="10" t="str">
        <f t="shared" ca="1" si="30"/>
        <v>OK</v>
      </c>
      <c r="G46" s="27" t="str">
        <f t="shared" si="31"/>
        <v/>
      </c>
      <c r="H46" s="27" t="str">
        <f t="shared" si="31"/>
        <v/>
      </c>
      <c r="I46" s="27" t="str">
        <f t="shared" si="31"/>
        <v/>
      </c>
      <c r="J46" s="27" t="str">
        <f t="shared" si="31"/>
        <v/>
      </c>
      <c r="K46" s="27" t="str">
        <f t="shared" si="31"/>
        <v/>
      </c>
      <c r="L46" s="27" t="str">
        <f t="shared" si="31"/>
        <v/>
      </c>
      <c r="M46" s="27" t="str">
        <f t="shared" si="31"/>
        <v/>
      </c>
      <c r="N46" s="27" t="str">
        <f t="shared" si="31"/>
        <v/>
      </c>
      <c r="O46" s="27" t="str">
        <f t="shared" si="31"/>
        <v/>
      </c>
      <c r="P46" s="27" t="str">
        <f t="shared" si="31"/>
        <v/>
      </c>
      <c r="Q46" s="27" t="str">
        <f t="shared" si="32"/>
        <v/>
      </c>
      <c r="R46" s="27" t="str">
        <f t="shared" si="32"/>
        <v/>
      </c>
      <c r="S46" s="27" t="str">
        <f t="shared" si="32"/>
        <v/>
      </c>
      <c r="T46" s="27" t="str">
        <f t="shared" si="32"/>
        <v/>
      </c>
      <c r="U46" s="27" t="str">
        <f t="shared" si="32"/>
        <v/>
      </c>
      <c r="V46" s="27" t="str">
        <f t="shared" si="32"/>
        <v/>
      </c>
      <c r="W46" s="27" t="str">
        <f t="shared" si="32"/>
        <v/>
      </c>
      <c r="X46" s="27" t="str">
        <f t="shared" si="32"/>
        <v/>
      </c>
      <c r="Y46" s="27" t="str">
        <f t="shared" si="32"/>
        <v/>
      </c>
      <c r="Z46" s="27" t="str">
        <f t="shared" si="32"/>
        <v/>
      </c>
      <c r="AA46" s="27" t="str">
        <f t="shared" si="33"/>
        <v/>
      </c>
      <c r="AB46" s="27" t="str">
        <f t="shared" si="33"/>
        <v/>
      </c>
      <c r="AC46" s="27" t="str">
        <f t="shared" si="33"/>
        <v/>
      </c>
      <c r="AD46" s="27" t="str">
        <f t="shared" si="33"/>
        <v/>
      </c>
      <c r="AE46" s="27" t="str">
        <f t="shared" si="33"/>
        <v/>
      </c>
      <c r="AF46" s="27" t="str">
        <f t="shared" si="33"/>
        <v/>
      </c>
      <c r="AG46" s="27" t="str">
        <f t="shared" si="33"/>
        <v/>
      </c>
      <c r="AH46" s="27" t="str">
        <f t="shared" si="33"/>
        <v/>
      </c>
      <c r="AI46" s="27" t="str">
        <f t="shared" si="33"/>
        <v/>
      </c>
      <c r="AJ46" s="27" t="str">
        <f t="shared" si="33"/>
        <v/>
      </c>
      <c r="AK46" s="27" t="str">
        <f t="shared" si="34"/>
        <v/>
      </c>
      <c r="AL46" s="27" t="str">
        <f t="shared" si="34"/>
        <v/>
      </c>
      <c r="AM46" s="27" t="str">
        <f t="shared" si="34"/>
        <v/>
      </c>
      <c r="AN46" s="27" t="str">
        <f t="shared" si="34"/>
        <v/>
      </c>
      <c r="AO46" s="27" t="str">
        <f t="shared" si="34"/>
        <v/>
      </c>
      <c r="AP46" s="27" t="str">
        <f t="shared" si="34"/>
        <v/>
      </c>
      <c r="AQ46" s="27" t="str">
        <f t="shared" si="34"/>
        <v/>
      </c>
      <c r="AR46" s="27" t="str">
        <f t="shared" si="34"/>
        <v/>
      </c>
      <c r="AS46" s="27" t="str">
        <f t="shared" si="34"/>
        <v/>
      </c>
      <c r="AT46" s="27" t="str">
        <f t="shared" si="34"/>
        <v/>
      </c>
      <c r="AU46" s="27" t="str">
        <f t="shared" si="35"/>
        <v/>
      </c>
      <c r="AV46" s="27" t="str">
        <f t="shared" si="35"/>
        <v/>
      </c>
      <c r="AW46" s="27" t="str">
        <f t="shared" si="35"/>
        <v/>
      </c>
      <c r="AX46" s="27" t="str">
        <f t="shared" si="35"/>
        <v/>
      </c>
      <c r="AY46" s="27" t="str">
        <f t="shared" si="35"/>
        <v/>
      </c>
      <c r="AZ46" s="27" t="str">
        <f t="shared" si="35"/>
        <v/>
      </c>
      <c r="BA46" s="27" t="str">
        <f t="shared" si="35"/>
        <v/>
      </c>
      <c r="BB46" s="27" t="str">
        <f t="shared" si="35"/>
        <v/>
      </c>
      <c r="BC46" s="27" t="str">
        <f t="shared" si="35"/>
        <v/>
      </c>
      <c r="BD46" s="27" t="str">
        <f t="shared" si="35"/>
        <v/>
      </c>
      <c r="BE46" s="27" t="str">
        <f t="shared" si="36"/>
        <v/>
      </c>
      <c r="BF46" s="27" t="str">
        <f t="shared" si="36"/>
        <v/>
      </c>
      <c r="BG46" s="27" t="str">
        <f t="shared" si="36"/>
        <v/>
      </c>
      <c r="BH46" s="27" t="str">
        <f t="shared" si="36"/>
        <v/>
      </c>
      <c r="BI46" s="27" t="str">
        <f t="shared" si="36"/>
        <v/>
      </c>
      <c r="BJ46" s="27" t="str">
        <f t="shared" si="36"/>
        <v/>
      </c>
      <c r="BK46" s="27" t="str">
        <f t="shared" si="36"/>
        <v/>
      </c>
      <c r="BL46" s="27" t="str">
        <f t="shared" si="36"/>
        <v/>
      </c>
      <c r="BM46" s="27" t="str">
        <f t="shared" si="36"/>
        <v/>
      </c>
      <c r="BN46" s="27" t="str">
        <f t="shared" si="36"/>
        <v/>
      </c>
    </row>
    <row r="47" spans="1:66" ht="15" customHeight="1" x14ac:dyDescent="0.3">
      <c r="A47" s="10" t="str">
        <f>Machine_List!A47</f>
        <v>EDM</v>
      </c>
      <c r="B47" s="10" t="str">
        <f>Machine_List!B47</f>
        <v>EDM-MC-28</v>
      </c>
      <c r="C47" s="22">
        <f>Machine_List!C47</f>
        <v>46182</v>
      </c>
      <c r="D47" s="10">
        <f>Machine_List!D47</f>
        <v>6</v>
      </c>
      <c r="E47" s="10">
        <f t="shared" ca="1" si="29"/>
        <v>63</v>
      </c>
      <c r="F47" s="10" t="str">
        <f t="shared" ca="1" si="30"/>
        <v>OK</v>
      </c>
      <c r="G47" s="27" t="str">
        <f t="shared" si="31"/>
        <v/>
      </c>
      <c r="H47" s="27" t="str">
        <f t="shared" si="31"/>
        <v/>
      </c>
      <c r="I47" s="27" t="str">
        <f t="shared" si="31"/>
        <v/>
      </c>
      <c r="J47" s="27" t="str">
        <f t="shared" si="31"/>
        <v/>
      </c>
      <c r="K47" s="27" t="str">
        <f t="shared" si="31"/>
        <v/>
      </c>
      <c r="L47" s="27" t="str">
        <f t="shared" si="31"/>
        <v/>
      </c>
      <c r="M47" s="27" t="str">
        <f t="shared" si="31"/>
        <v/>
      </c>
      <c r="N47" s="27" t="str">
        <f t="shared" si="31"/>
        <v/>
      </c>
      <c r="O47" s="27" t="str">
        <f t="shared" si="31"/>
        <v/>
      </c>
      <c r="P47" s="27" t="str">
        <f t="shared" si="31"/>
        <v/>
      </c>
      <c r="Q47" s="27" t="str">
        <f t="shared" si="32"/>
        <v/>
      </c>
      <c r="R47" s="27" t="str">
        <f t="shared" si="32"/>
        <v/>
      </c>
      <c r="S47" s="27" t="str">
        <f t="shared" si="32"/>
        <v/>
      </c>
      <c r="T47" s="27" t="str">
        <f t="shared" si="32"/>
        <v/>
      </c>
      <c r="U47" s="27" t="str">
        <f t="shared" si="32"/>
        <v/>
      </c>
      <c r="V47" s="27" t="str">
        <f t="shared" si="32"/>
        <v/>
      </c>
      <c r="W47" s="27" t="str">
        <f t="shared" si="32"/>
        <v/>
      </c>
      <c r="X47" s="27" t="str">
        <f t="shared" si="32"/>
        <v/>
      </c>
      <c r="Y47" s="27" t="str">
        <f t="shared" si="32"/>
        <v/>
      </c>
      <c r="Z47" s="27" t="str">
        <f t="shared" si="32"/>
        <v/>
      </c>
      <c r="AA47" s="27" t="str">
        <f t="shared" si="33"/>
        <v/>
      </c>
      <c r="AB47" s="27" t="str">
        <f t="shared" si="33"/>
        <v/>
      </c>
      <c r="AC47" s="27" t="str">
        <f t="shared" si="33"/>
        <v/>
      </c>
      <c r="AD47" s="27" t="str">
        <f t="shared" si="33"/>
        <v/>
      </c>
      <c r="AE47" s="27" t="str">
        <f t="shared" si="33"/>
        <v/>
      </c>
      <c r="AF47" s="27" t="str">
        <f t="shared" si="33"/>
        <v/>
      </c>
      <c r="AG47" s="27" t="str">
        <f t="shared" si="33"/>
        <v/>
      </c>
      <c r="AH47" s="27" t="str">
        <f t="shared" si="33"/>
        <v/>
      </c>
      <c r="AI47" s="27" t="str">
        <f t="shared" si="33"/>
        <v/>
      </c>
      <c r="AJ47" s="27" t="str">
        <f t="shared" si="33"/>
        <v/>
      </c>
      <c r="AK47" s="27" t="str">
        <f t="shared" si="34"/>
        <v/>
      </c>
      <c r="AL47" s="27" t="str">
        <f t="shared" si="34"/>
        <v/>
      </c>
      <c r="AM47" s="27" t="str">
        <f t="shared" si="34"/>
        <v/>
      </c>
      <c r="AN47" s="27" t="str">
        <f t="shared" si="34"/>
        <v/>
      </c>
      <c r="AO47" s="27" t="str">
        <f t="shared" si="34"/>
        <v/>
      </c>
      <c r="AP47" s="27" t="str">
        <f t="shared" si="34"/>
        <v/>
      </c>
      <c r="AQ47" s="27" t="str">
        <f t="shared" si="34"/>
        <v/>
      </c>
      <c r="AR47" s="27" t="str">
        <f t="shared" si="34"/>
        <v/>
      </c>
      <c r="AS47" s="27" t="str">
        <f t="shared" si="34"/>
        <v/>
      </c>
      <c r="AT47" s="27" t="str">
        <f t="shared" si="34"/>
        <v/>
      </c>
      <c r="AU47" s="27" t="str">
        <f t="shared" si="35"/>
        <v/>
      </c>
      <c r="AV47" s="27" t="str">
        <f t="shared" si="35"/>
        <v/>
      </c>
      <c r="AW47" s="27" t="str">
        <f t="shared" si="35"/>
        <v/>
      </c>
      <c r="AX47" s="27" t="str">
        <f t="shared" si="35"/>
        <v/>
      </c>
      <c r="AY47" s="27" t="str">
        <f t="shared" si="35"/>
        <v/>
      </c>
      <c r="AZ47" s="27" t="str">
        <f t="shared" si="35"/>
        <v/>
      </c>
      <c r="BA47" s="27" t="str">
        <f t="shared" si="35"/>
        <v/>
      </c>
      <c r="BB47" s="27" t="str">
        <f t="shared" si="35"/>
        <v/>
      </c>
      <c r="BC47" s="27" t="str">
        <f t="shared" si="35"/>
        <v/>
      </c>
      <c r="BD47" s="27" t="str">
        <f t="shared" si="35"/>
        <v/>
      </c>
      <c r="BE47" s="27" t="str">
        <f t="shared" si="36"/>
        <v/>
      </c>
      <c r="BF47" s="27" t="str">
        <f t="shared" si="36"/>
        <v/>
      </c>
      <c r="BG47" s="27" t="str">
        <f t="shared" si="36"/>
        <v/>
      </c>
      <c r="BH47" s="27" t="str">
        <f t="shared" si="36"/>
        <v/>
      </c>
      <c r="BI47" s="27" t="str">
        <f t="shared" si="36"/>
        <v/>
      </c>
      <c r="BJ47" s="27" t="str">
        <f t="shared" si="36"/>
        <v/>
      </c>
      <c r="BK47" s="27" t="str">
        <f t="shared" si="36"/>
        <v/>
      </c>
      <c r="BL47" s="27" t="str">
        <f t="shared" si="36"/>
        <v/>
      </c>
      <c r="BM47" s="27" t="str">
        <f t="shared" si="36"/>
        <v/>
      </c>
      <c r="BN47" s="27" t="str">
        <f t="shared" si="36"/>
        <v/>
      </c>
    </row>
    <row r="48" spans="1:66" ht="15" customHeight="1" x14ac:dyDescent="0.3">
      <c r="A48" s="10" t="str">
        <f>Machine_List!A48</f>
        <v>EDM</v>
      </c>
      <c r="B48" s="10" t="str">
        <f>Machine_List!B48</f>
        <v>EDM-MC-29</v>
      </c>
      <c r="C48" s="22">
        <f>Machine_List!C48</f>
        <v>46493</v>
      </c>
      <c r="D48" s="10">
        <f>Machine_List!D48</f>
        <v>6</v>
      </c>
      <c r="E48" s="10">
        <f t="shared" ca="1" si="29"/>
        <v>374</v>
      </c>
      <c r="F48" s="10" t="str">
        <f t="shared" ca="1" si="30"/>
        <v>OK</v>
      </c>
      <c r="G48" s="27" t="str">
        <f t="shared" si="31"/>
        <v/>
      </c>
      <c r="H48" s="27" t="str">
        <f t="shared" si="31"/>
        <v/>
      </c>
      <c r="I48" s="27" t="str">
        <f t="shared" si="31"/>
        <v/>
      </c>
      <c r="J48" s="27" t="str">
        <f t="shared" si="31"/>
        <v/>
      </c>
      <c r="K48" s="27" t="str">
        <f t="shared" si="31"/>
        <v/>
      </c>
      <c r="L48" s="27" t="str">
        <f t="shared" si="31"/>
        <v/>
      </c>
      <c r="M48" s="27" t="str">
        <f t="shared" si="31"/>
        <v/>
      </c>
      <c r="N48" s="27" t="str">
        <f t="shared" si="31"/>
        <v/>
      </c>
      <c r="O48" s="27" t="str">
        <f t="shared" si="31"/>
        <v/>
      </c>
      <c r="P48" s="27" t="str">
        <f t="shared" si="31"/>
        <v/>
      </c>
      <c r="Q48" s="27" t="str">
        <f t="shared" si="32"/>
        <v/>
      </c>
      <c r="R48" s="27" t="str">
        <f t="shared" si="32"/>
        <v/>
      </c>
      <c r="S48" s="27" t="str">
        <f t="shared" si="32"/>
        <v/>
      </c>
      <c r="T48" s="27" t="str">
        <f t="shared" si="32"/>
        <v/>
      </c>
      <c r="U48" s="27" t="str">
        <f t="shared" si="32"/>
        <v/>
      </c>
      <c r="V48" s="27" t="str">
        <f t="shared" si="32"/>
        <v/>
      </c>
      <c r="W48" s="27" t="str">
        <f t="shared" si="32"/>
        <v/>
      </c>
      <c r="X48" s="27" t="str">
        <f t="shared" si="32"/>
        <v/>
      </c>
      <c r="Y48" s="27" t="str">
        <f t="shared" si="32"/>
        <v/>
      </c>
      <c r="Z48" s="27" t="str">
        <f t="shared" si="32"/>
        <v/>
      </c>
      <c r="AA48" s="27" t="str">
        <f t="shared" si="33"/>
        <v/>
      </c>
      <c r="AB48" s="27" t="str">
        <f t="shared" si="33"/>
        <v/>
      </c>
      <c r="AC48" s="27" t="str">
        <f t="shared" si="33"/>
        <v/>
      </c>
      <c r="AD48" s="27" t="str">
        <f t="shared" si="33"/>
        <v/>
      </c>
      <c r="AE48" s="27" t="str">
        <f t="shared" si="33"/>
        <v/>
      </c>
      <c r="AF48" s="27" t="str">
        <f t="shared" si="33"/>
        <v/>
      </c>
      <c r="AG48" s="27" t="str">
        <f t="shared" si="33"/>
        <v/>
      </c>
      <c r="AH48" s="27" t="str">
        <f t="shared" si="33"/>
        <v/>
      </c>
      <c r="AI48" s="27" t="str">
        <f t="shared" si="33"/>
        <v/>
      </c>
      <c r="AJ48" s="27" t="str">
        <f t="shared" si="33"/>
        <v/>
      </c>
      <c r="AK48" s="27" t="str">
        <f t="shared" si="34"/>
        <v/>
      </c>
      <c r="AL48" s="27" t="str">
        <f t="shared" si="34"/>
        <v/>
      </c>
      <c r="AM48" s="27" t="str">
        <f t="shared" si="34"/>
        <v/>
      </c>
      <c r="AN48" s="27" t="str">
        <f t="shared" si="34"/>
        <v/>
      </c>
      <c r="AO48" s="27" t="str">
        <f t="shared" si="34"/>
        <v/>
      </c>
      <c r="AP48" s="27" t="str">
        <f t="shared" si="34"/>
        <v/>
      </c>
      <c r="AQ48" s="27" t="str">
        <f t="shared" si="34"/>
        <v/>
      </c>
      <c r="AR48" s="27" t="str">
        <f t="shared" si="34"/>
        <v/>
      </c>
      <c r="AS48" s="27" t="str">
        <f t="shared" si="34"/>
        <v/>
      </c>
      <c r="AT48" s="27" t="str">
        <f t="shared" si="34"/>
        <v/>
      </c>
      <c r="AU48" s="27" t="str">
        <f t="shared" si="35"/>
        <v/>
      </c>
      <c r="AV48" s="27" t="str">
        <f t="shared" si="35"/>
        <v/>
      </c>
      <c r="AW48" s="27" t="str">
        <f t="shared" si="35"/>
        <v/>
      </c>
      <c r="AX48" s="27" t="str">
        <f t="shared" si="35"/>
        <v/>
      </c>
      <c r="AY48" s="27" t="str">
        <f t="shared" si="35"/>
        <v/>
      </c>
      <c r="AZ48" s="27" t="str">
        <f t="shared" si="35"/>
        <v/>
      </c>
      <c r="BA48" s="27" t="str">
        <f t="shared" si="35"/>
        <v/>
      </c>
      <c r="BB48" s="27" t="str">
        <f t="shared" si="35"/>
        <v/>
      </c>
      <c r="BC48" s="27" t="str">
        <f t="shared" si="35"/>
        <v/>
      </c>
      <c r="BD48" s="27" t="str">
        <f t="shared" si="35"/>
        <v/>
      </c>
      <c r="BE48" s="27" t="str">
        <f t="shared" si="36"/>
        <v/>
      </c>
      <c r="BF48" s="27" t="str">
        <f t="shared" si="36"/>
        <v/>
      </c>
      <c r="BG48" s="27" t="str">
        <f t="shared" si="36"/>
        <v/>
      </c>
      <c r="BH48" s="27" t="str">
        <f t="shared" si="36"/>
        <v/>
      </c>
      <c r="BI48" s="27" t="str">
        <f t="shared" si="36"/>
        <v/>
      </c>
      <c r="BJ48" s="27" t="str">
        <f t="shared" si="36"/>
        <v/>
      </c>
      <c r="BK48" s="27" t="str">
        <f t="shared" si="36"/>
        <v/>
      </c>
      <c r="BL48" s="27" t="str">
        <f t="shared" si="36"/>
        <v/>
      </c>
      <c r="BM48" s="27" t="str">
        <f t="shared" si="36"/>
        <v/>
      </c>
      <c r="BN48" s="27" t="str">
        <f t="shared" si="36"/>
        <v/>
      </c>
    </row>
    <row r="49" spans="1:66" ht="15" customHeight="1" x14ac:dyDescent="0.3">
      <c r="A49" s="10" t="str">
        <f>Machine_List!A49</f>
        <v>EDM</v>
      </c>
      <c r="B49" s="10" t="str">
        <f>Machine_List!B49</f>
        <v>EDM-MC-30</v>
      </c>
      <c r="C49" s="22">
        <f>Machine_List!C49</f>
        <v>46106</v>
      </c>
      <c r="D49" s="10">
        <f>Machine_List!D49</f>
        <v>6</v>
      </c>
      <c r="E49" s="10">
        <f t="shared" ca="1" si="29"/>
        <v>-13</v>
      </c>
      <c r="F49" s="10" t="str">
        <f t="shared" ca="1" si="30"/>
        <v>OVERDUE</v>
      </c>
      <c r="G49" s="27" t="str">
        <f t="shared" si="31"/>
        <v/>
      </c>
      <c r="H49" s="27" t="str">
        <f t="shared" si="31"/>
        <v/>
      </c>
      <c r="I49" s="27" t="str">
        <f t="shared" si="31"/>
        <v/>
      </c>
      <c r="J49" s="27" t="str">
        <f t="shared" si="31"/>
        <v/>
      </c>
      <c r="K49" s="27" t="str">
        <f t="shared" si="31"/>
        <v/>
      </c>
      <c r="L49" s="27" t="str">
        <f t="shared" si="31"/>
        <v/>
      </c>
      <c r="M49" s="27" t="str">
        <f t="shared" si="31"/>
        <v/>
      </c>
      <c r="N49" s="27" t="str">
        <f t="shared" si="31"/>
        <v/>
      </c>
      <c r="O49" s="27" t="str">
        <f t="shared" si="31"/>
        <v/>
      </c>
      <c r="P49" s="27" t="str">
        <f t="shared" si="31"/>
        <v/>
      </c>
      <c r="Q49" s="27" t="str">
        <f t="shared" si="32"/>
        <v/>
      </c>
      <c r="R49" s="27" t="str">
        <f t="shared" si="32"/>
        <v/>
      </c>
      <c r="S49" s="27" t="str">
        <f t="shared" si="32"/>
        <v/>
      </c>
      <c r="T49" s="27" t="str">
        <f t="shared" si="32"/>
        <v/>
      </c>
      <c r="U49" s="27" t="str">
        <f t="shared" si="32"/>
        <v/>
      </c>
      <c r="V49" s="27" t="str">
        <f t="shared" si="32"/>
        <v/>
      </c>
      <c r="W49" s="27" t="str">
        <f t="shared" si="32"/>
        <v/>
      </c>
      <c r="X49" s="27" t="str">
        <f t="shared" si="32"/>
        <v/>
      </c>
      <c r="Y49" s="27" t="str">
        <f t="shared" si="32"/>
        <v/>
      </c>
      <c r="Z49" s="27" t="str">
        <f t="shared" si="32"/>
        <v/>
      </c>
      <c r="AA49" s="27" t="str">
        <f t="shared" si="33"/>
        <v/>
      </c>
      <c r="AB49" s="27" t="str">
        <f t="shared" si="33"/>
        <v/>
      </c>
      <c r="AC49" s="27" t="str">
        <f t="shared" si="33"/>
        <v/>
      </c>
      <c r="AD49" s="27" t="str">
        <f t="shared" si="33"/>
        <v/>
      </c>
      <c r="AE49" s="27" t="str">
        <f t="shared" si="33"/>
        <v/>
      </c>
      <c r="AF49" s="27" t="str">
        <f t="shared" si="33"/>
        <v/>
      </c>
      <c r="AG49" s="27" t="str">
        <f t="shared" si="33"/>
        <v/>
      </c>
      <c r="AH49" s="27" t="str">
        <f t="shared" si="33"/>
        <v/>
      </c>
      <c r="AI49" s="27" t="str">
        <f t="shared" si="33"/>
        <v/>
      </c>
      <c r="AJ49" s="27" t="str">
        <f t="shared" si="33"/>
        <v/>
      </c>
      <c r="AK49" s="27" t="str">
        <f t="shared" si="34"/>
        <v/>
      </c>
      <c r="AL49" s="27" t="str">
        <f t="shared" si="34"/>
        <v/>
      </c>
      <c r="AM49" s="27" t="str">
        <f t="shared" si="34"/>
        <v/>
      </c>
      <c r="AN49" s="27" t="str">
        <f t="shared" si="34"/>
        <v/>
      </c>
      <c r="AO49" s="27" t="str">
        <f t="shared" si="34"/>
        <v/>
      </c>
      <c r="AP49" s="27" t="str">
        <f t="shared" si="34"/>
        <v/>
      </c>
      <c r="AQ49" s="27" t="str">
        <f t="shared" si="34"/>
        <v/>
      </c>
      <c r="AR49" s="27" t="str">
        <f t="shared" si="34"/>
        <v/>
      </c>
      <c r="AS49" s="27" t="str">
        <f t="shared" si="34"/>
        <v/>
      </c>
      <c r="AT49" s="27" t="str">
        <f t="shared" si="34"/>
        <v/>
      </c>
      <c r="AU49" s="27" t="str">
        <f t="shared" si="35"/>
        <v/>
      </c>
      <c r="AV49" s="27" t="str">
        <f t="shared" si="35"/>
        <v/>
      </c>
      <c r="AW49" s="27" t="str">
        <f t="shared" si="35"/>
        <v/>
      </c>
      <c r="AX49" s="27" t="str">
        <f t="shared" si="35"/>
        <v/>
      </c>
      <c r="AY49" s="27" t="str">
        <f t="shared" si="35"/>
        <v/>
      </c>
      <c r="AZ49" s="27" t="str">
        <f t="shared" si="35"/>
        <v/>
      </c>
      <c r="BA49" s="27" t="str">
        <f t="shared" si="35"/>
        <v/>
      </c>
      <c r="BB49" s="27" t="str">
        <f t="shared" si="35"/>
        <v/>
      </c>
      <c r="BC49" s="27" t="str">
        <f t="shared" si="35"/>
        <v/>
      </c>
      <c r="BD49" s="27" t="str">
        <f t="shared" si="35"/>
        <v/>
      </c>
      <c r="BE49" s="27" t="str">
        <f t="shared" si="36"/>
        <v/>
      </c>
      <c r="BF49" s="27" t="str">
        <f t="shared" si="36"/>
        <v/>
      </c>
      <c r="BG49" s="27" t="str">
        <f t="shared" si="36"/>
        <v/>
      </c>
      <c r="BH49" s="27" t="str">
        <f t="shared" si="36"/>
        <v/>
      </c>
      <c r="BI49" s="27" t="str">
        <f t="shared" si="36"/>
        <v/>
      </c>
      <c r="BJ49" s="27" t="str">
        <f t="shared" si="36"/>
        <v/>
      </c>
      <c r="BK49" s="27" t="str">
        <f t="shared" si="36"/>
        <v/>
      </c>
      <c r="BL49" s="27" t="str">
        <f t="shared" si="36"/>
        <v/>
      </c>
      <c r="BM49" s="27" t="str">
        <f t="shared" si="36"/>
        <v/>
      </c>
      <c r="BN49" s="27" t="str">
        <f t="shared" si="36"/>
        <v/>
      </c>
    </row>
    <row r="50" spans="1:66" ht="15" customHeight="1" x14ac:dyDescent="0.3">
      <c r="A50" s="10" t="str">
        <f>Machine_List!A50</f>
        <v>ENG</v>
      </c>
      <c r="B50" s="10" t="str">
        <f>Machine_List!B50</f>
        <v>ENG-MC-01</v>
      </c>
      <c r="C50" s="22">
        <f>Machine_List!C50</f>
        <v>46090</v>
      </c>
      <c r="D50" s="10">
        <f>Machine_List!D50</f>
        <v>6</v>
      </c>
      <c r="E50" s="10">
        <f t="shared" ca="1" si="29"/>
        <v>-29</v>
      </c>
      <c r="F50" s="10" t="str">
        <f t="shared" ca="1" si="30"/>
        <v>OVERDUE</v>
      </c>
      <c r="G50" s="27" t="str">
        <f t="shared" si="31"/>
        <v/>
      </c>
      <c r="H50" s="27" t="str">
        <f t="shared" si="31"/>
        <v/>
      </c>
      <c r="I50" s="27" t="str">
        <f t="shared" si="31"/>
        <v/>
      </c>
      <c r="J50" s="27" t="str">
        <f t="shared" si="31"/>
        <v/>
      </c>
      <c r="K50" s="27" t="str">
        <f t="shared" si="31"/>
        <v/>
      </c>
      <c r="L50" s="27" t="str">
        <f t="shared" si="31"/>
        <v/>
      </c>
      <c r="M50" s="27" t="str">
        <f t="shared" si="31"/>
        <v/>
      </c>
      <c r="N50" s="27" t="str">
        <f t="shared" si="31"/>
        <v/>
      </c>
      <c r="O50" s="27" t="str">
        <f t="shared" si="31"/>
        <v/>
      </c>
      <c r="P50" s="27" t="str">
        <f t="shared" si="31"/>
        <v/>
      </c>
      <c r="Q50" s="27" t="str">
        <f t="shared" si="32"/>
        <v/>
      </c>
      <c r="R50" s="27" t="str">
        <f t="shared" si="32"/>
        <v/>
      </c>
      <c r="S50" s="27" t="str">
        <f t="shared" si="32"/>
        <v/>
      </c>
      <c r="T50" s="27" t="str">
        <f t="shared" si="32"/>
        <v/>
      </c>
      <c r="U50" s="27" t="str">
        <f t="shared" si="32"/>
        <v/>
      </c>
      <c r="V50" s="27" t="str">
        <f t="shared" si="32"/>
        <v/>
      </c>
      <c r="W50" s="27" t="str">
        <f t="shared" si="32"/>
        <v/>
      </c>
      <c r="X50" s="27" t="str">
        <f t="shared" si="32"/>
        <v/>
      </c>
      <c r="Y50" s="27" t="str">
        <f t="shared" si="32"/>
        <v/>
      </c>
      <c r="Z50" s="27" t="str">
        <f t="shared" si="32"/>
        <v/>
      </c>
      <c r="AA50" s="27" t="str">
        <f t="shared" si="33"/>
        <v/>
      </c>
      <c r="AB50" s="27" t="str">
        <f t="shared" si="33"/>
        <v/>
      </c>
      <c r="AC50" s="27" t="str">
        <f t="shared" si="33"/>
        <v/>
      </c>
      <c r="AD50" s="27" t="str">
        <f t="shared" si="33"/>
        <v/>
      </c>
      <c r="AE50" s="27" t="str">
        <f t="shared" si="33"/>
        <v/>
      </c>
      <c r="AF50" s="27" t="str">
        <f t="shared" si="33"/>
        <v/>
      </c>
      <c r="AG50" s="27" t="str">
        <f t="shared" si="33"/>
        <v/>
      </c>
      <c r="AH50" s="27" t="str">
        <f t="shared" si="33"/>
        <v/>
      </c>
      <c r="AI50" s="27" t="str">
        <f t="shared" si="33"/>
        <v/>
      </c>
      <c r="AJ50" s="27" t="str">
        <f t="shared" si="33"/>
        <v/>
      </c>
      <c r="AK50" s="27" t="str">
        <f t="shared" si="34"/>
        <v/>
      </c>
      <c r="AL50" s="27" t="str">
        <f t="shared" si="34"/>
        <v/>
      </c>
      <c r="AM50" s="27" t="str">
        <f t="shared" si="34"/>
        <v/>
      </c>
      <c r="AN50" s="27" t="str">
        <f t="shared" si="34"/>
        <v/>
      </c>
      <c r="AO50" s="27" t="str">
        <f t="shared" si="34"/>
        <v/>
      </c>
      <c r="AP50" s="27" t="str">
        <f t="shared" si="34"/>
        <v/>
      </c>
      <c r="AQ50" s="27" t="str">
        <f t="shared" si="34"/>
        <v/>
      </c>
      <c r="AR50" s="27" t="str">
        <f t="shared" si="34"/>
        <v/>
      </c>
      <c r="AS50" s="27" t="str">
        <f t="shared" si="34"/>
        <v/>
      </c>
      <c r="AT50" s="27" t="str">
        <f t="shared" si="34"/>
        <v/>
      </c>
      <c r="AU50" s="27" t="str">
        <f t="shared" si="35"/>
        <v/>
      </c>
      <c r="AV50" s="27" t="str">
        <f t="shared" si="35"/>
        <v/>
      </c>
      <c r="AW50" s="27" t="str">
        <f t="shared" si="35"/>
        <v/>
      </c>
      <c r="AX50" s="27" t="str">
        <f t="shared" si="35"/>
        <v/>
      </c>
      <c r="AY50" s="27" t="str">
        <f t="shared" si="35"/>
        <v/>
      </c>
      <c r="AZ50" s="27" t="str">
        <f t="shared" si="35"/>
        <v/>
      </c>
      <c r="BA50" s="27" t="str">
        <f t="shared" si="35"/>
        <v/>
      </c>
      <c r="BB50" s="27" t="str">
        <f t="shared" si="35"/>
        <v/>
      </c>
      <c r="BC50" s="27" t="str">
        <f t="shared" si="35"/>
        <v/>
      </c>
      <c r="BD50" s="27" t="str">
        <f t="shared" si="35"/>
        <v/>
      </c>
      <c r="BE50" s="27" t="str">
        <f t="shared" si="36"/>
        <v/>
      </c>
      <c r="BF50" s="27" t="str">
        <f t="shared" si="36"/>
        <v/>
      </c>
      <c r="BG50" s="27" t="str">
        <f t="shared" si="36"/>
        <v/>
      </c>
      <c r="BH50" s="27" t="str">
        <f t="shared" si="36"/>
        <v/>
      </c>
      <c r="BI50" s="27" t="str">
        <f t="shared" si="36"/>
        <v/>
      </c>
      <c r="BJ50" s="27" t="str">
        <f t="shared" si="36"/>
        <v/>
      </c>
      <c r="BK50" s="27" t="str">
        <f t="shared" si="36"/>
        <v/>
      </c>
      <c r="BL50" s="27" t="str">
        <f t="shared" si="36"/>
        <v/>
      </c>
      <c r="BM50" s="27" t="str">
        <f t="shared" si="36"/>
        <v/>
      </c>
      <c r="BN50" s="27" t="str">
        <f t="shared" si="36"/>
        <v/>
      </c>
    </row>
    <row r="51" spans="1:66" ht="15" customHeight="1" x14ac:dyDescent="0.3">
      <c r="A51" s="10" t="str">
        <f>Machine_List!A51</f>
        <v>ENG</v>
      </c>
      <c r="B51" s="10" t="str">
        <f>Machine_List!B51</f>
        <v>ENG-MC-02</v>
      </c>
      <c r="C51" s="22">
        <f>Machine_List!C51</f>
        <v>46230</v>
      </c>
      <c r="D51" s="10">
        <f>Machine_List!D51</f>
        <v>6</v>
      </c>
      <c r="E51" s="10">
        <f t="shared" ca="1" si="29"/>
        <v>111</v>
      </c>
      <c r="F51" s="10" t="str">
        <f t="shared" ca="1" si="30"/>
        <v>OK</v>
      </c>
      <c r="G51" s="27" t="str">
        <f t="shared" si="31"/>
        <v/>
      </c>
      <c r="H51" s="27" t="str">
        <f t="shared" si="31"/>
        <v/>
      </c>
      <c r="I51" s="27" t="str">
        <f t="shared" si="31"/>
        <v/>
      </c>
      <c r="J51" s="27" t="str">
        <f t="shared" si="31"/>
        <v/>
      </c>
      <c r="K51" s="27" t="str">
        <f t="shared" si="31"/>
        <v/>
      </c>
      <c r="L51" s="27" t="str">
        <f t="shared" si="31"/>
        <v/>
      </c>
      <c r="M51" s="27" t="str">
        <f t="shared" si="31"/>
        <v/>
      </c>
      <c r="N51" s="27" t="str">
        <f t="shared" si="31"/>
        <v/>
      </c>
      <c r="O51" s="27" t="str">
        <f t="shared" si="31"/>
        <v/>
      </c>
      <c r="P51" s="27" t="str">
        <f t="shared" si="31"/>
        <v/>
      </c>
      <c r="Q51" s="27" t="str">
        <f t="shared" si="32"/>
        <v/>
      </c>
      <c r="R51" s="27" t="str">
        <f t="shared" si="32"/>
        <v/>
      </c>
      <c r="S51" s="27" t="str">
        <f t="shared" si="32"/>
        <v/>
      </c>
      <c r="T51" s="27" t="str">
        <f t="shared" si="32"/>
        <v/>
      </c>
      <c r="U51" s="27" t="str">
        <f t="shared" si="32"/>
        <v/>
      </c>
      <c r="V51" s="27" t="str">
        <f t="shared" si="32"/>
        <v/>
      </c>
      <c r="W51" s="27" t="str">
        <f t="shared" si="32"/>
        <v/>
      </c>
      <c r="X51" s="27" t="str">
        <f t="shared" si="32"/>
        <v/>
      </c>
      <c r="Y51" s="27" t="str">
        <f t="shared" si="32"/>
        <v/>
      </c>
      <c r="Z51" s="27" t="str">
        <f t="shared" si="32"/>
        <v/>
      </c>
      <c r="AA51" s="27" t="str">
        <f t="shared" si="33"/>
        <v/>
      </c>
      <c r="AB51" s="27" t="str">
        <f t="shared" si="33"/>
        <v/>
      </c>
      <c r="AC51" s="27" t="str">
        <f t="shared" si="33"/>
        <v/>
      </c>
      <c r="AD51" s="27" t="str">
        <f t="shared" si="33"/>
        <v/>
      </c>
      <c r="AE51" s="27" t="str">
        <f t="shared" si="33"/>
        <v/>
      </c>
      <c r="AF51" s="27" t="str">
        <f t="shared" si="33"/>
        <v/>
      </c>
      <c r="AG51" s="27" t="str">
        <f t="shared" si="33"/>
        <v/>
      </c>
      <c r="AH51" s="27" t="str">
        <f t="shared" si="33"/>
        <v/>
      </c>
      <c r="AI51" s="27" t="str">
        <f t="shared" si="33"/>
        <v/>
      </c>
      <c r="AJ51" s="27" t="str">
        <f t="shared" si="33"/>
        <v/>
      </c>
      <c r="AK51" s="27" t="str">
        <f t="shared" si="34"/>
        <v/>
      </c>
      <c r="AL51" s="27" t="str">
        <f t="shared" si="34"/>
        <v/>
      </c>
      <c r="AM51" s="27" t="str">
        <f t="shared" si="34"/>
        <v/>
      </c>
      <c r="AN51" s="27" t="str">
        <f t="shared" si="34"/>
        <v/>
      </c>
      <c r="AO51" s="27" t="str">
        <f t="shared" si="34"/>
        <v/>
      </c>
      <c r="AP51" s="27" t="str">
        <f t="shared" si="34"/>
        <v/>
      </c>
      <c r="AQ51" s="27" t="str">
        <f t="shared" si="34"/>
        <v/>
      </c>
      <c r="AR51" s="27" t="str">
        <f t="shared" si="34"/>
        <v/>
      </c>
      <c r="AS51" s="27" t="str">
        <f t="shared" si="34"/>
        <v/>
      </c>
      <c r="AT51" s="27" t="str">
        <f t="shared" si="34"/>
        <v/>
      </c>
      <c r="AU51" s="27" t="str">
        <f t="shared" si="35"/>
        <v/>
      </c>
      <c r="AV51" s="27" t="str">
        <f t="shared" si="35"/>
        <v/>
      </c>
      <c r="AW51" s="27" t="str">
        <f t="shared" si="35"/>
        <v/>
      </c>
      <c r="AX51" s="27" t="str">
        <f t="shared" si="35"/>
        <v/>
      </c>
      <c r="AY51" s="27" t="str">
        <f t="shared" si="35"/>
        <v/>
      </c>
      <c r="AZ51" s="27" t="str">
        <f t="shared" si="35"/>
        <v/>
      </c>
      <c r="BA51" s="27" t="str">
        <f t="shared" si="35"/>
        <v/>
      </c>
      <c r="BB51" s="27" t="str">
        <f t="shared" si="35"/>
        <v/>
      </c>
      <c r="BC51" s="27" t="str">
        <f t="shared" si="35"/>
        <v/>
      </c>
      <c r="BD51" s="27" t="str">
        <f t="shared" si="35"/>
        <v/>
      </c>
      <c r="BE51" s="27" t="str">
        <f t="shared" si="36"/>
        <v/>
      </c>
      <c r="BF51" s="27" t="str">
        <f t="shared" si="36"/>
        <v/>
      </c>
      <c r="BG51" s="27" t="str">
        <f t="shared" si="36"/>
        <v/>
      </c>
      <c r="BH51" s="27" t="str">
        <f t="shared" si="36"/>
        <v/>
      </c>
      <c r="BI51" s="27" t="str">
        <f t="shared" si="36"/>
        <v/>
      </c>
      <c r="BJ51" s="27" t="str">
        <f t="shared" si="36"/>
        <v/>
      </c>
      <c r="BK51" s="27" t="str">
        <f t="shared" si="36"/>
        <v/>
      </c>
      <c r="BL51" s="27" t="str">
        <f t="shared" si="36"/>
        <v/>
      </c>
      <c r="BM51" s="27" t="str">
        <f t="shared" si="36"/>
        <v/>
      </c>
      <c r="BN51" s="27" t="str">
        <f t="shared" si="36"/>
        <v/>
      </c>
    </row>
    <row r="52" spans="1:66" ht="15" customHeight="1" x14ac:dyDescent="0.3">
      <c r="A52" s="10" t="str">
        <f>Machine_List!A52</f>
        <v>ENG</v>
      </c>
      <c r="B52" s="10" t="str">
        <f>Machine_List!B52</f>
        <v>ENG-MC-03</v>
      </c>
      <c r="C52" s="22">
        <f>Machine_List!C52</f>
        <v>46433</v>
      </c>
      <c r="D52" s="10">
        <f>Machine_List!D52</f>
        <v>6</v>
      </c>
      <c r="E52" s="10">
        <f t="shared" ca="1" si="29"/>
        <v>314</v>
      </c>
      <c r="F52" s="10" t="str">
        <f t="shared" ca="1" si="30"/>
        <v>OK</v>
      </c>
      <c r="G52" s="27" t="str">
        <f t="shared" si="31"/>
        <v/>
      </c>
      <c r="H52" s="27" t="str">
        <f t="shared" si="31"/>
        <v/>
      </c>
      <c r="I52" s="27" t="str">
        <f t="shared" si="31"/>
        <v/>
      </c>
      <c r="J52" s="27" t="str">
        <f t="shared" si="31"/>
        <v/>
      </c>
      <c r="K52" s="27" t="str">
        <f t="shared" si="31"/>
        <v/>
      </c>
      <c r="L52" s="27" t="str">
        <f t="shared" si="31"/>
        <v/>
      </c>
      <c r="M52" s="27" t="str">
        <f t="shared" si="31"/>
        <v/>
      </c>
      <c r="N52" s="27" t="str">
        <f t="shared" si="31"/>
        <v/>
      </c>
      <c r="O52" s="27" t="str">
        <f t="shared" si="31"/>
        <v/>
      </c>
      <c r="P52" s="27" t="str">
        <f t="shared" si="31"/>
        <v/>
      </c>
      <c r="Q52" s="27" t="str">
        <f t="shared" si="32"/>
        <v/>
      </c>
      <c r="R52" s="27" t="str">
        <f t="shared" si="32"/>
        <v/>
      </c>
      <c r="S52" s="27" t="str">
        <f t="shared" si="32"/>
        <v/>
      </c>
      <c r="T52" s="27" t="str">
        <f t="shared" si="32"/>
        <v/>
      </c>
      <c r="U52" s="27" t="str">
        <f t="shared" si="32"/>
        <v/>
      </c>
      <c r="V52" s="27" t="str">
        <f t="shared" si="32"/>
        <v/>
      </c>
      <c r="W52" s="27" t="str">
        <f t="shared" si="32"/>
        <v/>
      </c>
      <c r="X52" s="27" t="str">
        <f t="shared" si="32"/>
        <v/>
      </c>
      <c r="Y52" s="27" t="str">
        <f t="shared" si="32"/>
        <v/>
      </c>
      <c r="Z52" s="27" t="str">
        <f t="shared" si="32"/>
        <v/>
      </c>
      <c r="AA52" s="27" t="str">
        <f t="shared" si="33"/>
        <v/>
      </c>
      <c r="AB52" s="27" t="str">
        <f t="shared" si="33"/>
        <v/>
      </c>
      <c r="AC52" s="27" t="str">
        <f t="shared" si="33"/>
        <v/>
      </c>
      <c r="AD52" s="27" t="str">
        <f t="shared" si="33"/>
        <v/>
      </c>
      <c r="AE52" s="27" t="str">
        <f t="shared" si="33"/>
        <v/>
      </c>
      <c r="AF52" s="27" t="str">
        <f t="shared" si="33"/>
        <v/>
      </c>
      <c r="AG52" s="27" t="str">
        <f t="shared" si="33"/>
        <v/>
      </c>
      <c r="AH52" s="27" t="str">
        <f t="shared" si="33"/>
        <v/>
      </c>
      <c r="AI52" s="27" t="str">
        <f t="shared" si="33"/>
        <v/>
      </c>
      <c r="AJ52" s="27" t="str">
        <f t="shared" si="33"/>
        <v/>
      </c>
      <c r="AK52" s="27" t="str">
        <f t="shared" si="34"/>
        <v/>
      </c>
      <c r="AL52" s="27" t="str">
        <f t="shared" si="34"/>
        <v/>
      </c>
      <c r="AM52" s="27" t="str">
        <f t="shared" si="34"/>
        <v/>
      </c>
      <c r="AN52" s="27" t="str">
        <f t="shared" si="34"/>
        <v/>
      </c>
      <c r="AO52" s="27" t="str">
        <f t="shared" si="34"/>
        <v/>
      </c>
      <c r="AP52" s="27" t="str">
        <f t="shared" si="34"/>
        <v/>
      </c>
      <c r="AQ52" s="27" t="str">
        <f t="shared" si="34"/>
        <v/>
      </c>
      <c r="AR52" s="27" t="str">
        <f t="shared" si="34"/>
        <v/>
      </c>
      <c r="AS52" s="27" t="str">
        <f t="shared" si="34"/>
        <v/>
      </c>
      <c r="AT52" s="27" t="str">
        <f t="shared" si="34"/>
        <v/>
      </c>
      <c r="AU52" s="27" t="str">
        <f t="shared" si="35"/>
        <v/>
      </c>
      <c r="AV52" s="27" t="str">
        <f t="shared" si="35"/>
        <v/>
      </c>
      <c r="AW52" s="27" t="str">
        <f t="shared" si="35"/>
        <v/>
      </c>
      <c r="AX52" s="27" t="str">
        <f t="shared" si="35"/>
        <v/>
      </c>
      <c r="AY52" s="27" t="str">
        <f t="shared" si="35"/>
        <v/>
      </c>
      <c r="AZ52" s="27" t="str">
        <f t="shared" si="35"/>
        <v/>
      </c>
      <c r="BA52" s="27" t="str">
        <f t="shared" si="35"/>
        <v/>
      </c>
      <c r="BB52" s="27" t="str">
        <f t="shared" si="35"/>
        <v/>
      </c>
      <c r="BC52" s="27" t="str">
        <f t="shared" si="35"/>
        <v/>
      </c>
      <c r="BD52" s="27" t="str">
        <f t="shared" si="35"/>
        <v/>
      </c>
      <c r="BE52" s="27" t="str">
        <f t="shared" si="36"/>
        <v/>
      </c>
      <c r="BF52" s="27" t="str">
        <f t="shared" si="36"/>
        <v/>
      </c>
      <c r="BG52" s="27" t="str">
        <f t="shared" si="36"/>
        <v/>
      </c>
      <c r="BH52" s="27" t="str">
        <f t="shared" si="36"/>
        <v/>
      </c>
      <c r="BI52" s="27" t="str">
        <f t="shared" si="36"/>
        <v/>
      </c>
      <c r="BJ52" s="27" t="str">
        <f t="shared" si="36"/>
        <v/>
      </c>
      <c r="BK52" s="27" t="str">
        <f t="shared" si="36"/>
        <v/>
      </c>
      <c r="BL52" s="27" t="str">
        <f t="shared" si="36"/>
        <v/>
      </c>
      <c r="BM52" s="27" t="str">
        <f t="shared" si="36"/>
        <v/>
      </c>
      <c r="BN52" s="27" t="str">
        <f t="shared" si="36"/>
        <v/>
      </c>
    </row>
    <row r="53" spans="1:66" ht="15" customHeight="1" x14ac:dyDescent="0.3">
      <c r="A53" s="10" t="str">
        <f>Machine_List!A53</f>
        <v>ENG</v>
      </c>
      <c r="B53" s="10" t="str">
        <f>Machine_List!B53</f>
        <v>ENG-MC-04</v>
      </c>
      <c r="C53" s="22">
        <f>Machine_List!C53</f>
        <v>46450</v>
      </c>
      <c r="D53" s="10">
        <f>Machine_List!D53</f>
        <v>6</v>
      </c>
      <c r="E53" s="10">
        <f t="shared" ca="1" si="29"/>
        <v>331</v>
      </c>
      <c r="F53" s="10" t="str">
        <f t="shared" ca="1" si="30"/>
        <v>OK</v>
      </c>
      <c r="G53" s="27" t="str">
        <f t="shared" si="31"/>
        <v/>
      </c>
      <c r="H53" s="27" t="str">
        <f t="shared" si="31"/>
        <v/>
      </c>
      <c r="I53" s="27" t="str">
        <f t="shared" si="31"/>
        <v/>
      </c>
      <c r="J53" s="27" t="str">
        <f t="shared" si="31"/>
        <v/>
      </c>
      <c r="K53" s="27" t="str">
        <f t="shared" si="31"/>
        <v/>
      </c>
      <c r="L53" s="27" t="str">
        <f t="shared" si="31"/>
        <v/>
      </c>
      <c r="M53" s="27" t="str">
        <f t="shared" si="31"/>
        <v/>
      </c>
      <c r="N53" s="27" t="str">
        <f t="shared" si="31"/>
        <v/>
      </c>
      <c r="O53" s="27" t="str">
        <f t="shared" si="31"/>
        <v/>
      </c>
      <c r="P53" s="27" t="str">
        <f t="shared" si="31"/>
        <v/>
      </c>
      <c r="Q53" s="27" t="str">
        <f t="shared" si="32"/>
        <v/>
      </c>
      <c r="R53" s="27" t="str">
        <f t="shared" si="32"/>
        <v/>
      </c>
      <c r="S53" s="27" t="str">
        <f t="shared" si="32"/>
        <v/>
      </c>
      <c r="T53" s="27" t="str">
        <f t="shared" si="32"/>
        <v/>
      </c>
      <c r="U53" s="27" t="str">
        <f t="shared" si="32"/>
        <v/>
      </c>
      <c r="V53" s="27" t="str">
        <f t="shared" si="32"/>
        <v/>
      </c>
      <c r="W53" s="27" t="str">
        <f t="shared" si="32"/>
        <v/>
      </c>
      <c r="X53" s="27" t="str">
        <f t="shared" si="32"/>
        <v/>
      </c>
      <c r="Y53" s="27" t="str">
        <f t="shared" si="32"/>
        <v/>
      </c>
      <c r="Z53" s="27" t="str">
        <f t="shared" si="32"/>
        <v/>
      </c>
      <c r="AA53" s="27" t="str">
        <f t="shared" si="33"/>
        <v/>
      </c>
      <c r="AB53" s="27" t="str">
        <f t="shared" si="33"/>
        <v/>
      </c>
      <c r="AC53" s="27" t="str">
        <f t="shared" si="33"/>
        <v/>
      </c>
      <c r="AD53" s="27" t="str">
        <f t="shared" si="33"/>
        <v/>
      </c>
      <c r="AE53" s="27" t="str">
        <f t="shared" si="33"/>
        <v/>
      </c>
      <c r="AF53" s="27" t="str">
        <f t="shared" si="33"/>
        <v/>
      </c>
      <c r="AG53" s="27" t="str">
        <f t="shared" si="33"/>
        <v/>
      </c>
      <c r="AH53" s="27" t="str">
        <f t="shared" si="33"/>
        <v/>
      </c>
      <c r="AI53" s="27" t="str">
        <f t="shared" si="33"/>
        <v/>
      </c>
      <c r="AJ53" s="27" t="str">
        <f t="shared" si="33"/>
        <v/>
      </c>
      <c r="AK53" s="27" t="str">
        <f t="shared" si="34"/>
        <v/>
      </c>
      <c r="AL53" s="27" t="str">
        <f t="shared" si="34"/>
        <v/>
      </c>
      <c r="AM53" s="27" t="str">
        <f t="shared" si="34"/>
        <v/>
      </c>
      <c r="AN53" s="27" t="str">
        <f t="shared" si="34"/>
        <v/>
      </c>
      <c r="AO53" s="27" t="str">
        <f t="shared" si="34"/>
        <v/>
      </c>
      <c r="AP53" s="27" t="str">
        <f t="shared" si="34"/>
        <v/>
      </c>
      <c r="AQ53" s="27" t="str">
        <f t="shared" si="34"/>
        <v/>
      </c>
      <c r="AR53" s="27" t="str">
        <f t="shared" si="34"/>
        <v/>
      </c>
      <c r="AS53" s="27" t="str">
        <f t="shared" si="34"/>
        <v/>
      </c>
      <c r="AT53" s="27" t="str">
        <f t="shared" si="34"/>
        <v/>
      </c>
      <c r="AU53" s="27" t="str">
        <f t="shared" si="35"/>
        <v/>
      </c>
      <c r="AV53" s="27" t="str">
        <f t="shared" si="35"/>
        <v/>
      </c>
      <c r="AW53" s="27" t="str">
        <f t="shared" si="35"/>
        <v/>
      </c>
      <c r="AX53" s="27" t="str">
        <f t="shared" si="35"/>
        <v/>
      </c>
      <c r="AY53" s="27" t="str">
        <f t="shared" si="35"/>
        <v/>
      </c>
      <c r="AZ53" s="27" t="str">
        <f t="shared" si="35"/>
        <v/>
      </c>
      <c r="BA53" s="27" t="str">
        <f t="shared" si="35"/>
        <v/>
      </c>
      <c r="BB53" s="27" t="str">
        <f t="shared" si="35"/>
        <v/>
      </c>
      <c r="BC53" s="27" t="str">
        <f t="shared" si="35"/>
        <v/>
      </c>
      <c r="BD53" s="27" t="str">
        <f t="shared" si="35"/>
        <v/>
      </c>
      <c r="BE53" s="27" t="str">
        <f t="shared" si="36"/>
        <v/>
      </c>
      <c r="BF53" s="27" t="str">
        <f t="shared" si="36"/>
        <v/>
      </c>
      <c r="BG53" s="27" t="str">
        <f t="shared" si="36"/>
        <v/>
      </c>
      <c r="BH53" s="27" t="str">
        <f t="shared" si="36"/>
        <v/>
      </c>
      <c r="BI53" s="27" t="str">
        <f t="shared" si="36"/>
        <v/>
      </c>
      <c r="BJ53" s="27" t="str">
        <f t="shared" si="36"/>
        <v/>
      </c>
      <c r="BK53" s="27" t="str">
        <f t="shared" si="36"/>
        <v/>
      </c>
      <c r="BL53" s="27" t="str">
        <f t="shared" si="36"/>
        <v/>
      </c>
      <c r="BM53" s="27" t="str">
        <f t="shared" si="36"/>
        <v/>
      </c>
      <c r="BN53" s="27" t="str">
        <f t="shared" si="36"/>
        <v/>
      </c>
    </row>
    <row r="54" spans="1:66" ht="15" customHeight="1" x14ac:dyDescent="0.3">
      <c r="A54" s="10" t="str">
        <f>Machine_List!A54</f>
        <v>ENG</v>
      </c>
      <c r="B54" s="10" t="str">
        <f>Machine_List!B54</f>
        <v>ENG-MC-05</v>
      </c>
      <c r="C54" s="22">
        <f>Machine_List!C54</f>
        <v>46049</v>
      </c>
      <c r="D54" s="10">
        <f>Machine_List!D54</f>
        <v>6</v>
      </c>
      <c r="E54" s="10">
        <f t="shared" ca="1" si="29"/>
        <v>-70</v>
      </c>
      <c r="F54" s="10" t="str">
        <f t="shared" ca="1" si="30"/>
        <v>OVERDUE</v>
      </c>
      <c r="G54" s="27" t="str">
        <f t="shared" ref="G54:P63" si="37">IF(INT(G$3)=INT($C54), TEXT($C54, "dd-mmm"), "")</f>
        <v/>
      </c>
      <c r="H54" s="27" t="str">
        <f t="shared" si="37"/>
        <v/>
      </c>
      <c r="I54" s="27" t="str">
        <f t="shared" si="37"/>
        <v/>
      </c>
      <c r="J54" s="27" t="str">
        <f t="shared" si="37"/>
        <v/>
      </c>
      <c r="K54" s="27" t="str">
        <f t="shared" si="37"/>
        <v/>
      </c>
      <c r="L54" s="27" t="str">
        <f t="shared" si="37"/>
        <v/>
      </c>
      <c r="M54" s="27" t="str">
        <f t="shared" si="37"/>
        <v/>
      </c>
      <c r="N54" s="27" t="str">
        <f t="shared" si="37"/>
        <v/>
      </c>
      <c r="O54" s="27" t="str">
        <f t="shared" si="37"/>
        <v/>
      </c>
      <c r="P54" s="27" t="str">
        <f t="shared" si="37"/>
        <v/>
      </c>
      <c r="Q54" s="27" t="str">
        <f t="shared" ref="Q54:Z63" si="38">IF(INT(Q$3)=INT($C54), TEXT($C54, "dd-mmm"), "")</f>
        <v/>
      </c>
      <c r="R54" s="27" t="str">
        <f t="shared" si="38"/>
        <v/>
      </c>
      <c r="S54" s="27" t="str">
        <f t="shared" si="38"/>
        <v/>
      </c>
      <c r="T54" s="27" t="str">
        <f t="shared" si="38"/>
        <v/>
      </c>
      <c r="U54" s="27" t="str">
        <f t="shared" si="38"/>
        <v/>
      </c>
      <c r="V54" s="27" t="str">
        <f t="shared" si="38"/>
        <v/>
      </c>
      <c r="W54" s="27" t="str">
        <f t="shared" si="38"/>
        <v/>
      </c>
      <c r="X54" s="27" t="str">
        <f t="shared" si="38"/>
        <v/>
      </c>
      <c r="Y54" s="27" t="str">
        <f t="shared" si="38"/>
        <v/>
      </c>
      <c r="Z54" s="27" t="str">
        <f t="shared" si="38"/>
        <v/>
      </c>
      <c r="AA54" s="27" t="str">
        <f t="shared" ref="AA54:AJ63" si="39">IF(INT(AA$3)=INT($C54), TEXT($C54, "dd-mmm"), "")</f>
        <v/>
      </c>
      <c r="AB54" s="27" t="str">
        <f t="shared" si="39"/>
        <v/>
      </c>
      <c r="AC54" s="27" t="str">
        <f t="shared" si="39"/>
        <v/>
      </c>
      <c r="AD54" s="27" t="str">
        <f t="shared" si="39"/>
        <v/>
      </c>
      <c r="AE54" s="27" t="str">
        <f t="shared" si="39"/>
        <v/>
      </c>
      <c r="AF54" s="27" t="str">
        <f t="shared" si="39"/>
        <v/>
      </c>
      <c r="AG54" s="27" t="str">
        <f t="shared" si="39"/>
        <v/>
      </c>
      <c r="AH54" s="27" t="str">
        <f t="shared" si="39"/>
        <v/>
      </c>
      <c r="AI54" s="27" t="str">
        <f t="shared" si="39"/>
        <v/>
      </c>
      <c r="AJ54" s="27" t="str">
        <f t="shared" si="39"/>
        <v/>
      </c>
      <c r="AK54" s="27" t="str">
        <f t="shared" ref="AK54:AT63" si="40">IF(INT(AK$3)=INT($C54), TEXT($C54, "dd-mmm"), "")</f>
        <v/>
      </c>
      <c r="AL54" s="27" t="str">
        <f t="shared" si="40"/>
        <v/>
      </c>
      <c r="AM54" s="27" t="str">
        <f t="shared" si="40"/>
        <v/>
      </c>
      <c r="AN54" s="27" t="str">
        <f t="shared" si="40"/>
        <v/>
      </c>
      <c r="AO54" s="27" t="str">
        <f t="shared" si="40"/>
        <v/>
      </c>
      <c r="AP54" s="27" t="str">
        <f t="shared" si="40"/>
        <v/>
      </c>
      <c r="AQ54" s="27" t="str">
        <f t="shared" si="40"/>
        <v/>
      </c>
      <c r="AR54" s="27" t="str">
        <f t="shared" si="40"/>
        <v/>
      </c>
      <c r="AS54" s="27" t="str">
        <f t="shared" si="40"/>
        <v/>
      </c>
      <c r="AT54" s="27" t="str">
        <f t="shared" si="40"/>
        <v/>
      </c>
      <c r="AU54" s="27" t="str">
        <f t="shared" ref="AU54:BD63" si="41">IF(INT(AU$3)=INT($C54), TEXT($C54, "dd-mmm"), "")</f>
        <v/>
      </c>
      <c r="AV54" s="27" t="str">
        <f t="shared" si="41"/>
        <v/>
      </c>
      <c r="AW54" s="27" t="str">
        <f t="shared" si="41"/>
        <v/>
      </c>
      <c r="AX54" s="27" t="str">
        <f t="shared" si="41"/>
        <v/>
      </c>
      <c r="AY54" s="27" t="str">
        <f t="shared" si="41"/>
        <v/>
      </c>
      <c r="AZ54" s="27" t="str">
        <f t="shared" si="41"/>
        <v/>
      </c>
      <c r="BA54" s="27" t="str">
        <f t="shared" si="41"/>
        <v/>
      </c>
      <c r="BB54" s="27" t="str">
        <f t="shared" si="41"/>
        <v/>
      </c>
      <c r="BC54" s="27" t="str">
        <f t="shared" si="41"/>
        <v/>
      </c>
      <c r="BD54" s="27" t="str">
        <f t="shared" si="41"/>
        <v/>
      </c>
      <c r="BE54" s="27" t="str">
        <f t="shared" ref="BE54:BN63" si="42">IF(INT(BE$3)=INT($C54), TEXT($C54, "dd-mmm"), "")</f>
        <v/>
      </c>
      <c r="BF54" s="27" t="str">
        <f t="shared" si="42"/>
        <v/>
      </c>
      <c r="BG54" s="27" t="str">
        <f t="shared" si="42"/>
        <v/>
      </c>
      <c r="BH54" s="27" t="str">
        <f t="shared" si="42"/>
        <v/>
      </c>
      <c r="BI54" s="27" t="str">
        <f t="shared" si="42"/>
        <v/>
      </c>
      <c r="BJ54" s="27" t="str">
        <f t="shared" si="42"/>
        <v/>
      </c>
      <c r="BK54" s="27" t="str">
        <f t="shared" si="42"/>
        <v/>
      </c>
      <c r="BL54" s="27" t="str">
        <f t="shared" si="42"/>
        <v/>
      </c>
      <c r="BM54" s="27" t="str">
        <f t="shared" si="42"/>
        <v/>
      </c>
      <c r="BN54" s="27" t="str">
        <f t="shared" si="42"/>
        <v/>
      </c>
    </row>
    <row r="55" spans="1:66" ht="15" customHeight="1" x14ac:dyDescent="0.3">
      <c r="A55" s="10" t="str">
        <f>Machine_List!A55</f>
        <v>ENG</v>
      </c>
      <c r="B55" s="10" t="str">
        <f>Machine_List!B55</f>
        <v>ENG-MC-06</v>
      </c>
      <c r="C55" s="22">
        <f>Machine_List!C55</f>
        <v>46074</v>
      </c>
      <c r="D55" s="10">
        <f>Machine_List!D55</f>
        <v>6</v>
      </c>
      <c r="E55" s="10">
        <f t="shared" ca="1" si="29"/>
        <v>-45</v>
      </c>
      <c r="F55" s="10" t="str">
        <f t="shared" ca="1" si="30"/>
        <v>OVERDUE</v>
      </c>
      <c r="G55" s="27" t="str">
        <f t="shared" si="37"/>
        <v/>
      </c>
      <c r="H55" s="27" t="str">
        <f t="shared" si="37"/>
        <v/>
      </c>
      <c r="I55" s="27" t="str">
        <f t="shared" si="37"/>
        <v/>
      </c>
      <c r="J55" s="27" t="str">
        <f t="shared" si="37"/>
        <v/>
      </c>
      <c r="K55" s="27" t="str">
        <f t="shared" si="37"/>
        <v/>
      </c>
      <c r="L55" s="27" t="str">
        <f t="shared" si="37"/>
        <v/>
      </c>
      <c r="M55" s="27" t="str">
        <f t="shared" si="37"/>
        <v/>
      </c>
      <c r="N55" s="27" t="str">
        <f t="shared" si="37"/>
        <v/>
      </c>
      <c r="O55" s="27" t="str">
        <f t="shared" si="37"/>
        <v/>
      </c>
      <c r="P55" s="27" t="str">
        <f t="shared" si="37"/>
        <v/>
      </c>
      <c r="Q55" s="27" t="str">
        <f t="shared" si="38"/>
        <v/>
      </c>
      <c r="R55" s="27" t="str">
        <f t="shared" si="38"/>
        <v/>
      </c>
      <c r="S55" s="27" t="str">
        <f t="shared" si="38"/>
        <v/>
      </c>
      <c r="T55" s="27" t="str">
        <f t="shared" si="38"/>
        <v/>
      </c>
      <c r="U55" s="27" t="str">
        <f t="shared" si="38"/>
        <v/>
      </c>
      <c r="V55" s="27" t="str">
        <f t="shared" si="38"/>
        <v/>
      </c>
      <c r="W55" s="27" t="str">
        <f t="shared" si="38"/>
        <v/>
      </c>
      <c r="X55" s="27" t="str">
        <f t="shared" si="38"/>
        <v/>
      </c>
      <c r="Y55" s="27" t="str">
        <f t="shared" si="38"/>
        <v/>
      </c>
      <c r="Z55" s="27" t="str">
        <f t="shared" si="38"/>
        <v/>
      </c>
      <c r="AA55" s="27" t="str">
        <f t="shared" si="39"/>
        <v/>
      </c>
      <c r="AB55" s="27" t="str">
        <f t="shared" si="39"/>
        <v/>
      </c>
      <c r="AC55" s="27" t="str">
        <f t="shared" si="39"/>
        <v/>
      </c>
      <c r="AD55" s="27" t="str">
        <f t="shared" si="39"/>
        <v/>
      </c>
      <c r="AE55" s="27" t="str">
        <f t="shared" si="39"/>
        <v/>
      </c>
      <c r="AF55" s="27" t="str">
        <f t="shared" si="39"/>
        <v/>
      </c>
      <c r="AG55" s="27" t="str">
        <f t="shared" si="39"/>
        <v/>
      </c>
      <c r="AH55" s="27" t="str">
        <f t="shared" si="39"/>
        <v/>
      </c>
      <c r="AI55" s="27" t="str">
        <f t="shared" si="39"/>
        <v/>
      </c>
      <c r="AJ55" s="27" t="str">
        <f t="shared" si="39"/>
        <v/>
      </c>
      <c r="AK55" s="27" t="str">
        <f t="shared" si="40"/>
        <v/>
      </c>
      <c r="AL55" s="27" t="str">
        <f t="shared" si="40"/>
        <v/>
      </c>
      <c r="AM55" s="27" t="str">
        <f t="shared" si="40"/>
        <v/>
      </c>
      <c r="AN55" s="27" t="str">
        <f t="shared" si="40"/>
        <v/>
      </c>
      <c r="AO55" s="27" t="str">
        <f t="shared" si="40"/>
        <v/>
      </c>
      <c r="AP55" s="27" t="str">
        <f t="shared" si="40"/>
        <v/>
      </c>
      <c r="AQ55" s="27" t="str">
        <f t="shared" si="40"/>
        <v/>
      </c>
      <c r="AR55" s="27" t="str">
        <f t="shared" si="40"/>
        <v/>
      </c>
      <c r="AS55" s="27" t="str">
        <f t="shared" si="40"/>
        <v/>
      </c>
      <c r="AT55" s="27" t="str">
        <f t="shared" si="40"/>
        <v/>
      </c>
      <c r="AU55" s="27" t="str">
        <f t="shared" si="41"/>
        <v/>
      </c>
      <c r="AV55" s="27" t="str">
        <f t="shared" si="41"/>
        <v/>
      </c>
      <c r="AW55" s="27" t="str">
        <f t="shared" si="41"/>
        <v/>
      </c>
      <c r="AX55" s="27" t="str">
        <f t="shared" si="41"/>
        <v/>
      </c>
      <c r="AY55" s="27" t="str">
        <f t="shared" si="41"/>
        <v/>
      </c>
      <c r="AZ55" s="27" t="str">
        <f t="shared" si="41"/>
        <v/>
      </c>
      <c r="BA55" s="27" t="str">
        <f t="shared" si="41"/>
        <v/>
      </c>
      <c r="BB55" s="27" t="str">
        <f t="shared" si="41"/>
        <v/>
      </c>
      <c r="BC55" s="27" t="str">
        <f t="shared" si="41"/>
        <v/>
      </c>
      <c r="BD55" s="27" t="str">
        <f t="shared" si="41"/>
        <v/>
      </c>
      <c r="BE55" s="27" t="str">
        <f t="shared" si="42"/>
        <v/>
      </c>
      <c r="BF55" s="27" t="str">
        <f t="shared" si="42"/>
        <v/>
      </c>
      <c r="BG55" s="27" t="str">
        <f t="shared" si="42"/>
        <v/>
      </c>
      <c r="BH55" s="27" t="str">
        <f t="shared" si="42"/>
        <v/>
      </c>
      <c r="BI55" s="27" t="str">
        <f t="shared" si="42"/>
        <v/>
      </c>
      <c r="BJ55" s="27" t="str">
        <f t="shared" si="42"/>
        <v/>
      </c>
      <c r="BK55" s="27" t="str">
        <f t="shared" si="42"/>
        <v/>
      </c>
      <c r="BL55" s="27" t="str">
        <f t="shared" si="42"/>
        <v/>
      </c>
      <c r="BM55" s="27" t="str">
        <f t="shared" si="42"/>
        <v/>
      </c>
      <c r="BN55" s="27" t="str">
        <f t="shared" si="42"/>
        <v/>
      </c>
    </row>
    <row r="56" spans="1:66" ht="15" customHeight="1" x14ac:dyDescent="0.3">
      <c r="A56" s="10" t="str">
        <f>Machine_List!A56</f>
        <v>ENG</v>
      </c>
      <c r="B56" s="10" t="str">
        <f>Machine_List!B56</f>
        <v>ENG-MC-07</v>
      </c>
      <c r="C56" s="22">
        <f>Machine_List!C56</f>
        <v>46272</v>
      </c>
      <c r="D56" s="10">
        <f>Machine_List!D56</f>
        <v>6</v>
      </c>
      <c r="E56" s="10">
        <f t="shared" ca="1" si="29"/>
        <v>153</v>
      </c>
      <c r="F56" s="10" t="str">
        <f t="shared" ca="1" si="30"/>
        <v>OK</v>
      </c>
      <c r="G56" s="27" t="str">
        <f t="shared" si="37"/>
        <v/>
      </c>
      <c r="H56" s="27" t="str">
        <f t="shared" si="37"/>
        <v/>
      </c>
      <c r="I56" s="27" t="str">
        <f t="shared" si="37"/>
        <v/>
      </c>
      <c r="J56" s="27" t="str">
        <f t="shared" si="37"/>
        <v/>
      </c>
      <c r="K56" s="27" t="str">
        <f t="shared" si="37"/>
        <v/>
      </c>
      <c r="L56" s="27" t="str">
        <f t="shared" si="37"/>
        <v/>
      </c>
      <c r="M56" s="27" t="str">
        <f t="shared" si="37"/>
        <v/>
      </c>
      <c r="N56" s="27" t="str">
        <f t="shared" si="37"/>
        <v/>
      </c>
      <c r="O56" s="27" t="str">
        <f t="shared" si="37"/>
        <v/>
      </c>
      <c r="P56" s="27" t="str">
        <f t="shared" si="37"/>
        <v/>
      </c>
      <c r="Q56" s="27" t="str">
        <f t="shared" si="38"/>
        <v/>
      </c>
      <c r="R56" s="27" t="str">
        <f t="shared" si="38"/>
        <v/>
      </c>
      <c r="S56" s="27" t="str">
        <f t="shared" si="38"/>
        <v/>
      </c>
      <c r="T56" s="27" t="str">
        <f t="shared" si="38"/>
        <v/>
      </c>
      <c r="U56" s="27" t="str">
        <f t="shared" si="38"/>
        <v/>
      </c>
      <c r="V56" s="27" t="str">
        <f t="shared" si="38"/>
        <v/>
      </c>
      <c r="W56" s="27" t="str">
        <f t="shared" si="38"/>
        <v/>
      </c>
      <c r="X56" s="27" t="str">
        <f t="shared" si="38"/>
        <v/>
      </c>
      <c r="Y56" s="27" t="str">
        <f t="shared" si="38"/>
        <v/>
      </c>
      <c r="Z56" s="27" t="str">
        <f t="shared" si="38"/>
        <v/>
      </c>
      <c r="AA56" s="27" t="str">
        <f t="shared" si="39"/>
        <v/>
      </c>
      <c r="AB56" s="27" t="str">
        <f t="shared" si="39"/>
        <v/>
      </c>
      <c r="AC56" s="27" t="str">
        <f t="shared" si="39"/>
        <v/>
      </c>
      <c r="AD56" s="27" t="str">
        <f t="shared" si="39"/>
        <v/>
      </c>
      <c r="AE56" s="27" t="str">
        <f t="shared" si="39"/>
        <v/>
      </c>
      <c r="AF56" s="27" t="str">
        <f t="shared" si="39"/>
        <v/>
      </c>
      <c r="AG56" s="27" t="str">
        <f t="shared" si="39"/>
        <v/>
      </c>
      <c r="AH56" s="27" t="str">
        <f t="shared" si="39"/>
        <v/>
      </c>
      <c r="AI56" s="27" t="str">
        <f t="shared" si="39"/>
        <v/>
      </c>
      <c r="AJ56" s="27" t="str">
        <f t="shared" si="39"/>
        <v/>
      </c>
      <c r="AK56" s="27" t="str">
        <f t="shared" si="40"/>
        <v/>
      </c>
      <c r="AL56" s="27" t="str">
        <f t="shared" si="40"/>
        <v/>
      </c>
      <c r="AM56" s="27" t="str">
        <f t="shared" si="40"/>
        <v/>
      </c>
      <c r="AN56" s="27" t="str">
        <f t="shared" si="40"/>
        <v/>
      </c>
      <c r="AO56" s="27" t="str">
        <f t="shared" si="40"/>
        <v/>
      </c>
      <c r="AP56" s="27" t="str">
        <f t="shared" si="40"/>
        <v/>
      </c>
      <c r="AQ56" s="27" t="str">
        <f t="shared" si="40"/>
        <v/>
      </c>
      <c r="AR56" s="27" t="str">
        <f t="shared" si="40"/>
        <v/>
      </c>
      <c r="AS56" s="27" t="str">
        <f t="shared" si="40"/>
        <v/>
      </c>
      <c r="AT56" s="27" t="str">
        <f t="shared" si="40"/>
        <v/>
      </c>
      <c r="AU56" s="27" t="str">
        <f t="shared" si="41"/>
        <v/>
      </c>
      <c r="AV56" s="27" t="str">
        <f t="shared" si="41"/>
        <v/>
      </c>
      <c r="AW56" s="27" t="str">
        <f t="shared" si="41"/>
        <v/>
      </c>
      <c r="AX56" s="27" t="str">
        <f t="shared" si="41"/>
        <v/>
      </c>
      <c r="AY56" s="27" t="str">
        <f t="shared" si="41"/>
        <v/>
      </c>
      <c r="AZ56" s="27" t="str">
        <f t="shared" si="41"/>
        <v/>
      </c>
      <c r="BA56" s="27" t="str">
        <f t="shared" si="41"/>
        <v/>
      </c>
      <c r="BB56" s="27" t="str">
        <f t="shared" si="41"/>
        <v/>
      </c>
      <c r="BC56" s="27" t="str">
        <f t="shared" si="41"/>
        <v/>
      </c>
      <c r="BD56" s="27" t="str">
        <f t="shared" si="41"/>
        <v/>
      </c>
      <c r="BE56" s="27" t="str">
        <f t="shared" si="42"/>
        <v/>
      </c>
      <c r="BF56" s="27" t="str">
        <f t="shared" si="42"/>
        <v/>
      </c>
      <c r="BG56" s="27" t="str">
        <f t="shared" si="42"/>
        <v/>
      </c>
      <c r="BH56" s="27" t="str">
        <f t="shared" si="42"/>
        <v/>
      </c>
      <c r="BI56" s="27" t="str">
        <f t="shared" si="42"/>
        <v/>
      </c>
      <c r="BJ56" s="27" t="str">
        <f t="shared" si="42"/>
        <v/>
      </c>
      <c r="BK56" s="27" t="str">
        <f t="shared" si="42"/>
        <v/>
      </c>
      <c r="BL56" s="27" t="str">
        <f t="shared" si="42"/>
        <v/>
      </c>
      <c r="BM56" s="27" t="str">
        <f t="shared" si="42"/>
        <v/>
      </c>
      <c r="BN56" s="27" t="str">
        <f t="shared" si="42"/>
        <v/>
      </c>
    </row>
    <row r="57" spans="1:66" ht="15" customHeight="1" x14ac:dyDescent="0.3">
      <c r="A57" s="10" t="str">
        <f>Machine_List!A57</f>
        <v>ENG</v>
      </c>
      <c r="B57" s="10" t="str">
        <f>Machine_List!B57</f>
        <v>ENG-MC-08</v>
      </c>
      <c r="C57" s="22">
        <f>Machine_List!C57</f>
        <v>46383</v>
      </c>
      <c r="D57" s="10">
        <f>Machine_List!D57</f>
        <v>6</v>
      </c>
      <c r="E57" s="10">
        <f t="shared" ca="1" si="29"/>
        <v>264</v>
      </c>
      <c r="F57" s="10" t="str">
        <f t="shared" ca="1" si="30"/>
        <v>OK</v>
      </c>
      <c r="G57" s="27" t="str">
        <f t="shared" si="37"/>
        <v/>
      </c>
      <c r="H57" s="27" t="str">
        <f t="shared" si="37"/>
        <v/>
      </c>
      <c r="I57" s="27" t="str">
        <f t="shared" si="37"/>
        <v/>
      </c>
      <c r="J57" s="27" t="str">
        <f t="shared" si="37"/>
        <v/>
      </c>
      <c r="K57" s="27" t="str">
        <f t="shared" si="37"/>
        <v/>
      </c>
      <c r="L57" s="27" t="str">
        <f t="shared" si="37"/>
        <v/>
      </c>
      <c r="M57" s="27" t="str">
        <f t="shared" si="37"/>
        <v/>
      </c>
      <c r="N57" s="27" t="str">
        <f t="shared" si="37"/>
        <v/>
      </c>
      <c r="O57" s="27" t="str">
        <f t="shared" si="37"/>
        <v/>
      </c>
      <c r="P57" s="27" t="str">
        <f t="shared" si="37"/>
        <v/>
      </c>
      <c r="Q57" s="27" t="str">
        <f t="shared" si="38"/>
        <v/>
      </c>
      <c r="R57" s="27" t="str">
        <f t="shared" si="38"/>
        <v/>
      </c>
      <c r="S57" s="27" t="str">
        <f t="shared" si="38"/>
        <v/>
      </c>
      <c r="T57" s="27" t="str">
        <f t="shared" si="38"/>
        <v/>
      </c>
      <c r="U57" s="27" t="str">
        <f t="shared" si="38"/>
        <v/>
      </c>
      <c r="V57" s="27" t="str">
        <f t="shared" si="38"/>
        <v/>
      </c>
      <c r="W57" s="27" t="str">
        <f t="shared" si="38"/>
        <v/>
      </c>
      <c r="X57" s="27" t="str">
        <f t="shared" si="38"/>
        <v/>
      </c>
      <c r="Y57" s="27" t="str">
        <f t="shared" si="38"/>
        <v/>
      </c>
      <c r="Z57" s="27" t="str">
        <f t="shared" si="38"/>
        <v/>
      </c>
      <c r="AA57" s="27" t="str">
        <f t="shared" si="39"/>
        <v/>
      </c>
      <c r="AB57" s="27" t="str">
        <f t="shared" si="39"/>
        <v/>
      </c>
      <c r="AC57" s="27" t="str">
        <f t="shared" si="39"/>
        <v/>
      </c>
      <c r="AD57" s="27" t="str">
        <f t="shared" si="39"/>
        <v/>
      </c>
      <c r="AE57" s="27" t="str">
        <f t="shared" si="39"/>
        <v/>
      </c>
      <c r="AF57" s="27" t="str">
        <f t="shared" si="39"/>
        <v/>
      </c>
      <c r="AG57" s="27" t="str">
        <f t="shared" si="39"/>
        <v/>
      </c>
      <c r="AH57" s="27" t="str">
        <f t="shared" si="39"/>
        <v/>
      </c>
      <c r="AI57" s="27" t="str">
        <f t="shared" si="39"/>
        <v/>
      </c>
      <c r="AJ57" s="27" t="str">
        <f t="shared" si="39"/>
        <v/>
      </c>
      <c r="AK57" s="27" t="str">
        <f t="shared" si="40"/>
        <v/>
      </c>
      <c r="AL57" s="27" t="str">
        <f t="shared" si="40"/>
        <v/>
      </c>
      <c r="AM57" s="27" t="str">
        <f t="shared" si="40"/>
        <v/>
      </c>
      <c r="AN57" s="27" t="str">
        <f t="shared" si="40"/>
        <v/>
      </c>
      <c r="AO57" s="27" t="str">
        <f t="shared" si="40"/>
        <v/>
      </c>
      <c r="AP57" s="27" t="str">
        <f t="shared" si="40"/>
        <v/>
      </c>
      <c r="AQ57" s="27" t="str">
        <f t="shared" si="40"/>
        <v/>
      </c>
      <c r="AR57" s="27" t="str">
        <f t="shared" si="40"/>
        <v/>
      </c>
      <c r="AS57" s="27" t="str">
        <f t="shared" si="40"/>
        <v/>
      </c>
      <c r="AT57" s="27" t="str">
        <f t="shared" si="40"/>
        <v/>
      </c>
      <c r="AU57" s="27" t="str">
        <f t="shared" si="41"/>
        <v/>
      </c>
      <c r="AV57" s="27" t="str">
        <f t="shared" si="41"/>
        <v/>
      </c>
      <c r="AW57" s="27" t="str">
        <f t="shared" si="41"/>
        <v/>
      </c>
      <c r="AX57" s="27" t="str">
        <f t="shared" si="41"/>
        <v/>
      </c>
      <c r="AY57" s="27" t="str">
        <f t="shared" si="41"/>
        <v/>
      </c>
      <c r="AZ57" s="27" t="str">
        <f t="shared" si="41"/>
        <v/>
      </c>
      <c r="BA57" s="27" t="str">
        <f t="shared" si="41"/>
        <v/>
      </c>
      <c r="BB57" s="27" t="str">
        <f t="shared" si="41"/>
        <v/>
      </c>
      <c r="BC57" s="27" t="str">
        <f t="shared" si="41"/>
        <v/>
      </c>
      <c r="BD57" s="27" t="str">
        <f t="shared" si="41"/>
        <v/>
      </c>
      <c r="BE57" s="27" t="str">
        <f t="shared" si="42"/>
        <v/>
      </c>
      <c r="BF57" s="27" t="str">
        <f t="shared" si="42"/>
        <v/>
      </c>
      <c r="BG57" s="27" t="str">
        <f t="shared" si="42"/>
        <v/>
      </c>
      <c r="BH57" s="27" t="str">
        <f t="shared" si="42"/>
        <v/>
      </c>
      <c r="BI57" s="27" t="str">
        <f t="shared" si="42"/>
        <v/>
      </c>
      <c r="BJ57" s="27" t="str">
        <f t="shared" si="42"/>
        <v/>
      </c>
      <c r="BK57" s="27" t="str">
        <f t="shared" si="42"/>
        <v/>
      </c>
      <c r="BL57" s="27" t="str">
        <f t="shared" si="42"/>
        <v/>
      </c>
      <c r="BM57" s="27" t="str">
        <f t="shared" si="42"/>
        <v/>
      </c>
      <c r="BN57" s="27" t="str">
        <f t="shared" si="42"/>
        <v/>
      </c>
    </row>
    <row r="58" spans="1:66" ht="15" customHeight="1" x14ac:dyDescent="0.3">
      <c r="A58" s="10" t="str">
        <f>Machine_List!A58</f>
        <v>ENG</v>
      </c>
      <c r="B58" s="10" t="str">
        <f>Machine_List!B58</f>
        <v>ENG-MC-09</v>
      </c>
      <c r="C58" s="22">
        <f>Machine_List!C58</f>
        <v>46471</v>
      </c>
      <c r="D58" s="10">
        <f>Machine_List!D58</f>
        <v>6</v>
      </c>
      <c r="E58" s="10">
        <f t="shared" ca="1" si="29"/>
        <v>352</v>
      </c>
      <c r="F58" s="10" t="str">
        <f t="shared" ca="1" si="30"/>
        <v>OK</v>
      </c>
      <c r="G58" s="27" t="str">
        <f t="shared" si="37"/>
        <v/>
      </c>
      <c r="H58" s="27" t="str">
        <f t="shared" si="37"/>
        <v/>
      </c>
      <c r="I58" s="27" t="str">
        <f t="shared" si="37"/>
        <v/>
      </c>
      <c r="J58" s="27" t="str">
        <f t="shared" si="37"/>
        <v/>
      </c>
      <c r="K58" s="27" t="str">
        <f t="shared" si="37"/>
        <v/>
      </c>
      <c r="L58" s="27" t="str">
        <f t="shared" si="37"/>
        <v/>
      </c>
      <c r="M58" s="27" t="str">
        <f t="shared" si="37"/>
        <v/>
      </c>
      <c r="N58" s="27" t="str">
        <f t="shared" si="37"/>
        <v/>
      </c>
      <c r="O58" s="27" t="str">
        <f t="shared" si="37"/>
        <v/>
      </c>
      <c r="P58" s="27" t="str">
        <f t="shared" si="37"/>
        <v/>
      </c>
      <c r="Q58" s="27" t="str">
        <f t="shared" si="38"/>
        <v/>
      </c>
      <c r="R58" s="27" t="str">
        <f t="shared" si="38"/>
        <v/>
      </c>
      <c r="S58" s="27" t="str">
        <f t="shared" si="38"/>
        <v/>
      </c>
      <c r="T58" s="27" t="str">
        <f t="shared" si="38"/>
        <v/>
      </c>
      <c r="U58" s="27" t="str">
        <f t="shared" si="38"/>
        <v/>
      </c>
      <c r="V58" s="27" t="str">
        <f t="shared" si="38"/>
        <v/>
      </c>
      <c r="W58" s="27" t="str">
        <f t="shared" si="38"/>
        <v/>
      </c>
      <c r="X58" s="27" t="str">
        <f t="shared" si="38"/>
        <v/>
      </c>
      <c r="Y58" s="27" t="str">
        <f t="shared" si="38"/>
        <v/>
      </c>
      <c r="Z58" s="27" t="str">
        <f t="shared" si="38"/>
        <v/>
      </c>
      <c r="AA58" s="27" t="str">
        <f t="shared" si="39"/>
        <v/>
      </c>
      <c r="AB58" s="27" t="str">
        <f t="shared" si="39"/>
        <v/>
      </c>
      <c r="AC58" s="27" t="str">
        <f t="shared" si="39"/>
        <v/>
      </c>
      <c r="AD58" s="27" t="str">
        <f t="shared" si="39"/>
        <v/>
      </c>
      <c r="AE58" s="27" t="str">
        <f t="shared" si="39"/>
        <v/>
      </c>
      <c r="AF58" s="27" t="str">
        <f t="shared" si="39"/>
        <v/>
      </c>
      <c r="AG58" s="27" t="str">
        <f t="shared" si="39"/>
        <v/>
      </c>
      <c r="AH58" s="27" t="str">
        <f t="shared" si="39"/>
        <v/>
      </c>
      <c r="AI58" s="27" t="str">
        <f t="shared" si="39"/>
        <v/>
      </c>
      <c r="AJ58" s="27" t="str">
        <f t="shared" si="39"/>
        <v/>
      </c>
      <c r="AK58" s="27" t="str">
        <f t="shared" si="40"/>
        <v/>
      </c>
      <c r="AL58" s="27" t="str">
        <f t="shared" si="40"/>
        <v/>
      </c>
      <c r="AM58" s="27" t="str">
        <f t="shared" si="40"/>
        <v/>
      </c>
      <c r="AN58" s="27" t="str">
        <f t="shared" si="40"/>
        <v/>
      </c>
      <c r="AO58" s="27" t="str">
        <f t="shared" si="40"/>
        <v/>
      </c>
      <c r="AP58" s="27" t="str">
        <f t="shared" si="40"/>
        <v/>
      </c>
      <c r="AQ58" s="27" t="str">
        <f t="shared" si="40"/>
        <v/>
      </c>
      <c r="AR58" s="27" t="str">
        <f t="shared" si="40"/>
        <v/>
      </c>
      <c r="AS58" s="27" t="str">
        <f t="shared" si="40"/>
        <v/>
      </c>
      <c r="AT58" s="27" t="str">
        <f t="shared" si="40"/>
        <v/>
      </c>
      <c r="AU58" s="27" t="str">
        <f t="shared" si="41"/>
        <v/>
      </c>
      <c r="AV58" s="27" t="str">
        <f t="shared" si="41"/>
        <v/>
      </c>
      <c r="AW58" s="27" t="str">
        <f t="shared" si="41"/>
        <v/>
      </c>
      <c r="AX58" s="27" t="str">
        <f t="shared" si="41"/>
        <v/>
      </c>
      <c r="AY58" s="27" t="str">
        <f t="shared" si="41"/>
        <v/>
      </c>
      <c r="AZ58" s="27" t="str">
        <f t="shared" si="41"/>
        <v/>
      </c>
      <c r="BA58" s="27" t="str">
        <f t="shared" si="41"/>
        <v/>
      </c>
      <c r="BB58" s="27" t="str">
        <f t="shared" si="41"/>
        <v/>
      </c>
      <c r="BC58" s="27" t="str">
        <f t="shared" si="41"/>
        <v/>
      </c>
      <c r="BD58" s="27" t="str">
        <f t="shared" si="41"/>
        <v/>
      </c>
      <c r="BE58" s="27" t="str">
        <f t="shared" si="42"/>
        <v/>
      </c>
      <c r="BF58" s="27" t="str">
        <f t="shared" si="42"/>
        <v/>
      </c>
      <c r="BG58" s="27" t="str">
        <f t="shared" si="42"/>
        <v/>
      </c>
      <c r="BH58" s="27" t="str">
        <f t="shared" si="42"/>
        <v/>
      </c>
      <c r="BI58" s="27" t="str">
        <f t="shared" si="42"/>
        <v/>
      </c>
      <c r="BJ58" s="27" t="str">
        <f t="shared" si="42"/>
        <v/>
      </c>
      <c r="BK58" s="27" t="str">
        <f t="shared" si="42"/>
        <v/>
      </c>
      <c r="BL58" s="27" t="str">
        <f t="shared" si="42"/>
        <v/>
      </c>
      <c r="BM58" s="27" t="str">
        <f t="shared" si="42"/>
        <v/>
      </c>
      <c r="BN58" s="27" t="str">
        <f t="shared" si="42"/>
        <v/>
      </c>
    </row>
    <row r="59" spans="1:66" ht="15" customHeight="1" x14ac:dyDescent="0.3">
      <c r="A59" s="10" t="str">
        <f>Machine_List!A59</f>
        <v>ENG</v>
      </c>
      <c r="B59" s="10" t="str">
        <f>Machine_List!B59</f>
        <v>ENG-MC-10</v>
      </c>
      <c r="C59" s="22">
        <f>Machine_List!C59</f>
        <v>46377</v>
      </c>
      <c r="D59" s="10">
        <f>Machine_List!D59</f>
        <v>6</v>
      </c>
      <c r="E59" s="10">
        <f t="shared" ca="1" si="29"/>
        <v>258</v>
      </c>
      <c r="F59" s="10" t="str">
        <f t="shared" ca="1" si="30"/>
        <v>OK</v>
      </c>
      <c r="G59" s="27" t="str">
        <f t="shared" si="37"/>
        <v/>
      </c>
      <c r="H59" s="27" t="str">
        <f t="shared" si="37"/>
        <v/>
      </c>
      <c r="I59" s="27" t="str">
        <f t="shared" si="37"/>
        <v/>
      </c>
      <c r="J59" s="27" t="str">
        <f t="shared" si="37"/>
        <v/>
      </c>
      <c r="K59" s="27" t="str">
        <f t="shared" si="37"/>
        <v/>
      </c>
      <c r="L59" s="27" t="str">
        <f t="shared" si="37"/>
        <v/>
      </c>
      <c r="M59" s="27" t="str">
        <f t="shared" si="37"/>
        <v/>
      </c>
      <c r="N59" s="27" t="str">
        <f t="shared" si="37"/>
        <v/>
      </c>
      <c r="O59" s="27" t="str">
        <f t="shared" si="37"/>
        <v/>
      </c>
      <c r="P59" s="27" t="str">
        <f t="shared" si="37"/>
        <v/>
      </c>
      <c r="Q59" s="27" t="str">
        <f t="shared" si="38"/>
        <v/>
      </c>
      <c r="R59" s="27" t="str">
        <f t="shared" si="38"/>
        <v/>
      </c>
      <c r="S59" s="27" t="str">
        <f t="shared" si="38"/>
        <v/>
      </c>
      <c r="T59" s="27" t="str">
        <f t="shared" si="38"/>
        <v/>
      </c>
      <c r="U59" s="27" t="str">
        <f t="shared" si="38"/>
        <v/>
      </c>
      <c r="V59" s="27" t="str">
        <f t="shared" si="38"/>
        <v/>
      </c>
      <c r="W59" s="27" t="str">
        <f t="shared" si="38"/>
        <v/>
      </c>
      <c r="X59" s="27" t="str">
        <f t="shared" si="38"/>
        <v/>
      </c>
      <c r="Y59" s="27" t="str">
        <f t="shared" si="38"/>
        <v/>
      </c>
      <c r="Z59" s="27" t="str">
        <f t="shared" si="38"/>
        <v/>
      </c>
      <c r="AA59" s="27" t="str">
        <f t="shared" si="39"/>
        <v/>
      </c>
      <c r="AB59" s="27" t="str">
        <f t="shared" si="39"/>
        <v/>
      </c>
      <c r="AC59" s="27" t="str">
        <f t="shared" si="39"/>
        <v/>
      </c>
      <c r="AD59" s="27" t="str">
        <f t="shared" si="39"/>
        <v/>
      </c>
      <c r="AE59" s="27" t="str">
        <f t="shared" si="39"/>
        <v/>
      </c>
      <c r="AF59" s="27" t="str">
        <f t="shared" si="39"/>
        <v/>
      </c>
      <c r="AG59" s="27" t="str">
        <f t="shared" si="39"/>
        <v/>
      </c>
      <c r="AH59" s="27" t="str">
        <f t="shared" si="39"/>
        <v/>
      </c>
      <c r="AI59" s="27" t="str">
        <f t="shared" si="39"/>
        <v/>
      </c>
      <c r="AJ59" s="27" t="str">
        <f t="shared" si="39"/>
        <v/>
      </c>
      <c r="AK59" s="27" t="str">
        <f t="shared" si="40"/>
        <v/>
      </c>
      <c r="AL59" s="27" t="str">
        <f t="shared" si="40"/>
        <v/>
      </c>
      <c r="AM59" s="27" t="str">
        <f t="shared" si="40"/>
        <v/>
      </c>
      <c r="AN59" s="27" t="str">
        <f t="shared" si="40"/>
        <v/>
      </c>
      <c r="AO59" s="27" t="str">
        <f t="shared" si="40"/>
        <v/>
      </c>
      <c r="AP59" s="27" t="str">
        <f t="shared" si="40"/>
        <v/>
      </c>
      <c r="AQ59" s="27" t="str">
        <f t="shared" si="40"/>
        <v/>
      </c>
      <c r="AR59" s="27" t="str">
        <f t="shared" si="40"/>
        <v/>
      </c>
      <c r="AS59" s="27" t="str">
        <f t="shared" si="40"/>
        <v/>
      </c>
      <c r="AT59" s="27" t="str">
        <f t="shared" si="40"/>
        <v/>
      </c>
      <c r="AU59" s="27" t="str">
        <f t="shared" si="41"/>
        <v/>
      </c>
      <c r="AV59" s="27" t="str">
        <f t="shared" si="41"/>
        <v/>
      </c>
      <c r="AW59" s="27" t="str">
        <f t="shared" si="41"/>
        <v/>
      </c>
      <c r="AX59" s="27" t="str">
        <f t="shared" si="41"/>
        <v/>
      </c>
      <c r="AY59" s="27" t="str">
        <f t="shared" si="41"/>
        <v/>
      </c>
      <c r="AZ59" s="27" t="str">
        <f t="shared" si="41"/>
        <v/>
      </c>
      <c r="BA59" s="27" t="str">
        <f t="shared" si="41"/>
        <v/>
      </c>
      <c r="BB59" s="27" t="str">
        <f t="shared" si="41"/>
        <v/>
      </c>
      <c r="BC59" s="27" t="str">
        <f t="shared" si="41"/>
        <v/>
      </c>
      <c r="BD59" s="27" t="str">
        <f t="shared" si="41"/>
        <v/>
      </c>
      <c r="BE59" s="27" t="str">
        <f t="shared" si="42"/>
        <v/>
      </c>
      <c r="BF59" s="27" t="str">
        <f t="shared" si="42"/>
        <v/>
      </c>
      <c r="BG59" s="27" t="str">
        <f t="shared" si="42"/>
        <v/>
      </c>
      <c r="BH59" s="27" t="str">
        <f t="shared" si="42"/>
        <v/>
      </c>
      <c r="BI59" s="27" t="str">
        <f t="shared" si="42"/>
        <v/>
      </c>
      <c r="BJ59" s="27" t="str">
        <f t="shared" si="42"/>
        <v/>
      </c>
      <c r="BK59" s="27" t="str">
        <f t="shared" si="42"/>
        <v/>
      </c>
      <c r="BL59" s="27" t="str">
        <f t="shared" si="42"/>
        <v/>
      </c>
      <c r="BM59" s="27" t="str">
        <f t="shared" si="42"/>
        <v/>
      </c>
      <c r="BN59" s="27" t="str">
        <f t="shared" si="42"/>
        <v/>
      </c>
    </row>
    <row r="60" spans="1:66" ht="15" customHeight="1" x14ac:dyDescent="0.3">
      <c r="A60" s="10" t="str">
        <f>Machine_List!A60</f>
        <v>ENG</v>
      </c>
      <c r="B60" s="10" t="str">
        <f>Machine_List!B60</f>
        <v>ENG-MC-11</v>
      </c>
      <c r="C60" s="22">
        <f>Machine_List!C60</f>
        <v>46517</v>
      </c>
      <c r="D60" s="10">
        <f>Machine_List!D60</f>
        <v>6</v>
      </c>
      <c r="E60" s="10">
        <f t="shared" ca="1" si="29"/>
        <v>398</v>
      </c>
      <c r="F60" s="10" t="str">
        <f t="shared" ca="1" si="30"/>
        <v>OK</v>
      </c>
      <c r="G60" s="27" t="str">
        <f t="shared" si="37"/>
        <v/>
      </c>
      <c r="H60" s="27" t="str">
        <f t="shared" si="37"/>
        <v/>
      </c>
      <c r="I60" s="27" t="str">
        <f t="shared" si="37"/>
        <v/>
      </c>
      <c r="J60" s="27" t="str">
        <f t="shared" si="37"/>
        <v/>
      </c>
      <c r="K60" s="27" t="str">
        <f t="shared" si="37"/>
        <v/>
      </c>
      <c r="L60" s="27" t="str">
        <f t="shared" si="37"/>
        <v/>
      </c>
      <c r="M60" s="27" t="str">
        <f t="shared" si="37"/>
        <v/>
      </c>
      <c r="N60" s="27" t="str">
        <f t="shared" si="37"/>
        <v/>
      </c>
      <c r="O60" s="27" t="str">
        <f t="shared" si="37"/>
        <v/>
      </c>
      <c r="P60" s="27" t="str">
        <f t="shared" si="37"/>
        <v/>
      </c>
      <c r="Q60" s="27" t="str">
        <f t="shared" si="38"/>
        <v/>
      </c>
      <c r="R60" s="27" t="str">
        <f t="shared" si="38"/>
        <v/>
      </c>
      <c r="S60" s="27" t="str">
        <f t="shared" si="38"/>
        <v/>
      </c>
      <c r="T60" s="27" t="str">
        <f t="shared" si="38"/>
        <v/>
      </c>
      <c r="U60" s="27" t="str">
        <f t="shared" si="38"/>
        <v/>
      </c>
      <c r="V60" s="27" t="str">
        <f t="shared" si="38"/>
        <v/>
      </c>
      <c r="W60" s="27" t="str">
        <f t="shared" si="38"/>
        <v/>
      </c>
      <c r="X60" s="27" t="str">
        <f t="shared" si="38"/>
        <v/>
      </c>
      <c r="Y60" s="27" t="str">
        <f t="shared" si="38"/>
        <v/>
      </c>
      <c r="Z60" s="27" t="str">
        <f t="shared" si="38"/>
        <v/>
      </c>
      <c r="AA60" s="27" t="str">
        <f t="shared" si="39"/>
        <v/>
      </c>
      <c r="AB60" s="27" t="str">
        <f t="shared" si="39"/>
        <v/>
      </c>
      <c r="AC60" s="27" t="str">
        <f t="shared" si="39"/>
        <v/>
      </c>
      <c r="AD60" s="27" t="str">
        <f t="shared" si="39"/>
        <v/>
      </c>
      <c r="AE60" s="27" t="str">
        <f t="shared" si="39"/>
        <v/>
      </c>
      <c r="AF60" s="27" t="str">
        <f t="shared" si="39"/>
        <v/>
      </c>
      <c r="AG60" s="27" t="str">
        <f t="shared" si="39"/>
        <v/>
      </c>
      <c r="AH60" s="27" t="str">
        <f t="shared" si="39"/>
        <v/>
      </c>
      <c r="AI60" s="27" t="str">
        <f t="shared" si="39"/>
        <v/>
      </c>
      <c r="AJ60" s="27" t="str">
        <f t="shared" si="39"/>
        <v/>
      </c>
      <c r="AK60" s="27" t="str">
        <f t="shared" si="40"/>
        <v/>
      </c>
      <c r="AL60" s="27" t="str">
        <f t="shared" si="40"/>
        <v/>
      </c>
      <c r="AM60" s="27" t="str">
        <f t="shared" si="40"/>
        <v/>
      </c>
      <c r="AN60" s="27" t="str">
        <f t="shared" si="40"/>
        <v/>
      </c>
      <c r="AO60" s="27" t="str">
        <f t="shared" si="40"/>
        <v/>
      </c>
      <c r="AP60" s="27" t="str">
        <f t="shared" si="40"/>
        <v/>
      </c>
      <c r="AQ60" s="27" t="str">
        <f t="shared" si="40"/>
        <v/>
      </c>
      <c r="AR60" s="27" t="str">
        <f t="shared" si="40"/>
        <v/>
      </c>
      <c r="AS60" s="27" t="str">
        <f t="shared" si="40"/>
        <v/>
      </c>
      <c r="AT60" s="27" t="str">
        <f t="shared" si="40"/>
        <v/>
      </c>
      <c r="AU60" s="27" t="str">
        <f t="shared" si="41"/>
        <v/>
      </c>
      <c r="AV60" s="27" t="str">
        <f t="shared" si="41"/>
        <v/>
      </c>
      <c r="AW60" s="27" t="str">
        <f t="shared" si="41"/>
        <v/>
      </c>
      <c r="AX60" s="27" t="str">
        <f t="shared" si="41"/>
        <v/>
      </c>
      <c r="AY60" s="27" t="str">
        <f t="shared" si="41"/>
        <v/>
      </c>
      <c r="AZ60" s="27" t="str">
        <f t="shared" si="41"/>
        <v/>
      </c>
      <c r="BA60" s="27" t="str">
        <f t="shared" si="41"/>
        <v/>
      </c>
      <c r="BB60" s="27" t="str">
        <f t="shared" si="41"/>
        <v/>
      </c>
      <c r="BC60" s="27" t="str">
        <f t="shared" si="41"/>
        <v/>
      </c>
      <c r="BD60" s="27" t="str">
        <f t="shared" si="41"/>
        <v/>
      </c>
      <c r="BE60" s="27" t="str">
        <f t="shared" si="42"/>
        <v/>
      </c>
      <c r="BF60" s="27" t="str">
        <f t="shared" si="42"/>
        <v/>
      </c>
      <c r="BG60" s="27" t="str">
        <f t="shared" si="42"/>
        <v/>
      </c>
      <c r="BH60" s="27" t="str">
        <f t="shared" si="42"/>
        <v/>
      </c>
      <c r="BI60" s="27" t="str">
        <f t="shared" si="42"/>
        <v/>
      </c>
      <c r="BJ60" s="27" t="str">
        <f t="shared" si="42"/>
        <v/>
      </c>
      <c r="BK60" s="27" t="str">
        <f t="shared" si="42"/>
        <v/>
      </c>
      <c r="BL60" s="27" t="str">
        <f t="shared" si="42"/>
        <v/>
      </c>
      <c r="BM60" s="27" t="str">
        <f t="shared" si="42"/>
        <v/>
      </c>
      <c r="BN60" s="27" t="str">
        <f t="shared" si="42"/>
        <v/>
      </c>
    </row>
    <row r="61" spans="1:66" ht="15" customHeight="1" x14ac:dyDescent="0.3">
      <c r="A61" s="10" t="str">
        <f>Machine_List!A61</f>
        <v>ENG</v>
      </c>
      <c r="B61" s="10" t="str">
        <f>Machine_List!B61</f>
        <v>ENG-MC-12</v>
      </c>
      <c r="C61" s="22">
        <f>Machine_List!C61</f>
        <v>46454</v>
      </c>
      <c r="D61" s="10">
        <f>Machine_List!D61</f>
        <v>6</v>
      </c>
      <c r="E61" s="10">
        <f t="shared" ca="1" si="29"/>
        <v>335</v>
      </c>
      <c r="F61" s="10" t="str">
        <f t="shared" ca="1" si="30"/>
        <v>OK</v>
      </c>
      <c r="G61" s="27" t="str">
        <f t="shared" si="37"/>
        <v/>
      </c>
      <c r="H61" s="27" t="str">
        <f t="shared" si="37"/>
        <v/>
      </c>
      <c r="I61" s="27" t="str">
        <f t="shared" si="37"/>
        <v/>
      </c>
      <c r="J61" s="27" t="str">
        <f t="shared" si="37"/>
        <v/>
      </c>
      <c r="K61" s="27" t="str">
        <f t="shared" si="37"/>
        <v/>
      </c>
      <c r="L61" s="27" t="str">
        <f t="shared" si="37"/>
        <v/>
      </c>
      <c r="M61" s="27" t="str">
        <f t="shared" si="37"/>
        <v/>
      </c>
      <c r="N61" s="27" t="str">
        <f t="shared" si="37"/>
        <v/>
      </c>
      <c r="O61" s="27" t="str">
        <f t="shared" si="37"/>
        <v/>
      </c>
      <c r="P61" s="27" t="str">
        <f t="shared" si="37"/>
        <v/>
      </c>
      <c r="Q61" s="27" t="str">
        <f t="shared" si="38"/>
        <v/>
      </c>
      <c r="R61" s="27" t="str">
        <f t="shared" si="38"/>
        <v/>
      </c>
      <c r="S61" s="27" t="str">
        <f t="shared" si="38"/>
        <v/>
      </c>
      <c r="T61" s="27" t="str">
        <f t="shared" si="38"/>
        <v/>
      </c>
      <c r="U61" s="27" t="str">
        <f t="shared" si="38"/>
        <v/>
      </c>
      <c r="V61" s="27" t="str">
        <f t="shared" si="38"/>
        <v/>
      </c>
      <c r="W61" s="27" t="str">
        <f t="shared" si="38"/>
        <v/>
      </c>
      <c r="X61" s="27" t="str">
        <f t="shared" si="38"/>
        <v/>
      </c>
      <c r="Y61" s="27" t="str">
        <f t="shared" si="38"/>
        <v/>
      </c>
      <c r="Z61" s="27" t="str">
        <f t="shared" si="38"/>
        <v/>
      </c>
      <c r="AA61" s="27" t="str">
        <f t="shared" si="39"/>
        <v/>
      </c>
      <c r="AB61" s="27" t="str">
        <f t="shared" si="39"/>
        <v/>
      </c>
      <c r="AC61" s="27" t="str">
        <f t="shared" si="39"/>
        <v/>
      </c>
      <c r="AD61" s="27" t="str">
        <f t="shared" si="39"/>
        <v/>
      </c>
      <c r="AE61" s="27" t="str">
        <f t="shared" si="39"/>
        <v/>
      </c>
      <c r="AF61" s="27" t="str">
        <f t="shared" si="39"/>
        <v/>
      </c>
      <c r="AG61" s="27" t="str">
        <f t="shared" si="39"/>
        <v/>
      </c>
      <c r="AH61" s="27" t="str">
        <f t="shared" si="39"/>
        <v/>
      </c>
      <c r="AI61" s="27" t="str">
        <f t="shared" si="39"/>
        <v/>
      </c>
      <c r="AJ61" s="27" t="str">
        <f t="shared" si="39"/>
        <v/>
      </c>
      <c r="AK61" s="27" t="str">
        <f t="shared" si="40"/>
        <v/>
      </c>
      <c r="AL61" s="27" t="str">
        <f t="shared" si="40"/>
        <v/>
      </c>
      <c r="AM61" s="27" t="str">
        <f t="shared" si="40"/>
        <v/>
      </c>
      <c r="AN61" s="27" t="str">
        <f t="shared" si="40"/>
        <v/>
      </c>
      <c r="AO61" s="27" t="str">
        <f t="shared" si="40"/>
        <v/>
      </c>
      <c r="AP61" s="27" t="str">
        <f t="shared" si="40"/>
        <v/>
      </c>
      <c r="AQ61" s="27" t="str">
        <f t="shared" si="40"/>
        <v/>
      </c>
      <c r="AR61" s="27" t="str">
        <f t="shared" si="40"/>
        <v/>
      </c>
      <c r="AS61" s="27" t="str">
        <f t="shared" si="40"/>
        <v/>
      </c>
      <c r="AT61" s="27" t="str">
        <f t="shared" si="40"/>
        <v/>
      </c>
      <c r="AU61" s="27" t="str">
        <f t="shared" si="41"/>
        <v/>
      </c>
      <c r="AV61" s="27" t="str">
        <f t="shared" si="41"/>
        <v/>
      </c>
      <c r="AW61" s="27" t="str">
        <f t="shared" si="41"/>
        <v/>
      </c>
      <c r="AX61" s="27" t="str">
        <f t="shared" si="41"/>
        <v/>
      </c>
      <c r="AY61" s="27" t="str">
        <f t="shared" si="41"/>
        <v/>
      </c>
      <c r="AZ61" s="27" t="str">
        <f t="shared" si="41"/>
        <v/>
      </c>
      <c r="BA61" s="27" t="str">
        <f t="shared" si="41"/>
        <v/>
      </c>
      <c r="BB61" s="27" t="str">
        <f t="shared" si="41"/>
        <v/>
      </c>
      <c r="BC61" s="27" t="str">
        <f t="shared" si="41"/>
        <v/>
      </c>
      <c r="BD61" s="27" t="str">
        <f t="shared" si="41"/>
        <v/>
      </c>
      <c r="BE61" s="27" t="str">
        <f t="shared" si="42"/>
        <v/>
      </c>
      <c r="BF61" s="27" t="str">
        <f t="shared" si="42"/>
        <v/>
      </c>
      <c r="BG61" s="27" t="str">
        <f t="shared" si="42"/>
        <v/>
      </c>
      <c r="BH61" s="27" t="str">
        <f t="shared" si="42"/>
        <v/>
      </c>
      <c r="BI61" s="27" t="str">
        <f t="shared" si="42"/>
        <v/>
      </c>
      <c r="BJ61" s="27" t="str">
        <f t="shared" si="42"/>
        <v/>
      </c>
      <c r="BK61" s="27" t="str">
        <f t="shared" si="42"/>
        <v/>
      </c>
      <c r="BL61" s="27" t="str">
        <f t="shared" si="42"/>
        <v/>
      </c>
      <c r="BM61" s="27" t="str">
        <f t="shared" si="42"/>
        <v/>
      </c>
      <c r="BN61" s="27" t="str">
        <f t="shared" si="42"/>
        <v/>
      </c>
    </row>
    <row r="62" spans="1:66" ht="15" customHeight="1" x14ac:dyDescent="0.3">
      <c r="A62" s="10" t="str">
        <f>Machine_List!A62</f>
        <v>ENG</v>
      </c>
      <c r="B62" s="10" t="str">
        <f>Machine_List!B62</f>
        <v>ENG-MC-13</v>
      </c>
      <c r="C62" s="22">
        <f>Machine_List!C62</f>
        <v>46371</v>
      </c>
      <c r="D62" s="10">
        <f>Machine_List!D62</f>
        <v>6</v>
      </c>
      <c r="E62" s="10">
        <f t="shared" ca="1" si="29"/>
        <v>252</v>
      </c>
      <c r="F62" s="10" t="str">
        <f t="shared" ca="1" si="30"/>
        <v>OK</v>
      </c>
      <c r="G62" s="27" t="str">
        <f t="shared" si="37"/>
        <v/>
      </c>
      <c r="H62" s="27" t="str">
        <f t="shared" si="37"/>
        <v/>
      </c>
      <c r="I62" s="27" t="str">
        <f t="shared" si="37"/>
        <v/>
      </c>
      <c r="J62" s="27" t="str">
        <f t="shared" si="37"/>
        <v/>
      </c>
      <c r="K62" s="27" t="str">
        <f t="shared" si="37"/>
        <v/>
      </c>
      <c r="L62" s="27" t="str">
        <f t="shared" si="37"/>
        <v/>
      </c>
      <c r="M62" s="27" t="str">
        <f t="shared" si="37"/>
        <v/>
      </c>
      <c r="N62" s="27" t="str">
        <f t="shared" si="37"/>
        <v/>
      </c>
      <c r="O62" s="27" t="str">
        <f t="shared" si="37"/>
        <v/>
      </c>
      <c r="P62" s="27" t="str">
        <f t="shared" si="37"/>
        <v/>
      </c>
      <c r="Q62" s="27" t="str">
        <f t="shared" si="38"/>
        <v/>
      </c>
      <c r="R62" s="27" t="str">
        <f t="shared" si="38"/>
        <v/>
      </c>
      <c r="S62" s="27" t="str">
        <f t="shared" si="38"/>
        <v/>
      </c>
      <c r="T62" s="27" t="str">
        <f t="shared" si="38"/>
        <v/>
      </c>
      <c r="U62" s="27" t="str">
        <f t="shared" si="38"/>
        <v/>
      </c>
      <c r="V62" s="27" t="str">
        <f t="shared" si="38"/>
        <v/>
      </c>
      <c r="W62" s="27" t="str">
        <f t="shared" si="38"/>
        <v/>
      </c>
      <c r="X62" s="27" t="str">
        <f t="shared" si="38"/>
        <v/>
      </c>
      <c r="Y62" s="27" t="str">
        <f t="shared" si="38"/>
        <v/>
      </c>
      <c r="Z62" s="27" t="str">
        <f t="shared" si="38"/>
        <v/>
      </c>
      <c r="AA62" s="27" t="str">
        <f t="shared" si="39"/>
        <v/>
      </c>
      <c r="AB62" s="27" t="str">
        <f t="shared" si="39"/>
        <v/>
      </c>
      <c r="AC62" s="27" t="str">
        <f t="shared" si="39"/>
        <v/>
      </c>
      <c r="AD62" s="27" t="str">
        <f t="shared" si="39"/>
        <v/>
      </c>
      <c r="AE62" s="27" t="str">
        <f t="shared" si="39"/>
        <v/>
      </c>
      <c r="AF62" s="27" t="str">
        <f t="shared" si="39"/>
        <v/>
      </c>
      <c r="AG62" s="27" t="str">
        <f t="shared" si="39"/>
        <v/>
      </c>
      <c r="AH62" s="27" t="str">
        <f t="shared" si="39"/>
        <v/>
      </c>
      <c r="AI62" s="27" t="str">
        <f t="shared" si="39"/>
        <v/>
      </c>
      <c r="AJ62" s="27" t="str">
        <f t="shared" si="39"/>
        <v/>
      </c>
      <c r="AK62" s="27" t="str">
        <f t="shared" si="40"/>
        <v/>
      </c>
      <c r="AL62" s="27" t="str">
        <f t="shared" si="40"/>
        <v/>
      </c>
      <c r="AM62" s="27" t="str">
        <f t="shared" si="40"/>
        <v/>
      </c>
      <c r="AN62" s="27" t="str">
        <f t="shared" si="40"/>
        <v/>
      </c>
      <c r="AO62" s="27" t="str">
        <f t="shared" si="40"/>
        <v/>
      </c>
      <c r="AP62" s="27" t="str">
        <f t="shared" si="40"/>
        <v/>
      </c>
      <c r="AQ62" s="27" t="str">
        <f t="shared" si="40"/>
        <v/>
      </c>
      <c r="AR62" s="27" t="str">
        <f t="shared" si="40"/>
        <v/>
      </c>
      <c r="AS62" s="27" t="str">
        <f t="shared" si="40"/>
        <v/>
      </c>
      <c r="AT62" s="27" t="str">
        <f t="shared" si="40"/>
        <v/>
      </c>
      <c r="AU62" s="27" t="str">
        <f t="shared" si="41"/>
        <v/>
      </c>
      <c r="AV62" s="27" t="str">
        <f t="shared" si="41"/>
        <v/>
      </c>
      <c r="AW62" s="27" t="str">
        <f t="shared" si="41"/>
        <v/>
      </c>
      <c r="AX62" s="27" t="str">
        <f t="shared" si="41"/>
        <v/>
      </c>
      <c r="AY62" s="27" t="str">
        <f t="shared" si="41"/>
        <v/>
      </c>
      <c r="AZ62" s="27" t="str">
        <f t="shared" si="41"/>
        <v/>
      </c>
      <c r="BA62" s="27" t="str">
        <f t="shared" si="41"/>
        <v/>
      </c>
      <c r="BB62" s="27" t="str">
        <f t="shared" si="41"/>
        <v/>
      </c>
      <c r="BC62" s="27" t="str">
        <f t="shared" si="41"/>
        <v/>
      </c>
      <c r="BD62" s="27" t="str">
        <f t="shared" si="41"/>
        <v/>
      </c>
      <c r="BE62" s="27" t="str">
        <f t="shared" si="42"/>
        <v/>
      </c>
      <c r="BF62" s="27" t="str">
        <f t="shared" si="42"/>
        <v/>
      </c>
      <c r="BG62" s="27" t="str">
        <f t="shared" si="42"/>
        <v/>
      </c>
      <c r="BH62" s="27" t="str">
        <f t="shared" si="42"/>
        <v/>
      </c>
      <c r="BI62" s="27" t="str">
        <f t="shared" si="42"/>
        <v/>
      </c>
      <c r="BJ62" s="27" t="str">
        <f t="shared" si="42"/>
        <v/>
      </c>
      <c r="BK62" s="27" t="str">
        <f t="shared" si="42"/>
        <v/>
      </c>
      <c r="BL62" s="27" t="str">
        <f t="shared" si="42"/>
        <v/>
      </c>
      <c r="BM62" s="27" t="str">
        <f t="shared" si="42"/>
        <v/>
      </c>
      <c r="BN62" s="27" t="str">
        <f t="shared" si="42"/>
        <v/>
      </c>
    </row>
    <row r="63" spans="1:66" ht="15" customHeight="1" x14ac:dyDescent="0.3">
      <c r="A63" s="10" t="str">
        <f>Machine_List!A63</f>
        <v>ENG</v>
      </c>
      <c r="B63" s="10" t="str">
        <f>Machine_List!B63</f>
        <v>ENG-MC-14</v>
      </c>
      <c r="C63" s="22">
        <f>Machine_List!C63</f>
        <v>46219</v>
      </c>
      <c r="D63" s="10">
        <f>Machine_List!D63</f>
        <v>6</v>
      </c>
      <c r="E63" s="10">
        <f t="shared" ca="1" si="29"/>
        <v>100</v>
      </c>
      <c r="F63" s="10" t="str">
        <f t="shared" ca="1" si="30"/>
        <v>OK</v>
      </c>
      <c r="G63" s="27" t="str">
        <f t="shared" si="37"/>
        <v/>
      </c>
      <c r="H63" s="27" t="str">
        <f t="shared" si="37"/>
        <v/>
      </c>
      <c r="I63" s="27" t="str">
        <f t="shared" si="37"/>
        <v/>
      </c>
      <c r="J63" s="27" t="str">
        <f t="shared" si="37"/>
        <v/>
      </c>
      <c r="K63" s="27" t="str">
        <f t="shared" si="37"/>
        <v/>
      </c>
      <c r="L63" s="27" t="str">
        <f t="shared" si="37"/>
        <v/>
      </c>
      <c r="M63" s="27" t="str">
        <f t="shared" si="37"/>
        <v/>
      </c>
      <c r="N63" s="27" t="str">
        <f t="shared" si="37"/>
        <v/>
      </c>
      <c r="O63" s="27" t="str">
        <f t="shared" si="37"/>
        <v/>
      </c>
      <c r="P63" s="27" t="str">
        <f t="shared" si="37"/>
        <v/>
      </c>
      <c r="Q63" s="27" t="str">
        <f t="shared" si="38"/>
        <v/>
      </c>
      <c r="R63" s="27" t="str">
        <f t="shared" si="38"/>
        <v/>
      </c>
      <c r="S63" s="27" t="str">
        <f t="shared" si="38"/>
        <v/>
      </c>
      <c r="T63" s="27" t="str">
        <f t="shared" si="38"/>
        <v/>
      </c>
      <c r="U63" s="27" t="str">
        <f t="shared" si="38"/>
        <v/>
      </c>
      <c r="V63" s="27" t="str">
        <f t="shared" si="38"/>
        <v/>
      </c>
      <c r="W63" s="27" t="str">
        <f t="shared" si="38"/>
        <v/>
      </c>
      <c r="X63" s="27" t="str">
        <f t="shared" si="38"/>
        <v/>
      </c>
      <c r="Y63" s="27" t="str">
        <f t="shared" si="38"/>
        <v/>
      </c>
      <c r="Z63" s="27" t="str">
        <f t="shared" si="38"/>
        <v/>
      </c>
      <c r="AA63" s="27" t="str">
        <f t="shared" si="39"/>
        <v/>
      </c>
      <c r="AB63" s="27" t="str">
        <f t="shared" si="39"/>
        <v/>
      </c>
      <c r="AC63" s="27" t="str">
        <f t="shared" si="39"/>
        <v/>
      </c>
      <c r="AD63" s="27" t="str">
        <f t="shared" si="39"/>
        <v/>
      </c>
      <c r="AE63" s="27" t="str">
        <f t="shared" si="39"/>
        <v/>
      </c>
      <c r="AF63" s="27" t="str">
        <f t="shared" si="39"/>
        <v/>
      </c>
      <c r="AG63" s="27" t="str">
        <f t="shared" si="39"/>
        <v/>
      </c>
      <c r="AH63" s="27" t="str">
        <f t="shared" si="39"/>
        <v/>
      </c>
      <c r="AI63" s="27" t="str">
        <f t="shared" si="39"/>
        <v/>
      </c>
      <c r="AJ63" s="27" t="str">
        <f t="shared" si="39"/>
        <v/>
      </c>
      <c r="AK63" s="27" t="str">
        <f t="shared" si="40"/>
        <v/>
      </c>
      <c r="AL63" s="27" t="str">
        <f t="shared" si="40"/>
        <v/>
      </c>
      <c r="AM63" s="27" t="str">
        <f t="shared" si="40"/>
        <v/>
      </c>
      <c r="AN63" s="27" t="str">
        <f t="shared" si="40"/>
        <v/>
      </c>
      <c r="AO63" s="27" t="str">
        <f t="shared" si="40"/>
        <v/>
      </c>
      <c r="AP63" s="27" t="str">
        <f t="shared" si="40"/>
        <v/>
      </c>
      <c r="AQ63" s="27" t="str">
        <f t="shared" si="40"/>
        <v/>
      </c>
      <c r="AR63" s="27" t="str">
        <f t="shared" si="40"/>
        <v/>
      </c>
      <c r="AS63" s="27" t="str">
        <f t="shared" si="40"/>
        <v/>
      </c>
      <c r="AT63" s="27" t="str">
        <f t="shared" si="40"/>
        <v/>
      </c>
      <c r="AU63" s="27" t="str">
        <f t="shared" si="41"/>
        <v/>
      </c>
      <c r="AV63" s="27" t="str">
        <f t="shared" si="41"/>
        <v/>
      </c>
      <c r="AW63" s="27" t="str">
        <f t="shared" si="41"/>
        <v/>
      </c>
      <c r="AX63" s="27" t="str">
        <f t="shared" si="41"/>
        <v/>
      </c>
      <c r="AY63" s="27" t="str">
        <f t="shared" si="41"/>
        <v/>
      </c>
      <c r="AZ63" s="27" t="str">
        <f t="shared" si="41"/>
        <v/>
      </c>
      <c r="BA63" s="27" t="str">
        <f t="shared" si="41"/>
        <v/>
      </c>
      <c r="BB63" s="27" t="str">
        <f t="shared" si="41"/>
        <v/>
      </c>
      <c r="BC63" s="27" t="str">
        <f t="shared" si="41"/>
        <v/>
      </c>
      <c r="BD63" s="27" t="str">
        <f t="shared" si="41"/>
        <v/>
      </c>
      <c r="BE63" s="27" t="str">
        <f t="shared" si="42"/>
        <v/>
      </c>
      <c r="BF63" s="27" t="str">
        <f t="shared" si="42"/>
        <v/>
      </c>
      <c r="BG63" s="27" t="str">
        <f t="shared" si="42"/>
        <v/>
      </c>
      <c r="BH63" s="27" t="str">
        <f t="shared" si="42"/>
        <v/>
      </c>
      <c r="BI63" s="27" t="str">
        <f t="shared" si="42"/>
        <v/>
      </c>
      <c r="BJ63" s="27" t="str">
        <f t="shared" si="42"/>
        <v/>
      </c>
      <c r="BK63" s="27" t="str">
        <f t="shared" si="42"/>
        <v/>
      </c>
      <c r="BL63" s="27" t="str">
        <f t="shared" si="42"/>
        <v/>
      </c>
      <c r="BM63" s="27" t="str">
        <f t="shared" si="42"/>
        <v/>
      </c>
      <c r="BN63" s="27" t="str">
        <f t="shared" si="42"/>
        <v/>
      </c>
    </row>
    <row r="64" spans="1:66" ht="15" customHeight="1" x14ac:dyDescent="0.3">
      <c r="A64" s="10" t="str">
        <f>Machine_List!A64</f>
        <v>VENT</v>
      </c>
      <c r="B64" s="10" t="str">
        <f>Machine_List!B64</f>
        <v>VENT-MC-01</v>
      </c>
      <c r="C64" s="22">
        <f>Machine_List!C64</f>
        <v>46230</v>
      </c>
      <c r="D64" s="10">
        <f>Machine_List!D64</f>
        <v>6</v>
      </c>
      <c r="E64" s="10">
        <f t="shared" ca="1" si="29"/>
        <v>111</v>
      </c>
      <c r="F64" s="10" t="str">
        <f t="shared" ca="1" si="30"/>
        <v>OK</v>
      </c>
      <c r="G64" s="27" t="str">
        <f t="shared" ref="G64:P73" si="43">IF(INT(G$3)=INT($C64), TEXT($C64, "dd-mmm"), "")</f>
        <v/>
      </c>
      <c r="H64" s="27" t="str">
        <f t="shared" si="43"/>
        <v/>
      </c>
      <c r="I64" s="27" t="str">
        <f t="shared" si="43"/>
        <v/>
      </c>
      <c r="J64" s="27" t="str">
        <f t="shared" si="43"/>
        <v/>
      </c>
      <c r="K64" s="27" t="str">
        <f t="shared" si="43"/>
        <v/>
      </c>
      <c r="L64" s="27" t="str">
        <f t="shared" si="43"/>
        <v/>
      </c>
      <c r="M64" s="27" t="str">
        <f t="shared" si="43"/>
        <v/>
      </c>
      <c r="N64" s="27" t="str">
        <f t="shared" si="43"/>
        <v/>
      </c>
      <c r="O64" s="27" t="str">
        <f t="shared" si="43"/>
        <v/>
      </c>
      <c r="P64" s="27" t="str">
        <f t="shared" si="43"/>
        <v/>
      </c>
      <c r="Q64" s="27" t="str">
        <f t="shared" ref="Q64:Z73" si="44">IF(INT(Q$3)=INT($C64), TEXT($C64, "dd-mmm"), "")</f>
        <v/>
      </c>
      <c r="R64" s="27" t="str">
        <f t="shared" si="44"/>
        <v/>
      </c>
      <c r="S64" s="27" t="str">
        <f t="shared" si="44"/>
        <v/>
      </c>
      <c r="T64" s="27" t="str">
        <f t="shared" si="44"/>
        <v/>
      </c>
      <c r="U64" s="27" t="str">
        <f t="shared" si="44"/>
        <v/>
      </c>
      <c r="V64" s="27" t="str">
        <f t="shared" si="44"/>
        <v/>
      </c>
      <c r="W64" s="27" t="str">
        <f t="shared" si="44"/>
        <v/>
      </c>
      <c r="X64" s="27" t="str">
        <f t="shared" si="44"/>
        <v/>
      </c>
      <c r="Y64" s="27" t="str">
        <f t="shared" si="44"/>
        <v/>
      </c>
      <c r="Z64" s="27" t="str">
        <f t="shared" si="44"/>
        <v/>
      </c>
      <c r="AA64" s="27" t="str">
        <f t="shared" ref="AA64:AJ73" si="45">IF(INT(AA$3)=INT($C64), TEXT($C64, "dd-mmm"), "")</f>
        <v/>
      </c>
      <c r="AB64" s="27" t="str">
        <f t="shared" si="45"/>
        <v/>
      </c>
      <c r="AC64" s="27" t="str">
        <f t="shared" si="45"/>
        <v/>
      </c>
      <c r="AD64" s="27" t="str">
        <f t="shared" si="45"/>
        <v/>
      </c>
      <c r="AE64" s="27" t="str">
        <f t="shared" si="45"/>
        <v/>
      </c>
      <c r="AF64" s="27" t="str">
        <f t="shared" si="45"/>
        <v/>
      </c>
      <c r="AG64" s="27" t="str">
        <f t="shared" si="45"/>
        <v/>
      </c>
      <c r="AH64" s="27" t="str">
        <f t="shared" si="45"/>
        <v/>
      </c>
      <c r="AI64" s="27" t="str">
        <f t="shared" si="45"/>
        <v/>
      </c>
      <c r="AJ64" s="27" t="str">
        <f t="shared" si="45"/>
        <v/>
      </c>
      <c r="AK64" s="27" t="str">
        <f t="shared" ref="AK64:AT73" si="46">IF(INT(AK$3)=INT($C64), TEXT($C64, "dd-mmm"), "")</f>
        <v/>
      </c>
      <c r="AL64" s="27" t="str">
        <f t="shared" si="46"/>
        <v/>
      </c>
      <c r="AM64" s="27" t="str">
        <f t="shared" si="46"/>
        <v/>
      </c>
      <c r="AN64" s="27" t="str">
        <f t="shared" si="46"/>
        <v/>
      </c>
      <c r="AO64" s="27" t="str">
        <f t="shared" si="46"/>
        <v/>
      </c>
      <c r="AP64" s="27" t="str">
        <f t="shared" si="46"/>
        <v/>
      </c>
      <c r="AQ64" s="27" t="str">
        <f t="shared" si="46"/>
        <v/>
      </c>
      <c r="AR64" s="27" t="str">
        <f t="shared" si="46"/>
        <v/>
      </c>
      <c r="AS64" s="27" t="str">
        <f t="shared" si="46"/>
        <v/>
      </c>
      <c r="AT64" s="27" t="str">
        <f t="shared" si="46"/>
        <v/>
      </c>
      <c r="AU64" s="27" t="str">
        <f t="shared" ref="AU64:BD73" si="47">IF(INT(AU$3)=INT($C64), TEXT($C64, "dd-mmm"), "")</f>
        <v/>
      </c>
      <c r="AV64" s="27" t="str">
        <f t="shared" si="47"/>
        <v/>
      </c>
      <c r="AW64" s="27" t="str">
        <f t="shared" si="47"/>
        <v/>
      </c>
      <c r="AX64" s="27" t="str">
        <f t="shared" si="47"/>
        <v/>
      </c>
      <c r="AY64" s="27" t="str">
        <f t="shared" si="47"/>
        <v/>
      </c>
      <c r="AZ64" s="27" t="str">
        <f t="shared" si="47"/>
        <v/>
      </c>
      <c r="BA64" s="27" t="str">
        <f t="shared" si="47"/>
        <v/>
      </c>
      <c r="BB64" s="27" t="str">
        <f t="shared" si="47"/>
        <v/>
      </c>
      <c r="BC64" s="27" t="str">
        <f t="shared" si="47"/>
        <v/>
      </c>
      <c r="BD64" s="27" t="str">
        <f t="shared" si="47"/>
        <v/>
      </c>
      <c r="BE64" s="27" t="str">
        <f t="shared" ref="BE64:BN73" si="48">IF(INT(BE$3)=INT($C64), TEXT($C64, "dd-mmm"), "")</f>
        <v/>
      </c>
      <c r="BF64" s="27" t="str">
        <f t="shared" si="48"/>
        <v/>
      </c>
      <c r="BG64" s="27" t="str">
        <f t="shared" si="48"/>
        <v/>
      </c>
      <c r="BH64" s="27" t="str">
        <f t="shared" si="48"/>
        <v/>
      </c>
      <c r="BI64" s="27" t="str">
        <f t="shared" si="48"/>
        <v/>
      </c>
      <c r="BJ64" s="27" t="str">
        <f t="shared" si="48"/>
        <v/>
      </c>
      <c r="BK64" s="27" t="str">
        <f t="shared" si="48"/>
        <v/>
      </c>
      <c r="BL64" s="27" t="str">
        <f t="shared" si="48"/>
        <v/>
      </c>
      <c r="BM64" s="27" t="str">
        <f t="shared" si="48"/>
        <v/>
      </c>
      <c r="BN64" s="27" t="str">
        <f t="shared" si="48"/>
        <v/>
      </c>
    </row>
    <row r="65" spans="1:66" ht="15" customHeight="1" x14ac:dyDescent="0.3">
      <c r="A65" s="10" t="str">
        <f>Machine_List!A65</f>
        <v>VENT</v>
      </c>
      <c r="B65" s="10" t="str">
        <f>Machine_List!B65</f>
        <v>VENT-MC-02</v>
      </c>
      <c r="C65" s="22">
        <f>Machine_List!C65</f>
        <v>46191</v>
      </c>
      <c r="D65" s="10">
        <f>Machine_List!D65</f>
        <v>6</v>
      </c>
      <c r="E65" s="10">
        <f t="shared" ca="1" si="29"/>
        <v>72</v>
      </c>
      <c r="F65" s="10" t="str">
        <f t="shared" ca="1" si="30"/>
        <v>OK</v>
      </c>
      <c r="G65" s="27" t="str">
        <f t="shared" si="43"/>
        <v/>
      </c>
      <c r="H65" s="27" t="str">
        <f t="shared" si="43"/>
        <v/>
      </c>
      <c r="I65" s="27" t="str">
        <f t="shared" si="43"/>
        <v/>
      </c>
      <c r="J65" s="27" t="str">
        <f t="shared" si="43"/>
        <v/>
      </c>
      <c r="K65" s="27" t="str">
        <f t="shared" si="43"/>
        <v/>
      </c>
      <c r="L65" s="27" t="str">
        <f t="shared" si="43"/>
        <v/>
      </c>
      <c r="M65" s="27" t="str">
        <f t="shared" si="43"/>
        <v/>
      </c>
      <c r="N65" s="27" t="str">
        <f t="shared" si="43"/>
        <v/>
      </c>
      <c r="O65" s="27" t="str">
        <f t="shared" si="43"/>
        <v/>
      </c>
      <c r="P65" s="27" t="str">
        <f t="shared" si="43"/>
        <v/>
      </c>
      <c r="Q65" s="27" t="str">
        <f t="shared" si="44"/>
        <v/>
      </c>
      <c r="R65" s="27" t="str">
        <f t="shared" si="44"/>
        <v/>
      </c>
      <c r="S65" s="27" t="str">
        <f t="shared" si="44"/>
        <v/>
      </c>
      <c r="T65" s="27" t="str">
        <f t="shared" si="44"/>
        <v/>
      </c>
      <c r="U65" s="27" t="str">
        <f t="shared" si="44"/>
        <v/>
      </c>
      <c r="V65" s="27" t="str">
        <f t="shared" si="44"/>
        <v/>
      </c>
      <c r="W65" s="27" t="str">
        <f t="shared" si="44"/>
        <v/>
      </c>
      <c r="X65" s="27" t="str">
        <f t="shared" si="44"/>
        <v/>
      </c>
      <c r="Y65" s="27" t="str">
        <f t="shared" si="44"/>
        <v/>
      </c>
      <c r="Z65" s="27" t="str">
        <f t="shared" si="44"/>
        <v/>
      </c>
      <c r="AA65" s="27" t="str">
        <f t="shared" si="45"/>
        <v/>
      </c>
      <c r="AB65" s="27" t="str">
        <f t="shared" si="45"/>
        <v/>
      </c>
      <c r="AC65" s="27" t="str">
        <f t="shared" si="45"/>
        <v/>
      </c>
      <c r="AD65" s="27" t="str">
        <f t="shared" si="45"/>
        <v/>
      </c>
      <c r="AE65" s="27" t="str">
        <f t="shared" si="45"/>
        <v/>
      </c>
      <c r="AF65" s="27" t="str">
        <f t="shared" si="45"/>
        <v/>
      </c>
      <c r="AG65" s="27" t="str">
        <f t="shared" si="45"/>
        <v/>
      </c>
      <c r="AH65" s="27" t="str">
        <f t="shared" si="45"/>
        <v/>
      </c>
      <c r="AI65" s="27" t="str">
        <f t="shared" si="45"/>
        <v/>
      </c>
      <c r="AJ65" s="27" t="str">
        <f t="shared" si="45"/>
        <v/>
      </c>
      <c r="AK65" s="27" t="str">
        <f t="shared" si="46"/>
        <v/>
      </c>
      <c r="AL65" s="27" t="str">
        <f t="shared" si="46"/>
        <v/>
      </c>
      <c r="AM65" s="27" t="str">
        <f t="shared" si="46"/>
        <v/>
      </c>
      <c r="AN65" s="27" t="str">
        <f t="shared" si="46"/>
        <v/>
      </c>
      <c r="AO65" s="27" t="str">
        <f t="shared" si="46"/>
        <v/>
      </c>
      <c r="AP65" s="27" t="str">
        <f t="shared" si="46"/>
        <v/>
      </c>
      <c r="AQ65" s="27" t="str">
        <f t="shared" si="46"/>
        <v/>
      </c>
      <c r="AR65" s="27" t="str">
        <f t="shared" si="46"/>
        <v/>
      </c>
      <c r="AS65" s="27" t="str">
        <f t="shared" si="46"/>
        <v/>
      </c>
      <c r="AT65" s="27" t="str">
        <f t="shared" si="46"/>
        <v/>
      </c>
      <c r="AU65" s="27" t="str">
        <f t="shared" si="47"/>
        <v/>
      </c>
      <c r="AV65" s="27" t="str">
        <f t="shared" si="47"/>
        <v/>
      </c>
      <c r="AW65" s="27" t="str">
        <f t="shared" si="47"/>
        <v/>
      </c>
      <c r="AX65" s="27" t="str">
        <f t="shared" si="47"/>
        <v/>
      </c>
      <c r="AY65" s="27" t="str">
        <f t="shared" si="47"/>
        <v/>
      </c>
      <c r="AZ65" s="27" t="str">
        <f t="shared" si="47"/>
        <v/>
      </c>
      <c r="BA65" s="27" t="str">
        <f t="shared" si="47"/>
        <v/>
      </c>
      <c r="BB65" s="27" t="str">
        <f t="shared" si="47"/>
        <v/>
      </c>
      <c r="BC65" s="27" t="str">
        <f t="shared" si="47"/>
        <v/>
      </c>
      <c r="BD65" s="27" t="str">
        <f t="shared" si="47"/>
        <v/>
      </c>
      <c r="BE65" s="27" t="str">
        <f t="shared" si="48"/>
        <v/>
      </c>
      <c r="BF65" s="27" t="str">
        <f t="shared" si="48"/>
        <v/>
      </c>
      <c r="BG65" s="27" t="str">
        <f t="shared" si="48"/>
        <v/>
      </c>
      <c r="BH65" s="27" t="str">
        <f t="shared" si="48"/>
        <v/>
      </c>
      <c r="BI65" s="27" t="str">
        <f t="shared" si="48"/>
        <v/>
      </c>
      <c r="BJ65" s="27" t="str">
        <f t="shared" si="48"/>
        <v/>
      </c>
      <c r="BK65" s="27" t="str">
        <f t="shared" si="48"/>
        <v/>
      </c>
      <c r="BL65" s="27" t="str">
        <f t="shared" si="48"/>
        <v/>
      </c>
      <c r="BM65" s="27" t="str">
        <f t="shared" si="48"/>
        <v/>
      </c>
      <c r="BN65" s="27" t="str">
        <f t="shared" si="48"/>
        <v/>
      </c>
    </row>
    <row r="66" spans="1:66" ht="15" customHeight="1" x14ac:dyDescent="0.3">
      <c r="A66" s="10" t="str">
        <f>Machine_List!A66</f>
        <v>VENT</v>
      </c>
      <c r="B66" s="10" t="str">
        <f>Machine_List!B66</f>
        <v>VENT-MC-03</v>
      </c>
      <c r="C66" s="22">
        <f>Machine_List!C66</f>
        <v>46054</v>
      </c>
      <c r="D66" s="10">
        <f>Machine_List!D66</f>
        <v>6</v>
      </c>
      <c r="E66" s="10">
        <f t="shared" ca="1" si="29"/>
        <v>-65</v>
      </c>
      <c r="F66" s="10" t="str">
        <f t="shared" ca="1" si="30"/>
        <v>OVERDUE</v>
      </c>
      <c r="G66" s="27" t="str">
        <f t="shared" si="43"/>
        <v/>
      </c>
      <c r="H66" s="27" t="str">
        <f t="shared" si="43"/>
        <v/>
      </c>
      <c r="I66" s="27" t="str">
        <f t="shared" si="43"/>
        <v/>
      </c>
      <c r="J66" s="27" t="str">
        <f t="shared" si="43"/>
        <v/>
      </c>
      <c r="K66" s="27" t="str">
        <f t="shared" si="43"/>
        <v/>
      </c>
      <c r="L66" s="27" t="str">
        <f t="shared" si="43"/>
        <v/>
      </c>
      <c r="M66" s="27" t="str">
        <f t="shared" si="43"/>
        <v/>
      </c>
      <c r="N66" s="27" t="str">
        <f t="shared" si="43"/>
        <v/>
      </c>
      <c r="O66" s="27" t="str">
        <f t="shared" si="43"/>
        <v/>
      </c>
      <c r="P66" s="27" t="str">
        <f t="shared" si="43"/>
        <v/>
      </c>
      <c r="Q66" s="27" t="str">
        <f t="shared" si="44"/>
        <v/>
      </c>
      <c r="R66" s="27" t="str">
        <f t="shared" si="44"/>
        <v/>
      </c>
      <c r="S66" s="27" t="str">
        <f t="shared" si="44"/>
        <v/>
      </c>
      <c r="T66" s="27" t="str">
        <f t="shared" si="44"/>
        <v/>
      </c>
      <c r="U66" s="27" t="str">
        <f t="shared" si="44"/>
        <v/>
      </c>
      <c r="V66" s="27" t="str">
        <f t="shared" si="44"/>
        <v/>
      </c>
      <c r="W66" s="27" t="str">
        <f t="shared" si="44"/>
        <v/>
      </c>
      <c r="X66" s="27" t="str">
        <f t="shared" si="44"/>
        <v/>
      </c>
      <c r="Y66" s="27" t="str">
        <f t="shared" si="44"/>
        <v/>
      </c>
      <c r="Z66" s="27" t="str">
        <f t="shared" si="44"/>
        <v/>
      </c>
      <c r="AA66" s="27" t="str">
        <f t="shared" si="45"/>
        <v/>
      </c>
      <c r="AB66" s="27" t="str">
        <f t="shared" si="45"/>
        <v/>
      </c>
      <c r="AC66" s="27" t="str">
        <f t="shared" si="45"/>
        <v/>
      </c>
      <c r="AD66" s="27" t="str">
        <f t="shared" si="45"/>
        <v/>
      </c>
      <c r="AE66" s="27" t="str">
        <f t="shared" si="45"/>
        <v/>
      </c>
      <c r="AF66" s="27" t="str">
        <f t="shared" si="45"/>
        <v/>
      </c>
      <c r="AG66" s="27" t="str">
        <f t="shared" si="45"/>
        <v/>
      </c>
      <c r="AH66" s="27" t="str">
        <f t="shared" si="45"/>
        <v/>
      </c>
      <c r="AI66" s="27" t="str">
        <f t="shared" si="45"/>
        <v/>
      </c>
      <c r="AJ66" s="27" t="str">
        <f t="shared" si="45"/>
        <v/>
      </c>
      <c r="AK66" s="27" t="str">
        <f t="shared" si="46"/>
        <v/>
      </c>
      <c r="AL66" s="27" t="str">
        <f t="shared" si="46"/>
        <v/>
      </c>
      <c r="AM66" s="27" t="str">
        <f t="shared" si="46"/>
        <v/>
      </c>
      <c r="AN66" s="27" t="str">
        <f t="shared" si="46"/>
        <v/>
      </c>
      <c r="AO66" s="27" t="str">
        <f t="shared" si="46"/>
        <v/>
      </c>
      <c r="AP66" s="27" t="str">
        <f t="shared" si="46"/>
        <v/>
      </c>
      <c r="AQ66" s="27" t="str">
        <f t="shared" si="46"/>
        <v/>
      </c>
      <c r="AR66" s="27" t="str">
        <f t="shared" si="46"/>
        <v/>
      </c>
      <c r="AS66" s="27" t="str">
        <f t="shared" si="46"/>
        <v/>
      </c>
      <c r="AT66" s="27" t="str">
        <f t="shared" si="46"/>
        <v/>
      </c>
      <c r="AU66" s="27" t="str">
        <f t="shared" si="47"/>
        <v/>
      </c>
      <c r="AV66" s="27" t="str">
        <f t="shared" si="47"/>
        <v/>
      </c>
      <c r="AW66" s="27" t="str">
        <f t="shared" si="47"/>
        <v/>
      </c>
      <c r="AX66" s="27" t="str">
        <f t="shared" si="47"/>
        <v/>
      </c>
      <c r="AY66" s="27" t="str">
        <f t="shared" si="47"/>
        <v/>
      </c>
      <c r="AZ66" s="27" t="str">
        <f t="shared" si="47"/>
        <v/>
      </c>
      <c r="BA66" s="27" t="str">
        <f t="shared" si="47"/>
        <v/>
      </c>
      <c r="BB66" s="27" t="str">
        <f t="shared" si="47"/>
        <v/>
      </c>
      <c r="BC66" s="27" t="str">
        <f t="shared" si="47"/>
        <v/>
      </c>
      <c r="BD66" s="27" t="str">
        <f t="shared" si="47"/>
        <v/>
      </c>
      <c r="BE66" s="27" t="str">
        <f t="shared" si="48"/>
        <v/>
      </c>
      <c r="BF66" s="27" t="str">
        <f t="shared" si="48"/>
        <v/>
      </c>
      <c r="BG66" s="27" t="str">
        <f t="shared" si="48"/>
        <v/>
      </c>
      <c r="BH66" s="27" t="str">
        <f t="shared" si="48"/>
        <v/>
      </c>
      <c r="BI66" s="27" t="str">
        <f t="shared" si="48"/>
        <v/>
      </c>
      <c r="BJ66" s="27" t="str">
        <f t="shared" si="48"/>
        <v/>
      </c>
      <c r="BK66" s="27" t="str">
        <f t="shared" si="48"/>
        <v/>
      </c>
      <c r="BL66" s="27" t="str">
        <f t="shared" si="48"/>
        <v/>
      </c>
      <c r="BM66" s="27" t="str">
        <f t="shared" si="48"/>
        <v/>
      </c>
      <c r="BN66" s="27" t="str">
        <f t="shared" si="48"/>
        <v/>
      </c>
    </row>
    <row r="67" spans="1:66" ht="15" customHeight="1" x14ac:dyDescent="0.3">
      <c r="A67" s="10" t="str">
        <f>Machine_List!A67</f>
        <v>VENT</v>
      </c>
      <c r="B67" s="10" t="str">
        <f>Machine_List!B67</f>
        <v>VENT-MC-04</v>
      </c>
      <c r="C67" s="22">
        <f>Machine_List!C67</f>
        <v>46255</v>
      </c>
      <c r="D67" s="10">
        <f>Machine_List!D67</f>
        <v>6</v>
      </c>
      <c r="E67" s="10">
        <f t="shared" ca="1" si="29"/>
        <v>136</v>
      </c>
      <c r="F67" s="10" t="str">
        <f t="shared" ca="1" si="30"/>
        <v>OK</v>
      </c>
      <c r="G67" s="27" t="str">
        <f t="shared" si="43"/>
        <v/>
      </c>
      <c r="H67" s="27" t="str">
        <f t="shared" si="43"/>
        <v/>
      </c>
      <c r="I67" s="27" t="str">
        <f t="shared" si="43"/>
        <v/>
      </c>
      <c r="J67" s="27" t="str">
        <f t="shared" si="43"/>
        <v/>
      </c>
      <c r="K67" s="27" t="str">
        <f t="shared" si="43"/>
        <v/>
      </c>
      <c r="L67" s="27" t="str">
        <f t="shared" si="43"/>
        <v/>
      </c>
      <c r="M67" s="27" t="str">
        <f t="shared" si="43"/>
        <v/>
      </c>
      <c r="N67" s="27" t="str">
        <f t="shared" si="43"/>
        <v/>
      </c>
      <c r="O67" s="27" t="str">
        <f t="shared" si="43"/>
        <v/>
      </c>
      <c r="P67" s="27" t="str">
        <f t="shared" si="43"/>
        <v/>
      </c>
      <c r="Q67" s="27" t="str">
        <f t="shared" si="44"/>
        <v/>
      </c>
      <c r="R67" s="27" t="str">
        <f t="shared" si="44"/>
        <v/>
      </c>
      <c r="S67" s="27" t="str">
        <f t="shared" si="44"/>
        <v/>
      </c>
      <c r="T67" s="27" t="str">
        <f t="shared" si="44"/>
        <v/>
      </c>
      <c r="U67" s="27" t="str">
        <f t="shared" si="44"/>
        <v/>
      </c>
      <c r="V67" s="27" t="str">
        <f t="shared" si="44"/>
        <v/>
      </c>
      <c r="W67" s="27" t="str">
        <f t="shared" si="44"/>
        <v/>
      </c>
      <c r="X67" s="27" t="str">
        <f t="shared" si="44"/>
        <v/>
      </c>
      <c r="Y67" s="27" t="str">
        <f t="shared" si="44"/>
        <v/>
      </c>
      <c r="Z67" s="27" t="str">
        <f t="shared" si="44"/>
        <v/>
      </c>
      <c r="AA67" s="27" t="str">
        <f t="shared" si="45"/>
        <v/>
      </c>
      <c r="AB67" s="27" t="str">
        <f t="shared" si="45"/>
        <v/>
      </c>
      <c r="AC67" s="27" t="str">
        <f t="shared" si="45"/>
        <v/>
      </c>
      <c r="AD67" s="27" t="str">
        <f t="shared" si="45"/>
        <v/>
      </c>
      <c r="AE67" s="27" t="str">
        <f t="shared" si="45"/>
        <v/>
      </c>
      <c r="AF67" s="27" t="str">
        <f t="shared" si="45"/>
        <v/>
      </c>
      <c r="AG67" s="27" t="str">
        <f t="shared" si="45"/>
        <v/>
      </c>
      <c r="AH67" s="27" t="str">
        <f t="shared" si="45"/>
        <v/>
      </c>
      <c r="AI67" s="27" t="str">
        <f t="shared" si="45"/>
        <v/>
      </c>
      <c r="AJ67" s="27" t="str">
        <f t="shared" si="45"/>
        <v/>
      </c>
      <c r="AK67" s="27" t="str">
        <f t="shared" si="46"/>
        <v/>
      </c>
      <c r="AL67" s="27" t="str">
        <f t="shared" si="46"/>
        <v/>
      </c>
      <c r="AM67" s="27" t="str">
        <f t="shared" si="46"/>
        <v/>
      </c>
      <c r="AN67" s="27" t="str">
        <f t="shared" si="46"/>
        <v/>
      </c>
      <c r="AO67" s="27" t="str">
        <f t="shared" si="46"/>
        <v/>
      </c>
      <c r="AP67" s="27" t="str">
        <f t="shared" si="46"/>
        <v/>
      </c>
      <c r="AQ67" s="27" t="str">
        <f t="shared" si="46"/>
        <v/>
      </c>
      <c r="AR67" s="27" t="str">
        <f t="shared" si="46"/>
        <v/>
      </c>
      <c r="AS67" s="27" t="str">
        <f t="shared" si="46"/>
        <v/>
      </c>
      <c r="AT67" s="27" t="str">
        <f t="shared" si="46"/>
        <v/>
      </c>
      <c r="AU67" s="27" t="str">
        <f t="shared" si="47"/>
        <v/>
      </c>
      <c r="AV67" s="27" t="str">
        <f t="shared" si="47"/>
        <v/>
      </c>
      <c r="AW67" s="27" t="str">
        <f t="shared" si="47"/>
        <v/>
      </c>
      <c r="AX67" s="27" t="str">
        <f t="shared" si="47"/>
        <v/>
      </c>
      <c r="AY67" s="27" t="str">
        <f t="shared" si="47"/>
        <v/>
      </c>
      <c r="AZ67" s="27" t="str">
        <f t="shared" si="47"/>
        <v/>
      </c>
      <c r="BA67" s="27" t="str">
        <f t="shared" si="47"/>
        <v/>
      </c>
      <c r="BB67" s="27" t="str">
        <f t="shared" si="47"/>
        <v/>
      </c>
      <c r="BC67" s="27" t="str">
        <f t="shared" si="47"/>
        <v/>
      </c>
      <c r="BD67" s="27" t="str">
        <f t="shared" si="47"/>
        <v/>
      </c>
      <c r="BE67" s="27" t="str">
        <f t="shared" si="48"/>
        <v/>
      </c>
      <c r="BF67" s="27" t="str">
        <f t="shared" si="48"/>
        <v/>
      </c>
      <c r="BG67" s="27" t="str">
        <f t="shared" si="48"/>
        <v/>
      </c>
      <c r="BH67" s="27" t="str">
        <f t="shared" si="48"/>
        <v/>
      </c>
      <c r="BI67" s="27" t="str">
        <f t="shared" si="48"/>
        <v/>
      </c>
      <c r="BJ67" s="27" t="str">
        <f t="shared" si="48"/>
        <v/>
      </c>
      <c r="BK67" s="27" t="str">
        <f t="shared" si="48"/>
        <v/>
      </c>
      <c r="BL67" s="27" t="str">
        <f t="shared" si="48"/>
        <v/>
      </c>
      <c r="BM67" s="27" t="str">
        <f t="shared" si="48"/>
        <v/>
      </c>
      <c r="BN67" s="27" t="str">
        <f t="shared" si="48"/>
        <v/>
      </c>
    </row>
    <row r="68" spans="1:66" ht="15" customHeight="1" x14ac:dyDescent="0.3">
      <c r="A68" s="10" t="str">
        <f>Machine_List!A68</f>
        <v>VENT</v>
      </c>
      <c r="B68" s="10" t="str">
        <f>Machine_List!B68</f>
        <v>VENT-MC-05</v>
      </c>
      <c r="C68" s="22">
        <f>Machine_List!C68</f>
        <v>46394</v>
      </c>
      <c r="D68" s="10">
        <f>Machine_List!D68</f>
        <v>6</v>
      </c>
      <c r="E68" s="10">
        <f t="shared" ref="E68:E86" ca="1" si="49">C68-TODAY()</f>
        <v>275</v>
      </c>
      <c r="F68" s="10" t="str">
        <f t="shared" ref="F68:F99" ca="1" si="50">IF(E68&lt;0,"OVERDUE",IF(E68&lt;=5,"DUE SOON","OK"))</f>
        <v>OK</v>
      </c>
      <c r="G68" s="27" t="str">
        <f t="shared" si="43"/>
        <v/>
      </c>
      <c r="H68" s="27" t="str">
        <f t="shared" si="43"/>
        <v/>
      </c>
      <c r="I68" s="27" t="str">
        <f t="shared" si="43"/>
        <v/>
      </c>
      <c r="J68" s="27" t="str">
        <f t="shared" si="43"/>
        <v/>
      </c>
      <c r="K68" s="27" t="str">
        <f t="shared" si="43"/>
        <v/>
      </c>
      <c r="L68" s="27" t="str">
        <f t="shared" si="43"/>
        <v/>
      </c>
      <c r="M68" s="27" t="str">
        <f t="shared" si="43"/>
        <v/>
      </c>
      <c r="N68" s="27" t="str">
        <f t="shared" si="43"/>
        <v/>
      </c>
      <c r="O68" s="27" t="str">
        <f t="shared" si="43"/>
        <v/>
      </c>
      <c r="P68" s="27" t="str">
        <f t="shared" si="43"/>
        <v/>
      </c>
      <c r="Q68" s="27" t="str">
        <f t="shared" si="44"/>
        <v/>
      </c>
      <c r="R68" s="27" t="str">
        <f t="shared" si="44"/>
        <v/>
      </c>
      <c r="S68" s="27" t="str">
        <f t="shared" si="44"/>
        <v/>
      </c>
      <c r="T68" s="27" t="str">
        <f t="shared" si="44"/>
        <v/>
      </c>
      <c r="U68" s="27" t="str">
        <f t="shared" si="44"/>
        <v/>
      </c>
      <c r="V68" s="27" t="str">
        <f t="shared" si="44"/>
        <v/>
      </c>
      <c r="W68" s="27" t="str">
        <f t="shared" si="44"/>
        <v/>
      </c>
      <c r="X68" s="27" t="str">
        <f t="shared" si="44"/>
        <v/>
      </c>
      <c r="Y68" s="27" t="str">
        <f t="shared" si="44"/>
        <v/>
      </c>
      <c r="Z68" s="27" t="str">
        <f t="shared" si="44"/>
        <v/>
      </c>
      <c r="AA68" s="27" t="str">
        <f t="shared" si="45"/>
        <v/>
      </c>
      <c r="AB68" s="27" t="str">
        <f t="shared" si="45"/>
        <v/>
      </c>
      <c r="AC68" s="27" t="str">
        <f t="shared" si="45"/>
        <v/>
      </c>
      <c r="AD68" s="27" t="str">
        <f t="shared" si="45"/>
        <v/>
      </c>
      <c r="AE68" s="27" t="str">
        <f t="shared" si="45"/>
        <v/>
      </c>
      <c r="AF68" s="27" t="str">
        <f t="shared" si="45"/>
        <v/>
      </c>
      <c r="AG68" s="27" t="str">
        <f t="shared" si="45"/>
        <v/>
      </c>
      <c r="AH68" s="27" t="str">
        <f t="shared" si="45"/>
        <v/>
      </c>
      <c r="AI68" s="27" t="str">
        <f t="shared" si="45"/>
        <v/>
      </c>
      <c r="AJ68" s="27" t="str">
        <f t="shared" si="45"/>
        <v/>
      </c>
      <c r="AK68" s="27" t="str">
        <f t="shared" si="46"/>
        <v/>
      </c>
      <c r="AL68" s="27" t="str">
        <f t="shared" si="46"/>
        <v/>
      </c>
      <c r="AM68" s="27" t="str">
        <f t="shared" si="46"/>
        <v/>
      </c>
      <c r="AN68" s="27" t="str">
        <f t="shared" si="46"/>
        <v/>
      </c>
      <c r="AO68" s="27" t="str">
        <f t="shared" si="46"/>
        <v/>
      </c>
      <c r="AP68" s="27" t="str">
        <f t="shared" si="46"/>
        <v/>
      </c>
      <c r="AQ68" s="27" t="str">
        <f t="shared" si="46"/>
        <v/>
      </c>
      <c r="AR68" s="27" t="str">
        <f t="shared" si="46"/>
        <v/>
      </c>
      <c r="AS68" s="27" t="str">
        <f t="shared" si="46"/>
        <v/>
      </c>
      <c r="AT68" s="27" t="str">
        <f t="shared" si="46"/>
        <v/>
      </c>
      <c r="AU68" s="27" t="str">
        <f t="shared" si="47"/>
        <v/>
      </c>
      <c r="AV68" s="27" t="str">
        <f t="shared" si="47"/>
        <v/>
      </c>
      <c r="AW68" s="27" t="str">
        <f t="shared" si="47"/>
        <v/>
      </c>
      <c r="AX68" s="27" t="str">
        <f t="shared" si="47"/>
        <v/>
      </c>
      <c r="AY68" s="27" t="str">
        <f t="shared" si="47"/>
        <v/>
      </c>
      <c r="AZ68" s="27" t="str">
        <f t="shared" si="47"/>
        <v/>
      </c>
      <c r="BA68" s="27" t="str">
        <f t="shared" si="47"/>
        <v/>
      </c>
      <c r="BB68" s="27" t="str">
        <f t="shared" si="47"/>
        <v/>
      </c>
      <c r="BC68" s="27" t="str">
        <f t="shared" si="47"/>
        <v/>
      </c>
      <c r="BD68" s="27" t="str">
        <f t="shared" si="47"/>
        <v/>
      </c>
      <c r="BE68" s="27" t="str">
        <f t="shared" si="48"/>
        <v/>
      </c>
      <c r="BF68" s="27" t="str">
        <f t="shared" si="48"/>
        <v/>
      </c>
      <c r="BG68" s="27" t="str">
        <f t="shared" si="48"/>
        <v/>
      </c>
      <c r="BH68" s="27" t="str">
        <f t="shared" si="48"/>
        <v/>
      </c>
      <c r="BI68" s="27" t="str">
        <f t="shared" si="48"/>
        <v/>
      </c>
      <c r="BJ68" s="27" t="str">
        <f t="shared" si="48"/>
        <v/>
      </c>
      <c r="BK68" s="27" t="str">
        <f t="shared" si="48"/>
        <v/>
      </c>
      <c r="BL68" s="27" t="str">
        <f t="shared" si="48"/>
        <v/>
      </c>
      <c r="BM68" s="27" t="str">
        <f t="shared" si="48"/>
        <v/>
      </c>
      <c r="BN68" s="27" t="str">
        <f t="shared" si="48"/>
        <v/>
      </c>
    </row>
    <row r="69" spans="1:66" ht="15" customHeight="1" x14ac:dyDescent="0.3">
      <c r="A69" s="10" t="str">
        <f>Machine_List!A69</f>
        <v>VENT</v>
      </c>
      <c r="B69" s="10" t="str">
        <f>Machine_List!B69</f>
        <v>VENT-MC-06</v>
      </c>
      <c r="C69" s="22">
        <f>Machine_List!C69</f>
        <v>46347</v>
      </c>
      <c r="D69" s="10">
        <f>Machine_List!D69</f>
        <v>6</v>
      </c>
      <c r="E69" s="10">
        <f t="shared" ca="1" si="49"/>
        <v>228</v>
      </c>
      <c r="F69" s="10" t="str">
        <f t="shared" ca="1" si="50"/>
        <v>OK</v>
      </c>
      <c r="G69" s="27" t="str">
        <f t="shared" si="43"/>
        <v/>
      </c>
      <c r="H69" s="27" t="str">
        <f t="shared" si="43"/>
        <v/>
      </c>
      <c r="I69" s="27" t="str">
        <f t="shared" si="43"/>
        <v/>
      </c>
      <c r="J69" s="27" t="str">
        <f t="shared" si="43"/>
        <v/>
      </c>
      <c r="K69" s="27" t="str">
        <f t="shared" si="43"/>
        <v/>
      </c>
      <c r="L69" s="27" t="str">
        <f t="shared" si="43"/>
        <v/>
      </c>
      <c r="M69" s="27" t="str">
        <f t="shared" si="43"/>
        <v/>
      </c>
      <c r="N69" s="27" t="str">
        <f t="shared" si="43"/>
        <v/>
      </c>
      <c r="O69" s="27" t="str">
        <f t="shared" si="43"/>
        <v/>
      </c>
      <c r="P69" s="27" t="str">
        <f t="shared" si="43"/>
        <v/>
      </c>
      <c r="Q69" s="27" t="str">
        <f t="shared" si="44"/>
        <v/>
      </c>
      <c r="R69" s="27" t="str">
        <f t="shared" si="44"/>
        <v/>
      </c>
      <c r="S69" s="27" t="str">
        <f t="shared" si="44"/>
        <v/>
      </c>
      <c r="T69" s="27" t="str">
        <f t="shared" si="44"/>
        <v/>
      </c>
      <c r="U69" s="27" t="str">
        <f t="shared" si="44"/>
        <v/>
      </c>
      <c r="V69" s="27" t="str">
        <f t="shared" si="44"/>
        <v/>
      </c>
      <c r="W69" s="27" t="str">
        <f t="shared" si="44"/>
        <v/>
      </c>
      <c r="X69" s="27" t="str">
        <f t="shared" si="44"/>
        <v/>
      </c>
      <c r="Y69" s="27" t="str">
        <f t="shared" si="44"/>
        <v/>
      </c>
      <c r="Z69" s="27" t="str">
        <f t="shared" si="44"/>
        <v/>
      </c>
      <c r="AA69" s="27" t="str">
        <f t="shared" si="45"/>
        <v/>
      </c>
      <c r="AB69" s="27" t="str">
        <f t="shared" si="45"/>
        <v/>
      </c>
      <c r="AC69" s="27" t="str">
        <f t="shared" si="45"/>
        <v/>
      </c>
      <c r="AD69" s="27" t="str">
        <f t="shared" si="45"/>
        <v/>
      </c>
      <c r="AE69" s="27" t="str">
        <f t="shared" si="45"/>
        <v/>
      </c>
      <c r="AF69" s="27" t="str">
        <f t="shared" si="45"/>
        <v/>
      </c>
      <c r="AG69" s="27" t="str">
        <f t="shared" si="45"/>
        <v/>
      </c>
      <c r="AH69" s="27" t="str">
        <f t="shared" si="45"/>
        <v/>
      </c>
      <c r="AI69" s="27" t="str">
        <f t="shared" si="45"/>
        <v/>
      </c>
      <c r="AJ69" s="27" t="str">
        <f t="shared" si="45"/>
        <v/>
      </c>
      <c r="AK69" s="27" t="str">
        <f t="shared" si="46"/>
        <v/>
      </c>
      <c r="AL69" s="27" t="str">
        <f t="shared" si="46"/>
        <v/>
      </c>
      <c r="AM69" s="27" t="str">
        <f t="shared" si="46"/>
        <v/>
      </c>
      <c r="AN69" s="27" t="str">
        <f t="shared" si="46"/>
        <v/>
      </c>
      <c r="AO69" s="27" t="str">
        <f t="shared" si="46"/>
        <v/>
      </c>
      <c r="AP69" s="27" t="str">
        <f t="shared" si="46"/>
        <v/>
      </c>
      <c r="AQ69" s="27" t="str">
        <f t="shared" si="46"/>
        <v/>
      </c>
      <c r="AR69" s="27" t="str">
        <f t="shared" si="46"/>
        <v/>
      </c>
      <c r="AS69" s="27" t="str">
        <f t="shared" si="46"/>
        <v/>
      </c>
      <c r="AT69" s="27" t="str">
        <f t="shared" si="46"/>
        <v/>
      </c>
      <c r="AU69" s="27" t="str">
        <f t="shared" si="47"/>
        <v/>
      </c>
      <c r="AV69" s="27" t="str">
        <f t="shared" si="47"/>
        <v/>
      </c>
      <c r="AW69" s="27" t="str">
        <f t="shared" si="47"/>
        <v/>
      </c>
      <c r="AX69" s="27" t="str">
        <f t="shared" si="47"/>
        <v/>
      </c>
      <c r="AY69" s="27" t="str">
        <f t="shared" si="47"/>
        <v/>
      </c>
      <c r="AZ69" s="27" t="str">
        <f t="shared" si="47"/>
        <v/>
      </c>
      <c r="BA69" s="27" t="str">
        <f t="shared" si="47"/>
        <v/>
      </c>
      <c r="BB69" s="27" t="str">
        <f t="shared" si="47"/>
        <v/>
      </c>
      <c r="BC69" s="27" t="str">
        <f t="shared" si="47"/>
        <v/>
      </c>
      <c r="BD69" s="27" t="str">
        <f t="shared" si="47"/>
        <v/>
      </c>
      <c r="BE69" s="27" t="str">
        <f t="shared" si="48"/>
        <v/>
      </c>
      <c r="BF69" s="27" t="str">
        <f t="shared" si="48"/>
        <v/>
      </c>
      <c r="BG69" s="27" t="str">
        <f t="shared" si="48"/>
        <v/>
      </c>
      <c r="BH69" s="27" t="str">
        <f t="shared" si="48"/>
        <v/>
      </c>
      <c r="BI69" s="27" t="str">
        <f t="shared" si="48"/>
        <v/>
      </c>
      <c r="BJ69" s="27" t="str">
        <f t="shared" si="48"/>
        <v/>
      </c>
      <c r="BK69" s="27" t="str">
        <f t="shared" si="48"/>
        <v/>
      </c>
      <c r="BL69" s="27" t="str">
        <f t="shared" si="48"/>
        <v/>
      </c>
      <c r="BM69" s="27" t="str">
        <f t="shared" si="48"/>
        <v/>
      </c>
      <c r="BN69" s="27" t="str">
        <f t="shared" si="48"/>
        <v/>
      </c>
    </row>
    <row r="70" spans="1:66" ht="15" customHeight="1" x14ac:dyDescent="0.3">
      <c r="A70" s="10" t="str">
        <f>Machine_List!A70</f>
        <v>VENT</v>
      </c>
      <c r="B70" s="10" t="str">
        <f>Machine_List!B70</f>
        <v>VENT-MC-07</v>
      </c>
      <c r="C70" s="22">
        <f>Machine_List!C70</f>
        <v>46234</v>
      </c>
      <c r="D70" s="10">
        <f>Machine_List!D70</f>
        <v>6</v>
      </c>
      <c r="E70" s="10">
        <f t="shared" ca="1" si="49"/>
        <v>115</v>
      </c>
      <c r="F70" s="10" t="str">
        <f t="shared" ca="1" si="50"/>
        <v>OK</v>
      </c>
      <c r="G70" s="27" t="str">
        <f t="shared" si="43"/>
        <v/>
      </c>
      <c r="H70" s="27" t="str">
        <f t="shared" si="43"/>
        <v/>
      </c>
      <c r="I70" s="27" t="str">
        <f t="shared" si="43"/>
        <v/>
      </c>
      <c r="J70" s="27" t="str">
        <f t="shared" si="43"/>
        <v/>
      </c>
      <c r="K70" s="27" t="str">
        <f t="shared" si="43"/>
        <v/>
      </c>
      <c r="L70" s="27" t="str">
        <f t="shared" si="43"/>
        <v/>
      </c>
      <c r="M70" s="27" t="str">
        <f t="shared" si="43"/>
        <v/>
      </c>
      <c r="N70" s="27" t="str">
        <f t="shared" si="43"/>
        <v/>
      </c>
      <c r="O70" s="27" t="str">
        <f t="shared" si="43"/>
        <v/>
      </c>
      <c r="P70" s="27" t="str">
        <f t="shared" si="43"/>
        <v/>
      </c>
      <c r="Q70" s="27" t="str">
        <f t="shared" si="44"/>
        <v/>
      </c>
      <c r="R70" s="27" t="str">
        <f t="shared" si="44"/>
        <v/>
      </c>
      <c r="S70" s="27" t="str">
        <f t="shared" si="44"/>
        <v/>
      </c>
      <c r="T70" s="27" t="str">
        <f t="shared" si="44"/>
        <v/>
      </c>
      <c r="U70" s="27" t="str">
        <f t="shared" si="44"/>
        <v/>
      </c>
      <c r="V70" s="27" t="str">
        <f t="shared" si="44"/>
        <v/>
      </c>
      <c r="W70" s="27" t="str">
        <f t="shared" si="44"/>
        <v/>
      </c>
      <c r="X70" s="27" t="str">
        <f t="shared" si="44"/>
        <v/>
      </c>
      <c r="Y70" s="27" t="str">
        <f t="shared" si="44"/>
        <v/>
      </c>
      <c r="Z70" s="27" t="str">
        <f t="shared" si="44"/>
        <v/>
      </c>
      <c r="AA70" s="27" t="str">
        <f t="shared" si="45"/>
        <v/>
      </c>
      <c r="AB70" s="27" t="str">
        <f t="shared" si="45"/>
        <v/>
      </c>
      <c r="AC70" s="27" t="str">
        <f t="shared" si="45"/>
        <v/>
      </c>
      <c r="AD70" s="27" t="str">
        <f t="shared" si="45"/>
        <v/>
      </c>
      <c r="AE70" s="27" t="str">
        <f t="shared" si="45"/>
        <v/>
      </c>
      <c r="AF70" s="27" t="str">
        <f t="shared" si="45"/>
        <v/>
      </c>
      <c r="AG70" s="27" t="str">
        <f t="shared" si="45"/>
        <v/>
      </c>
      <c r="AH70" s="27" t="str">
        <f t="shared" si="45"/>
        <v/>
      </c>
      <c r="AI70" s="27" t="str">
        <f t="shared" si="45"/>
        <v/>
      </c>
      <c r="AJ70" s="27" t="str">
        <f t="shared" si="45"/>
        <v/>
      </c>
      <c r="AK70" s="27" t="str">
        <f t="shared" si="46"/>
        <v/>
      </c>
      <c r="AL70" s="27" t="str">
        <f t="shared" si="46"/>
        <v/>
      </c>
      <c r="AM70" s="27" t="str">
        <f t="shared" si="46"/>
        <v/>
      </c>
      <c r="AN70" s="27" t="str">
        <f t="shared" si="46"/>
        <v/>
      </c>
      <c r="AO70" s="27" t="str">
        <f t="shared" si="46"/>
        <v/>
      </c>
      <c r="AP70" s="27" t="str">
        <f t="shared" si="46"/>
        <v/>
      </c>
      <c r="AQ70" s="27" t="str">
        <f t="shared" si="46"/>
        <v/>
      </c>
      <c r="AR70" s="27" t="str">
        <f t="shared" si="46"/>
        <v/>
      </c>
      <c r="AS70" s="27" t="str">
        <f t="shared" si="46"/>
        <v/>
      </c>
      <c r="AT70" s="27" t="str">
        <f t="shared" si="46"/>
        <v/>
      </c>
      <c r="AU70" s="27" t="str">
        <f t="shared" si="47"/>
        <v/>
      </c>
      <c r="AV70" s="27" t="str">
        <f t="shared" si="47"/>
        <v/>
      </c>
      <c r="AW70" s="27" t="str">
        <f t="shared" si="47"/>
        <v/>
      </c>
      <c r="AX70" s="27" t="str">
        <f t="shared" si="47"/>
        <v/>
      </c>
      <c r="AY70" s="27" t="str">
        <f t="shared" si="47"/>
        <v/>
      </c>
      <c r="AZ70" s="27" t="str">
        <f t="shared" si="47"/>
        <v/>
      </c>
      <c r="BA70" s="27" t="str">
        <f t="shared" si="47"/>
        <v/>
      </c>
      <c r="BB70" s="27" t="str">
        <f t="shared" si="47"/>
        <v/>
      </c>
      <c r="BC70" s="27" t="str">
        <f t="shared" si="47"/>
        <v/>
      </c>
      <c r="BD70" s="27" t="str">
        <f t="shared" si="47"/>
        <v/>
      </c>
      <c r="BE70" s="27" t="str">
        <f t="shared" si="48"/>
        <v/>
      </c>
      <c r="BF70" s="27" t="str">
        <f t="shared" si="48"/>
        <v/>
      </c>
      <c r="BG70" s="27" t="str">
        <f t="shared" si="48"/>
        <v/>
      </c>
      <c r="BH70" s="27" t="str">
        <f t="shared" si="48"/>
        <v/>
      </c>
      <c r="BI70" s="27" t="str">
        <f t="shared" si="48"/>
        <v/>
      </c>
      <c r="BJ70" s="27" t="str">
        <f t="shared" si="48"/>
        <v/>
      </c>
      <c r="BK70" s="27" t="str">
        <f t="shared" si="48"/>
        <v/>
      </c>
      <c r="BL70" s="27" t="str">
        <f t="shared" si="48"/>
        <v/>
      </c>
      <c r="BM70" s="27" t="str">
        <f t="shared" si="48"/>
        <v/>
      </c>
      <c r="BN70" s="27" t="str">
        <f t="shared" si="48"/>
        <v/>
      </c>
    </row>
    <row r="71" spans="1:66" ht="15" customHeight="1" x14ac:dyDescent="0.3">
      <c r="A71" s="10" t="str">
        <f>Machine_List!A71</f>
        <v>VENT</v>
      </c>
      <c r="B71" s="10" t="str">
        <f>Machine_List!B71</f>
        <v>VENT-MC-08</v>
      </c>
      <c r="C71" s="22">
        <f>Machine_List!C71</f>
        <v>46138</v>
      </c>
      <c r="D71" s="10">
        <f>Machine_List!D71</f>
        <v>6</v>
      </c>
      <c r="E71" s="10">
        <f t="shared" ca="1" si="49"/>
        <v>19</v>
      </c>
      <c r="F71" s="10" t="str">
        <f t="shared" ca="1" si="50"/>
        <v>OK</v>
      </c>
      <c r="G71" s="27" t="str">
        <f t="shared" si="43"/>
        <v/>
      </c>
      <c r="H71" s="27" t="str">
        <f t="shared" si="43"/>
        <v/>
      </c>
      <c r="I71" s="27" t="str">
        <f t="shared" si="43"/>
        <v/>
      </c>
      <c r="J71" s="27" t="str">
        <f t="shared" si="43"/>
        <v/>
      </c>
      <c r="K71" s="27" t="str">
        <f t="shared" si="43"/>
        <v/>
      </c>
      <c r="L71" s="27" t="str">
        <f t="shared" si="43"/>
        <v/>
      </c>
      <c r="M71" s="27" t="str">
        <f t="shared" si="43"/>
        <v/>
      </c>
      <c r="N71" s="27" t="str">
        <f t="shared" si="43"/>
        <v/>
      </c>
      <c r="O71" s="27" t="str">
        <f t="shared" si="43"/>
        <v/>
      </c>
      <c r="P71" s="27" t="str">
        <f t="shared" si="43"/>
        <v/>
      </c>
      <c r="Q71" s="27" t="str">
        <f t="shared" si="44"/>
        <v/>
      </c>
      <c r="R71" s="27" t="str">
        <f t="shared" si="44"/>
        <v/>
      </c>
      <c r="S71" s="27" t="str">
        <f t="shared" si="44"/>
        <v/>
      </c>
      <c r="T71" s="27" t="str">
        <f t="shared" si="44"/>
        <v/>
      </c>
      <c r="U71" s="27" t="str">
        <f t="shared" si="44"/>
        <v/>
      </c>
      <c r="V71" s="27" t="str">
        <f t="shared" si="44"/>
        <v/>
      </c>
      <c r="W71" s="27" t="str">
        <f t="shared" si="44"/>
        <v/>
      </c>
      <c r="X71" s="27" t="str">
        <f t="shared" si="44"/>
        <v/>
      </c>
      <c r="Y71" s="27" t="str">
        <f t="shared" si="44"/>
        <v/>
      </c>
      <c r="Z71" s="27" t="str">
        <f t="shared" si="44"/>
        <v/>
      </c>
      <c r="AA71" s="27" t="str">
        <f t="shared" si="45"/>
        <v/>
      </c>
      <c r="AB71" s="27" t="str">
        <f t="shared" si="45"/>
        <v/>
      </c>
      <c r="AC71" s="27" t="str">
        <f t="shared" si="45"/>
        <v/>
      </c>
      <c r="AD71" s="27" t="str">
        <f t="shared" si="45"/>
        <v/>
      </c>
      <c r="AE71" s="27" t="str">
        <f t="shared" si="45"/>
        <v/>
      </c>
      <c r="AF71" s="27" t="str">
        <f t="shared" si="45"/>
        <v>26-Apr</v>
      </c>
      <c r="AG71" s="27" t="str">
        <f t="shared" si="45"/>
        <v/>
      </c>
      <c r="AH71" s="27" t="str">
        <f t="shared" si="45"/>
        <v/>
      </c>
      <c r="AI71" s="27" t="str">
        <f t="shared" si="45"/>
        <v/>
      </c>
      <c r="AJ71" s="27" t="str">
        <f t="shared" si="45"/>
        <v/>
      </c>
      <c r="AK71" s="27" t="str">
        <f t="shared" si="46"/>
        <v/>
      </c>
      <c r="AL71" s="27" t="str">
        <f t="shared" si="46"/>
        <v/>
      </c>
      <c r="AM71" s="27" t="str">
        <f t="shared" si="46"/>
        <v/>
      </c>
      <c r="AN71" s="27" t="str">
        <f t="shared" si="46"/>
        <v/>
      </c>
      <c r="AO71" s="27" t="str">
        <f t="shared" si="46"/>
        <v/>
      </c>
      <c r="AP71" s="27" t="str">
        <f t="shared" si="46"/>
        <v/>
      </c>
      <c r="AQ71" s="27" t="str">
        <f t="shared" si="46"/>
        <v/>
      </c>
      <c r="AR71" s="27" t="str">
        <f t="shared" si="46"/>
        <v/>
      </c>
      <c r="AS71" s="27" t="str">
        <f t="shared" si="46"/>
        <v/>
      </c>
      <c r="AT71" s="27" t="str">
        <f t="shared" si="46"/>
        <v/>
      </c>
      <c r="AU71" s="27" t="str">
        <f t="shared" si="47"/>
        <v/>
      </c>
      <c r="AV71" s="27" t="str">
        <f t="shared" si="47"/>
        <v/>
      </c>
      <c r="AW71" s="27" t="str">
        <f t="shared" si="47"/>
        <v/>
      </c>
      <c r="AX71" s="27" t="str">
        <f t="shared" si="47"/>
        <v/>
      </c>
      <c r="AY71" s="27" t="str">
        <f t="shared" si="47"/>
        <v/>
      </c>
      <c r="AZ71" s="27" t="str">
        <f t="shared" si="47"/>
        <v/>
      </c>
      <c r="BA71" s="27" t="str">
        <f t="shared" si="47"/>
        <v/>
      </c>
      <c r="BB71" s="27" t="str">
        <f t="shared" si="47"/>
        <v/>
      </c>
      <c r="BC71" s="27" t="str">
        <f t="shared" si="47"/>
        <v/>
      </c>
      <c r="BD71" s="27" t="str">
        <f t="shared" si="47"/>
        <v/>
      </c>
      <c r="BE71" s="27" t="str">
        <f t="shared" si="48"/>
        <v/>
      </c>
      <c r="BF71" s="27" t="str">
        <f t="shared" si="48"/>
        <v/>
      </c>
      <c r="BG71" s="27" t="str">
        <f t="shared" si="48"/>
        <v/>
      </c>
      <c r="BH71" s="27" t="str">
        <f t="shared" si="48"/>
        <v/>
      </c>
      <c r="BI71" s="27" t="str">
        <f t="shared" si="48"/>
        <v/>
      </c>
      <c r="BJ71" s="27" t="str">
        <f t="shared" si="48"/>
        <v/>
      </c>
      <c r="BK71" s="27" t="str">
        <f t="shared" si="48"/>
        <v/>
      </c>
      <c r="BL71" s="27" t="str">
        <f t="shared" si="48"/>
        <v/>
      </c>
      <c r="BM71" s="27" t="str">
        <f t="shared" si="48"/>
        <v/>
      </c>
      <c r="BN71" s="27" t="str">
        <f t="shared" si="48"/>
        <v/>
      </c>
    </row>
    <row r="72" spans="1:66" ht="15" customHeight="1" x14ac:dyDescent="0.3">
      <c r="A72" s="10" t="str">
        <f>Machine_List!A72</f>
        <v>FID</v>
      </c>
      <c r="B72" s="10" t="str">
        <f>Machine_List!B72</f>
        <v>FID-MC-01</v>
      </c>
      <c r="C72" s="22">
        <f>Machine_List!C72</f>
        <v>46106</v>
      </c>
      <c r="D72" s="10">
        <f>Machine_List!D72</f>
        <v>6</v>
      </c>
      <c r="E72" s="10">
        <f t="shared" ca="1" si="49"/>
        <v>-13</v>
      </c>
      <c r="F72" s="10" t="str">
        <f t="shared" ca="1" si="50"/>
        <v>OVERDUE</v>
      </c>
      <c r="G72" s="27" t="str">
        <f t="shared" si="43"/>
        <v/>
      </c>
      <c r="H72" s="27" t="str">
        <f t="shared" si="43"/>
        <v/>
      </c>
      <c r="I72" s="27" t="str">
        <f t="shared" si="43"/>
        <v/>
      </c>
      <c r="J72" s="27" t="str">
        <f t="shared" si="43"/>
        <v/>
      </c>
      <c r="K72" s="27" t="str">
        <f t="shared" si="43"/>
        <v/>
      </c>
      <c r="L72" s="27" t="str">
        <f t="shared" si="43"/>
        <v/>
      </c>
      <c r="M72" s="27" t="str">
        <f t="shared" si="43"/>
        <v/>
      </c>
      <c r="N72" s="27" t="str">
        <f t="shared" si="43"/>
        <v/>
      </c>
      <c r="O72" s="27" t="str">
        <f t="shared" si="43"/>
        <v/>
      </c>
      <c r="P72" s="27" t="str">
        <f t="shared" si="43"/>
        <v/>
      </c>
      <c r="Q72" s="27" t="str">
        <f t="shared" si="44"/>
        <v/>
      </c>
      <c r="R72" s="27" t="str">
        <f t="shared" si="44"/>
        <v/>
      </c>
      <c r="S72" s="27" t="str">
        <f t="shared" si="44"/>
        <v/>
      </c>
      <c r="T72" s="27" t="str">
        <f t="shared" si="44"/>
        <v/>
      </c>
      <c r="U72" s="27" t="str">
        <f t="shared" si="44"/>
        <v/>
      </c>
      <c r="V72" s="27" t="str">
        <f t="shared" si="44"/>
        <v/>
      </c>
      <c r="W72" s="27" t="str">
        <f t="shared" si="44"/>
        <v/>
      </c>
      <c r="X72" s="27" t="str">
        <f t="shared" si="44"/>
        <v/>
      </c>
      <c r="Y72" s="27" t="str">
        <f t="shared" si="44"/>
        <v/>
      </c>
      <c r="Z72" s="27" t="str">
        <f t="shared" si="44"/>
        <v/>
      </c>
      <c r="AA72" s="27" t="str">
        <f t="shared" si="45"/>
        <v/>
      </c>
      <c r="AB72" s="27" t="str">
        <f t="shared" si="45"/>
        <v/>
      </c>
      <c r="AC72" s="27" t="str">
        <f t="shared" si="45"/>
        <v/>
      </c>
      <c r="AD72" s="27" t="str">
        <f t="shared" si="45"/>
        <v/>
      </c>
      <c r="AE72" s="27" t="str">
        <f t="shared" si="45"/>
        <v/>
      </c>
      <c r="AF72" s="27" t="str">
        <f t="shared" si="45"/>
        <v/>
      </c>
      <c r="AG72" s="27" t="str">
        <f t="shared" si="45"/>
        <v/>
      </c>
      <c r="AH72" s="27" t="str">
        <f t="shared" si="45"/>
        <v/>
      </c>
      <c r="AI72" s="27" t="str">
        <f t="shared" si="45"/>
        <v/>
      </c>
      <c r="AJ72" s="27" t="str">
        <f t="shared" si="45"/>
        <v/>
      </c>
      <c r="AK72" s="27" t="str">
        <f t="shared" si="46"/>
        <v/>
      </c>
      <c r="AL72" s="27" t="str">
        <f t="shared" si="46"/>
        <v/>
      </c>
      <c r="AM72" s="27" t="str">
        <f t="shared" si="46"/>
        <v/>
      </c>
      <c r="AN72" s="27" t="str">
        <f t="shared" si="46"/>
        <v/>
      </c>
      <c r="AO72" s="27" t="str">
        <f t="shared" si="46"/>
        <v/>
      </c>
      <c r="AP72" s="27" t="str">
        <f t="shared" si="46"/>
        <v/>
      </c>
      <c r="AQ72" s="27" t="str">
        <f t="shared" si="46"/>
        <v/>
      </c>
      <c r="AR72" s="27" t="str">
        <f t="shared" si="46"/>
        <v/>
      </c>
      <c r="AS72" s="27" t="str">
        <f t="shared" si="46"/>
        <v/>
      </c>
      <c r="AT72" s="27" t="str">
        <f t="shared" si="46"/>
        <v/>
      </c>
      <c r="AU72" s="27" t="str">
        <f t="shared" si="47"/>
        <v/>
      </c>
      <c r="AV72" s="27" t="str">
        <f t="shared" si="47"/>
        <v/>
      </c>
      <c r="AW72" s="27" t="str">
        <f t="shared" si="47"/>
        <v/>
      </c>
      <c r="AX72" s="27" t="str">
        <f t="shared" si="47"/>
        <v/>
      </c>
      <c r="AY72" s="27" t="str">
        <f t="shared" si="47"/>
        <v/>
      </c>
      <c r="AZ72" s="27" t="str">
        <f t="shared" si="47"/>
        <v/>
      </c>
      <c r="BA72" s="27" t="str">
        <f t="shared" si="47"/>
        <v/>
      </c>
      <c r="BB72" s="27" t="str">
        <f t="shared" si="47"/>
        <v/>
      </c>
      <c r="BC72" s="27" t="str">
        <f t="shared" si="47"/>
        <v/>
      </c>
      <c r="BD72" s="27" t="str">
        <f t="shared" si="47"/>
        <v/>
      </c>
      <c r="BE72" s="27" t="str">
        <f t="shared" si="48"/>
        <v/>
      </c>
      <c r="BF72" s="27" t="str">
        <f t="shared" si="48"/>
        <v/>
      </c>
      <c r="BG72" s="27" t="str">
        <f t="shared" si="48"/>
        <v/>
      </c>
      <c r="BH72" s="27" t="str">
        <f t="shared" si="48"/>
        <v/>
      </c>
      <c r="BI72" s="27" t="str">
        <f t="shared" si="48"/>
        <v/>
      </c>
      <c r="BJ72" s="27" t="str">
        <f t="shared" si="48"/>
        <v/>
      </c>
      <c r="BK72" s="27" t="str">
        <f t="shared" si="48"/>
        <v/>
      </c>
      <c r="BL72" s="27" t="str">
        <f t="shared" si="48"/>
        <v/>
      </c>
      <c r="BM72" s="27" t="str">
        <f t="shared" si="48"/>
        <v/>
      </c>
      <c r="BN72" s="27" t="str">
        <f t="shared" si="48"/>
        <v/>
      </c>
    </row>
    <row r="73" spans="1:66" ht="15" customHeight="1" x14ac:dyDescent="0.3">
      <c r="A73" s="10" t="str">
        <f>Machine_List!A73</f>
        <v>FID</v>
      </c>
      <c r="B73" s="10" t="str">
        <f>Machine_List!B73</f>
        <v>FID-MC-02</v>
      </c>
      <c r="C73" s="22">
        <f>Machine_List!C73</f>
        <v>46142</v>
      </c>
      <c r="D73" s="10">
        <f>Machine_List!D73</f>
        <v>6</v>
      </c>
      <c r="E73" s="10">
        <f t="shared" ca="1" si="49"/>
        <v>23</v>
      </c>
      <c r="F73" s="10" t="str">
        <f t="shared" ca="1" si="50"/>
        <v>OK</v>
      </c>
      <c r="G73" s="27" t="str">
        <f t="shared" si="43"/>
        <v/>
      </c>
      <c r="H73" s="27" t="str">
        <f t="shared" si="43"/>
        <v/>
      </c>
      <c r="I73" s="27" t="str">
        <f t="shared" si="43"/>
        <v/>
      </c>
      <c r="J73" s="27" t="str">
        <f t="shared" si="43"/>
        <v/>
      </c>
      <c r="K73" s="27" t="str">
        <f t="shared" si="43"/>
        <v/>
      </c>
      <c r="L73" s="27" t="str">
        <f t="shared" si="43"/>
        <v/>
      </c>
      <c r="M73" s="27" t="str">
        <f t="shared" si="43"/>
        <v/>
      </c>
      <c r="N73" s="27" t="str">
        <f t="shared" si="43"/>
        <v/>
      </c>
      <c r="O73" s="27" t="str">
        <f t="shared" si="43"/>
        <v/>
      </c>
      <c r="P73" s="27" t="str">
        <f t="shared" si="43"/>
        <v/>
      </c>
      <c r="Q73" s="27" t="str">
        <f t="shared" si="44"/>
        <v/>
      </c>
      <c r="R73" s="27" t="str">
        <f t="shared" si="44"/>
        <v/>
      </c>
      <c r="S73" s="27" t="str">
        <f t="shared" si="44"/>
        <v/>
      </c>
      <c r="T73" s="27" t="str">
        <f t="shared" si="44"/>
        <v/>
      </c>
      <c r="U73" s="27" t="str">
        <f t="shared" si="44"/>
        <v/>
      </c>
      <c r="V73" s="27" t="str">
        <f t="shared" si="44"/>
        <v/>
      </c>
      <c r="W73" s="27" t="str">
        <f t="shared" si="44"/>
        <v/>
      </c>
      <c r="X73" s="27" t="str">
        <f t="shared" si="44"/>
        <v/>
      </c>
      <c r="Y73" s="27" t="str">
        <f t="shared" si="44"/>
        <v/>
      </c>
      <c r="Z73" s="27" t="str">
        <f t="shared" si="44"/>
        <v/>
      </c>
      <c r="AA73" s="27" t="str">
        <f t="shared" si="45"/>
        <v/>
      </c>
      <c r="AB73" s="27" t="str">
        <f t="shared" si="45"/>
        <v/>
      </c>
      <c r="AC73" s="27" t="str">
        <f t="shared" si="45"/>
        <v/>
      </c>
      <c r="AD73" s="27" t="str">
        <f t="shared" si="45"/>
        <v/>
      </c>
      <c r="AE73" s="27" t="str">
        <f t="shared" si="45"/>
        <v/>
      </c>
      <c r="AF73" s="27" t="str">
        <f t="shared" si="45"/>
        <v/>
      </c>
      <c r="AG73" s="27" t="str">
        <f t="shared" si="45"/>
        <v/>
      </c>
      <c r="AH73" s="27" t="str">
        <f t="shared" si="45"/>
        <v/>
      </c>
      <c r="AI73" s="27" t="str">
        <f t="shared" si="45"/>
        <v/>
      </c>
      <c r="AJ73" s="27" t="str">
        <f t="shared" si="45"/>
        <v>30-Apr</v>
      </c>
      <c r="AK73" s="27" t="str">
        <f t="shared" si="46"/>
        <v/>
      </c>
      <c r="AL73" s="27" t="str">
        <f t="shared" si="46"/>
        <v/>
      </c>
      <c r="AM73" s="27" t="str">
        <f t="shared" si="46"/>
        <v/>
      </c>
      <c r="AN73" s="27" t="str">
        <f t="shared" si="46"/>
        <v/>
      </c>
      <c r="AO73" s="27" t="str">
        <f t="shared" si="46"/>
        <v/>
      </c>
      <c r="AP73" s="27" t="str">
        <f t="shared" si="46"/>
        <v/>
      </c>
      <c r="AQ73" s="27" t="str">
        <f t="shared" si="46"/>
        <v/>
      </c>
      <c r="AR73" s="27" t="str">
        <f t="shared" si="46"/>
        <v/>
      </c>
      <c r="AS73" s="27" t="str">
        <f t="shared" si="46"/>
        <v/>
      </c>
      <c r="AT73" s="27" t="str">
        <f t="shared" si="46"/>
        <v/>
      </c>
      <c r="AU73" s="27" t="str">
        <f t="shared" si="47"/>
        <v/>
      </c>
      <c r="AV73" s="27" t="str">
        <f t="shared" si="47"/>
        <v/>
      </c>
      <c r="AW73" s="27" t="str">
        <f t="shared" si="47"/>
        <v/>
      </c>
      <c r="AX73" s="27" t="str">
        <f t="shared" si="47"/>
        <v/>
      </c>
      <c r="AY73" s="27" t="str">
        <f t="shared" si="47"/>
        <v/>
      </c>
      <c r="AZ73" s="27" t="str">
        <f t="shared" si="47"/>
        <v/>
      </c>
      <c r="BA73" s="27" t="str">
        <f t="shared" si="47"/>
        <v/>
      </c>
      <c r="BB73" s="27" t="str">
        <f t="shared" si="47"/>
        <v/>
      </c>
      <c r="BC73" s="27" t="str">
        <f t="shared" si="47"/>
        <v/>
      </c>
      <c r="BD73" s="27" t="str">
        <f t="shared" si="47"/>
        <v/>
      </c>
      <c r="BE73" s="27" t="str">
        <f t="shared" si="48"/>
        <v/>
      </c>
      <c r="BF73" s="27" t="str">
        <f t="shared" si="48"/>
        <v/>
      </c>
      <c r="BG73" s="27" t="str">
        <f t="shared" si="48"/>
        <v/>
      </c>
      <c r="BH73" s="27" t="str">
        <f t="shared" si="48"/>
        <v/>
      </c>
      <c r="BI73" s="27" t="str">
        <f t="shared" si="48"/>
        <v/>
      </c>
      <c r="BJ73" s="27" t="str">
        <f t="shared" si="48"/>
        <v/>
      </c>
      <c r="BK73" s="27" t="str">
        <f t="shared" si="48"/>
        <v/>
      </c>
      <c r="BL73" s="27" t="str">
        <f t="shared" si="48"/>
        <v/>
      </c>
      <c r="BM73" s="27" t="str">
        <f t="shared" si="48"/>
        <v/>
      </c>
      <c r="BN73" s="27" t="str">
        <f t="shared" si="48"/>
        <v/>
      </c>
    </row>
    <row r="74" spans="1:66" ht="15" customHeight="1" x14ac:dyDescent="0.3">
      <c r="A74" s="10" t="str">
        <f>Machine_List!A74</f>
        <v>FID</v>
      </c>
      <c r="B74" s="10" t="str">
        <f>Machine_List!B74</f>
        <v>FID-MC-03</v>
      </c>
      <c r="C74" s="22">
        <f>Machine_List!C74</f>
        <v>46483</v>
      </c>
      <c r="D74" s="10">
        <f>Machine_List!D74</f>
        <v>6</v>
      </c>
      <c r="E74" s="10">
        <f t="shared" ca="1" si="49"/>
        <v>364</v>
      </c>
      <c r="F74" s="10" t="str">
        <f t="shared" ca="1" si="50"/>
        <v>OK</v>
      </c>
      <c r="G74" s="27" t="str">
        <f t="shared" ref="G74:P86" si="51">IF(INT(G$3)=INT($C74), TEXT($C74, "dd-mmm"), "")</f>
        <v/>
      </c>
      <c r="H74" s="27" t="str">
        <f t="shared" si="51"/>
        <v/>
      </c>
      <c r="I74" s="27" t="str">
        <f t="shared" si="51"/>
        <v/>
      </c>
      <c r="J74" s="27" t="str">
        <f t="shared" si="51"/>
        <v/>
      </c>
      <c r="K74" s="27" t="str">
        <f t="shared" si="51"/>
        <v/>
      </c>
      <c r="L74" s="27" t="str">
        <f t="shared" si="51"/>
        <v/>
      </c>
      <c r="M74" s="27" t="str">
        <f t="shared" si="51"/>
        <v/>
      </c>
      <c r="N74" s="27" t="str">
        <f t="shared" si="51"/>
        <v/>
      </c>
      <c r="O74" s="27" t="str">
        <f t="shared" si="51"/>
        <v/>
      </c>
      <c r="P74" s="27" t="str">
        <f t="shared" si="51"/>
        <v/>
      </c>
      <c r="Q74" s="27" t="str">
        <f t="shared" ref="Q74:Z86" si="52">IF(INT(Q$3)=INT($C74), TEXT($C74, "dd-mmm"), "")</f>
        <v/>
      </c>
      <c r="R74" s="27" t="str">
        <f t="shared" si="52"/>
        <v/>
      </c>
      <c r="S74" s="27" t="str">
        <f t="shared" si="52"/>
        <v/>
      </c>
      <c r="T74" s="27" t="str">
        <f t="shared" si="52"/>
        <v/>
      </c>
      <c r="U74" s="27" t="str">
        <f t="shared" si="52"/>
        <v/>
      </c>
      <c r="V74" s="27" t="str">
        <f t="shared" si="52"/>
        <v/>
      </c>
      <c r="W74" s="27" t="str">
        <f t="shared" si="52"/>
        <v/>
      </c>
      <c r="X74" s="27" t="str">
        <f t="shared" si="52"/>
        <v/>
      </c>
      <c r="Y74" s="27" t="str">
        <f t="shared" si="52"/>
        <v/>
      </c>
      <c r="Z74" s="27" t="str">
        <f t="shared" si="52"/>
        <v/>
      </c>
      <c r="AA74" s="27" t="str">
        <f t="shared" ref="AA74:AJ86" si="53">IF(INT(AA$3)=INT($C74), TEXT($C74, "dd-mmm"), "")</f>
        <v/>
      </c>
      <c r="AB74" s="27" t="str">
        <f t="shared" si="53"/>
        <v/>
      </c>
      <c r="AC74" s="27" t="str">
        <f t="shared" si="53"/>
        <v/>
      </c>
      <c r="AD74" s="27" t="str">
        <f t="shared" si="53"/>
        <v/>
      </c>
      <c r="AE74" s="27" t="str">
        <f t="shared" si="53"/>
        <v/>
      </c>
      <c r="AF74" s="27" t="str">
        <f t="shared" si="53"/>
        <v/>
      </c>
      <c r="AG74" s="27" t="str">
        <f t="shared" si="53"/>
        <v/>
      </c>
      <c r="AH74" s="27" t="str">
        <f t="shared" si="53"/>
        <v/>
      </c>
      <c r="AI74" s="27" t="str">
        <f t="shared" si="53"/>
        <v/>
      </c>
      <c r="AJ74" s="27" t="str">
        <f t="shared" si="53"/>
        <v/>
      </c>
      <c r="AK74" s="27" t="str">
        <f t="shared" ref="AK74:AT86" si="54">IF(INT(AK$3)=INT($C74), TEXT($C74, "dd-mmm"), "")</f>
        <v/>
      </c>
      <c r="AL74" s="27" t="str">
        <f t="shared" si="54"/>
        <v/>
      </c>
      <c r="AM74" s="27" t="str">
        <f t="shared" si="54"/>
        <v/>
      </c>
      <c r="AN74" s="27" t="str">
        <f t="shared" si="54"/>
        <v/>
      </c>
      <c r="AO74" s="27" t="str">
        <f t="shared" si="54"/>
        <v/>
      </c>
      <c r="AP74" s="27" t="str">
        <f t="shared" si="54"/>
        <v/>
      </c>
      <c r="AQ74" s="27" t="str">
        <f t="shared" si="54"/>
        <v/>
      </c>
      <c r="AR74" s="27" t="str">
        <f t="shared" si="54"/>
        <v/>
      </c>
      <c r="AS74" s="27" t="str">
        <f t="shared" si="54"/>
        <v/>
      </c>
      <c r="AT74" s="27" t="str">
        <f t="shared" si="54"/>
        <v/>
      </c>
      <c r="AU74" s="27" t="str">
        <f t="shared" ref="AU74:BD86" si="55">IF(INT(AU$3)=INT($C74), TEXT($C74, "dd-mmm"), "")</f>
        <v/>
      </c>
      <c r="AV74" s="27" t="str">
        <f t="shared" si="55"/>
        <v/>
      </c>
      <c r="AW74" s="27" t="str">
        <f t="shared" si="55"/>
        <v/>
      </c>
      <c r="AX74" s="27" t="str">
        <f t="shared" si="55"/>
        <v/>
      </c>
      <c r="AY74" s="27" t="str">
        <f t="shared" si="55"/>
        <v/>
      </c>
      <c r="AZ74" s="27" t="str">
        <f t="shared" si="55"/>
        <v/>
      </c>
      <c r="BA74" s="27" t="str">
        <f t="shared" si="55"/>
        <v/>
      </c>
      <c r="BB74" s="27" t="str">
        <f t="shared" si="55"/>
        <v/>
      </c>
      <c r="BC74" s="27" t="str">
        <f t="shared" si="55"/>
        <v/>
      </c>
      <c r="BD74" s="27" t="str">
        <f t="shared" si="55"/>
        <v/>
      </c>
      <c r="BE74" s="27" t="str">
        <f t="shared" ref="BE74:BN86" si="56">IF(INT(BE$3)=INT($C74), TEXT($C74, "dd-mmm"), "")</f>
        <v/>
      </c>
      <c r="BF74" s="27" t="str">
        <f t="shared" si="56"/>
        <v/>
      </c>
      <c r="BG74" s="27" t="str">
        <f t="shared" si="56"/>
        <v/>
      </c>
      <c r="BH74" s="27" t="str">
        <f t="shared" si="56"/>
        <v/>
      </c>
      <c r="BI74" s="27" t="str">
        <f t="shared" si="56"/>
        <v/>
      </c>
      <c r="BJ74" s="27" t="str">
        <f t="shared" si="56"/>
        <v/>
      </c>
      <c r="BK74" s="27" t="str">
        <f t="shared" si="56"/>
        <v/>
      </c>
      <c r="BL74" s="27" t="str">
        <f t="shared" si="56"/>
        <v/>
      </c>
      <c r="BM74" s="27" t="str">
        <f t="shared" si="56"/>
        <v/>
      </c>
      <c r="BN74" s="27" t="str">
        <f t="shared" si="56"/>
        <v/>
      </c>
    </row>
    <row r="75" spans="1:66" ht="15" customHeight="1" x14ac:dyDescent="0.3">
      <c r="A75" s="10" t="str">
        <f>Machine_List!A75</f>
        <v>FID</v>
      </c>
      <c r="B75" s="10" t="str">
        <f>Machine_List!B75</f>
        <v>FID-MC-04</v>
      </c>
      <c r="C75" s="22">
        <f>Machine_List!C75</f>
        <v>46318</v>
      </c>
      <c r="D75" s="10">
        <f>Machine_List!D75</f>
        <v>6</v>
      </c>
      <c r="E75" s="10">
        <f t="shared" ca="1" si="49"/>
        <v>199</v>
      </c>
      <c r="F75" s="10" t="str">
        <f t="shared" ca="1" si="50"/>
        <v>OK</v>
      </c>
      <c r="G75" s="27" t="str">
        <f t="shared" si="51"/>
        <v/>
      </c>
      <c r="H75" s="27" t="str">
        <f t="shared" si="51"/>
        <v/>
      </c>
      <c r="I75" s="27" t="str">
        <f t="shared" si="51"/>
        <v/>
      </c>
      <c r="J75" s="27" t="str">
        <f t="shared" si="51"/>
        <v/>
      </c>
      <c r="K75" s="27" t="str">
        <f t="shared" si="51"/>
        <v/>
      </c>
      <c r="L75" s="27" t="str">
        <f t="shared" si="51"/>
        <v/>
      </c>
      <c r="M75" s="27" t="str">
        <f t="shared" si="51"/>
        <v/>
      </c>
      <c r="N75" s="27" t="str">
        <f t="shared" si="51"/>
        <v/>
      </c>
      <c r="O75" s="27" t="str">
        <f t="shared" si="51"/>
        <v/>
      </c>
      <c r="P75" s="27" t="str">
        <f t="shared" si="51"/>
        <v/>
      </c>
      <c r="Q75" s="27" t="str">
        <f t="shared" si="52"/>
        <v/>
      </c>
      <c r="R75" s="27" t="str">
        <f t="shared" si="52"/>
        <v/>
      </c>
      <c r="S75" s="27" t="str">
        <f t="shared" si="52"/>
        <v/>
      </c>
      <c r="T75" s="27" t="str">
        <f t="shared" si="52"/>
        <v/>
      </c>
      <c r="U75" s="27" t="str">
        <f t="shared" si="52"/>
        <v/>
      </c>
      <c r="V75" s="27" t="str">
        <f t="shared" si="52"/>
        <v/>
      </c>
      <c r="W75" s="27" t="str">
        <f t="shared" si="52"/>
        <v/>
      </c>
      <c r="X75" s="27" t="str">
        <f t="shared" si="52"/>
        <v/>
      </c>
      <c r="Y75" s="27" t="str">
        <f t="shared" si="52"/>
        <v/>
      </c>
      <c r="Z75" s="27" t="str">
        <f t="shared" si="52"/>
        <v/>
      </c>
      <c r="AA75" s="27" t="str">
        <f t="shared" si="53"/>
        <v/>
      </c>
      <c r="AB75" s="27" t="str">
        <f t="shared" si="53"/>
        <v/>
      </c>
      <c r="AC75" s="27" t="str">
        <f t="shared" si="53"/>
        <v/>
      </c>
      <c r="AD75" s="27" t="str">
        <f t="shared" si="53"/>
        <v/>
      </c>
      <c r="AE75" s="27" t="str">
        <f t="shared" si="53"/>
        <v/>
      </c>
      <c r="AF75" s="27" t="str">
        <f t="shared" si="53"/>
        <v/>
      </c>
      <c r="AG75" s="27" t="str">
        <f t="shared" si="53"/>
        <v/>
      </c>
      <c r="AH75" s="27" t="str">
        <f t="shared" si="53"/>
        <v/>
      </c>
      <c r="AI75" s="27" t="str">
        <f t="shared" si="53"/>
        <v/>
      </c>
      <c r="AJ75" s="27" t="str">
        <f t="shared" si="53"/>
        <v/>
      </c>
      <c r="AK75" s="27" t="str">
        <f t="shared" si="54"/>
        <v/>
      </c>
      <c r="AL75" s="27" t="str">
        <f t="shared" si="54"/>
        <v/>
      </c>
      <c r="AM75" s="27" t="str">
        <f t="shared" si="54"/>
        <v/>
      </c>
      <c r="AN75" s="27" t="str">
        <f t="shared" si="54"/>
        <v/>
      </c>
      <c r="AO75" s="27" t="str">
        <f t="shared" si="54"/>
        <v/>
      </c>
      <c r="AP75" s="27" t="str">
        <f t="shared" si="54"/>
        <v/>
      </c>
      <c r="AQ75" s="27" t="str">
        <f t="shared" si="54"/>
        <v/>
      </c>
      <c r="AR75" s="27" t="str">
        <f t="shared" si="54"/>
        <v/>
      </c>
      <c r="AS75" s="27" t="str">
        <f t="shared" si="54"/>
        <v/>
      </c>
      <c r="AT75" s="27" t="str">
        <f t="shared" si="54"/>
        <v/>
      </c>
      <c r="AU75" s="27" t="str">
        <f t="shared" si="55"/>
        <v/>
      </c>
      <c r="AV75" s="27" t="str">
        <f t="shared" si="55"/>
        <v/>
      </c>
      <c r="AW75" s="27" t="str">
        <f t="shared" si="55"/>
        <v/>
      </c>
      <c r="AX75" s="27" t="str">
        <f t="shared" si="55"/>
        <v/>
      </c>
      <c r="AY75" s="27" t="str">
        <f t="shared" si="55"/>
        <v/>
      </c>
      <c r="AZ75" s="27" t="str">
        <f t="shared" si="55"/>
        <v/>
      </c>
      <c r="BA75" s="27" t="str">
        <f t="shared" si="55"/>
        <v/>
      </c>
      <c r="BB75" s="27" t="str">
        <f t="shared" si="55"/>
        <v/>
      </c>
      <c r="BC75" s="27" t="str">
        <f t="shared" si="55"/>
        <v/>
      </c>
      <c r="BD75" s="27" t="str">
        <f t="shared" si="55"/>
        <v/>
      </c>
      <c r="BE75" s="27" t="str">
        <f t="shared" si="56"/>
        <v/>
      </c>
      <c r="BF75" s="27" t="str">
        <f t="shared" si="56"/>
        <v/>
      </c>
      <c r="BG75" s="27" t="str">
        <f t="shared" si="56"/>
        <v/>
      </c>
      <c r="BH75" s="27" t="str">
        <f t="shared" si="56"/>
        <v/>
      </c>
      <c r="BI75" s="27" t="str">
        <f t="shared" si="56"/>
        <v/>
      </c>
      <c r="BJ75" s="27" t="str">
        <f t="shared" si="56"/>
        <v/>
      </c>
      <c r="BK75" s="27" t="str">
        <f t="shared" si="56"/>
        <v/>
      </c>
      <c r="BL75" s="27" t="str">
        <f t="shared" si="56"/>
        <v/>
      </c>
      <c r="BM75" s="27" t="str">
        <f t="shared" si="56"/>
        <v/>
      </c>
      <c r="BN75" s="27" t="str">
        <f t="shared" si="56"/>
        <v/>
      </c>
    </row>
    <row r="76" spans="1:66" ht="15" customHeight="1" x14ac:dyDescent="0.3">
      <c r="A76" s="10" t="str">
        <f>Machine_List!A76</f>
        <v>FID</v>
      </c>
      <c r="B76" s="10" t="str">
        <f>Machine_List!B76</f>
        <v>FID-MC-05</v>
      </c>
      <c r="C76" s="22">
        <f>Machine_List!C76</f>
        <v>46431</v>
      </c>
      <c r="D76" s="10">
        <f>Machine_List!D76</f>
        <v>6</v>
      </c>
      <c r="E76" s="10">
        <f t="shared" ca="1" si="49"/>
        <v>312</v>
      </c>
      <c r="F76" s="10" t="str">
        <f t="shared" ca="1" si="50"/>
        <v>OK</v>
      </c>
      <c r="G76" s="27" t="str">
        <f t="shared" si="51"/>
        <v/>
      </c>
      <c r="H76" s="27" t="str">
        <f t="shared" si="51"/>
        <v/>
      </c>
      <c r="I76" s="27" t="str">
        <f t="shared" si="51"/>
        <v/>
      </c>
      <c r="J76" s="27" t="str">
        <f t="shared" si="51"/>
        <v/>
      </c>
      <c r="K76" s="27" t="str">
        <f t="shared" si="51"/>
        <v/>
      </c>
      <c r="L76" s="27" t="str">
        <f t="shared" si="51"/>
        <v/>
      </c>
      <c r="M76" s="27" t="str">
        <f t="shared" si="51"/>
        <v/>
      </c>
      <c r="N76" s="27" t="str">
        <f t="shared" si="51"/>
        <v/>
      </c>
      <c r="O76" s="27" t="str">
        <f t="shared" si="51"/>
        <v/>
      </c>
      <c r="P76" s="27" t="str">
        <f t="shared" si="51"/>
        <v/>
      </c>
      <c r="Q76" s="27" t="str">
        <f t="shared" si="52"/>
        <v/>
      </c>
      <c r="R76" s="27" t="str">
        <f t="shared" si="52"/>
        <v/>
      </c>
      <c r="S76" s="27" t="str">
        <f t="shared" si="52"/>
        <v/>
      </c>
      <c r="T76" s="27" t="str">
        <f t="shared" si="52"/>
        <v/>
      </c>
      <c r="U76" s="27" t="str">
        <f t="shared" si="52"/>
        <v/>
      </c>
      <c r="V76" s="27" t="str">
        <f t="shared" si="52"/>
        <v/>
      </c>
      <c r="W76" s="27" t="str">
        <f t="shared" si="52"/>
        <v/>
      </c>
      <c r="X76" s="27" t="str">
        <f t="shared" si="52"/>
        <v/>
      </c>
      <c r="Y76" s="27" t="str">
        <f t="shared" si="52"/>
        <v/>
      </c>
      <c r="Z76" s="27" t="str">
        <f t="shared" si="52"/>
        <v/>
      </c>
      <c r="AA76" s="27" t="str">
        <f t="shared" si="53"/>
        <v/>
      </c>
      <c r="AB76" s="27" t="str">
        <f t="shared" si="53"/>
        <v/>
      </c>
      <c r="AC76" s="27" t="str">
        <f t="shared" si="53"/>
        <v/>
      </c>
      <c r="AD76" s="27" t="str">
        <f t="shared" si="53"/>
        <v/>
      </c>
      <c r="AE76" s="27" t="str">
        <f t="shared" si="53"/>
        <v/>
      </c>
      <c r="AF76" s="27" t="str">
        <f t="shared" si="53"/>
        <v/>
      </c>
      <c r="AG76" s="27" t="str">
        <f t="shared" si="53"/>
        <v/>
      </c>
      <c r="AH76" s="27" t="str">
        <f t="shared" si="53"/>
        <v/>
      </c>
      <c r="AI76" s="27" t="str">
        <f t="shared" si="53"/>
        <v/>
      </c>
      <c r="AJ76" s="27" t="str">
        <f t="shared" si="53"/>
        <v/>
      </c>
      <c r="AK76" s="27" t="str">
        <f t="shared" si="54"/>
        <v/>
      </c>
      <c r="AL76" s="27" t="str">
        <f t="shared" si="54"/>
        <v/>
      </c>
      <c r="AM76" s="27" t="str">
        <f t="shared" si="54"/>
        <v/>
      </c>
      <c r="AN76" s="27" t="str">
        <f t="shared" si="54"/>
        <v/>
      </c>
      <c r="AO76" s="27" t="str">
        <f t="shared" si="54"/>
        <v/>
      </c>
      <c r="AP76" s="27" t="str">
        <f t="shared" si="54"/>
        <v/>
      </c>
      <c r="AQ76" s="27" t="str">
        <f t="shared" si="54"/>
        <v/>
      </c>
      <c r="AR76" s="27" t="str">
        <f t="shared" si="54"/>
        <v/>
      </c>
      <c r="AS76" s="27" t="str">
        <f t="shared" si="54"/>
        <v/>
      </c>
      <c r="AT76" s="27" t="str">
        <f t="shared" si="54"/>
        <v/>
      </c>
      <c r="AU76" s="27" t="str">
        <f t="shared" si="55"/>
        <v/>
      </c>
      <c r="AV76" s="27" t="str">
        <f t="shared" si="55"/>
        <v/>
      </c>
      <c r="AW76" s="27" t="str">
        <f t="shared" si="55"/>
        <v/>
      </c>
      <c r="AX76" s="27" t="str">
        <f t="shared" si="55"/>
        <v/>
      </c>
      <c r="AY76" s="27" t="str">
        <f t="shared" si="55"/>
        <v/>
      </c>
      <c r="AZ76" s="27" t="str">
        <f t="shared" si="55"/>
        <v/>
      </c>
      <c r="BA76" s="27" t="str">
        <f t="shared" si="55"/>
        <v/>
      </c>
      <c r="BB76" s="27" t="str">
        <f t="shared" si="55"/>
        <v/>
      </c>
      <c r="BC76" s="27" t="str">
        <f t="shared" si="55"/>
        <v/>
      </c>
      <c r="BD76" s="27" t="str">
        <f t="shared" si="55"/>
        <v/>
      </c>
      <c r="BE76" s="27" t="str">
        <f t="shared" si="56"/>
        <v/>
      </c>
      <c r="BF76" s="27" t="str">
        <f t="shared" si="56"/>
        <v/>
      </c>
      <c r="BG76" s="27" t="str">
        <f t="shared" si="56"/>
        <v/>
      </c>
      <c r="BH76" s="27" t="str">
        <f t="shared" si="56"/>
        <v/>
      </c>
      <c r="BI76" s="27" t="str">
        <f t="shared" si="56"/>
        <v/>
      </c>
      <c r="BJ76" s="27" t="str">
        <f t="shared" si="56"/>
        <v/>
      </c>
      <c r="BK76" s="27" t="str">
        <f t="shared" si="56"/>
        <v/>
      </c>
      <c r="BL76" s="27" t="str">
        <f t="shared" si="56"/>
        <v/>
      </c>
      <c r="BM76" s="27" t="str">
        <f t="shared" si="56"/>
        <v/>
      </c>
      <c r="BN76" s="27" t="str">
        <f t="shared" si="56"/>
        <v/>
      </c>
    </row>
    <row r="77" spans="1:66" ht="15" customHeight="1" x14ac:dyDescent="0.3">
      <c r="A77" s="10" t="str">
        <f>Machine_List!A77</f>
        <v>FID</v>
      </c>
      <c r="B77" s="10" t="str">
        <f>Machine_List!B77</f>
        <v>FID-MC-06</v>
      </c>
      <c r="C77" s="22">
        <f>Machine_List!C77</f>
        <v>46088</v>
      </c>
      <c r="D77" s="10">
        <f>Machine_List!D77</f>
        <v>6</v>
      </c>
      <c r="E77" s="10">
        <f t="shared" ca="1" si="49"/>
        <v>-31</v>
      </c>
      <c r="F77" s="10" t="str">
        <f t="shared" ca="1" si="50"/>
        <v>OVERDUE</v>
      </c>
      <c r="G77" s="27" t="str">
        <f t="shared" si="51"/>
        <v/>
      </c>
      <c r="H77" s="27" t="str">
        <f t="shared" si="51"/>
        <v/>
      </c>
      <c r="I77" s="27" t="str">
        <f t="shared" si="51"/>
        <v/>
      </c>
      <c r="J77" s="27" t="str">
        <f t="shared" si="51"/>
        <v/>
      </c>
      <c r="K77" s="27" t="str">
        <f t="shared" si="51"/>
        <v/>
      </c>
      <c r="L77" s="27" t="str">
        <f t="shared" si="51"/>
        <v/>
      </c>
      <c r="M77" s="27" t="str">
        <f t="shared" si="51"/>
        <v/>
      </c>
      <c r="N77" s="27" t="str">
        <f t="shared" si="51"/>
        <v/>
      </c>
      <c r="O77" s="27" t="str">
        <f t="shared" si="51"/>
        <v/>
      </c>
      <c r="P77" s="27" t="str">
        <f t="shared" si="51"/>
        <v/>
      </c>
      <c r="Q77" s="27" t="str">
        <f t="shared" si="52"/>
        <v/>
      </c>
      <c r="R77" s="27" t="str">
        <f t="shared" si="52"/>
        <v/>
      </c>
      <c r="S77" s="27" t="str">
        <f t="shared" si="52"/>
        <v/>
      </c>
      <c r="T77" s="27" t="str">
        <f t="shared" si="52"/>
        <v/>
      </c>
      <c r="U77" s="27" t="str">
        <f t="shared" si="52"/>
        <v/>
      </c>
      <c r="V77" s="27" t="str">
        <f t="shared" si="52"/>
        <v/>
      </c>
      <c r="W77" s="27" t="str">
        <f t="shared" si="52"/>
        <v/>
      </c>
      <c r="X77" s="27" t="str">
        <f t="shared" si="52"/>
        <v/>
      </c>
      <c r="Y77" s="27" t="str">
        <f t="shared" si="52"/>
        <v/>
      </c>
      <c r="Z77" s="27" t="str">
        <f t="shared" si="52"/>
        <v/>
      </c>
      <c r="AA77" s="27" t="str">
        <f t="shared" si="53"/>
        <v/>
      </c>
      <c r="AB77" s="27" t="str">
        <f t="shared" si="53"/>
        <v/>
      </c>
      <c r="AC77" s="27" t="str">
        <f t="shared" si="53"/>
        <v/>
      </c>
      <c r="AD77" s="27" t="str">
        <f t="shared" si="53"/>
        <v/>
      </c>
      <c r="AE77" s="27" t="str">
        <f t="shared" si="53"/>
        <v/>
      </c>
      <c r="AF77" s="27" t="str">
        <f t="shared" si="53"/>
        <v/>
      </c>
      <c r="AG77" s="27" t="str">
        <f t="shared" si="53"/>
        <v/>
      </c>
      <c r="AH77" s="27" t="str">
        <f t="shared" si="53"/>
        <v/>
      </c>
      <c r="AI77" s="27" t="str">
        <f t="shared" si="53"/>
        <v/>
      </c>
      <c r="AJ77" s="27" t="str">
        <f t="shared" si="53"/>
        <v/>
      </c>
      <c r="AK77" s="27" t="str">
        <f t="shared" si="54"/>
        <v/>
      </c>
      <c r="AL77" s="27" t="str">
        <f t="shared" si="54"/>
        <v/>
      </c>
      <c r="AM77" s="27" t="str">
        <f t="shared" si="54"/>
        <v/>
      </c>
      <c r="AN77" s="27" t="str">
        <f t="shared" si="54"/>
        <v/>
      </c>
      <c r="AO77" s="27" t="str">
        <f t="shared" si="54"/>
        <v/>
      </c>
      <c r="AP77" s="27" t="str">
        <f t="shared" si="54"/>
        <v/>
      </c>
      <c r="AQ77" s="27" t="str">
        <f t="shared" si="54"/>
        <v/>
      </c>
      <c r="AR77" s="27" t="str">
        <f t="shared" si="54"/>
        <v/>
      </c>
      <c r="AS77" s="27" t="str">
        <f t="shared" si="54"/>
        <v/>
      </c>
      <c r="AT77" s="27" t="str">
        <f t="shared" si="54"/>
        <v/>
      </c>
      <c r="AU77" s="27" t="str">
        <f t="shared" si="55"/>
        <v/>
      </c>
      <c r="AV77" s="27" t="str">
        <f t="shared" si="55"/>
        <v/>
      </c>
      <c r="AW77" s="27" t="str">
        <f t="shared" si="55"/>
        <v/>
      </c>
      <c r="AX77" s="27" t="str">
        <f t="shared" si="55"/>
        <v/>
      </c>
      <c r="AY77" s="27" t="str">
        <f t="shared" si="55"/>
        <v/>
      </c>
      <c r="AZ77" s="27" t="str">
        <f t="shared" si="55"/>
        <v/>
      </c>
      <c r="BA77" s="27" t="str">
        <f t="shared" si="55"/>
        <v/>
      </c>
      <c r="BB77" s="27" t="str">
        <f t="shared" si="55"/>
        <v/>
      </c>
      <c r="BC77" s="27" t="str">
        <f t="shared" si="55"/>
        <v/>
      </c>
      <c r="BD77" s="27" t="str">
        <f t="shared" si="55"/>
        <v/>
      </c>
      <c r="BE77" s="27" t="str">
        <f t="shared" si="56"/>
        <v/>
      </c>
      <c r="BF77" s="27" t="str">
        <f t="shared" si="56"/>
        <v/>
      </c>
      <c r="BG77" s="27" t="str">
        <f t="shared" si="56"/>
        <v/>
      </c>
      <c r="BH77" s="27" t="str">
        <f t="shared" si="56"/>
        <v/>
      </c>
      <c r="BI77" s="27" t="str">
        <f t="shared" si="56"/>
        <v/>
      </c>
      <c r="BJ77" s="27" t="str">
        <f t="shared" si="56"/>
        <v/>
      </c>
      <c r="BK77" s="27" t="str">
        <f t="shared" si="56"/>
        <v/>
      </c>
      <c r="BL77" s="27" t="str">
        <f t="shared" si="56"/>
        <v/>
      </c>
      <c r="BM77" s="27" t="str">
        <f t="shared" si="56"/>
        <v/>
      </c>
      <c r="BN77" s="27" t="str">
        <f t="shared" si="56"/>
        <v/>
      </c>
    </row>
    <row r="78" spans="1:66" ht="15" customHeight="1" x14ac:dyDescent="0.3">
      <c r="A78" s="10" t="str">
        <f>Machine_List!A78</f>
        <v>FID</v>
      </c>
      <c r="B78" s="10" t="str">
        <f>Machine_List!B78</f>
        <v>FID-MC-07</v>
      </c>
      <c r="C78" s="22">
        <f>Machine_List!C78</f>
        <v>46402</v>
      </c>
      <c r="D78" s="10">
        <f>Machine_List!D78</f>
        <v>6</v>
      </c>
      <c r="E78" s="10">
        <f t="shared" ca="1" si="49"/>
        <v>283</v>
      </c>
      <c r="F78" s="10" t="str">
        <f t="shared" ca="1" si="50"/>
        <v>OK</v>
      </c>
      <c r="G78" s="27" t="str">
        <f t="shared" si="51"/>
        <v/>
      </c>
      <c r="H78" s="27" t="str">
        <f t="shared" si="51"/>
        <v/>
      </c>
      <c r="I78" s="27" t="str">
        <f t="shared" si="51"/>
        <v/>
      </c>
      <c r="J78" s="27" t="str">
        <f t="shared" si="51"/>
        <v/>
      </c>
      <c r="K78" s="27" t="str">
        <f t="shared" si="51"/>
        <v/>
      </c>
      <c r="L78" s="27" t="str">
        <f t="shared" si="51"/>
        <v/>
      </c>
      <c r="M78" s="27" t="str">
        <f t="shared" si="51"/>
        <v/>
      </c>
      <c r="N78" s="27" t="str">
        <f t="shared" si="51"/>
        <v/>
      </c>
      <c r="O78" s="27" t="str">
        <f t="shared" si="51"/>
        <v/>
      </c>
      <c r="P78" s="27" t="str">
        <f t="shared" si="51"/>
        <v/>
      </c>
      <c r="Q78" s="27" t="str">
        <f t="shared" si="52"/>
        <v/>
      </c>
      <c r="R78" s="27" t="str">
        <f t="shared" si="52"/>
        <v/>
      </c>
      <c r="S78" s="27" t="str">
        <f t="shared" si="52"/>
        <v/>
      </c>
      <c r="T78" s="27" t="str">
        <f t="shared" si="52"/>
        <v/>
      </c>
      <c r="U78" s="27" t="str">
        <f t="shared" si="52"/>
        <v/>
      </c>
      <c r="V78" s="27" t="str">
        <f t="shared" si="52"/>
        <v/>
      </c>
      <c r="W78" s="27" t="str">
        <f t="shared" si="52"/>
        <v/>
      </c>
      <c r="X78" s="27" t="str">
        <f t="shared" si="52"/>
        <v/>
      </c>
      <c r="Y78" s="27" t="str">
        <f t="shared" si="52"/>
        <v/>
      </c>
      <c r="Z78" s="27" t="str">
        <f t="shared" si="52"/>
        <v/>
      </c>
      <c r="AA78" s="27" t="str">
        <f t="shared" si="53"/>
        <v/>
      </c>
      <c r="AB78" s="27" t="str">
        <f t="shared" si="53"/>
        <v/>
      </c>
      <c r="AC78" s="27" t="str">
        <f t="shared" si="53"/>
        <v/>
      </c>
      <c r="AD78" s="27" t="str">
        <f t="shared" si="53"/>
        <v/>
      </c>
      <c r="AE78" s="27" t="str">
        <f t="shared" si="53"/>
        <v/>
      </c>
      <c r="AF78" s="27" t="str">
        <f t="shared" si="53"/>
        <v/>
      </c>
      <c r="AG78" s="27" t="str">
        <f t="shared" si="53"/>
        <v/>
      </c>
      <c r="AH78" s="27" t="str">
        <f t="shared" si="53"/>
        <v/>
      </c>
      <c r="AI78" s="27" t="str">
        <f t="shared" si="53"/>
        <v/>
      </c>
      <c r="AJ78" s="27" t="str">
        <f t="shared" si="53"/>
        <v/>
      </c>
      <c r="AK78" s="27" t="str">
        <f t="shared" si="54"/>
        <v/>
      </c>
      <c r="AL78" s="27" t="str">
        <f t="shared" si="54"/>
        <v/>
      </c>
      <c r="AM78" s="27" t="str">
        <f t="shared" si="54"/>
        <v/>
      </c>
      <c r="AN78" s="27" t="str">
        <f t="shared" si="54"/>
        <v/>
      </c>
      <c r="AO78" s="27" t="str">
        <f t="shared" si="54"/>
        <v/>
      </c>
      <c r="AP78" s="27" t="str">
        <f t="shared" si="54"/>
        <v/>
      </c>
      <c r="AQ78" s="27" t="str">
        <f t="shared" si="54"/>
        <v/>
      </c>
      <c r="AR78" s="27" t="str">
        <f t="shared" si="54"/>
        <v/>
      </c>
      <c r="AS78" s="27" t="str">
        <f t="shared" si="54"/>
        <v/>
      </c>
      <c r="AT78" s="27" t="str">
        <f t="shared" si="54"/>
        <v/>
      </c>
      <c r="AU78" s="27" t="str">
        <f t="shared" si="55"/>
        <v/>
      </c>
      <c r="AV78" s="27" t="str">
        <f t="shared" si="55"/>
        <v/>
      </c>
      <c r="AW78" s="27" t="str">
        <f t="shared" si="55"/>
        <v/>
      </c>
      <c r="AX78" s="27" t="str">
        <f t="shared" si="55"/>
        <v/>
      </c>
      <c r="AY78" s="27" t="str">
        <f t="shared" si="55"/>
        <v/>
      </c>
      <c r="AZ78" s="27" t="str">
        <f t="shared" si="55"/>
        <v/>
      </c>
      <c r="BA78" s="27" t="str">
        <f t="shared" si="55"/>
        <v/>
      </c>
      <c r="BB78" s="27" t="str">
        <f t="shared" si="55"/>
        <v/>
      </c>
      <c r="BC78" s="27" t="str">
        <f t="shared" si="55"/>
        <v/>
      </c>
      <c r="BD78" s="27" t="str">
        <f t="shared" si="55"/>
        <v/>
      </c>
      <c r="BE78" s="27" t="str">
        <f t="shared" si="56"/>
        <v/>
      </c>
      <c r="BF78" s="27" t="str">
        <f t="shared" si="56"/>
        <v/>
      </c>
      <c r="BG78" s="27" t="str">
        <f t="shared" si="56"/>
        <v/>
      </c>
      <c r="BH78" s="27" t="str">
        <f t="shared" si="56"/>
        <v/>
      </c>
      <c r="BI78" s="27" t="str">
        <f t="shared" si="56"/>
        <v/>
      </c>
      <c r="BJ78" s="27" t="str">
        <f t="shared" si="56"/>
        <v/>
      </c>
      <c r="BK78" s="27" t="str">
        <f t="shared" si="56"/>
        <v/>
      </c>
      <c r="BL78" s="27" t="str">
        <f t="shared" si="56"/>
        <v/>
      </c>
      <c r="BM78" s="27" t="str">
        <f t="shared" si="56"/>
        <v/>
      </c>
      <c r="BN78" s="27" t="str">
        <f t="shared" si="56"/>
        <v/>
      </c>
    </row>
    <row r="79" spans="1:66" ht="15" customHeight="1" x14ac:dyDescent="0.3">
      <c r="A79" s="10" t="str">
        <f>Machine_List!A79</f>
        <v>FID</v>
      </c>
      <c r="B79" s="10" t="str">
        <f>Machine_List!B79</f>
        <v>FID-MC-08</v>
      </c>
      <c r="C79" s="22">
        <f>Machine_List!C79</f>
        <v>46328</v>
      </c>
      <c r="D79" s="10">
        <f>Machine_List!D79</f>
        <v>6</v>
      </c>
      <c r="E79" s="10">
        <f t="shared" ca="1" si="49"/>
        <v>209</v>
      </c>
      <c r="F79" s="10" t="str">
        <f t="shared" ca="1" si="50"/>
        <v>OK</v>
      </c>
      <c r="G79" s="27" t="str">
        <f t="shared" si="51"/>
        <v/>
      </c>
      <c r="H79" s="27" t="str">
        <f t="shared" si="51"/>
        <v/>
      </c>
      <c r="I79" s="27" t="str">
        <f t="shared" si="51"/>
        <v/>
      </c>
      <c r="J79" s="27" t="str">
        <f t="shared" si="51"/>
        <v/>
      </c>
      <c r="K79" s="27" t="str">
        <f t="shared" si="51"/>
        <v/>
      </c>
      <c r="L79" s="27" t="str">
        <f t="shared" si="51"/>
        <v/>
      </c>
      <c r="M79" s="27" t="str">
        <f t="shared" si="51"/>
        <v/>
      </c>
      <c r="N79" s="27" t="str">
        <f t="shared" si="51"/>
        <v/>
      </c>
      <c r="O79" s="27" t="str">
        <f t="shared" si="51"/>
        <v/>
      </c>
      <c r="P79" s="27" t="str">
        <f t="shared" si="51"/>
        <v/>
      </c>
      <c r="Q79" s="27" t="str">
        <f t="shared" si="52"/>
        <v/>
      </c>
      <c r="R79" s="27" t="str">
        <f t="shared" si="52"/>
        <v/>
      </c>
      <c r="S79" s="27" t="str">
        <f t="shared" si="52"/>
        <v/>
      </c>
      <c r="T79" s="27" t="str">
        <f t="shared" si="52"/>
        <v/>
      </c>
      <c r="U79" s="27" t="str">
        <f t="shared" si="52"/>
        <v/>
      </c>
      <c r="V79" s="27" t="str">
        <f t="shared" si="52"/>
        <v/>
      </c>
      <c r="W79" s="27" t="str">
        <f t="shared" si="52"/>
        <v/>
      </c>
      <c r="X79" s="27" t="str">
        <f t="shared" si="52"/>
        <v/>
      </c>
      <c r="Y79" s="27" t="str">
        <f t="shared" si="52"/>
        <v/>
      </c>
      <c r="Z79" s="27" t="str">
        <f t="shared" si="52"/>
        <v/>
      </c>
      <c r="AA79" s="27" t="str">
        <f t="shared" si="53"/>
        <v/>
      </c>
      <c r="AB79" s="27" t="str">
        <f t="shared" si="53"/>
        <v/>
      </c>
      <c r="AC79" s="27" t="str">
        <f t="shared" si="53"/>
        <v/>
      </c>
      <c r="AD79" s="27" t="str">
        <f t="shared" si="53"/>
        <v/>
      </c>
      <c r="AE79" s="27" t="str">
        <f t="shared" si="53"/>
        <v/>
      </c>
      <c r="AF79" s="27" t="str">
        <f t="shared" si="53"/>
        <v/>
      </c>
      <c r="AG79" s="27" t="str">
        <f t="shared" si="53"/>
        <v/>
      </c>
      <c r="AH79" s="27" t="str">
        <f t="shared" si="53"/>
        <v/>
      </c>
      <c r="AI79" s="27" t="str">
        <f t="shared" si="53"/>
        <v/>
      </c>
      <c r="AJ79" s="27" t="str">
        <f t="shared" si="53"/>
        <v/>
      </c>
      <c r="AK79" s="27" t="str">
        <f t="shared" si="54"/>
        <v/>
      </c>
      <c r="AL79" s="27" t="str">
        <f t="shared" si="54"/>
        <v/>
      </c>
      <c r="AM79" s="27" t="str">
        <f t="shared" si="54"/>
        <v/>
      </c>
      <c r="AN79" s="27" t="str">
        <f t="shared" si="54"/>
        <v/>
      </c>
      <c r="AO79" s="27" t="str">
        <f t="shared" si="54"/>
        <v/>
      </c>
      <c r="AP79" s="27" t="str">
        <f t="shared" si="54"/>
        <v/>
      </c>
      <c r="AQ79" s="27" t="str">
        <f t="shared" si="54"/>
        <v/>
      </c>
      <c r="AR79" s="27" t="str">
        <f t="shared" si="54"/>
        <v/>
      </c>
      <c r="AS79" s="27" t="str">
        <f t="shared" si="54"/>
        <v/>
      </c>
      <c r="AT79" s="27" t="str">
        <f t="shared" si="54"/>
        <v/>
      </c>
      <c r="AU79" s="27" t="str">
        <f t="shared" si="55"/>
        <v/>
      </c>
      <c r="AV79" s="27" t="str">
        <f t="shared" si="55"/>
        <v/>
      </c>
      <c r="AW79" s="27" t="str">
        <f t="shared" si="55"/>
        <v/>
      </c>
      <c r="AX79" s="27" t="str">
        <f t="shared" si="55"/>
        <v/>
      </c>
      <c r="AY79" s="27" t="str">
        <f t="shared" si="55"/>
        <v/>
      </c>
      <c r="AZ79" s="27" t="str">
        <f t="shared" si="55"/>
        <v/>
      </c>
      <c r="BA79" s="27" t="str">
        <f t="shared" si="55"/>
        <v/>
      </c>
      <c r="BB79" s="27" t="str">
        <f t="shared" si="55"/>
        <v/>
      </c>
      <c r="BC79" s="27" t="str">
        <f t="shared" si="55"/>
        <v/>
      </c>
      <c r="BD79" s="27" t="str">
        <f t="shared" si="55"/>
        <v/>
      </c>
      <c r="BE79" s="27" t="str">
        <f t="shared" si="56"/>
        <v/>
      </c>
      <c r="BF79" s="27" t="str">
        <f t="shared" si="56"/>
        <v/>
      </c>
      <c r="BG79" s="27" t="str">
        <f t="shared" si="56"/>
        <v/>
      </c>
      <c r="BH79" s="27" t="str">
        <f t="shared" si="56"/>
        <v/>
      </c>
      <c r="BI79" s="27" t="str">
        <f t="shared" si="56"/>
        <v/>
      </c>
      <c r="BJ79" s="27" t="str">
        <f t="shared" si="56"/>
        <v/>
      </c>
      <c r="BK79" s="27" t="str">
        <f t="shared" si="56"/>
        <v/>
      </c>
      <c r="BL79" s="27" t="str">
        <f t="shared" si="56"/>
        <v/>
      </c>
      <c r="BM79" s="27" t="str">
        <f t="shared" si="56"/>
        <v/>
      </c>
      <c r="BN79" s="27" t="str">
        <f t="shared" si="56"/>
        <v/>
      </c>
    </row>
    <row r="80" spans="1:66" ht="15" customHeight="1" x14ac:dyDescent="0.3">
      <c r="A80" s="10" t="str">
        <f>Machine_List!A80</f>
        <v>FID</v>
      </c>
      <c r="B80" s="10" t="str">
        <f>Machine_List!B80</f>
        <v>FID-MC-09</v>
      </c>
      <c r="C80" s="22">
        <f>Machine_List!C80</f>
        <v>46165</v>
      </c>
      <c r="D80" s="10">
        <f>Machine_List!D80</f>
        <v>6</v>
      </c>
      <c r="E80" s="10">
        <f t="shared" ca="1" si="49"/>
        <v>46</v>
      </c>
      <c r="F80" s="10" t="str">
        <f t="shared" ca="1" si="50"/>
        <v>OK</v>
      </c>
      <c r="G80" s="27" t="str">
        <f t="shared" si="51"/>
        <v/>
      </c>
      <c r="H80" s="27" t="str">
        <f t="shared" si="51"/>
        <v/>
      </c>
      <c r="I80" s="27" t="str">
        <f t="shared" si="51"/>
        <v/>
      </c>
      <c r="J80" s="27" t="str">
        <f t="shared" si="51"/>
        <v/>
      </c>
      <c r="K80" s="27" t="str">
        <f t="shared" si="51"/>
        <v/>
      </c>
      <c r="L80" s="27" t="str">
        <f t="shared" si="51"/>
        <v/>
      </c>
      <c r="M80" s="27" t="str">
        <f t="shared" si="51"/>
        <v/>
      </c>
      <c r="N80" s="27" t="str">
        <f t="shared" si="51"/>
        <v/>
      </c>
      <c r="O80" s="27" t="str">
        <f t="shared" si="51"/>
        <v/>
      </c>
      <c r="P80" s="27" t="str">
        <f t="shared" si="51"/>
        <v/>
      </c>
      <c r="Q80" s="27" t="str">
        <f t="shared" si="52"/>
        <v/>
      </c>
      <c r="R80" s="27" t="str">
        <f t="shared" si="52"/>
        <v/>
      </c>
      <c r="S80" s="27" t="str">
        <f t="shared" si="52"/>
        <v/>
      </c>
      <c r="T80" s="27" t="str">
        <f t="shared" si="52"/>
        <v/>
      </c>
      <c r="U80" s="27" t="str">
        <f t="shared" si="52"/>
        <v/>
      </c>
      <c r="V80" s="27" t="str">
        <f t="shared" si="52"/>
        <v/>
      </c>
      <c r="W80" s="27" t="str">
        <f t="shared" si="52"/>
        <v/>
      </c>
      <c r="X80" s="27" t="str">
        <f t="shared" si="52"/>
        <v/>
      </c>
      <c r="Y80" s="27" t="str">
        <f t="shared" si="52"/>
        <v/>
      </c>
      <c r="Z80" s="27" t="str">
        <f t="shared" si="52"/>
        <v/>
      </c>
      <c r="AA80" s="27" t="str">
        <f t="shared" si="53"/>
        <v/>
      </c>
      <c r="AB80" s="27" t="str">
        <f t="shared" si="53"/>
        <v/>
      </c>
      <c r="AC80" s="27" t="str">
        <f t="shared" si="53"/>
        <v/>
      </c>
      <c r="AD80" s="27" t="str">
        <f t="shared" si="53"/>
        <v/>
      </c>
      <c r="AE80" s="27" t="str">
        <f t="shared" si="53"/>
        <v/>
      </c>
      <c r="AF80" s="27" t="str">
        <f t="shared" si="53"/>
        <v/>
      </c>
      <c r="AG80" s="27" t="str">
        <f t="shared" si="53"/>
        <v/>
      </c>
      <c r="AH80" s="27" t="str">
        <f t="shared" si="53"/>
        <v/>
      </c>
      <c r="AI80" s="27" t="str">
        <f t="shared" si="53"/>
        <v/>
      </c>
      <c r="AJ80" s="27" t="str">
        <f t="shared" si="53"/>
        <v/>
      </c>
      <c r="AK80" s="27" t="str">
        <f t="shared" si="54"/>
        <v/>
      </c>
      <c r="AL80" s="27" t="str">
        <f t="shared" si="54"/>
        <v/>
      </c>
      <c r="AM80" s="27" t="str">
        <f t="shared" si="54"/>
        <v/>
      </c>
      <c r="AN80" s="27" t="str">
        <f t="shared" si="54"/>
        <v/>
      </c>
      <c r="AO80" s="27" t="str">
        <f t="shared" si="54"/>
        <v/>
      </c>
      <c r="AP80" s="27" t="str">
        <f t="shared" si="54"/>
        <v/>
      </c>
      <c r="AQ80" s="27" t="str">
        <f t="shared" si="54"/>
        <v/>
      </c>
      <c r="AR80" s="27" t="str">
        <f t="shared" si="54"/>
        <v/>
      </c>
      <c r="AS80" s="27" t="str">
        <f t="shared" si="54"/>
        <v/>
      </c>
      <c r="AT80" s="27" t="str">
        <f t="shared" si="54"/>
        <v/>
      </c>
      <c r="AU80" s="27" t="str">
        <f t="shared" si="55"/>
        <v/>
      </c>
      <c r="AV80" s="27" t="str">
        <f t="shared" si="55"/>
        <v/>
      </c>
      <c r="AW80" s="27" t="str">
        <f t="shared" si="55"/>
        <v/>
      </c>
      <c r="AX80" s="27" t="str">
        <f t="shared" si="55"/>
        <v/>
      </c>
      <c r="AY80" s="27" t="str">
        <f t="shared" si="55"/>
        <v/>
      </c>
      <c r="AZ80" s="27" t="str">
        <f t="shared" si="55"/>
        <v/>
      </c>
      <c r="BA80" s="27" t="str">
        <f t="shared" si="55"/>
        <v/>
      </c>
      <c r="BB80" s="27" t="str">
        <f t="shared" si="55"/>
        <v/>
      </c>
      <c r="BC80" s="27" t="str">
        <f t="shared" si="55"/>
        <v/>
      </c>
      <c r="BD80" s="27" t="str">
        <f t="shared" si="55"/>
        <v/>
      </c>
      <c r="BE80" s="27" t="str">
        <f t="shared" si="56"/>
        <v/>
      </c>
      <c r="BF80" s="27" t="str">
        <f t="shared" si="56"/>
        <v/>
      </c>
      <c r="BG80" s="27" t="str">
        <f t="shared" si="56"/>
        <v>23-May</v>
      </c>
      <c r="BH80" s="27" t="str">
        <f t="shared" si="56"/>
        <v/>
      </c>
      <c r="BI80" s="27" t="str">
        <f t="shared" si="56"/>
        <v/>
      </c>
      <c r="BJ80" s="27" t="str">
        <f t="shared" si="56"/>
        <v/>
      </c>
      <c r="BK80" s="27" t="str">
        <f t="shared" si="56"/>
        <v/>
      </c>
      <c r="BL80" s="27" t="str">
        <f t="shared" si="56"/>
        <v/>
      </c>
      <c r="BM80" s="27" t="str">
        <f t="shared" si="56"/>
        <v/>
      </c>
      <c r="BN80" s="27" t="str">
        <f t="shared" si="56"/>
        <v/>
      </c>
    </row>
    <row r="81" spans="1:66" ht="15" customHeight="1" x14ac:dyDescent="0.3">
      <c r="A81" s="10" t="str">
        <f>Machine_List!A81</f>
        <v>FID</v>
      </c>
      <c r="B81" s="10" t="str">
        <f>Machine_List!B81</f>
        <v>FID-MC-10</v>
      </c>
      <c r="C81" s="22">
        <f>Machine_List!C81</f>
        <v>46483</v>
      </c>
      <c r="D81" s="10">
        <f>Machine_List!D81</f>
        <v>6</v>
      </c>
      <c r="E81" s="10">
        <f t="shared" ca="1" si="49"/>
        <v>364</v>
      </c>
      <c r="F81" s="10" t="str">
        <f t="shared" ca="1" si="50"/>
        <v>OK</v>
      </c>
      <c r="G81" s="27" t="str">
        <f t="shared" si="51"/>
        <v/>
      </c>
      <c r="H81" s="27" t="str">
        <f t="shared" si="51"/>
        <v/>
      </c>
      <c r="I81" s="27" t="str">
        <f t="shared" si="51"/>
        <v/>
      </c>
      <c r="J81" s="27" t="str">
        <f t="shared" si="51"/>
        <v/>
      </c>
      <c r="K81" s="27" t="str">
        <f t="shared" si="51"/>
        <v/>
      </c>
      <c r="L81" s="27" t="str">
        <f t="shared" si="51"/>
        <v/>
      </c>
      <c r="M81" s="27" t="str">
        <f t="shared" si="51"/>
        <v/>
      </c>
      <c r="N81" s="27" t="str">
        <f t="shared" si="51"/>
        <v/>
      </c>
      <c r="O81" s="27" t="str">
        <f t="shared" si="51"/>
        <v/>
      </c>
      <c r="P81" s="27" t="str">
        <f t="shared" si="51"/>
        <v/>
      </c>
      <c r="Q81" s="27" t="str">
        <f t="shared" si="52"/>
        <v/>
      </c>
      <c r="R81" s="27" t="str">
        <f t="shared" si="52"/>
        <v/>
      </c>
      <c r="S81" s="27" t="str">
        <f t="shared" si="52"/>
        <v/>
      </c>
      <c r="T81" s="27" t="str">
        <f t="shared" si="52"/>
        <v/>
      </c>
      <c r="U81" s="27" t="str">
        <f t="shared" si="52"/>
        <v/>
      </c>
      <c r="V81" s="27" t="str">
        <f t="shared" si="52"/>
        <v/>
      </c>
      <c r="W81" s="27" t="str">
        <f t="shared" si="52"/>
        <v/>
      </c>
      <c r="X81" s="27" t="str">
        <f t="shared" si="52"/>
        <v/>
      </c>
      <c r="Y81" s="27" t="str">
        <f t="shared" si="52"/>
        <v/>
      </c>
      <c r="Z81" s="27" t="str">
        <f t="shared" si="52"/>
        <v/>
      </c>
      <c r="AA81" s="27" t="str">
        <f t="shared" si="53"/>
        <v/>
      </c>
      <c r="AB81" s="27" t="str">
        <f t="shared" si="53"/>
        <v/>
      </c>
      <c r="AC81" s="27" t="str">
        <f t="shared" si="53"/>
        <v/>
      </c>
      <c r="AD81" s="27" t="str">
        <f t="shared" si="53"/>
        <v/>
      </c>
      <c r="AE81" s="27" t="str">
        <f t="shared" si="53"/>
        <v/>
      </c>
      <c r="AF81" s="27" t="str">
        <f t="shared" si="53"/>
        <v/>
      </c>
      <c r="AG81" s="27" t="str">
        <f t="shared" si="53"/>
        <v/>
      </c>
      <c r="AH81" s="27" t="str">
        <f t="shared" si="53"/>
        <v/>
      </c>
      <c r="AI81" s="27" t="str">
        <f t="shared" si="53"/>
        <v/>
      </c>
      <c r="AJ81" s="27" t="str">
        <f t="shared" si="53"/>
        <v/>
      </c>
      <c r="AK81" s="27" t="str">
        <f t="shared" si="54"/>
        <v/>
      </c>
      <c r="AL81" s="27" t="str">
        <f t="shared" si="54"/>
        <v/>
      </c>
      <c r="AM81" s="27" t="str">
        <f t="shared" si="54"/>
        <v/>
      </c>
      <c r="AN81" s="27" t="str">
        <f t="shared" si="54"/>
        <v/>
      </c>
      <c r="AO81" s="27" t="str">
        <f t="shared" si="54"/>
        <v/>
      </c>
      <c r="AP81" s="27" t="str">
        <f t="shared" si="54"/>
        <v/>
      </c>
      <c r="AQ81" s="27" t="str">
        <f t="shared" si="54"/>
        <v/>
      </c>
      <c r="AR81" s="27" t="str">
        <f t="shared" si="54"/>
        <v/>
      </c>
      <c r="AS81" s="27" t="str">
        <f t="shared" si="54"/>
        <v/>
      </c>
      <c r="AT81" s="27" t="str">
        <f t="shared" si="54"/>
        <v/>
      </c>
      <c r="AU81" s="27" t="str">
        <f t="shared" si="55"/>
        <v/>
      </c>
      <c r="AV81" s="27" t="str">
        <f t="shared" si="55"/>
        <v/>
      </c>
      <c r="AW81" s="27" t="str">
        <f t="shared" si="55"/>
        <v/>
      </c>
      <c r="AX81" s="27" t="str">
        <f t="shared" si="55"/>
        <v/>
      </c>
      <c r="AY81" s="27" t="str">
        <f t="shared" si="55"/>
        <v/>
      </c>
      <c r="AZ81" s="27" t="str">
        <f t="shared" si="55"/>
        <v/>
      </c>
      <c r="BA81" s="27" t="str">
        <f t="shared" si="55"/>
        <v/>
      </c>
      <c r="BB81" s="27" t="str">
        <f t="shared" si="55"/>
        <v/>
      </c>
      <c r="BC81" s="27" t="str">
        <f t="shared" si="55"/>
        <v/>
      </c>
      <c r="BD81" s="27" t="str">
        <f t="shared" si="55"/>
        <v/>
      </c>
      <c r="BE81" s="27" t="str">
        <f t="shared" si="56"/>
        <v/>
      </c>
      <c r="BF81" s="27" t="str">
        <f t="shared" si="56"/>
        <v/>
      </c>
      <c r="BG81" s="27" t="str">
        <f t="shared" si="56"/>
        <v/>
      </c>
      <c r="BH81" s="27" t="str">
        <f t="shared" si="56"/>
        <v/>
      </c>
      <c r="BI81" s="27" t="str">
        <f t="shared" si="56"/>
        <v/>
      </c>
      <c r="BJ81" s="27" t="str">
        <f t="shared" si="56"/>
        <v/>
      </c>
      <c r="BK81" s="27" t="str">
        <f t="shared" si="56"/>
        <v/>
      </c>
      <c r="BL81" s="27" t="str">
        <f t="shared" si="56"/>
        <v/>
      </c>
      <c r="BM81" s="27" t="str">
        <f t="shared" si="56"/>
        <v/>
      </c>
      <c r="BN81" s="27" t="str">
        <f t="shared" si="56"/>
        <v/>
      </c>
    </row>
    <row r="82" spans="1:66" ht="15" customHeight="1" x14ac:dyDescent="0.3">
      <c r="A82" s="10" t="str">
        <f>Machine_List!A82</f>
        <v>QC</v>
      </c>
      <c r="B82" s="10" t="str">
        <f>Machine_List!B82</f>
        <v>QC-MC-01</v>
      </c>
      <c r="C82" s="22">
        <f>Machine_List!C82</f>
        <v>46518</v>
      </c>
      <c r="D82" s="10">
        <f>Machine_List!D82</f>
        <v>6</v>
      </c>
      <c r="E82" s="10">
        <f t="shared" ca="1" si="49"/>
        <v>399</v>
      </c>
      <c r="F82" s="10" t="str">
        <f t="shared" ca="1" si="50"/>
        <v>OK</v>
      </c>
      <c r="G82" s="27" t="str">
        <f t="shared" si="51"/>
        <v/>
      </c>
      <c r="H82" s="27" t="str">
        <f t="shared" si="51"/>
        <v/>
      </c>
      <c r="I82" s="27" t="str">
        <f t="shared" si="51"/>
        <v/>
      </c>
      <c r="J82" s="27" t="str">
        <f t="shared" si="51"/>
        <v/>
      </c>
      <c r="K82" s="27" t="str">
        <f t="shared" si="51"/>
        <v/>
      </c>
      <c r="L82" s="27" t="str">
        <f t="shared" si="51"/>
        <v/>
      </c>
      <c r="M82" s="27" t="str">
        <f t="shared" si="51"/>
        <v/>
      </c>
      <c r="N82" s="27" t="str">
        <f t="shared" si="51"/>
        <v/>
      </c>
      <c r="O82" s="27" t="str">
        <f t="shared" si="51"/>
        <v/>
      </c>
      <c r="P82" s="27" t="str">
        <f t="shared" si="51"/>
        <v/>
      </c>
      <c r="Q82" s="27" t="str">
        <f t="shared" si="52"/>
        <v/>
      </c>
      <c r="R82" s="27" t="str">
        <f t="shared" si="52"/>
        <v/>
      </c>
      <c r="S82" s="27" t="str">
        <f t="shared" si="52"/>
        <v/>
      </c>
      <c r="T82" s="27" t="str">
        <f t="shared" si="52"/>
        <v/>
      </c>
      <c r="U82" s="27" t="str">
        <f t="shared" si="52"/>
        <v/>
      </c>
      <c r="V82" s="27" t="str">
        <f t="shared" si="52"/>
        <v/>
      </c>
      <c r="W82" s="27" t="str">
        <f t="shared" si="52"/>
        <v/>
      </c>
      <c r="X82" s="27" t="str">
        <f t="shared" si="52"/>
        <v/>
      </c>
      <c r="Y82" s="27" t="str">
        <f t="shared" si="52"/>
        <v/>
      </c>
      <c r="Z82" s="27" t="str">
        <f t="shared" si="52"/>
        <v/>
      </c>
      <c r="AA82" s="27" t="str">
        <f t="shared" si="53"/>
        <v/>
      </c>
      <c r="AB82" s="27" t="str">
        <f t="shared" si="53"/>
        <v/>
      </c>
      <c r="AC82" s="27" t="str">
        <f t="shared" si="53"/>
        <v/>
      </c>
      <c r="AD82" s="27" t="str">
        <f t="shared" si="53"/>
        <v/>
      </c>
      <c r="AE82" s="27" t="str">
        <f t="shared" si="53"/>
        <v/>
      </c>
      <c r="AF82" s="27" t="str">
        <f t="shared" si="53"/>
        <v/>
      </c>
      <c r="AG82" s="27" t="str">
        <f t="shared" si="53"/>
        <v/>
      </c>
      <c r="AH82" s="27" t="str">
        <f t="shared" si="53"/>
        <v/>
      </c>
      <c r="AI82" s="27" t="str">
        <f t="shared" si="53"/>
        <v/>
      </c>
      <c r="AJ82" s="27" t="str">
        <f t="shared" si="53"/>
        <v/>
      </c>
      <c r="AK82" s="27" t="str">
        <f t="shared" si="54"/>
        <v/>
      </c>
      <c r="AL82" s="27" t="str">
        <f t="shared" si="54"/>
        <v/>
      </c>
      <c r="AM82" s="27" t="str">
        <f t="shared" si="54"/>
        <v/>
      </c>
      <c r="AN82" s="27" t="str">
        <f t="shared" si="54"/>
        <v/>
      </c>
      <c r="AO82" s="27" t="str">
        <f t="shared" si="54"/>
        <v/>
      </c>
      <c r="AP82" s="27" t="str">
        <f t="shared" si="54"/>
        <v/>
      </c>
      <c r="AQ82" s="27" t="str">
        <f t="shared" si="54"/>
        <v/>
      </c>
      <c r="AR82" s="27" t="str">
        <f t="shared" si="54"/>
        <v/>
      </c>
      <c r="AS82" s="27" t="str">
        <f t="shared" si="54"/>
        <v/>
      </c>
      <c r="AT82" s="27" t="str">
        <f t="shared" si="54"/>
        <v/>
      </c>
      <c r="AU82" s="27" t="str">
        <f t="shared" si="55"/>
        <v/>
      </c>
      <c r="AV82" s="27" t="str">
        <f t="shared" si="55"/>
        <v/>
      </c>
      <c r="AW82" s="27" t="str">
        <f t="shared" si="55"/>
        <v/>
      </c>
      <c r="AX82" s="27" t="str">
        <f t="shared" si="55"/>
        <v/>
      </c>
      <c r="AY82" s="27" t="str">
        <f t="shared" si="55"/>
        <v/>
      </c>
      <c r="AZ82" s="27" t="str">
        <f t="shared" si="55"/>
        <v/>
      </c>
      <c r="BA82" s="27" t="str">
        <f t="shared" si="55"/>
        <v/>
      </c>
      <c r="BB82" s="27" t="str">
        <f t="shared" si="55"/>
        <v/>
      </c>
      <c r="BC82" s="27" t="str">
        <f t="shared" si="55"/>
        <v/>
      </c>
      <c r="BD82" s="27" t="str">
        <f t="shared" si="55"/>
        <v/>
      </c>
      <c r="BE82" s="27" t="str">
        <f t="shared" si="56"/>
        <v/>
      </c>
      <c r="BF82" s="27" t="str">
        <f t="shared" si="56"/>
        <v/>
      </c>
      <c r="BG82" s="27" t="str">
        <f t="shared" si="56"/>
        <v/>
      </c>
      <c r="BH82" s="27" t="str">
        <f t="shared" si="56"/>
        <v/>
      </c>
      <c r="BI82" s="27" t="str">
        <f t="shared" si="56"/>
        <v/>
      </c>
      <c r="BJ82" s="27" t="str">
        <f t="shared" si="56"/>
        <v/>
      </c>
      <c r="BK82" s="27" t="str">
        <f t="shared" si="56"/>
        <v/>
      </c>
      <c r="BL82" s="27" t="str">
        <f t="shared" si="56"/>
        <v/>
      </c>
      <c r="BM82" s="27" t="str">
        <f t="shared" si="56"/>
        <v/>
      </c>
      <c r="BN82" s="27" t="str">
        <f t="shared" si="56"/>
        <v/>
      </c>
    </row>
    <row r="83" spans="1:66" ht="15" customHeight="1" x14ac:dyDescent="0.3">
      <c r="A83" s="10" t="str">
        <f>Machine_List!A83</f>
        <v>QC</v>
      </c>
      <c r="B83" s="10" t="str">
        <f>Machine_List!B83</f>
        <v>QC-MC-02</v>
      </c>
      <c r="C83" s="22">
        <f>Machine_List!C83</f>
        <v>46115</v>
      </c>
      <c r="D83" s="10">
        <f>Machine_List!D83</f>
        <v>6</v>
      </c>
      <c r="E83" s="10">
        <f t="shared" ca="1" si="49"/>
        <v>-4</v>
      </c>
      <c r="F83" s="10" t="str">
        <f t="shared" ca="1" si="50"/>
        <v>OVERDUE</v>
      </c>
      <c r="G83" s="27" t="str">
        <f t="shared" si="51"/>
        <v/>
      </c>
      <c r="H83" s="27" t="str">
        <f t="shared" si="51"/>
        <v/>
      </c>
      <c r="I83" s="27" t="str">
        <f t="shared" si="51"/>
        <v>03-Apr</v>
      </c>
      <c r="J83" s="27" t="str">
        <f t="shared" si="51"/>
        <v/>
      </c>
      <c r="K83" s="27" t="str">
        <f t="shared" si="51"/>
        <v/>
      </c>
      <c r="L83" s="27" t="str">
        <f t="shared" si="51"/>
        <v/>
      </c>
      <c r="M83" s="27" t="str">
        <f t="shared" si="51"/>
        <v/>
      </c>
      <c r="N83" s="27" t="str">
        <f t="shared" si="51"/>
        <v/>
      </c>
      <c r="O83" s="27" t="str">
        <f t="shared" si="51"/>
        <v/>
      </c>
      <c r="P83" s="27" t="str">
        <f t="shared" si="51"/>
        <v/>
      </c>
      <c r="Q83" s="27" t="str">
        <f t="shared" si="52"/>
        <v/>
      </c>
      <c r="R83" s="27" t="str">
        <f t="shared" si="52"/>
        <v/>
      </c>
      <c r="S83" s="27" t="str">
        <f t="shared" si="52"/>
        <v/>
      </c>
      <c r="T83" s="27" t="str">
        <f t="shared" si="52"/>
        <v/>
      </c>
      <c r="U83" s="27" t="str">
        <f t="shared" si="52"/>
        <v/>
      </c>
      <c r="V83" s="27" t="str">
        <f t="shared" si="52"/>
        <v/>
      </c>
      <c r="W83" s="27" t="str">
        <f t="shared" si="52"/>
        <v/>
      </c>
      <c r="X83" s="27" t="str">
        <f t="shared" si="52"/>
        <v/>
      </c>
      <c r="Y83" s="27" t="str">
        <f t="shared" si="52"/>
        <v/>
      </c>
      <c r="Z83" s="27" t="str">
        <f t="shared" si="52"/>
        <v/>
      </c>
      <c r="AA83" s="27" t="str">
        <f t="shared" si="53"/>
        <v/>
      </c>
      <c r="AB83" s="27" t="str">
        <f t="shared" si="53"/>
        <v/>
      </c>
      <c r="AC83" s="27" t="str">
        <f t="shared" si="53"/>
        <v/>
      </c>
      <c r="AD83" s="27" t="str">
        <f t="shared" si="53"/>
        <v/>
      </c>
      <c r="AE83" s="27" t="str">
        <f t="shared" si="53"/>
        <v/>
      </c>
      <c r="AF83" s="27" t="str">
        <f t="shared" si="53"/>
        <v/>
      </c>
      <c r="AG83" s="27" t="str">
        <f t="shared" si="53"/>
        <v/>
      </c>
      <c r="AH83" s="27" t="str">
        <f t="shared" si="53"/>
        <v/>
      </c>
      <c r="AI83" s="27" t="str">
        <f t="shared" si="53"/>
        <v/>
      </c>
      <c r="AJ83" s="27" t="str">
        <f t="shared" si="53"/>
        <v/>
      </c>
      <c r="AK83" s="27" t="str">
        <f t="shared" si="54"/>
        <v/>
      </c>
      <c r="AL83" s="27" t="str">
        <f t="shared" si="54"/>
        <v/>
      </c>
      <c r="AM83" s="27" t="str">
        <f t="shared" si="54"/>
        <v/>
      </c>
      <c r="AN83" s="27" t="str">
        <f t="shared" si="54"/>
        <v/>
      </c>
      <c r="AO83" s="27" t="str">
        <f t="shared" si="54"/>
        <v/>
      </c>
      <c r="AP83" s="27" t="str">
        <f t="shared" si="54"/>
        <v/>
      </c>
      <c r="AQ83" s="27" t="str">
        <f t="shared" si="54"/>
        <v/>
      </c>
      <c r="AR83" s="27" t="str">
        <f t="shared" si="54"/>
        <v/>
      </c>
      <c r="AS83" s="27" t="str">
        <f t="shared" si="54"/>
        <v/>
      </c>
      <c r="AT83" s="27" t="str">
        <f t="shared" si="54"/>
        <v/>
      </c>
      <c r="AU83" s="27" t="str">
        <f t="shared" si="55"/>
        <v/>
      </c>
      <c r="AV83" s="27" t="str">
        <f t="shared" si="55"/>
        <v/>
      </c>
      <c r="AW83" s="27" t="str">
        <f t="shared" si="55"/>
        <v/>
      </c>
      <c r="AX83" s="27" t="str">
        <f t="shared" si="55"/>
        <v/>
      </c>
      <c r="AY83" s="27" t="str">
        <f t="shared" si="55"/>
        <v/>
      </c>
      <c r="AZ83" s="27" t="str">
        <f t="shared" si="55"/>
        <v/>
      </c>
      <c r="BA83" s="27" t="str">
        <f t="shared" si="55"/>
        <v/>
      </c>
      <c r="BB83" s="27" t="str">
        <f t="shared" si="55"/>
        <v/>
      </c>
      <c r="BC83" s="27" t="str">
        <f t="shared" si="55"/>
        <v/>
      </c>
      <c r="BD83" s="27" t="str">
        <f t="shared" si="55"/>
        <v/>
      </c>
      <c r="BE83" s="27" t="str">
        <f t="shared" si="56"/>
        <v/>
      </c>
      <c r="BF83" s="27" t="str">
        <f t="shared" si="56"/>
        <v/>
      </c>
      <c r="BG83" s="27" t="str">
        <f t="shared" si="56"/>
        <v/>
      </c>
      <c r="BH83" s="27" t="str">
        <f t="shared" si="56"/>
        <v/>
      </c>
      <c r="BI83" s="27" t="str">
        <f t="shared" si="56"/>
        <v/>
      </c>
      <c r="BJ83" s="27" t="str">
        <f t="shared" si="56"/>
        <v/>
      </c>
      <c r="BK83" s="27" t="str">
        <f t="shared" si="56"/>
        <v/>
      </c>
      <c r="BL83" s="27" t="str">
        <f t="shared" si="56"/>
        <v/>
      </c>
      <c r="BM83" s="27" t="str">
        <f t="shared" si="56"/>
        <v/>
      </c>
      <c r="BN83" s="27" t="str">
        <f t="shared" si="56"/>
        <v/>
      </c>
    </row>
    <row r="84" spans="1:66" ht="15" customHeight="1" x14ac:dyDescent="0.3">
      <c r="A84" s="10" t="str">
        <f>Machine_List!A84</f>
        <v>QC</v>
      </c>
      <c r="B84" s="10" t="str">
        <f>Machine_List!B84</f>
        <v>QC-MC-03</v>
      </c>
      <c r="C84" s="22">
        <f>Machine_List!C84</f>
        <v>46172</v>
      </c>
      <c r="D84" s="10">
        <f>Machine_List!D84</f>
        <v>6</v>
      </c>
      <c r="E84" s="10">
        <f t="shared" ca="1" si="49"/>
        <v>53</v>
      </c>
      <c r="F84" s="10" t="str">
        <f t="shared" ca="1" si="50"/>
        <v>OK</v>
      </c>
      <c r="G84" s="27" t="str">
        <f t="shared" si="51"/>
        <v/>
      </c>
      <c r="H84" s="27" t="str">
        <f t="shared" si="51"/>
        <v/>
      </c>
      <c r="I84" s="27" t="str">
        <f t="shared" si="51"/>
        <v/>
      </c>
      <c r="J84" s="27" t="str">
        <f t="shared" si="51"/>
        <v/>
      </c>
      <c r="K84" s="27" t="str">
        <f t="shared" si="51"/>
        <v/>
      </c>
      <c r="L84" s="27" t="str">
        <f t="shared" si="51"/>
        <v/>
      </c>
      <c r="M84" s="27" t="str">
        <f t="shared" si="51"/>
        <v/>
      </c>
      <c r="N84" s="27" t="str">
        <f t="shared" si="51"/>
        <v/>
      </c>
      <c r="O84" s="27" t="str">
        <f t="shared" si="51"/>
        <v/>
      </c>
      <c r="P84" s="27" t="str">
        <f t="shared" si="51"/>
        <v/>
      </c>
      <c r="Q84" s="27" t="str">
        <f t="shared" si="52"/>
        <v/>
      </c>
      <c r="R84" s="27" t="str">
        <f t="shared" si="52"/>
        <v/>
      </c>
      <c r="S84" s="27" t="str">
        <f t="shared" si="52"/>
        <v/>
      </c>
      <c r="T84" s="27" t="str">
        <f t="shared" si="52"/>
        <v/>
      </c>
      <c r="U84" s="27" t="str">
        <f t="shared" si="52"/>
        <v/>
      </c>
      <c r="V84" s="27" t="str">
        <f t="shared" si="52"/>
        <v/>
      </c>
      <c r="W84" s="27" t="str">
        <f t="shared" si="52"/>
        <v/>
      </c>
      <c r="X84" s="27" t="str">
        <f t="shared" si="52"/>
        <v/>
      </c>
      <c r="Y84" s="27" t="str">
        <f t="shared" si="52"/>
        <v/>
      </c>
      <c r="Z84" s="27" t="str">
        <f t="shared" si="52"/>
        <v/>
      </c>
      <c r="AA84" s="27" t="str">
        <f t="shared" si="53"/>
        <v/>
      </c>
      <c r="AB84" s="27" t="str">
        <f t="shared" si="53"/>
        <v/>
      </c>
      <c r="AC84" s="27" t="str">
        <f t="shared" si="53"/>
        <v/>
      </c>
      <c r="AD84" s="27" t="str">
        <f t="shared" si="53"/>
        <v/>
      </c>
      <c r="AE84" s="27" t="str">
        <f t="shared" si="53"/>
        <v/>
      </c>
      <c r="AF84" s="27" t="str">
        <f t="shared" si="53"/>
        <v/>
      </c>
      <c r="AG84" s="27" t="str">
        <f t="shared" si="53"/>
        <v/>
      </c>
      <c r="AH84" s="27" t="str">
        <f t="shared" si="53"/>
        <v/>
      </c>
      <c r="AI84" s="27" t="str">
        <f t="shared" si="53"/>
        <v/>
      </c>
      <c r="AJ84" s="27" t="str">
        <f t="shared" si="53"/>
        <v/>
      </c>
      <c r="AK84" s="27" t="str">
        <f t="shared" si="54"/>
        <v/>
      </c>
      <c r="AL84" s="27" t="str">
        <f t="shared" si="54"/>
        <v/>
      </c>
      <c r="AM84" s="27" t="str">
        <f t="shared" si="54"/>
        <v/>
      </c>
      <c r="AN84" s="27" t="str">
        <f t="shared" si="54"/>
        <v/>
      </c>
      <c r="AO84" s="27" t="str">
        <f t="shared" si="54"/>
        <v/>
      </c>
      <c r="AP84" s="27" t="str">
        <f t="shared" si="54"/>
        <v/>
      </c>
      <c r="AQ84" s="27" t="str">
        <f t="shared" si="54"/>
        <v/>
      </c>
      <c r="AR84" s="27" t="str">
        <f t="shared" si="54"/>
        <v/>
      </c>
      <c r="AS84" s="27" t="str">
        <f t="shared" si="54"/>
        <v/>
      </c>
      <c r="AT84" s="27" t="str">
        <f t="shared" si="54"/>
        <v/>
      </c>
      <c r="AU84" s="27" t="str">
        <f t="shared" si="55"/>
        <v/>
      </c>
      <c r="AV84" s="27" t="str">
        <f t="shared" si="55"/>
        <v/>
      </c>
      <c r="AW84" s="27" t="str">
        <f t="shared" si="55"/>
        <v/>
      </c>
      <c r="AX84" s="27" t="str">
        <f t="shared" si="55"/>
        <v/>
      </c>
      <c r="AY84" s="27" t="str">
        <f t="shared" si="55"/>
        <v/>
      </c>
      <c r="AZ84" s="27" t="str">
        <f t="shared" si="55"/>
        <v/>
      </c>
      <c r="BA84" s="27" t="str">
        <f t="shared" si="55"/>
        <v/>
      </c>
      <c r="BB84" s="27" t="str">
        <f t="shared" si="55"/>
        <v/>
      </c>
      <c r="BC84" s="27" t="str">
        <f t="shared" si="55"/>
        <v/>
      </c>
      <c r="BD84" s="27" t="str">
        <f t="shared" si="55"/>
        <v/>
      </c>
      <c r="BE84" s="27" t="str">
        <f t="shared" si="56"/>
        <v/>
      </c>
      <c r="BF84" s="27" t="str">
        <f t="shared" si="56"/>
        <v/>
      </c>
      <c r="BG84" s="27" t="str">
        <f t="shared" si="56"/>
        <v/>
      </c>
      <c r="BH84" s="27" t="str">
        <f t="shared" si="56"/>
        <v/>
      </c>
      <c r="BI84" s="27" t="str">
        <f t="shared" si="56"/>
        <v/>
      </c>
      <c r="BJ84" s="27" t="str">
        <f t="shared" si="56"/>
        <v/>
      </c>
      <c r="BK84" s="27" t="str">
        <f t="shared" si="56"/>
        <v/>
      </c>
      <c r="BL84" s="27" t="str">
        <f t="shared" si="56"/>
        <v/>
      </c>
      <c r="BM84" s="27" t="str">
        <f t="shared" si="56"/>
        <v/>
      </c>
      <c r="BN84" s="27" t="str">
        <f t="shared" si="56"/>
        <v>30-May</v>
      </c>
    </row>
    <row r="85" spans="1:66" ht="15" customHeight="1" x14ac:dyDescent="0.3">
      <c r="A85" s="10" t="str">
        <f>Machine_List!A85</f>
        <v>QC</v>
      </c>
      <c r="B85" s="10" t="str">
        <f>Machine_List!B85</f>
        <v>QC-MC-04</v>
      </c>
      <c r="C85" s="22">
        <f>Machine_List!C85</f>
        <v>46195</v>
      </c>
      <c r="D85" s="10">
        <f>Machine_List!D85</f>
        <v>6</v>
      </c>
      <c r="E85" s="10">
        <f t="shared" ca="1" si="49"/>
        <v>76</v>
      </c>
      <c r="F85" s="10" t="str">
        <f t="shared" ca="1" si="50"/>
        <v>OK</v>
      </c>
      <c r="G85" s="27" t="str">
        <f t="shared" si="51"/>
        <v/>
      </c>
      <c r="H85" s="27" t="str">
        <f t="shared" si="51"/>
        <v/>
      </c>
      <c r="I85" s="27" t="str">
        <f t="shared" si="51"/>
        <v/>
      </c>
      <c r="J85" s="27" t="str">
        <f t="shared" si="51"/>
        <v/>
      </c>
      <c r="K85" s="27" t="str">
        <f t="shared" si="51"/>
        <v/>
      </c>
      <c r="L85" s="27" t="str">
        <f t="shared" si="51"/>
        <v/>
      </c>
      <c r="M85" s="27" t="str">
        <f t="shared" si="51"/>
        <v/>
      </c>
      <c r="N85" s="27" t="str">
        <f t="shared" si="51"/>
        <v/>
      </c>
      <c r="O85" s="27" t="str">
        <f t="shared" si="51"/>
        <v/>
      </c>
      <c r="P85" s="27" t="str">
        <f t="shared" si="51"/>
        <v/>
      </c>
      <c r="Q85" s="27" t="str">
        <f t="shared" si="52"/>
        <v/>
      </c>
      <c r="R85" s="27" t="str">
        <f t="shared" si="52"/>
        <v/>
      </c>
      <c r="S85" s="27" t="str">
        <f t="shared" si="52"/>
        <v/>
      </c>
      <c r="T85" s="27" t="str">
        <f t="shared" si="52"/>
        <v/>
      </c>
      <c r="U85" s="27" t="str">
        <f t="shared" si="52"/>
        <v/>
      </c>
      <c r="V85" s="27" t="str">
        <f t="shared" si="52"/>
        <v/>
      </c>
      <c r="W85" s="27" t="str">
        <f t="shared" si="52"/>
        <v/>
      </c>
      <c r="X85" s="27" t="str">
        <f t="shared" si="52"/>
        <v/>
      </c>
      <c r="Y85" s="27" t="str">
        <f t="shared" si="52"/>
        <v/>
      </c>
      <c r="Z85" s="27" t="str">
        <f t="shared" si="52"/>
        <v/>
      </c>
      <c r="AA85" s="27" t="str">
        <f t="shared" si="53"/>
        <v/>
      </c>
      <c r="AB85" s="27" t="str">
        <f t="shared" si="53"/>
        <v/>
      </c>
      <c r="AC85" s="27" t="str">
        <f t="shared" si="53"/>
        <v/>
      </c>
      <c r="AD85" s="27" t="str">
        <f t="shared" si="53"/>
        <v/>
      </c>
      <c r="AE85" s="27" t="str">
        <f t="shared" si="53"/>
        <v/>
      </c>
      <c r="AF85" s="27" t="str">
        <f t="shared" si="53"/>
        <v/>
      </c>
      <c r="AG85" s="27" t="str">
        <f t="shared" si="53"/>
        <v/>
      </c>
      <c r="AH85" s="27" t="str">
        <f t="shared" si="53"/>
        <v/>
      </c>
      <c r="AI85" s="27" t="str">
        <f t="shared" si="53"/>
        <v/>
      </c>
      <c r="AJ85" s="27" t="str">
        <f t="shared" si="53"/>
        <v/>
      </c>
      <c r="AK85" s="27" t="str">
        <f t="shared" si="54"/>
        <v/>
      </c>
      <c r="AL85" s="27" t="str">
        <f t="shared" si="54"/>
        <v/>
      </c>
      <c r="AM85" s="27" t="str">
        <f t="shared" si="54"/>
        <v/>
      </c>
      <c r="AN85" s="27" t="str">
        <f t="shared" si="54"/>
        <v/>
      </c>
      <c r="AO85" s="27" t="str">
        <f t="shared" si="54"/>
        <v/>
      </c>
      <c r="AP85" s="27" t="str">
        <f t="shared" si="54"/>
        <v/>
      </c>
      <c r="AQ85" s="27" t="str">
        <f t="shared" si="54"/>
        <v/>
      </c>
      <c r="AR85" s="27" t="str">
        <f t="shared" si="54"/>
        <v/>
      </c>
      <c r="AS85" s="27" t="str">
        <f t="shared" si="54"/>
        <v/>
      </c>
      <c r="AT85" s="27" t="str">
        <f t="shared" si="54"/>
        <v/>
      </c>
      <c r="AU85" s="27" t="str">
        <f t="shared" si="55"/>
        <v/>
      </c>
      <c r="AV85" s="27" t="str">
        <f t="shared" si="55"/>
        <v/>
      </c>
      <c r="AW85" s="27" t="str">
        <f t="shared" si="55"/>
        <v/>
      </c>
      <c r="AX85" s="27" t="str">
        <f t="shared" si="55"/>
        <v/>
      </c>
      <c r="AY85" s="27" t="str">
        <f t="shared" si="55"/>
        <v/>
      </c>
      <c r="AZ85" s="27" t="str">
        <f t="shared" si="55"/>
        <v/>
      </c>
      <c r="BA85" s="27" t="str">
        <f t="shared" si="55"/>
        <v/>
      </c>
      <c r="BB85" s="27" t="str">
        <f t="shared" si="55"/>
        <v/>
      </c>
      <c r="BC85" s="27" t="str">
        <f t="shared" si="55"/>
        <v/>
      </c>
      <c r="BD85" s="27" t="str">
        <f t="shared" si="55"/>
        <v/>
      </c>
      <c r="BE85" s="27" t="str">
        <f t="shared" si="56"/>
        <v/>
      </c>
      <c r="BF85" s="27" t="str">
        <f t="shared" si="56"/>
        <v/>
      </c>
      <c r="BG85" s="27" t="str">
        <f t="shared" si="56"/>
        <v/>
      </c>
      <c r="BH85" s="27" t="str">
        <f t="shared" si="56"/>
        <v/>
      </c>
      <c r="BI85" s="27" t="str">
        <f t="shared" si="56"/>
        <v/>
      </c>
      <c r="BJ85" s="27" t="str">
        <f t="shared" si="56"/>
        <v/>
      </c>
      <c r="BK85" s="27" t="str">
        <f t="shared" si="56"/>
        <v/>
      </c>
      <c r="BL85" s="27" t="str">
        <f t="shared" si="56"/>
        <v/>
      </c>
      <c r="BM85" s="27" t="str">
        <f t="shared" si="56"/>
        <v/>
      </c>
      <c r="BN85" s="27" t="str">
        <f t="shared" si="56"/>
        <v/>
      </c>
    </row>
    <row r="86" spans="1:66" ht="15" customHeight="1" x14ac:dyDescent="0.3">
      <c r="A86" s="10" t="str">
        <f>Machine_List!A86</f>
        <v>QC</v>
      </c>
      <c r="B86" s="10" t="str">
        <f>Machine_List!B86</f>
        <v>QC-MC-05</v>
      </c>
      <c r="C86" s="22">
        <f>Machine_List!C86</f>
        <v>46373</v>
      </c>
      <c r="D86" s="10">
        <f>Machine_List!D86</f>
        <v>6</v>
      </c>
      <c r="E86" s="10">
        <f t="shared" ca="1" si="49"/>
        <v>254</v>
      </c>
      <c r="F86" s="10" t="str">
        <f t="shared" ca="1" si="50"/>
        <v>OK</v>
      </c>
      <c r="G86" s="27" t="str">
        <f t="shared" si="51"/>
        <v/>
      </c>
      <c r="H86" s="27" t="str">
        <f t="shared" si="51"/>
        <v/>
      </c>
      <c r="I86" s="27" t="str">
        <f t="shared" si="51"/>
        <v/>
      </c>
      <c r="J86" s="27" t="str">
        <f t="shared" si="51"/>
        <v/>
      </c>
      <c r="K86" s="27" t="str">
        <f t="shared" si="51"/>
        <v/>
      </c>
      <c r="L86" s="27" t="str">
        <f t="shared" si="51"/>
        <v/>
      </c>
      <c r="M86" s="27" t="str">
        <f t="shared" si="51"/>
        <v/>
      </c>
      <c r="N86" s="27" t="str">
        <f t="shared" si="51"/>
        <v/>
      </c>
      <c r="O86" s="27" t="str">
        <f t="shared" si="51"/>
        <v/>
      </c>
      <c r="P86" s="27" t="str">
        <f t="shared" si="51"/>
        <v/>
      </c>
      <c r="Q86" s="27" t="str">
        <f t="shared" si="52"/>
        <v/>
      </c>
      <c r="R86" s="27" t="str">
        <f t="shared" si="52"/>
        <v/>
      </c>
      <c r="S86" s="27" t="str">
        <f t="shared" si="52"/>
        <v/>
      </c>
      <c r="T86" s="27" t="str">
        <f t="shared" si="52"/>
        <v/>
      </c>
      <c r="U86" s="27" t="str">
        <f t="shared" si="52"/>
        <v/>
      </c>
      <c r="V86" s="27" t="str">
        <f t="shared" si="52"/>
        <v/>
      </c>
      <c r="W86" s="27" t="str">
        <f t="shared" si="52"/>
        <v/>
      </c>
      <c r="X86" s="27" t="str">
        <f t="shared" si="52"/>
        <v/>
      </c>
      <c r="Y86" s="27" t="str">
        <f t="shared" si="52"/>
        <v/>
      </c>
      <c r="Z86" s="27" t="str">
        <f t="shared" si="52"/>
        <v/>
      </c>
      <c r="AA86" s="27" t="str">
        <f t="shared" si="53"/>
        <v/>
      </c>
      <c r="AB86" s="27" t="str">
        <f t="shared" si="53"/>
        <v/>
      </c>
      <c r="AC86" s="27" t="str">
        <f t="shared" si="53"/>
        <v/>
      </c>
      <c r="AD86" s="27" t="str">
        <f t="shared" si="53"/>
        <v/>
      </c>
      <c r="AE86" s="27" t="str">
        <f t="shared" si="53"/>
        <v/>
      </c>
      <c r="AF86" s="27" t="str">
        <f t="shared" si="53"/>
        <v/>
      </c>
      <c r="AG86" s="27" t="str">
        <f t="shared" si="53"/>
        <v/>
      </c>
      <c r="AH86" s="27" t="str">
        <f t="shared" si="53"/>
        <v/>
      </c>
      <c r="AI86" s="27" t="str">
        <f t="shared" si="53"/>
        <v/>
      </c>
      <c r="AJ86" s="27" t="str">
        <f t="shared" si="53"/>
        <v/>
      </c>
      <c r="AK86" s="27" t="str">
        <f t="shared" si="54"/>
        <v/>
      </c>
      <c r="AL86" s="27" t="str">
        <f t="shared" si="54"/>
        <v/>
      </c>
      <c r="AM86" s="27" t="str">
        <f t="shared" si="54"/>
        <v/>
      </c>
      <c r="AN86" s="27" t="str">
        <f t="shared" si="54"/>
        <v/>
      </c>
      <c r="AO86" s="27" t="str">
        <f t="shared" si="54"/>
        <v/>
      </c>
      <c r="AP86" s="27" t="str">
        <f t="shared" si="54"/>
        <v/>
      </c>
      <c r="AQ86" s="27" t="str">
        <f t="shared" si="54"/>
        <v/>
      </c>
      <c r="AR86" s="27" t="str">
        <f t="shared" si="54"/>
        <v/>
      </c>
      <c r="AS86" s="27" t="str">
        <f t="shared" si="54"/>
        <v/>
      </c>
      <c r="AT86" s="27" t="str">
        <f t="shared" si="54"/>
        <v/>
      </c>
      <c r="AU86" s="27" t="str">
        <f t="shared" si="55"/>
        <v/>
      </c>
      <c r="AV86" s="27" t="str">
        <f t="shared" si="55"/>
        <v/>
      </c>
      <c r="AW86" s="27" t="str">
        <f t="shared" si="55"/>
        <v/>
      </c>
      <c r="AX86" s="27" t="str">
        <f t="shared" si="55"/>
        <v/>
      </c>
      <c r="AY86" s="27" t="str">
        <f t="shared" si="55"/>
        <v/>
      </c>
      <c r="AZ86" s="27" t="str">
        <f t="shared" si="55"/>
        <v/>
      </c>
      <c r="BA86" s="27" t="str">
        <f t="shared" si="55"/>
        <v/>
      </c>
      <c r="BB86" s="27" t="str">
        <f t="shared" si="55"/>
        <v/>
      </c>
      <c r="BC86" s="27" t="str">
        <f t="shared" si="55"/>
        <v/>
      </c>
      <c r="BD86" s="27" t="str">
        <f t="shared" si="55"/>
        <v/>
      </c>
      <c r="BE86" s="27" t="str">
        <f t="shared" si="56"/>
        <v/>
      </c>
      <c r="BF86" s="27" t="str">
        <f t="shared" si="56"/>
        <v/>
      </c>
      <c r="BG86" s="27" t="str">
        <f t="shared" si="56"/>
        <v/>
      </c>
      <c r="BH86" s="27" t="str">
        <f t="shared" si="56"/>
        <v/>
      </c>
      <c r="BI86" s="27" t="str">
        <f t="shared" si="56"/>
        <v/>
      </c>
      <c r="BJ86" s="27" t="str">
        <f t="shared" si="56"/>
        <v/>
      </c>
      <c r="BK86" s="27" t="str">
        <f t="shared" si="56"/>
        <v/>
      </c>
      <c r="BL86" s="27" t="str">
        <f t="shared" si="56"/>
        <v/>
      </c>
      <c r="BM86" s="27" t="str">
        <f t="shared" si="56"/>
        <v/>
      </c>
      <c r="BN86" s="27" t="str">
        <f t="shared" si="56"/>
        <v/>
      </c>
    </row>
  </sheetData>
  <conditionalFormatting sqref="F4:F100">
    <cfRule type="cellIs" dxfId="35" priority="2" operator="equal">
      <formula>"OVERDUE"</formula>
    </cfRule>
    <cfRule type="cellIs" dxfId="34" priority="3" operator="equal">
      <formula>"DUE SOON"</formula>
    </cfRule>
    <cfRule type="cellIs" dxfId="33" priority="4" operator="equal">
      <formula>"OK"</formula>
    </cfRule>
  </conditionalFormatting>
  <conditionalFormatting sqref="G4:BN100">
    <cfRule type="expression" dxfId="32" priority="5">
      <formula>INT(G$3)=INT($C4)</formula>
    </cfRule>
  </conditionalFormatting>
  <pageMargins left="0.75" right="0.75" top="1" bottom="1" header="0.511811023622047" footer="0.511811023622047"/>
  <pageSetup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K18"/>
  <sheetViews>
    <sheetView zoomScaleNormal="100" workbookViewId="0"/>
  </sheetViews>
  <sheetFormatPr defaultColWidth="8.6640625" defaultRowHeight="14.4" x14ac:dyDescent="0.3"/>
  <cols>
    <col min="1" max="100" width="13" customWidth="1"/>
  </cols>
  <sheetData>
    <row r="2" spans="1:11" ht="15" customHeight="1" x14ac:dyDescent="0.3">
      <c r="A2" s="16" t="s">
        <v>290</v>
      </c>
      <c r="B2">
        <v>2</v>
      </c>
    </row>
    <row r="3" spans="1:11" ht="15" customHeight="1" x14ac:dyDescent="0.3">
      <c r="A3" s="9" t="s">
        <v>3</v>
      </c>
      <c r="B3" s="9" t="s">
        <v>131</v>
      </c>
      <c r="C3" s="9" t="s">
        <v>138</v>
      </c>
      <c r="D3" s="9" t="s">
        <v>145</v>
      </c>
      <c r="E3" s="9" t="s">
        <v>152</v>
      </c>
      <c r="F3" s="9" t="s">
        <v>183</v>
      </c>
      <c r="G3" s="9" t="s">
        <v>198</v>
      </c>
      <c r="H3" s="9" t="s">
        <v>208</v>
      </c>
      <c r="I3" s="9" t="s">
        <v>219</v>
      </c>
      <c r="J3" t="s">
        <v>291</v>
      </c>
      <c r="K3" t="s">
        <v>292</v>
      </c>
    </row>
    <row r="4" spans="1:11" ht="15" customHeight="1" x14ac:dyDescent="0.3">
      <c r="A4" s="10">
        <v>9</v>
      </c>
      <c r="B4" s="10">
        <v>6</v>
      </c>
      <c r="C4" s="10">
        <v>3</v>
      </c>
      <c r="D4" s="10">
        <v>6</v>
      </c>
      <c r="E4" s="10">
        <v>4</v>
      </c>
      <c r="F4" s="10">
        <v>5</v>
      </c>
      <c r="G4" s="10">
        <v>1</v>
      </c>
      <c r="H4" s="10">
        <v>5</v>
      </c>
      <c r="I4" s="10">
        <v>2</v>
      </c>
      <c r="J4">
        <v>100</v>
      </c>
      <c r="K4">
        <v>600</v>
      </c>
    </row>
    <row r="5" spans="1:11" ht="15" customHeight="1" x14ac:dyDescent="0.3">
      <c r="A5" s="10">
        <v>15</v>
      </c>
      <c r="B5" s="10">
        <v>19</v>
      </c>
      <c r="C5" s="10">
        <v>12</v>
      </c>
      <c r="D5" s="10">
        <v>12</v>
      </c>
      <c r="E5" s="10">
        <v>16</v>
      </c>
      <c r="F5" s="10">
        <v>10</v>
      </c>
      <c r="G5" s="10">
        <v>12</v>
      </c>
      <c r="H5" s="10">
        <v>13</v>
      </c>
      <c r="I5" s="10">
        <v>6</v>
      </c>
      <c r="J5">
        <v>300</v>
      </c>
      <c r="K5">
        <v>800</v>
      </c>
    </row>
    <row r="6" spans="1:11" ht="15" customHeight="1" x14ac:dyDescent="0.3">
      <c r="A6" s="10">
        <v>17</v>
      </c>
      <c r="B6" s="10">
        <v>20</v>
      </c>
      <c r="C6" s="10">
        <v>14</v>
      </c>
      <c r="D6" s="10">
        <v>12</v>
      </c>
      <c r="E6" s="10">
        <v>12</v>
      </c>
      <c r="F6" s="10">
        <v>16</v>
      </c>
      <c r="G6" s="10">
        <v>17</v>
      </c>
      <c r="H6" s="10">
        <v>13</v>
      </c>
      <c r="I6" s="10">
        <v>10</v>
      </c>
      <c r="J6">
        <v>500</v>
      </c>
      <c r="K6">
        <v>1000</v>
      </c>
    </row>
    <row r="7" spans="1:11" ht="15" customHeight="1" x14ac:dyDescent="0.3">
      <c r="A7" s="10">
        <v>20</v>
      </c>
      <c r="B7" s="10">
        <v>31</v>
      </c>
      <c r="C7" s="10">
        <v>24</v>
      </c>
      <c r="D7" s="10">
        <v>20</v>
      </c>
      <c r="E7" s="10">
        <v>27</v>
      </c>
      <c r="F7" s="10">
        <v>18</v>
      </c>
      <c r="G7" s="10">
        <v>14</v>
      </c>
      <c r="H7" s="10">
        <v>12</v>
      </c>
      <c r="I7" s="10">
        <v>15</v>
      </c>
      <c r="J7">
        <v>700</v>
      </c>
      <c r="K7">
        <v>1200</v>
      </c>
    </row>
    <row r="8" spans="1:11" ht="15" customHeight="1" x14ac:dyDescent="0.3">
      <c r="A8" s="10">
        <v>25</v>
      </c>
      <c r="B8" s="10">
        <v>36</v>
      </c>
      <c r="C8" s="10">
        <v>29</v>
      </c>
      <c r="D8" s="10">
        <v>24</v>
      </c>
      <c r="E8" s="10">
        <v>24</v>
      </c>
      <c r="F8" s="10">
        <v>27</v>
      </c>
      <c r="G8" s="10">
        <v>24</v>
      </c>
      <c r="H8" s="10">
        <v>27</v>
      </c>
      <c r="I8" s="10">
        <v>24</v>
      </c>
      <c r="J8">
        <v>900</v>
      </c>
      <c r="K8">
        <v>1400</v>
      </c>
    </row>
    <row r="9" spans="1:11" ht="15" customHeight="1" x14ac:dyDescent="0.3">
      <c r="A9" s="10">
        <v>28</v>
      </c>
      <c r="B9" s="10">
        <v>38</v>
      </c>
      <c r="C9" s="10">
        <v>30</v>
      </c>
      <c r="D9" s="10">
        <v>35</v>
      </c>
      <c r="E9" s="10">
        <v>26</v>
      </c>
      <c r="F9" s="10">
        <v>32</v>
      </c>
      <c r="G9" s="10">
        <v>32</v>
      </c>
      <c r="H9" s="10">
        <v>17</v>
      </c>
      <c r="I9" s="10">
        <v>28</v>
      </c>
      <c r="J9">
        <v>1100</v>
      </c>
      <c r="K9">
        <v>1600</v>
      </c>
    </row>
    <row r="10" spans="1:11" ht="15" customHeight="1" x14ac:dyDescent="0.3">
      <c r="A10" s="10">
        <v>30</v>
      </c>
      <c r="B10" s="10">
        <v>35</v>
      </c>
      <c r="C10" s="10">
        <v>42</v>
      </c>
      <c r="D10" s="10">
        <v>27</v>
      </c>
      <c r="E10" s="10">
        <v>38</v>
      </c>
      <c r="F10" s="10">
        <v>22</v>
      </c>
      <c r="G10" s="10">
        <v>31</v>
      </c>
      <c r="H10" s="10">
        <v>30</v>
      </c>
      <c r="I10" s="10">
        <v>16</v>
      </c>
      <c r="J10">
        <v>1300</v>
      </c>
      <c r="K10">
        <v>1800</v>
      </c>
    </row>
    <row r="11" spans="1:11" ht="15" customHeight="1" x14ac:dyDescent="0.3">
      <c r="A11" s="10">
        <v>34</v>
      </c>
      <c r="B11" s="10">
        <v>50</v>
      </c>
      <c r="C11" s="10">
        <v>48</v>
      </c>
      <c r="D11" s="10">
        <v>54</v>
      </c>
      <c r="E11" s="10">
        <v>35</v>
      </c>
      <c r="F11" s="10">
        <v>27</v>
      </c>
      <c r="G11" s="10">
        <v>37</v>
      </c>
      <c r="H11" s="10">
        <v>27</v>
      </c>
      <c r="I11" s="10">
        <v>27</v>
      </c>
      <c r="J11">
        <v>1500</v>
      </c>
      <c r="K11">
        <v>2000</v>
      </c>
    </row>
    <row r="12" spans="1:11" ht="15" customHeight="1" x14ac:dyDescent="0.3">
      <c r="A12" s="10">
        <v>42</v>
      </c>
      <c r="B12" s="10">
        <v>48</v>
      </c>
      <c r="C12" s="10">
        <v>48</v>
      </c>
      <c r="D12" s="10">
        <v>61</v>
      </c>
      <c r="E12" s="10">
        <v>64</v>
      </c>
      <c r="F12" s="10">
        <v>62</v>
      </c>
      <c r="G12" s="10">
        <v>51</v>
      </c>
      <c r="H12" s="10">
        <v>47</v>
      </c>
      <c r="I12" s="10">
        <v>39</v>
      </c>
      <c r="J12">
        <v>1700</v>
      </c>
      <c r="K12">
        <v>2200</v>
      </c>
    </row>
    <row r="13" spans="1:11" ht="15" customHeight="1" x14ac:dyDescent="0.3">
      <c r="A13" s="10">
        <v>46</v>
      </c>
      <c r="B13" s="10">
        <v>59</v>
      </c>
      <c r="C13" s="10">
        <v>74</v>
      </c>
      <c r="D13" s="10">
        <v>72</v>
      </c>
      <c r="E13" s="10">
        <v>64</v>
      </c>
      <c r="F13" s="10">
        <v>48</v>
      </c>
      <c r="G13" s="10">
        <v>35</v>
      </c>
      <c r="H13" s="10">
        <v>35</v>
      </c>
      <c r="I13" s="10">
        <v>29</v>
      </c>
      <c r="J13">
        <v>1900</v>
      </c>
      <c r="K13">
        <v>2400</v>
      </c>
    </row>
    <row r="14" spans="1:11" ht="15" customHeight="1" x14ac:dyDescent="0.3">
      <c r="A14" s="10">
        <v>50</v>
      </c>
      <c r="B14" s="10">
        <v>56</v>
      </c>
      <c r="C14" s="10">
        <v>84</v>
      </c>
      <c r="D14" s="10">
        <v>67</v>
      </c>
      <c r="E14" s="10">
        <v>84</v>
      </c>
      <c r="F14" s="10">
        <v>69</v>
      </c>
      <c r="G14" s="10">
        <v>46</v>
      </c>
      <c r="H14" s="10">
        <v>65</v>
      </c>
      <c r="I14" s="10">
        <v>55</v>
      </c>
      <c r="J14">
        <v>2100</v>
      </c>
      <c r="K14">
        <v>2600</v>
      </c>
    </row>
    <row r="15" spans="1:11" ht="15" customHeight="1" x14ac:dyDescent="0.3">
      <c r="A15" s="10">
        <v>54</v>
      </c>
      <c r="B15" s="10">
        <v>100</v>
      </c>
      <c r="C15" s="10">
        <v>60</v>
      </c>
      <c r="D15" s="10">
        <v>92</v>
      </c>
      <c r="E15" s="10">
        <v>66</v>
      </c>
      <c r="F15" s="10">
        <v>57</v>
      </c>
      <c r="G15" s="10">
        <v>77</v>
      </c>
      <c r="H15" s="10">
        <v>67</v>
      </c>
      <c r="I15" s="10">
        <v>61</v>
      </c>
      <c r="J15">
        <v>2300</v>
      </c>
      <c r="K15">
        <v>2800</v>
      </c>
    </row>
    <row r="16" spans="1:11" ht="15" customHeight="1" x14ac:dyDescent="0.3">
      <c r="A16" s="10">
        <v>57</v>
      </c>
      <c r="B16" s="10">
        <v>71</v>
      </c>
      <c r="C16" s="10">
        <v>61</v>
      </c>
      <c r="D16" s="10">
        <v>61</v>
      </c>
      <c r="E16" s="10">
        <v>77</v>
      </c>
      <c r="F16" s="10">
        <v>69</v>
      </c>
      <c r="G16" s="10">
        <v>69</v>
      </c>
      <c r="H16" s="10">
        <v>46</v>
      </c>
      <c r="I16" s="10">
        <v>38</v>
      </c>
      <c r="J16">
        <v>2500</v>
      </c>
      <c r="K16">
        <v>3000</v>
      </c>
    </row>
    <row r="17" spans="1:11" ht="15" customHeight="1" x14ac:dyDescent="0.3">
      <c r="A17" s="10">
        <v>63</v>
      </c>
      <c r="B17" s="10">
        <v>115</v>
      </c>
      <c r="C17" s="10">
        <v>92</v>
      </c>
      <c r="D17" s="10">
        <v>61</v>
      </c>
      <c r="E17" s="10">
        <v>77</v>
      </c>
      <c r="F17" s="10">
        <v>71</v>
      </c>
      <c r="G17" s="10">
        <v>93</v>
      </c>
      <c r="H17" s="10">
        <v>67</v>
      </c>
      <c r="I17" s="10">
        <v>44</v>
      </c>
      <c r="J17">
        <v>2700</v>
      </c>
      <c r="K17">
        <v>3200</v>
      </c>
    </row>
    <row r="18" spans="1:11" ht="15" customHeight="1" x14ac:dyDescent="0.3">
      <c r="A18" s="10">
        <v>70</v>
      </c>
      <c r="B18" s="10">
        <v>115</v>
      </c>
      <c r="C18" s="10">
        <v>129</v>
      </c>
      <c r="D18" s="10">
        <v>75</v>
      </c>
      <c r="E18" s="10">
        <v>106</v>
      </c>
      <c r="F18" s="10">
        <v>90</v>
      </c>
      <c r="G18" s="10">
        <v>70</v>
      </c>
      <c r="H18" s="10">
        <v>80</v>
      </c>
      <c r="I18" s="10">
        <v>51</v>
      </c>
      <c r="J18">
        <v>2900</v>
      </c>
      <c r="K18">
        <v>3400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L18"/>
  <sheetViews>
    <sheetView zoomScaleNormal="100" workbookViewId="0"/>
  </sheetViews>
  <sheetFormatPr defaultColWidth="8.6640625" defaultRowHeight="14.4" x14ac:dyDescent="0.3"/>
  <cols>
    <col min="1" max="100" width="13" customWidth="1"/>
  </cols>
  <sheetData>
    <row r="2" spans="1:12" ht="15" customHeight="1" x14ac:dyDescent="0.3">
      <c r="A2" s="16" t="s">
        <v>290</v>
      </c>
      <c r="B2">
        <v>6</v>
      </c>
    </row>
    <row r="3" spans="1:12" ht="15" customHeight="1" x14ac:dyDescent="0.3">
      <c r="A3" s="9" t="s">
        <v>3</v>
      </c>
      <c r="B3" s="9" t="s">
        <v>131</v>
      </c>
      <c r="C3" s="9" t="s">
        <v>138</v>
      </c>
      <c r="D3" s="9" t="s">
        <v>145</v>
      </c>
      <c r="E3" s="9" t="s">
        <v>152</v>
      </c>
      <c r="F3" s="9" t="s">
        <v>183</v>
      </c>
      <c r="G3" s="9" t="s">
        <v>198</v>
      </c>
      <c r="H3" s="9" t="s">
        <v>208</v>
      </c>
      <c r="I3" s="9" t="s">
        <v>219</v>
      </c>
      <c r="J3" s="16" t="s">
        <v>291</v>
      </c>
      <c r="K3" s="16" t="s">
        <v>292</v>
      </c>
      <c r="L3" s="16"/>
    </row>
    <row r="4" spans="1:12" ht="15" customHeight="1" x14ac:dyDescent="0.3">
      <c r="A4" s="10">
        <v>9</v>
      </c>
      <c r="B4" s="10">
        <v>8</v>
      </c>
      <c r="C4" s="10">
        <v>5</v>
      </c>
      <c r="D4" s="10">
        <v>7</v>
      </c>
      <c r="E4" s="10">
        <v>5</v>
      </c>
      <c r="F4" s="10">
        <v>5</v>
      </c>
      <c r="G4" s="10">
        <v>2</v>
      </c>
      <c r="H4" s="10">
        <v>2</v>
      </c>
      <c r="I4" s="10">
        <v>4</v>
      </c>
      <c r="J4">
        <f>OPR_2P!J4</f>
        <v>100</v>
      </c>
      <c r="K4">
        <f>OPR_2P!K4</f>
        <v>600</v>
      </c>
    </row>
    <row r="5" spans="1:12" ht="15" customHeight="1" x14ac:dyDescent="0.3">
      <c r="A5" s="10">
        <v>15</v>
      </c>
      <c r="B5" s="10">
        <v>10</v>
      </c>
      <c r="C5" s="10">
        <v>15</v>
      </c>
      <c r="D5" s="10">
        <v>15</v>
      </c>
      <c r="E5" s="10">
        <v>16</v>
      </c>
      <c r="F5" s="10">
        <v>7</v>
      </c>
      <c r="G5" s="10">
        <v>15</v>
      </c>
      <c r="H5" s="10">
        <v>11</v>
      </c>
      <c r="I5" s="10">
        <v>8</v>
      </c>
      <c r="J5">
        <f>OPR_2P!J5</f>
        <v>300</v>
      </c>
      <c r="K5">
        <f>OPR_2P!K5</f>
        <v>800</v>
      </c>
    </row>
    <row r="6" spans="1:12" ht="15" customHeight="1" x14ac:dyDescent="0.3">
      <c r="A6" s="10">
        <v>17</v>
      </c>
      <c r="B6" s="10">
        <v>19</v>
      </c>
      <c r="C6" s="10">
        <v>18</v>
      </c>
      <c r="D6" s="10">
        <v>20</v>
      </c>
      <c r="E6" s="10">
        <v>20</v>
      </c>
      <c r="F6" s="10">
        <v>19</v>
      </c>
      <c r="G6" s="10">
        <v>17</v>
      </c>
      <c r="H6" s="10">
        <v>11</v>
      </c>
      <c r="I6" s="10">
        <v>13</v>
      </c>
      <c r="J6">
        <f>OPR_2P!J6</f>
        <v>500</v>
      </c>
      <c r="K6">
        <f>OPR_2P!K6</f>
        <v>1000</v>
      </c>
    </row>
    <row r="7" spans="1:12" ht="15" customHeight="1" x14ac:dyDescent="0.3">
      <c r="A7" s="10">
        <v>20</v>
      </c>
      <c r="B7" s="10">
        <v>26</v>
      </c>
      <c r="C7" s="10">
        <v>29</v>
      </c>
      <c r="D7" s="10">
        <v>17</v>
      </c>
      <c r="E7" s="10">
        <v>28</v>
      </c>
      <c r="F7" s="10">
        <v>19</v>
      </c>
      <c r="G7" s="10">
        <v>22</v>
      </c>
      <c r="H7" s="10">
        <v>22</v>
      </c>
      <c r="I7" s="10">
        <v>9</v>
      </c>
      <c r="J7">
        <f>OPR_2P!J7</f>
        <v>700</v>
      </c>
      <c r="K7">
        <f>OPR_2P!K7</f>
        <v>1200</v>
      </c>
    </row>
    <row r="8" spans="1:12" ht="15" customHeight="1" x14ac:dyDescent="0.3">
      <c r="A8" s="10">
        <v>25</v>
      </c>
      <c r="B8" s="10">
        <v>38</v>
      </c>
      <c r="C8" s="10">
        <v>27</v>
      </c>
      <c r="D8" s="10">
        <v>26</v>
      </c>
      <c r="E8" s="10">
        <v>35</v>
      </c>
      <c r="F8" s="10">
        <v>32</v>
      </c>
      <c r="G8" s="10">
        <v>31</v>
      </c>
      <c r="H8" s="10">
        <v>23</v>
      </c>
      <c r="I8" s="10">
        <v>12</v>
      </c>
      <c r="J8">
        <f>OPR_2P!J8</f>
        <v>900</v>
      </c>
      <c r="K8">
        <f>OPR_2P!K8</f>
        <v>1400</v>
      </c>
    </row>
    <row r="9" spans="1:12" ht="15" customHeight="1" x14ac:dyDescent="0.3">
      <c r="A9" s="10">
        <v>28</v>
      </c>
      <c r="B9" s="10">
        <v>31</v>
      </c>
      <c r="C9" s="10">
        <v>43</v>
      </c>
      <c r="D9" s="10">
        <v>25</v>
      </c>
      <c r="E9" s="10">
        <v>25</v>
      </c>
      <c r="F9" s="10">
        <v>32</v>
      </c>
      <c r="G9" s="10">
        <v>27</v>
      </c>
      <c r="H9" s="10">
        <v>17</v>
      </c>
      <c r="I9" s="10">
        <v>19</v>
      </c>
      <c r="J9">
        <f>OPR_2P!J9</f>
        <v>1100</v>
      </c>
      <c r="K9">
        <f>OPR_2P!K9</f>
        <v>1600</v>
      </c>
    </row>
    <row r="10" spans="1:12" ht="15" customHeight="1" x14ac:dyDescent="0.3">
      <c r="A10" s="10">
        <v>30</v>
      </c>
      <c r="B10" s="10">
        <v>35</v>
      </c>
      <c r="C10" s="10">
        <v>31</v>
      </c>
      <c r="D10" s="10">
        <v>27</v>
      </c>
      <c r="E10" s="10">
        <v>38</v>
      </c>
      <c r="F10" s="10">
        <v>26</v>
      </c>
      <c r="G10" s="10">
        <v>27</v>
      </c>
      <c r="H10" s="10">
        <v>25</v>
      </c>
      <c r="I10" s="10">
        <v>29</v>
      </c>
      <c r="J10">
        <f>OPR_2P!J10</f>
        <v>1300</v>
      </c>
      <c r="K10">
        <f>OPR_2P!K10</f>
        <v>1800</v>
      </c>
    </row>
    <row r="11" spans="1:12" ht="15" customHeight="1" x14ac:dyDescent="0.3">
      <c r="A11" s="10">
        <v>34</v>
      </c>
      <c r="B11" s="10">
        <v>49</v>
      </c>
      <c r="C11" s="10">
        <v>39</v>
      </c>
      <c r="D11" s="10">
        <v>48</v>
      </c>
      <c r="E11" s="10">
        <v>42</v>
      </c>
      <c r="F11" s="10">
        <v>32</v>
      </c>
      <c r="G11" s="10">
        <v>33</v>
      </c>
      <c r="H11" s="10">
        <v>31</v>
      </c>
      <c r="I11" s="10">
        <v>29</v>
      </c>
      <c r="J11">
        <f>OPR_2P!J11</f>
        <v>1500</v>
      </c>
      <c r="K11">
        <f>OPR_2P!K11</f>
        <v>2000</v>
      </c>
    </row>
    <row r="12" spans="1:12" ht="15" customHeight="1" x14ac:dyDescent="0.3">
      <c r="A12" s="10">
        <v>42</v>
      </c>
      <c r="B12" s="10">
        <v>73</v>
      </c>
      <c r="C12" s="10">
        <v>54</v>
      </c>
      <c r="D12" s="10">
        <v>58</v>
      </c>
      <c r="E12" s="10">
        <v>44</v>
      </c>
      <c r="F12" s="10">
        <v>53</v>
      </c>
      <c r="G12" s="10">
        <v>37</v>
      </c>
      <c r="H12" s="10">
        <v>54</v>
      </c>
      <c r="I12" s="10">
        <v>36</v>
      </c>
      <c r="J12">
        <f>OPR_2P!J12</f>
        <v>1700</v>
      </c>
      <c r="K12">
        <f>OPR_2P!K12</f>
        <v>2200</v>
      </c>
    </row>
    <row r="13" spans="1:12" ht="15" customHeight="1" x14ac:dyDescent="0.3">
      <c r="A13" s="10">
        <v>46</v>
      </c>
      <c r="B13" s="10">
        <v>74</v>
      </c>
      <c r="C13" s="10">
        <v>76</v>
      </c>
      <c r="D13" s="10">
        <v>76</v>
      </c>
      <c r="E13" s="10">
        <v>67</v>
      </c>
      <c r="F13" s="10">
        <v>59</v>
      </c>
      <c r="G13" s="10">
        <v>61</v>
      </c>
      <c r="H13" s="10">
        <v>38</v>
      </c>
      <c r="I13" s="10">
        <v>34</v>
      </c>
      <c r="J13">
        <f>OPR_2P!J13</f>
        <v>1900</v>
      </c>
      <c r="K13">
        <f>OPR_2P!K13</f>
        <v>2400</v>
      </c>
    </row>
    <row r="14" spans="1:12" ht="15" customHeight="1" x14ac:dyDescent="0.3">
      <c r="A14" s="10">
        <v>50</v>
      </c>
      <c r="B14" s="10">
        <v>89</v>
      </c>
      <c r="C14" s="10">
        <v>70</v>
      </c>
      <c r="D14" s="10">
        <v>67</v>
      </c>
      <c r="E14" s="10">
        <v>57</v>
      </c>
      <c r="F14" s="10">
        <v>53</v>
      </c>
      <c r="G14" s="10">
        <v>59</v>
      </c>
      <c r="H14" s="10">
        <v>36</v>
      </c>
      <c r="I14" s="10">
        <v>32</v>
      </c>
      <c r="J14">
        <f>OPR_2P!J14</f>
        <v>2100</v>
      </c>
      <c r="K14">
        <f>OPR_2P!K14</f>
        <v>2600</v>
      </c>
    </row>
    <row r="15" spans="1:12" ht="15" customHeight="1" x14ac:dyDescent="0.3">
      <c r="A15" s="10">
        <v>54</v>
      </c>
      <c r="B15" s="10">
        <v>102</v>
      </c>
      <c r="C15" s="10">
        <v>84</v>
      </c>
      <c r="D15" s="10">
        <v>73</v>
      </c>
      <c r="E15" s="10">
        <v>91</v>
      </c>
      <c r="F15" s="10">
        <v>65</v>
      </c>
      <c r="G15" s="10">
        <v>48</v>
      </c>
      <c r="H15" s="10">
        <v>57</v>
      </c>
      <c r="I15" s="10">
        <v>62</v>
      </c>
      <c r="J15">
        <f>OPR_2P!J15</f>
        <v>2300</v>
      </c>
      <c r="K15">
        <f>OPR_2P!K15</f>
        <v>2800</v>
      </c>
    </row>
    <row r="16" spans="1:12" ht="15" customHeight="1" x14ac:dyDescent="0.3">
      <c r="A16" s="10">
        <v>57</v>
      </c>
      <c r="B16" s="10">
        <v>110</v>
      </c>
      <c r="C16" s="10">
        <v>66</v>
      </c>
      <c r="D16" s="10">
        <v>68</v>
      </c>
      <c r="E16" s="10">
        <v>96</v>
      </c>
      <c r="F16" s="10">
        <v>91</v>
      </c>
      <c r="G16" s="10">
        <v>76</v>
      </c>
      <c r="H16" s="10">
        <v>61</v>
      </c>
      <c r="I16" s="10">
        <v>43</v>
      </c>
      <c r="J16">
        <f>OPR_2P!J16</f>
        <v>2500</v>
      </c>
      <c r="K16">
        <f>OPR_2P!K16</f>
        <v>3000</v>
      </c>
    </row>
    <row r="17" spans="1:11" ht="15" customHeight="1" x14ac:dyDescent="0.3">
      <c r="A17" s="10">
        <v>63</v>
      </c>
      <c r="B17" s="10">
        <v>94</v>
      </c>
      <c r="C17" s="10">
        <v>105</v>
      </c>
      <c r="D17" s="10">
        <v>93</v>
      </c>
      <c r="E17" s="10">
        <v>94</v>
      </c>
      <c r="F17" s="10">
        <v>62</v>
      </c>
      <c r="G17" s="10">
        <v>78</v>
      </c>
      <c r="H17" s="10">
        <v>50</v>
      </c>
      <c r="I17" s="10">
        <v>39</v>
      </c>
      <c r="J17">
        <f>OPR_2P!J17</f>
        <v>2700</v>
      </c>
      <c r="K17">
        <f>OPR_2P!K17</f>
        <v>3200</v>
      </c>
    </row>
    <row r="18" spans="1:11" ht="15" customHeight="1" x14ac:dyDescent="0.3">
      <c r="A18" s="10">
        <v>70</v>
      </c>
      <c r="B18" s="10">
        <v>102</v>
      </c>
      <c r="C18" s="10">
        <v>92</v>
      </c>
      <c r="D18" s="10">
        <v>112</v>
      </c>
      <c r="E18" s="10">
        <v>130</v>
      </c>
      <c r="F18" s="10">
        <v>90</v>
      </c>
      <c r="G18" s="10">
        <v>104</v>
      </c>
      <c r="H18" s="10">
        <v>91</v>
      </c>
      <c r="I18" s="10">
        <v>52</v>
      </c>
      <c r="J18">
        <f>OPR_2P!J18</f>
        <v>2900</v>
      </c>
      <c r="K18">
        <f>OPR_2P!K18</f>
        <v>3400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L18"/>
  <sheetViews>
    <sheetView zoomScaleNormal="100" workbookViewId="0"/>
  </sheetViews>
  <sheetFormatPr defaultColWidth="8.6640625" defaultRowHeight="14.4" x14ac:dyDescent="0.3"/>
  <cols>
    <col min="1" max="100" width="13" customWidth="1"/>
  </cols>
  <sheetData>
    <row r="2" spans="1:12" ht="15" customHeight="1" x14ac:dyDescent="0.3">
      <c r="A2" s="16" t="s">
        <v>290</v>
      </c>
      <c r="B2">
        <v>4</v>
      </c>
    </row>
    <row r="3" spans="1:12" ht="15" customHeight="1" x14ac:dyDescent="0.3">
      <c r="A3" s="9" t="s">
        <v>3</v>
      </c>
      <c r="B3" s="9" t="s">
        <v>131</v>
      </c>
      <c r="C3" s="9" t="s">
        <v>138</v>
      </c>
      <c r="D3" s="9" t="s">
        <v>145</v>
      </c>
      <c r="E3" s="9" t="s">
        <v>152</v>
      </c>
      <c r="F3" s="9" t="s">
        <v>183</v>
      </c>
      <c r="G3" s="9" t="s">
        <v>198</v>
      </c>
      <c r="H3" s="9" t="s">
        <v>208</v>
      </c>
      <c r="I3" s="9" t="s">
        <v>219</v>
      </c>
      <c r="J3" s="16" t="s">
        <v>291</v>
      </c>
      <c r="K3" s="16" t="s">
        <v>292</v>
      </c>
      <c r="L3" s="16"/>
    </row>
    <row r="4" spans="1:12" ht="15" customHeight="1" x14ac:dyDescent="0.3">
      <c r="A4" s="10">
        <v>9</v>
      </c>
      <c r="B4" s="10">
        <v>2</v>
      </c>
      <c r="C4" s="10">
        <v>3</v>
      </c>
      <c r="D4" s="10">
        <v>7</v>
      </c>
      <c r="E4" s="10">
        <v>3</v>
      </c>
      <c r="F4" s="10">
        <v>2</v>
      </c>
      <c r="G4" s="10">
        <v>5</v>
      </c>
      <c r="H4" s="10">
        <v>5</v>
      </c>
      <c r="I4" s="10">
        <v>3</v>
      </c>
      <c r="J4">
        <f>OPR_2P!J4</f>
        <v>100</v>
      </c>
      <c r="K4">
        <f>OPR_2P!K4</f>
        <v>600</v>
      </c>
    </row>
    <row r="5" spans="1:12" ht="15" customHeight="1" x14ac:dyDescent="0.3">
      <c r="A5" s="10">
        <v>15</v>
      </c>
      <c r="B5" s="10">
        <v>19</v>
      </c>
      <c r="C5" s="10">
        <v>17</v>
      </c>
      <c r="D5" s="10">
        <v>14</v>
      </c>
      <c r="E5" s="10">
        <v>11</v>
      </c>
      <c r="F5" s="10">
        <v>13</v>
      </c>
      <c r="G5" s="10">
        <v>14</v>
      </c>
      <c r="H5" s="10">
        <v>7</v>
      </c>
      <c r="I5" s="10">
        <v>9</v>
      </c>
      <c r="J5">
        <f>OPR_2P!J5</f>
        <v>300</v>
      </c>
      <c r="K5">
        <f>OPR_2P!K5</f>
        <v>800</v>
      </c>
    </row>
    <row r="6" spans="1:12" ht="15" customHeight="1" x14ac:dyDescent="0.3">
      <c r="A6" s="10">
        <v>17</v>
      </c>
      <c r="B6" s="10">
        <v>13</v>
      </c>
      <c r="C6" s="10">
        <v>20</v>
      </c>
      <c r="D6" s="10">
        <v>11</v>
      </c>
      <c r="E6" s="10">
        <v>22</v>
      </c>
      <c r="F6" s="10">
        <v>15</v>
      </c>
      <c r="G6" s="10">
        <v>11</v>
      </c>
      <c r="H6" s="10">
        <v>15</v>
      </c>
      <c r="I6" s="10">
        <v>11</v>
      </c>
      <c r="J6">
        <f>OPR_2P!J6</f>
        <v>500</v>
      </c>
      <c r="K6">
        <f>OPR_2P!K6</f>
        <v>1000</v>
      </c>
    </row>
    <row r="7" spans="1:12" ht="15" customHeight="1" x14ac:dyDescent="0.3">
      <c r="A7" s="10">
        <v>20</v>
      </c>
      <c r="B7" s="10">
        <v>16</v>
      </c>
      <c r="C7" s="10">
        <v>27</v>
      </c>
      <c r="D7" s="10">
        <v>21</v>
      </c>
      <c r="E7" s="10">
        <v>16</v>
      </c>
      <c r="F7" s="10">
        <v>15</v>
      </c>
      <c r="G7" s="10">
        <v>14</v>
      </c>
      <c r="H7" s="10">
        <v>16</v>
      </c>
      <c r="I7" s="10">
        <v>11</v>
      </c>
      <c r="J7">
        <f>OPR_2P!J7</f>
        <v>700</v>
      </c>
      <c r="K7">
        <f>OPR_2P!K7</f>
        <v>1200</v>
      </c>
    </row>
    <row r="8" spans="1:12" ht="15" customHeight="1" x14ac:dyDescent="0.3">
      <c r="A8" s="10">
        <v>25</v>
      </c>
      <c r="B8" s="10">
        <v>27</v>
      </c>
      <c r="C8" s="10">
        <v>26</v>
      </c>
      <c r="D8" s="10">
        <v>36</v>
      </c>
      <c r="E8" s="10">
        <v>30</v>
      </c>
      <c r="F8" s="10">
        <v>20</v>
      </c>
      <c r="G8" s="10">
        <v>23</v>
      </c>
      <c r="H8" s="10">
        <v>23</v>
      </c>
      <c r="I8" s="10">
        <v>20</v>
      </c>
      <c r="J8">
        <f>OPR_2P!J8</f>
        <v>900</v>
      </c>
      <c r="K8">
        <f>OPR_2P!K8</f>
        <v>1400</v>
      </c>
    </row>
    <row r="9" spans="1:12" ht="15" customHeight="1" x14ac:dyDescent="0.3">
      <c r="A9" s="10">
        <v>28</v>
      </c>
      <c r="B9" s="10">
        <v>33</v>
      </c>
      <c r="C9" s="10">
        <v>46</v>
      </c>
      <c r="D9" s="10">
        <v>22</v>
      </c>
      <c r="E9" s="10">
        <v>32</v>
      </c>
      <c r="F9" s="10">
        <v>28</v>
      </c>
      <c r="G9" s="10">
        <v>23</v>
      </c>
      <c r="H9" s="10">
        <v>28</v>
      </c>
      <c r="I9" s="10">
        <v>16</v>
      </c>
      <c r="J9">
        <f>OPR_2P!J9</f>
        <v>1100</v>
      </c>
      <c r="K9">
        <f>OPR_2P!K9</f>
        <v>1600</v>
      </c>
    </row>
    <row r="10" spans="1:12" ht="15" customHeight="1" x14ac:dyDescent="0.3">
      <c r="A10" s="10">
        <v>30</v>
      </c>
      <c r="B10" s="10">
        <v>49</v>
      </c>
      <c r="C10" s="10">
        <v>40</v>
      </c>
      <c r="D10" s="10">
        <v>29</v>
      </c>
      <c r="E10" s="10">
        <v>35</v>
      </c>
      <c r="F10" s="10">
        <v>39</v>
      </c>
      <c r="G10" s="10">
        <v>24</v>
      </c>
      <c r="H10" s="10">
        <v>22</v>
      </c>
      <c r="I10" s="10">
        <v>21</v>
      </c>
      <c r="J10">
        <f>OPR_2P!J10</f>
        <v>1300</v>
      </c>
      <c r="K10">
        <f>OPR_2P!K10</f>
        <v>1800</v>
      </c>
    </row>
    <row r="11" spans="1:12" ht="15" customHeight="1" x14ac:dyDescent="0.3">
      <c r="A11" s="10">
        <v>34</v>
      </c>
      <c r="B11" s="10">
        <v>65</v>
      </c>
      <c r="C11" s="10">
        <v>32</v>
      </c>
      <c r="D11" s="10">
        <v>33</v>
      </c>
      <c r="E11" s="10">
        <v>61</v>
      </c>
      <c r="F11" s="10">
        <v>38</v>
      </c>
      <c r="G11" s="10">
        <v>25</v>
      </c>
      <c r="H11" s="10">
        <v>32</v>
      </c>
      <c r="I11" s="10">
        <v>26</v>
      </c>
      <c r="J11">
        <f>OPR_2P!J11</f>
        <v>1500</v>
      </c>
      <c r="K11">
        <f>OPR_2P!K11</f>
        <v>2000</v>
      </c>
    </row>
    <row r="12" spans="1:12" ht="15" customHeight="1" x14ac:dyDescent="0.3">
      <c r="A12" s="10">
        <v>42</v>
      </c>
      <c r="B12" s="10">
        <v>54</v>
      </c>
      <c r="C12" s="10">
        <v>43</v>
      </c>
      <c r="D12" s="10">
        <v>63</v>
      </c>
      <c r="E12" s="10">
        <v>41</v>
      </c>
      <c r="F12" s="10">
        <v>37</v>
      </c>
      <c r="G12" s="10">
        <v>41</v>
      </c>
      <c r="H12" s="10">
        <v>33</v>
      </c>
      <c r="I12" s="10">
        <v>29</v>
      </c>
      <c r="J12">
        <f>OPR_2P!J12</f>
        <v>1700</v>
      </c>
      <c r="K12">
        <f>OPR_2P!K12</f>
        <v>2200</v>
      </c>
    </row>
    <row r="13" spans="1:12" ht="15" customHeight="1" x14ac:dyDescent="0.3">
      <c r="A13" s="10">
        <v>46</v>
      </c>
      <c r="B13" s="10">
        <v>65</v>
      </c>
      <c r="C13" s="10">
        <v>55</v>
      </c>
      <c r="D13" s="10">
        <v>41</v>
      </c>
      <c r="E13" s="10">
        <v>84</v>
      </c>
      <c r="F13" s="10">
        <v>69</v>
      </c>
      <c r="G13" s="10">
        <v>35</v>
      </c>
      <c r="H13" s="10">
        <v>41</v>
      </c>
      <c r="I13" s="10">
        <v>44</v>
      </c>
      <c r="J13">
        <f>OPR_2P!J13</f>
        <v>1900</v>
      </c>
      <c r="K13">
        <f>OPR_2P!K13</f>
        <v>2400</v>
      </c>
    </row>
    <row r="14" spans="1:12" ht="15" customHeight="1" x14ac:dyDescent="0.3">
      <c r="A14" s="10">
        <v>50</v>
      </c>
      <c r="B14" s="10">
        <v>99</v>
      </c>
      <c r="C14" s="10">
        <v>49</v>
      </c>
      <c r="D14" s="10">
        <v>49</v>
      </c>
      <c r="E14" s="10">
        <v>66</v>
      </c>
      <c r="F14" s="10">
        <v>53</v>
      </c>
      <c r="G14" s="10">
        <v>71</v>
      </c>
      <c r="H14" s="10">
        <v>47</v>
      </c>
      <c r="I14" s="10">
        <v>51</v>
      </c>
      <c r="J14">
        <f>OPR_2P!J14</f>
        <v>2100</v>
      </c>
      <c r="K14">
        <f>OPR_2P!K14</f>
        <v>2600</v>
      </c>
    </row>
    <row r="15" spans="1:12" ht="15" customHeight="1" x14ac:dyDescent="0.3">
      <c r="A15" s="10">
        <v>54</v>
      </c>
      <c r="B15" s="10">
        <v>84</v>
      </c>
      <c r="C15" s="10">
        <v>54</v>
      </c>
      <c r="D15" s="10">
        <v>80</v>
      </c>
      <c r="E15" s="10">
        <v>87</v>
      </c>
      <c r="F15" s="10">
        <v>54</v>
      </c>
      <c r="G15" s="10">
        <v>78</v>
      </c>
      <c r="H15" s="10">
        <v>50</v>
      </c>
      <c r="I15" s="10">
        <v>53</v>
      </c>
      <c r="J15">
        <f>OPR_2P!J15</f>
        <v>2300</v>
      </c>
      <c r="K15">
        <f>OPR_2P!K15</f>
        <v>2800</v>
      </c>
    </row>
    <row r="16" spans="1:12" ht="15" customHeight="1" x14ac:dyDescent="0.3">
      <c r="A16" s="10">
        <v>57</v>
      </c>
      <c r="B16" s="10">
        <v>99</v>
      </c>
      <c r="C16" s="10">
        <v>60</v>
      </c>
      <c r="D16" s="10">
        <v>56</v>
      </c>
      <c r="E16" s="10">
        <v>89</v>
      </c>
      <c r="F16" s="10">
        <v>74</v>
      </c>
      <c r="G16" s="10">
        <v>54</v>
      </c>
      <c r="H16" s="10">
        <v>55</v>
      </c>
      <c r="I16" s="10">
        <v>63</v>
      </c>
      <c r="J16">
        <f>OPR_2P!J16</f>
        <v>2500</v>
      </c>
      <c r="K16">
        <f>OPR_2P!K16</f>
        <v>3000</v>
      </c>
    </row>
    <row r="17" spans="1:11" ht="15" customHeight="1" x14ac:dyDescent="0.3">
      <c r="A17" s="10">
        <v>63</v>
      </c>
      <c r="B17" s="10">
        <v>115</v>
      </c>
      <c r="C17" s="10">
        <v>95</v>
      </c>
      <c r="D17" s="10">
        <v>84</v>
      </c>
      <c r="E17" s="10">
        <v>120</v>
      </c>
      <c r="F17" s="10">
        <v>75</v>
      </c>
      <c r="G17" s="10">
        <v>52</v>
      </c>
      <c r="H17" s="10">
        <v>77</v>
      </c>
      <c r="I17" s="10">
        <v>68</v>
      </c>
      <c r="J17">
        <f>OPR_2P!J17</f>
        <v>2700</v>
      </c>
      <c r="K17">
        <f>OPR_2P!K17</f>
        <v>3200</v>
      </c>
    </row>
    <row r="18" spans="1:11" ht="15" customHeight="1" x14ac:dyDescent="0.3">
      <c r="A18" s="10">
        <v>70</v>
      </c>
      <c r="B18" s="10">
        <v>133</v>
      </c>
      <c r="C18" s="10">
        <v>71</v>
      </c>
      <c r="D18" s="10">
        <v>99</v>
      </c>
      <c r="E18" s="10">
        <v>111</v>
      </c>
      <c r="F18" s="10">
        <v>86</v>
      </c>
      <c r="G18" s="10">
        <v>84</v>
      </c>
      <c r="H18" s="10">
        <v>57</v>
      </c>
      <c r="I18" s="10">
        <v>56</v>
      </c>
      <c r="J18">
        <f>OPR_2P!J18</f>
        <v>2900</v>
      </c>
      <c r="K18">
        <f>OPR_2P!K18</f>
        <v>3400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L18"/>
  <sheetViews>
    <sheetView zoomScaleNormal="100" workbookViewId="0"/>
  </sheetViews>
  <sheetFormatPr defaultColWidth="8.6640625" defaultRowHeight="14.4" x14ac:dyDescent="0.3"/>
  <cols>
    <col min="1" max="100" width="13" customWidth="1"/>
  </cols>
  <sheetData>
    <row r="2" spans="1:12" ht="15" customHeight="1" x14ac:dyDescent="0.3">
      <c r="A2" s="16" t="s">
        <v>290</v>
      </c>
      <c r="B2">
        <v>2</v>
      </c>
    </row>
    <row r="3" spans="1:12" ht="15" customHeight="1" x14ac:dyDescent="0.3">
      <c r="A3" s="9" t="s">
        <v>3</v>
      </c>
      <c r="B3" s="9" t="s">
        <v>131</v>
      </c>
      <c r="C3" s="9" t="s">
        <v>138</v>
      </c>
      <c r="D3" s="9" t="s">
        <v>145</v>
      </c>
      <c r="E3" s="9" t="s">
        <v>152</v>
      </c>
      <c r="F3" s="9" t="s">
        <v>183</v>
      </c>
      <c r="G3" s="9" t="s">
        <v>198</v>
      </c>
      <c r="H3" s="9" t="s">
        <v>208</v>
      </c>
      <c r="I3" s="9" t="s">
        <v>219</v>
      </c>
      <c r="J3" s="16" t="s">
        <v>291</v>
      </c>
      <c r="K3" s="16" t="s">
        <v>292</v>
      </c>
      <c r="L3" s="16"/>
    </row>
    <row r="4" spans="1:12" ht="15" customHeight="1" x14ac:dyDescent="0.3">
      <c r="A4" s="10">
        <v>9</v>
      </c>
      <c r="B4" s="10">
        <v>2</v>
      </c>
      <c r="C4" s="10">
        <v>5</v>
      </c>
      <c r="D4" s="10">
        <v>2</v>
      </c>
      <c r="E4" s="10">
        <v>6</v>
      </c>
      <c r="F4" s="10">
        <v>2</v>
      </c>
      <c r="G4" s="10">
        <v>6</v>
      </c>
      <c r="H4" s="10">
        <v>5</v>
      </c>
      <c r="I4" s="10">
        <v>1</v>
      </c>
      <c r="J4">
        <f>OPR_2P!J4</f>
        <v>100</v>
      </c>
      <c r="K4">
        <f>OPR_2P!K4</f>
        <v>600</v>
      </c>
    </row>
    <row r="5" spans="1:12" ht="15" customHeight="1" x14ac:dyDescent="0.3">
      <c r="A5" s="10">
        <v>15</v>
      </c>
      <c r="B5" s="10">
        <v>15</v>
      </c>
      <c r="C5" s="10">
        <v>11</v>
      </c>
      <c r="D5" s="10">
        <v>14</v>
      </c>
      <c r="E5" s="10">
        <v>10</v>
      </c>
      <c r="F5" s="10">
        <v>7</v>
      </c>
      <c r="G5" s="10">
        <v>14</v>
      </c>
      <c r="H5" s="10">
        <v>7</v>
      </c>
      <c r="I5" s="10">
        <v>5</v>
      </c>
      <c r="J5">
        <f>OPR_2P!J5</f>
        <v>300</v>
      </c>
      <c r="K5">
        <f>OPR_2P!K5</f>
        <v>800</v>
      </c>
    </row>
    <row r="6" spans="1:12" ht="15" customHeight="1" x14ac:dyDescent="0.3">
      <c r="A6" s="10">
        <v>17</v>
      </c>
      <c r="B6" s="10">
        <v>17</v>
      </c>
      <c r="C6" s="10">
        <v>21</v>
      </c>
      <c r="D6" s="10">
        <v>19</v>
      </c>
      <c r="E6" s="10">
        <v>22</v>
      </c>
      <c r="F6" s="10">
        <v>19</v>
      </c>
      <c r="G6" s="10">
        <v>11</v>
      </c>
      <c r="H6" s="10">
        <v>11</v>
      </c>
      <c r="I6" s="10">
        <v>9</v>
      </c>
      <c r="J6">
        <f>OPR_2P!J6</f>
        <v>500</v>
      </c>
      <c r="K6">
        <f>OPR_2P!K6</f>
        <v>1000</v>
      </c>
    </row>
    <row r="7" spans="1:12" ht="15" customHeight="1" x14ac:dyDescent="0.3">
      <c r="A7" s="10">
        <v>20</v>
      </c>
      <c r="B7" s="10">
        <v>32</v>
      </c>
      <c r="C7" s="10">
        <v>18</v>
      </c>
      <c r="D7" s="10">
        <v>22</v>
      </c>
      <c r="E7" s="10">
        <v>28</v>
      </c>
      <c r="F7" s="10">
        <v>23</v>
      </c>
      <c r="G7" s="10">
        <v>15</v>
      </c>
      <c r="H7" s="10">
        <v>19</v>
      </c>
      <c r="I7" s="10">
        <v>9</v>
      </c>
      <c r="J7">
        <f>OPR_2P!J7</f>
        <v>700</v>
      </c>
      <c r="K7">
        <f>OPR_2P!K7</f>
        <v>1200</v>
      </c>
    </row>
    <row r="8" spans="1:12" ht="15" customHeight="1" x14ac:dyDescent="0.3">
      <c r="A8" s="10">
        <v>25</v>
      </c>
      <c r="B8" s="10">
        <v>30</v>
      </c>
      <c r="C8" s="10">
        <v>30</v>
      </c>
      <c r="D8" s="10">
        <v>35</v>
      </c>
      <c r="E8" s="10">
        <v>39</v>
      </c>
      <c r="F8" s="10">
        <v>23</v>
      </c>
      <c r="G8" s="10">
        <v>18</v>
      </c>
      <c r="H8" s="10">
        <v>16</v>
      </c>
      <c r="I8" s="10">
        <v>16</v>
      </c>
      <c r="J8">
        <f>OPR_2P!J8</f>
        <v>900</v>
      </c>
      <c r="K8">
        <f>OPR_2P!K8</f>
        <v>1400</v>
      </c>
    </row>
    <row r="9" spans="1:12" ht="15" customHeight="1" x14ac:dyDescent="0.3">
      <c r="A9" s="10">
        <v>28</v>
      </c>
      <c r="B9" s="10">
        <v>29</v>
      </c>
      <c r="C9" s="10">
        <v>36</v>
      </c>
      <c r="D9" s="10">
        <v>36</v>
      </c>
      <c r="E9" s="10">
        <v>48</v>
      </c>
      <c r="F9" s="10">
        <v>33</v>
      </c>
      <c r="G9" s="10">
        <v>24</v>
      </c>
      <c r="H9" s="10">
        <v>34</v>
      </c>
      <c r="I9" s="10">
        <v>26</v>
      </c>
      <c r="J9">
        <f>OPR_2P!J9</f>
        <v>1100</v>
      </c>
      <c r="K9">
        <f>OPR_2P!K9</f>
        <v>1600</v>
      </c>
    </row>
    <row r="10" spans="1:12" ht="15" customHeight="1" x14ac:dyDescent="0.3">
      <c r="A10" s="10">
        <v>30</v>
      </c>
      <c r="B10" s="10">
        <v>32</v>
      </c>
      <c r="C10" s="10">
        <v>41</v>
      </c>
      <c r="D10" s="10">
        <v>30</v>
      </c>
      <c r="E10" s="10">
        <v>49</v>
      </c>
      <c r="F10" s="10">
        <v>31</v>
      </c>
      <c r="G10" s="10">
        <v>20</v>
      </c>
      <c r="H10" s="10">
        <v>35</v>
      </c>
      <c r="I10" s="10">
        <v>26</v>
      </c>
      <c r="J10">
        <f>OPR_2P!J10</f>
        <v>1300</v>
      </c>
      <c r="K10">
        <f>OPR_2P!K10</f>
        <v>1800</v>
      </c>
    </row>
    <row r="11" spans="1:12" ht="15" customHeight="1" x14ac:dyDescent="0.3">
      <c r="A11" s="10">
        <v>34</v>
      </c>
      <c r="B11" s="10">
        <v>56</v>
      </c>
      <c r="C11" s="10">
        <v>51</v>
      </c>
      <c r="D11" s="10">
        <v>36</v>
      </c>
      <c r="E11" s="10">
        <v>52</v>
      </c>
      <c r="F11" s="10">
        <v>32</v>
      </c>
      <c r="G11" s="10">
        <v>37</v>
      </c>
      <c r="H11" s="10">
        <v>28</v>
      </c>
      <c r="I11" s="10">
        <v>33</v>
      </c>
      <c r="J11">
        <f>OPR_2P!J11</f>
        <v>1500</v>
      </c>
      <c r="K11">
        <f>OPR_2P!K11</f>
        <v>2000</v>
      </c>
    </row>
    <row r="12" spans="1:12" ht="15" customHeight="1" x14ac:dyDescent="0.3">
      <c r="A12" s="10">
        <v>42</v>
      </c>
      <c r="B12" s="10">
        <v>59</v>
      </c>
      <c r="C12" s="10">
        <v>66</v>
      </c>
      <c r="D12" s="10">
        <v>52</v>
      </c>
      <c r="E12" s="10">
        <v>57</v>
      </c>
      <c r="F12" s="10">
        <v>50</v>
      </c>
      <c r="G12" s="10">
        <v>40</v>
      </c>
      <c r="H12" s="10">
        <v>35</v>
      </c>
      <c r="I12" s="10">
        <v>40</v>
      </c>
      <c r="J12">
        <f>OPR_2P!J12</f>
        <v>1700</v>
      </c>
      <c r="K12">
        <f>OPR_2P!K12</f>
        <v>2200</v>
      </c>
    </row>
    <row r="13" spans="1:12" ht="15" customHeight="1" x14ac:dyDescent="0.3">
      <c r="A13" s="10">
        <v>46</v>
      </c>
      <c r="B13" s="10">
        <v>51</v>
      </c>
      <c r="C13" s="10">
        <v>52</v>
      </c>
      <c r="D13" s="10">
        <v>62</v>
      </c>
      <c r="E13" s="10">
        <v>49</v>
      </c>
      <c r="F13" s="10">
        <v>66</v>
      </c>
      <c r="G13" s="10">
        <v>35</v>
      </c>
      <c r="H13" s="10">
        <v>48</v>
      </c>
      <c r="I13" s="10">
        <v>40</v>
      </c>
      <c r="J13">
        <f>OPR_2P!J13</f>
        <v>1900</v>
      </c>
      <c r="K13">
        <f>OPR_2P!K13</f>
        <v>2400</v>
      </c>
    </row>
    <row r="14" spans="1:12" ht="15" customHeight="1" x14ac:dyDescent="0.3">
      <c r="A14" s="10">
        <v>50</v>
      </c>
      <c r="B14" s="10">
        <v>61</v>
      </c>
      <c r="C14" s="10">
        <v>54</v>
      </c>
      <c r="D14" s="10">
        <v>77</v>
      </c>
      <c r="E14" s="10">
        <v>72</v>
      </c>
      <c r="F14" s="10">
        <v>78</v>
      </c>
      <c r="G14" s="10">
        <v>41</v>
      </c>
      <c r="H14" s="10">
        <v>53</v>
      </c>
      <c r="I14" s="10">
        <v>47</v>
      </c>
      <c r="J14">
        <f>OPR_2P!J14</f>
        <v>2100</v>
      </c>
      <c r="K14">
        <f>OPR_2P!K14</f>
        <v>2600</v>
      </c>
    </row>
    <row r="15" spans="1:12" ht="15" customHeight="1" x14ac:dyDescent="0.3">
      <c r="A15" s="10">
        <v>54</v>
      </c>
      <c r="B15" s="10">
        <v>78</v>
      </c>
      <c r="C15" s="10">
        <v>88</v>
      </c>
      <c r="D15" s="10">
        <v>76</v>
      </c>
      <c r="E15" s="10">
        <v>73</v>
      </c>
      <c r="F15" s="10">
        <v>86</v>
      </c>
      <c r="G15" s="10">
        <v>54</v>
      </c>
      <c r="H15" s="10">
        <v>68</v>
      </c>
      <c r="I15" s="10">
        <v>33</v>
      </c>
      <c r="J15">
        <f>OPR_2P!J15</f>
        <v>2300</v>
      </c>
      <c r="K15">
        <f>OPR_2P!K15</f>
        <v>2800</v>
      </c>
    </row>
    <row r="16" spans="1:12" ht="15" customHeight="1" x14ac:dyDescent="0.3">
      <c r="A16" s="10">
        <v>57</v>
      </c>
      <c r="B16" s="10">
        <v>108</v>
      </c>
      <c r="C16" s="10">
        <v>99</v>
      </c>
      <c r="D16" s="10">
        <v>63</v>
      </c>
      <c r="E16" s="10">
        <v>94</v>
      </c>
      <c r="F16" s="10">
        <v>53</v>
      </c>
      <c r="G16" s="10">
        <v>84</v>
      </c>
      <c r="H16" s="10">
        <v>77</v>
      </c>
      <c r="I16" s="10">
        <v>40</v>
      </c>
      <c r="J16">
        <f>OPR_2P!J16</f>
        <v>2500</v>
      </c>
      <c r="K16">
        <f>OPR_2P!K16</f>
        <v>3000</v>
      </c>
    </row>
    <row r="17" spans="1:11" ht="15" customHeight="1" x14ac:dyDescent="0.3">
      <c r="A17" s="10">
        <v>63</v>
      </c>
      <c r="B17" s="10">
        <v>104</v>
      </c>
      <c r="C17" s="10">
        <v>90</v>
      </c>
      <c r="D17" s="10">
        <v>64</v>
      </c>
      <c r="E17" s="10">
        <v>81</v>
      </c>
      <c r="F17" s="10">
        <v>61</v>
      </c>
      <c r="G17" s="10">
        <v>76</v>
      </c>
      <c r="H17" s="10">
        <v>55</v>
      </c>
      <c r="I17" s="10">
        <v>53</v>
      </c>
      <c r="J17">
        <f>OPR_2P!J17</f>
        <v>2700</v>
      </c>
      <c r="K17">
        <f>OPR_2P!K17</f>
        <v>3200</v>
      </c>
    </row>
    <row r="18" spans="1:11" ht="15" customHeight="1" x14ac:dyDescent="0.3">
      <c r="A18" s="10">
        <v>70</v>
      </c>
      <c r="B18" s="10">
        <v>100</v>
      </c>
      <c r="C18" s="10">
        <v>96</v>
      </c>
      <c r="D18" s="10">
        <v>115</v>
      </c>
      <c r="E18" s="10">
        <v>99</v>
      </c>
      <c r="F18" s="10">
        <v>77</v>
      </c>
      <c r="G18" s="10">
        <v>87</v>
      </c>
      <c r="H18" s="10">
        <v>96</v>
      </c>
      <c r="I18" s="10">
        <v>57</v>
      </c>
      <c r="J18">
        <f>OPR_2P!J18</f>
        <v>2900</v>
      </c>
      <c r="K18">
        <f>OPR_2P!K18</f>
        <v>3400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L18"/>
  <sheetViews>
    <sheetView zoomScaleNormal="100" workbookViewId="0"/>
  </sheetViews>
  <sheetFormatPr defaultColWidth="8.6640625" defaultRowHeight="14.4" x14ac:dyDescent="0.3"/>
  <cols>
    <col min="1" max="100" width="13" customWidth="1"/>
  </cols>
  <sheetData>
    <row r="2" spans="1:12" ht="15" customHeight="1" x14ac:dyDescent="0.3">
      <c r="A2" s="16" t="s">
        <v>290</v>
      </c>
      <c r="B2">
        <v>4</v>
      </c>
    </row>
    <row r="3" spans="1:12" ht="15" customHeight="1" x14ac:dyDescent="0.3">
      <c r="A3" s="9" t="s">
        <v>3</v>
      </c>
      <c r="B3" s="9" t="s">
        <v>131</v>
      </c>
      <c r="C3" s="9" t="s">
        <v>138</v>
      </c>
      <c r="D3" s="9" t="s">
        <v>145</v>
      </c>
      <c r="E3" s="9" t="s">
        <v>152</v>
      </c>
      <c r="F3" s="9" t="s">
        <v>183</v>
      </c>
      <c r="G3" s="9" t="s">
        <v>198</v>
      </c>
      <c r="H3" s="9" t="s">
        <v>208</v>
      </c>
      <c r="I3" s="9" t="s">
        <v>219</v>
      </c>
      <c r="J3" s="16" t="s">
        <v>291</v>
      </c>
      <c r="K3" s="16" t="s">
        <v>292</v>
      </c>
      <c r="L3" s="16"/>
    </row>
    <row r="4" spans="1:12" ht="15" customHeight="1" x14ac:dyDescent="0.3">
      <c r="A4" s="10">
        <v>9</v>
      </c>
      <c r="B4" s="10">
        <v>3</v>
      </c>
      <c r="C4" s="10">
        <v>4</v>
      </c>
      <c r="D4" s="10">
        <v>4</v>
      </c>
      <c r="E4" s="10">
        <v>4</v>
      </c>
      <c r="F4" s="10">
        <v>4</v>
      </c>
      <c r="G4" s="10">
        <v>6</v>
      </c>
      <c r="H4" s="10">
        <v>4</v>
      </c>
      <c r="I4" s="10">
        <v>3</v>
      </c>
      <c r="J4">
        <f>OPR_2P!J4</f>
        <v>100</v>
      </c>
      <c r="K4">
        <f>OPR_2P!K4</f>
        <v>600</v>
      </c>
    </row>
    <row r="5" spans="1:12" ht="15" customHeight="1" x14ac:dyDescent="0.3">
      <c r="A5" s="10">
        <v>15</v>
      </c>
      <c r="B5" s="10">
        <v>18</v>
      </c>
      <c r="C5" s="10">
        <v>17</v>
      </c>
      <c r="D5" s="10">
        <v>18</v>
      </c>
      <c r="E5" s="10">
        <v>14</v>
      </c>
      <c r="F5" s="10">
        <v>7</v>
      </c>
      <c r="G5" s="10">
        <v>13</v>
      </c>
      <c r="H5" s="10">
        <v>12</v>
      </c>
      <c r="I5" s="10">
        <v>6</v>
      </c>
      <c r="J5">
        <f>OPR_2P!J5</f>
        <v>300</v>
      </c>
      <c r="K5">
        <f>OPR_2P!K5</f>
        <v>800</v>
      </c>
    </row>
    <row r="6" spans="1:12" ht="15" customHeight="1" x14ac:dyDescent="0.3">
      <c r="A6" s="10">
        <v>17</v>
      </c>
      <c r="B6" s="10">
        <v>22</v>
      </c>
      <c r="C6" s="10">
        <v>19</v>
      </c>
      <c r="D6" s="10">
        <v>17</v>
      </c>
      <c r="E6" s="10">
        <v>14</v>
      </c>
      <c r="F6" s="10">
        <v>10</v>
      </c>
      <c r="G6" s="10">
        <v>9</v>
      </c>
      <c r="H6" s="10">
        <v>12</v>
      </c>
      <c r="I6" s="10">
        <v>11</v>
      </c>
      <c r="J6">
        <f>OPR_2P!J6</f>
        <v>500</v>
      </c>
      <c r="K6">
        <f>OPR_2P!K6</f>
        <v>1000</v>
      </c>
    </row>
    <row r="7" spans="1:12" ht="15" customHeight="1" x14ac:dyDescent="0.3">
      <c r="A7" s="10">
        <v>20</v>
      </c>
      <c r="B7" s="10">
        <v>20</v>
      </c>
      <c r="C7" s="10">
        <v>20</v>
      </c>
      <c r="D7" s="10">
        <v>16</v>
      </c>
      <c r="E7" s="10">
        <v>28</v>
      </c>
      <c r="F7" s="10">
        <v>24</v>
      </c>
      <c r="G7" s="10">
        <v>23</v>
      </c>
      <c r="H7" s="10">
        <v>19</v>
      </c>
      <c r="I7" s="10">
        <v>13</v>
      </c>
      <c r="J7">
        <f>OPR_2P!J7</f>
        <v>700</v>
      </c>
      <c r="K7">
        <f>OPR_2P!K7</f>
        <v>1200</v>
      </c>
    </row>
    <row r="8" spans="1:12" ht="15" customHeight="1" x14ac:dyDescent="0.3">
      <c r="A8" s="10">
        <v>25</v>
      </c>
      <c r="B8" s="10">
        <v>45</v>
      </c>
      <c r="C8" s="10">
        <v>21</v>
      </c>
      <c r="D8" s="10">
        <v>30</v>
      </c>
      <c r="E8" s="10">
        <v>30</v>
      </c>
      <c r="F8" s="10">
        <v>26</v>
      </c>
      <c r="G8" s="10">
        <v>25</v>
      </c>
      <c r="H8" s="10">
        <v>22</v>
      </c>
      <c r="I8" s="10">
        <v>17</v>
      </c>
      <c r="J8">
        <f>OPR_2P!J8</f>
        <v>900</v>
      </c>
      <c r="K8">
        <f>OPR_2P!K8</f>
        <v>1400</v>
      </c>
    </row>
    <row r="9" spans="1:12" ht="15" customHeight="1" x14ac:dyDescent="0.3">
      <c r="A9" s="10">
        <v>28</v>
      </c>
      <c r="B9" s="10">
        <v>31</v>
      </c>
      <c r="C9" s="10">
        <v>40</v>
      </c>
      <c r="D9" s="10">
        <v>24</v>
      </c>
      <c r="E9" s="10">
        <v>36</v>
      </c>
      <c r="F9" s="10">
        <v>38</v>
      </c>
      <c r="G9" s="10">
        <v>32</v>
      </c>
      <c r="H9" s="10">
        <v>29</v>
      </c>
      <c r="I9" s="10">
        <v>25</v>
      </c>
      <c r="J9">
        <f>OPR_2P!J9</f>
        <v>1100</v>
      </c>
      <c r="K9">
        <f>OPR_2P!K9</f>
        <v>1600</v>
      </c>
    </row>
    <row r="10" spans="1:12" ht="15" customHeight="1" x14ac:dyDescent="0.3">
      <c r="A10" s="10">
        <v>30</v>
      </c>
      <c r="B10" s="10">
        <v>37</v>
      </c>
      <c r="C10" s="10">
        <v>25</v>
      </c>
      <c r="D10" s="10">
        <v>29</v>
      </c>
      <c r="E10" s="10">
        <v>32</v>
      </c>
      <c r="F10" s="10">
        <v>41</v>
      </c>
      <c r="G10" s="10">
        <v>30</v>
      </c>
      <c r="H10" s="10">
        <v>32</v>
      </c>
      <c r="I10" s="10">
        <v>16</v>
      </c>
      <c r="J10">
        <f>OPR_2P!J10</f>
        <v>1300</v>
      </c>
      <c r="K10">
        <f>OPR_2P!K10</f>
        <v>1800</v>
      </c>
    </row>
    <row r="11" spans="1:12" ht="15" customHeight="1" x14ac:dyDescent="0.3">
      <c r="A11" s="10">
        <v>34</v>
      </c>
      <c r="B11" s="10">
        <v>55</v>
      </c>
      <c r="C11" s="10">
        <v>49</v>
      </c>
      <c r="D11" s="10">
        <v>37</v>
      </c>
      <c r="E11" s="10">
        <v>51</v>
      </c>
      <c r="F11" s="10">
        <v>28</v>
      </c>
      <c r="G11" s="10">
        <v>34</v>
      </c>
      <c r="H11" s="10">
        <v>34</v>
      </c>
      <c r="I11" s="10">
        <v>36</v>
      </c>
      <c r="J11">
        <f>OPR_2P!J11</f>
        <v>1500</v>
      </c>
      <c r="K11">
        <f>OPR_2P!K11</f>
        <v>2000</v>
      </c>
    </row>
    <row r="12" spans="1:12" ht="15" customHeight="1" x14ac:dyDescent="0.3">
      <c r="A12" s="10">
        <v>42</v>
      </c>
      <c r="B12" s="10">
        <v>76</v>
      </c>
      <c r="C12" s="10">
        <v>75</v>
      </c>
      <c r="D12" s="10">
        <v>43</v>
      </c>
      <c r="E12" s="10">
        <v>74</v>
      </c>
      <c r="F12" s="10">
        <v>48</v>
      </c>
      <c r="G12" s="10">
        <v>33</v>
      </c>
      <c r="H12" s="10">
        <v>49</v>
      </c>
      <c r="I12" s="10">
        <v>45</v>
      </c>
      <c r="J12">
        <f>OPR_2P!J12</f>
        <v>1700</v>
      </c>
      <c r="K12">
        <f>OPR_2P!K12</f>
        <v>2200</v>
      </c>
    </row>
    <row r="13" spans="1:12" ht="15" customHeight="1" x14ac:dyDescent="0.3">
      <c r="A13" s="10">
        <v>46</v>
      </c>
      <c r="B13" s="10">
        <v>73</v>
      </c>
      <c r="C13" s="10">
        <v>64</v>
      </c>
      <c r="D13" s="10">
        <v>56</v>
      </c>
      <c r="E13" s="10">
        <v>75</v>
      </c>
      <c r="F13" s="10">
        <v>51</v>
      </c>
      <c r="G13" s="10">
        <v>43</v>
      </c>
      <c r="H13" s="10">
        <v>53</v>
      </c>
      <c r="I13" s="10">
        <v>42</v>
      </c>
      <c r="J13">
        <f>OPR_2P!J13</f>
        <v>1900</v>
      </c>
      <c r="K13">
        <f>OPR_2P!K13</f>
        <v>2400</v>
      </c>
    </row>
    <row r="14" spans="1:12" ht="15" customHeight="1" x14ac:dyDescent="0.3">
      <c r="A14" s="10">
        <v>50</v>
      </c>
      <c r="B14" s="10">
        <v>86</v>
      </c>
      <c r="C14" s="10">
        <v>88</v>
      </c>
      <c r="D14" s="10">
        <v>52</v>
      </c>
      <c r="E14" s="10">
        <v>94</v>
      </c>
      <c r="F14" s="10">
        <v>57</v>
      </c>
      <c r="G14" s="10">
        <v>72</v>
      </c>
      <c r="H14" s="10">
        <v>60</v>
      </c>
      <c r="I14" s="10">
        <v>30</v>
      </c>
      <c r="J14">
        <f>OPR_2P!J14</f>
        <v>2100</v>
      </c>
      <c r="K14">
        <f>OPR_2P!K14</f>
        <v>2600</v>
      </c>
    </row>
    <row r="15" spans="1:12" ht="15" customHeight="1" x14ac:dyDescent="0.3">
      <c r="A15" s="10">
        <v>54</v>
      </c>
      <c r="B15" s="10">
        <v>111</v>
      </c>
      <c r="C15" s="10">
        <v>63</v>
      </c>
      <c r="D15" s="10">
        <v>70</v>
      </c>
      <c r="E15" s="10">
        <v>72</v>
      </c>
      <c r="F15" s="10">
        <v>46</v>
      </c>
      <c r="G15" s="10">
        <v>59</v>
      </c>
      <c r="H15" s="10">
        <v>45</v>
      </c>
      <c r="I15" s="10">
        <v>56</v>
      </c>
      <c r="J15">
        <f>OPR_2P!J15</f>
        <v>2300</v>
      </c>
      <c r="K15">
        <f>OPR_2P!K15</f>
        <v>2800</v>
      </c>
    </row>
    <row r="16" spans="1:12" ht="15" customHeight="1" x14ac:dyDescent="0.3">
      <c r="A16" s="10">
        <v>57</v>
      </c>
      <c r="B16" s="10">
        <v>94</v>
      </c>
      <c r="C16" s="10">
        <v>60</v>
      </c>
      <c r="D16" s="10">
        <v>81</v>
      </c>
      <c r="E16" s="10">
        <v>89</v>
      </c>
      <c r="F16" s="10">
        <v>61</v>
      </c>
      <c r="G16" s="10">
        <v>52</v>
      </c>
      <c r="H16" s="10">
        <v>76</v>
      </c>
      <c r="I16" s="10">
        <v>60</v>
      </c>
      <c r="J16">
        <f>OPR_2P!J16</f>
        <v>2500</v>
      </c>
      <c r="K16">
        <f>OPR_2P!K16</f>
        <v>3000</v>
      </c>
    </row>
    <row r="17" spans="1:11" ht="15" customHeight="1" x14ac:dyDescent="0.3">
      <c r="A17" s="10">
        <v>63</v>
      </c>
      <c r="B17" s="10">
        <v>93</v>
      </c>
      <c r="C17" s="10">
        <v>107</v>
      </c>
      <c r="D17" s="10">
        <v>65</v>
      </c>
      <c r="E17" s="10">
        <v>67</v>
      </c>
      <c r="F17" s="10">
        <v>100</v>
      </c>
      <c r="G17" s="10">
        <v>92</v>
      </c>
      <c r="H17" s="10">
        <v>80</v>
      </c>
      <c r="I17" s="10">
        <v>55</v>
      </c>
      <c r="J17">
        <f>OPR_2P!J17</f>
        <v>2700</v>
      </c>
      <c r="K17">
        <f>OPR_2P!K17</f>
        <v>3200</v>
      </c>
    </row>
    <row r="18" spans="1:11" ht="15" customHeight="1" x14ac:dyDescent="0.3">
      <c r="A18" s="10">
        <v>70</v>
      </c>
      <c r="B18" s="10">
        <v>87</v>
      </c>
      <c r="C18" s="10">
        <v>119</v>
      </c>
      <c r="D18" s="10">
        <v>96</v>
      </c>
      <c r="E18" s="10">
        <v>116</v>
      </c>
      <c r="F18" s="10">
        <v>61</v>
      </c>
      <c r="G18" s="10">
        <v>105</v>
      </c>
      <c r="H18" s="10">
        <v>84</v>
      </c>
      <c r="I18" s="10">
        <v>78</v>
      </c>
      <c r="J18">
        <f>OPR_2P!J18</f>
        <v>2900</v>
      </c>
      <c r="K18">
        <f>OPR_2P!K18</f>
        <v>3400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L18"/>
  <sheetViews>
    <sheetView zoomScaleNormal="100" workbookViewId="0"/>
  </sheetViews>
  <sheetFormatPr defaultColWidth="8.6640625" defaultRowHeight="14.4" x14ac:dyDescent="0.3"/>
  <cols>
    <col min="1" max="100" width="13" customWidth="1"/>
  </cols>
  <sheetData>
    <row r="2" spans="1:12" ht="15" customHeight="1" x14ac:dyDescent="0.3">
      <c r="A2" s="16" t="s">
        <v>290</v>
      </c>
      <c r="B2">
        <v>4</v>
      </c>
    </row>
    <row r="3" spans="1:12" ht="15" customHeight="1" x14ac:dyDescent="0.3">
      <c r="A3" s="9" t="s">
        <v>3</v>
      </c>
      <c r="B3" s="9" t="s">
        <v>131</v>
      </c>
      <c r="C3" s="9" t="s">
        <v>138</v>
      </c>
      <c r="D3" s="9" t="s">
        <v>145</v>
      </c>
      <c r="E3" s="9" t="s">
        <v>152</v>
      </c>
      <c r="F3" s="9" t="s">
        <v>183</v>
      </c>
      <c r="G3" s="9" t="s">
        <v>198</v>
      </c>
      <c r="H3" s="9" t="s">
        <v>208</v>
      </c>
      <c r="I3" s="9" t="s">
        <v>219</v>
      </c>
      <c r="J3" s="16" t="s">
        <v>291</v>
      </c>
      <c r="K3" s="16" t="s">
        <v>292</v>
      </c>
      <c r="L3" s="16"/>
    </row>
    <row r="4" spans="1:12" ht="15" customHeight="1" x14ac:dyDescent="0.3">
      <c r="A4" s="10">
        <v>9</v>
      </c>
      <c r="B4" s="10">
        <v>2</v>
      </c>
      <c r="C4" s="10">
        <v>3</v>
      </c>
      <c r="D4" s="10">
        <v>7</v>
      </c>
      <c r="E4" s="10">
        <v>3</v>
      </c>
      <c r="F4" s="10">
        <v>2</v>
      </c>
      <c r="G4" s="10">
        <v>5</v>
      </c>
      <c r="H4" s="10">
        <v>5</v>
      </c>
      <c r="I4" s="10">
        <v>3</v>
      </c>
      <c r="J4">
        <f>OPR_2P!J4</f>
        <v>100</v>
      </c>
      <c r="K4">
        <f>OPR_2P!K4</f>
        <v>600</v>
      </c>
    </row>
    <row r="5" spans="1:12" ht="15" customHeight="1" x14ac:dyDescent="0.3">
      <c r="A5" s="10">
        <v>15</v>
      </c>
      <c r="B5" s="10">
        <v>19</v>
      </c>
      <c r="C5" s="10">
        <v>17</v>
      </c>
      <c r="D5" s="10">
        <v>14</v>
      </c>
      <c r="E5" s="10">
        <v>11</v>
      </c>
      <c r="F5" s="10">
        <v>13</v>
      </c>
      <c r="G5" s="10">
        <v>14</v>
      </c>
      <c r="H5" s="10">
        <v>7</v>
      </c>
      <c r="I5" s="10">
        <v>9</v>
      </c>
      <c r="J5">
        <f>OPR_2P!J5</f>
        <v>300</v>
      </c>
      <c r="K5">
        <f>OPR_2P!K5</f>
        <v>800</v>
      </c>
    </row>
    <row r="6" spans="1:12" ht="15" customHeight="1" x14ac:dyDescent="0.3">
      <c r="A6" s="10">
        <v>17</v>
      </c>
      <c r="B6" s="10">
        <v>13</v>
      </c>
      <c r="C6" s="10">
        <v>20</v>
      </c>
      <c r="D6" s="10">
        <v>11</v>
      </c>
      <c r="E6" s="10">
        <v>22</v>
      </c>
      <c r="F6" s="10">
        <v>15</v>
      </c>
      <c r="G6" s="10">
        <v>11</v>
      </c>
      <c r="H6" s="10">
        <v>15</v>
      </c>
      <c r="I6" s="10">
        <v>11</v>
      </c>
      <c r="J6">
        <f>OPR_2P!J6</f>
        <v>500</v>
      </c>
      <c r="K6">
        <f>OPR_2P!K6</f>
        <v>1000</v>
      </c>
    </row>
    <row r="7" spans="1:12" ht="15" customHeight="1" x14ac:dyDescent="0.3">
      <c r="A7" s="10">
        <v>20</v>
      </c>
      <c r="B7" s="10">
        <v>16</v>
      </c>
      <c r="C7" s="10">
        <v>27</v>
      </c>
      <c r="D7" s="10">
        <v>21</v>
      </c>
      <c r="E7" s="10">
        <v>16</v>
      </c>
      <c r="F7" s="10">
        <v>15</v>
      </c>
      <c r="G7" s="10">
        <v>14</v>
      </c>
      <c r="H7" s="10">
        <v>16</v>
      </c>
      <c r="I7" s="10">
        <v>11</v>
      </c>
      <c r="J7">
        <f>OPR_2P!J7</f>
        <v>700</v>
      </c>
      <c r="K7">
        <f>OPR_2P!K7</f>
        <v>1200</v>
      </c>
    </row>
    <row r="8" spans="1:12" ht="15" customHeight="1" x14ac:dyDescent="0.3">
      <c r="A8" s="10">
        <v>25</v>
      </c>
      <c r="B8" s="10">
        <v>27</v>
      </c>
      <c r="C8" s="10">
        <v>26</v>
      </c>
      <c r="D8" s="10">
        <v>36</v>
      </c>
      <c r="E8" s="10">
        <v>30</v>
      </c>
      <c r="F8" s="10">
        <v>20</v>
      </c>
      <c r="G8" s="10">
        <v>23</v>
      </c>
      <c r="H8" s="10">
        <v>23</v>
      </c>
      <c r="I8" s="10">
        <v>20</v>
      </c>
      <c r="J8">
        <f>OPR_2P!J8</f>
        <v>900</v>
      </c>
      <c r="K8">
        <f>OPR_2P!K8</f>
        <v>1400</v>
      </c>
    </row>
    <row r="9" spans="1:12" ht="15" customHeight="1" x14ac:dyDescent="0.3">
      <c r="A9" s="10">
        <v>28</v>
      </c>
      <c r="B9" s="10">
        <v>33</v>
      </c>
      <c r="C9" s="10">
        <v>46</v>
      </c>
      <c r="D9" s="10">
        <v>22</v>
      </c>
      <c r="E9" s="10">
        <v>32</v>
      </c>
      <c r="F9" s="10">
        <v>28</v>
      </c>
      <c r="G9" s="10">
        <v>23</v>
      </c>
      <c r="H9" s="10">
        <v>28</v>
      </c>
      <c r="I9" s="10">
        <v>16</v>
      </c>
      <c r="J9">
        <f>OPR_2P!J9</f>
        <v>1100</v>
      </c>
      <c r="K9">
        <f>OPR_2P!K9</f>
        <v>1600</v>
      </c>
    </row>
    <row r="10" spans="1:12" ht="15" customHeight="1" x14ac:dyDescent="0.3">
      <c r="A10" s="10">
        <v>30</v>
      </c>
      <c r="B10" s="10">
        <v>49</v>
      </c>
      <c r="C10" s="10">
        <v>40</v>
      </c>
      <c r="D10" s="10">
        <v>29</v>
      </c>
      <c r="E10" s="10">
        <v>35</v>
      </c>
      <c r="F10" s="10">
        <v>39</v>
      </c>
      <c r="G10" s="10">
        <v>24</v>
      </c>
      <c r="H10" s="10">
        <v>22</v>
      </c>
      <c r="I10" s="10">
        <v>21</v>
      </c>
      <c r="J10">
        <f>OPR_2P!J10</f>
        <v>1300</v>
      </c>
      <c r="K10">
        <f>OPR_2P!K10</f>
        <v>1800</v>
      </c>
    </row>
    <row r="11" spans="1:12" ht="15" customHeight="1" x14ac:dyDescent="0.3">
      <c r="A11" s="10">
        <v>34</v>
      </c>
      <c r="B11" s="10">
        <v>65</v>
      </c>
      <c r="C11" s="10">
        <v>32</v>
      </c>
      <c r="D11" s="10">
        <v>33</v>
      </c>
      <c r="E11" s="10">
        <v>61</v>
      </c>
      <c r="F11" s="10">
        <v>38</v>
      </c>
      <c r="G11" s="10">
        <v>25</v>
      </c>
      <c r="H11" s="10">
        <v>32</v>
      </c>
      <c r="I11" s="10">
        <v>26</v>
      </c>
      <c r="J11">
        <f>OPR_2P!J11</f>
        <v>1500</v>
      </c>
      <c r="K11">
        <f>OPR_2P!K11</f>
        <v>2000</v>
      </c>
    </row>
    <row r="12" spans="1:12" ht="15" customHeight="1" x14ac:dyDescent="0.3">
      <c r="A12" s="10">
        <v>42</v>
      </c>
      <c r="B12" s="10">
        <v>54</v>
      </c>
      <c r="C12" s="10">
        <v>43</v>
      </c>
      <c r="D12" s="10">
        <v>63</v>
      </c>
      <c r="E12" s="10">
        <v>41</v>
      </c>
      <c r="F12" s="10">
        <v>37</v>
      </c>
      <c r="G12" s="10">
        <v>41</v>
      </c>
      <c r="H12" s="10">
        <v>33</v>
      </c>
      <c r="I12" s="10">
        <v>29</v>
      </c>
      <c r="J12">
        <f>OPR_2P!J12</f>
        <v>1700</v>
      </c>
      <c r="K12">
        <f>OPR_2P!K12</f>
        <v>2200</v>
      </c>
    </row>
    <row r="13" spans="1:12" ht="15" customHeight="1" x14ac:dyDescent="0.3">
      <c r="A13" s="10">
        <v>46</v>
      </c>
      <c r="B13" s="10">
        <v>65</v>
      </c>
      <c r="C13" s="10">
        <v>55</v>
      </c>
      <c r="D13" s="10">
        <v>41</v>
      </c>
      <c r="E13" s="10">
        <v>84</v>
      </c>
      <c r="F13" s="10">
        <v>69</v>
      </c>
      <c r="G13" s="10">
        <v>35</v>
      </c>
      <c r="H13" s="10">
        <v>41</v>
      </c>
      <c r="I13" s="10">
        <v>44</v>
      </c>
      <c r="J13">
        <f>OPR_2P!J13</f>
        <v>1900</v>
      </c>
      <c r="K13">
        <f>OPR_2P!K13</f>
        <v>2400</v>
      </c>
    </row>
    <row r="14" spans="1:12" ht="15" customHeight="1" x14ac:dyDescent="0.3">
      <c r="A14" s="10">
        <v>50</v>
      </c>
      <c r="B14" s="10">
        <v>99</v>
      </c>
      <c r="C14" s="10">
        <v>49</v>
      </c>
      <c r="D14" s="10">
        <v>49</v>
      </c>
      <c r="E14" s="10">
        <v>66</v>
      </c>
      <c r="F14" s="10">
        <v>53</v>
      </c>
      <c r="G14" s="10">
        <v>71</v>
      </c>
      <c r="H14" s="10">
        <v>47</v>
      </c>
      <c r="I14" s="10">
        <v>51</v>
      </c>
      <c r="J14">
        <f>OPR_2P!J14</f>
        <v>2100</v>
      </c>
      <c r="K14">
        <f>OPR_2P!K14</f>
        <v>2600</v>
      </c>
    </row>
    <row r="15" spans="1:12" ht="15" customHeight="1" x14ac:dyDescent="0.3">
      <c r="A15" s="10">
        <v>54</v>
      </c>
      <c r="B15" s="10">
        <v>84</v>
      </c>
      <c r="C15" s="10">
        <v>54</v>
      </c>
      <c r="D15" s="10">
        <v>80</v>
      </c>
      <c r="E15" s="10">
        <v>87</v>
      </c>
      <c r="F15" s="10">
        <v>54</v>
      </c>
      <c r="G15" s="10">
        <v>78</v>
      </c>
      <c r="H15" s="10">
        <v>50</v>
      </c>
      <c r="I15" s="10">
        <v>53</v>
      </c>
      <c r="J15">
        <f>OPR_2P!J15</f>
        <v>2300</v>
      </c>
      <c r="K15">
        <f>OPR_2P!K15</f>
        <v>2800</v>
      </c>
    </row>
    <row r="16" spans="1:12" ht="15" customHeight="1" x14ac:dyDescent="0.3">
      <c r="A16" s="10">
        <v>57</v>
      </c>
      <c r="B16" s="10">
        <v>99</v>
      </c>
      <c r="C16" s="10">
        <v>60</v>
      </c>
      <c r="D16" s="10">
        <v>56</v>
      </c>
      <c r="E16" s="10">
        <v>89</v>
      </c>
      <c r="F16" s="10">
        <v>74</v>
      </c>
      <c r="G16" s="10">
        <v>54</v>
      </c>
      <c r="H16" s="10">
        <v>55</v>
      </c>
      <c r="I16" s="10">
        <v>63</v>
      </c>
      <c r="J16">
        <f>OPR_2P!J16</f>
        <v>2500</v>
      </c>
      <c r="K16">
        <f>OPR_2P!K16</f>
        <v>3000</v>
      </c>
    </row>
    <row r="17" spans="1:11" ht="15" customHeight="1" x14ac:dyDescent="0.3">
      <c r="A17" s="10">
        <v>63</v>
      </c>
      <c r="B17" s="10">
        <v>115</v>
      </c>
      <c r="C17" s="10">
        <v>95</v>
      </c>
      <c r="D17" s="10">
        <v>84</v>
      </c>
      <c r="E17" s="10">
        <v>120</v>
      </c>
      <c r="F17" s="10">
        <v>75</v>
      </c>
      <c r="G17" s="10">
        <v>52</v>
      </c>
      <c r="H17" s="10">
        <v>77</v>
      </c>
      <c r="I17" s="10">
        <v>68</v>
      </c>
      <c r="J17">
        <f>OPR_2P!J17</f>
        <v>2700</v>
      </c>
      <c r="K17">
        <f>OPR_2P!K17</f>
        <v>3200</v>
      </c>
    </row>
    <row r="18" spans="1:11" ht="15" customHeight="1" x14ac:dyDescent="0.3">
      <c r="A18" s="10">
        <v>70</v>
      </c>
      <c r="B18" s="10">
        <v>133</v>
      </c>
      <c r="C18" s="10">
        <v>71</v>
      </c>
      <c r="D18" s="10">
        <v>99</v>
      </c>
      <c r="E18" s="10">
        <v>111</v>
      </c>
      <c r="F18" s="10">
        <v>86</v>
      </c>
      <c r="G18" s="10">
        <v>84</v>
      </c>
      <c r="H18" s="10">
        <v>57</v>
      </c>
      <c r="I18" s="10">
        <v>56</v>
      </c>
      <c r="J18">
        <f>OPR_2P!J18</f>
        <v>2900</v>
      </c>
      <c r="K18">
        <f>OPR_2P!K18</f>
        <v>3400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L18"/>
  <sheetViews>
    <sheetView zoomScaleNormal="100" workbookViewId="0"/>
  </sheetViews>
  <sheetFormatPr defaultColWidth="8.6640625" defaultRowHeight="14.4" x14ac:dyDescent="0.3"/>
  <cols>
    <col min="1" max="100" width="13" customWidth="1"/>
  </cols>
  <sheetData>
    <row r="2" spans="1:12" ht="15" customHeight="1" x14ac:dyDescent="0.3">
      <c r="A2" s="16" t="s">
        <v>290</v>
      </c>
      <c r="B2">
        <v>4</v>
      </c>
    </row>
    <row r="3" spans="1:12" ht="15" customHeight="1" x14ac:dyDescent="0.3">
      <c r="A3" s="9" t="s">
        <v>3</v>
      </c>
      <c r="B3" s="9" t="s">
        <v>131</v>
      </c>
      <c r="C3" s="9" t="s">
        <v>138</v>
      </c>
      <c r="D3" s="9" t="s">
        <v>145</v>
      </c>
      <c r="E3" s="9" t="s">
        <v>152</v>
      </c>
      <c r="F3" s="9" t="s">
        <v>183</v>
      </c>
      <c r="G3" s="9" t="s">
        <v>198</v>
      </c>
      <c r="H3" s="9" t="s">
        <v>208</v>
      </c>
      <c r="I3" s="9" t="s">
        <v>219</v>
      </c>
      <c r="J3" s="16" t="s">
        <v>291</v>
      </c>
      <c r="K3" s="16" t="s">
        <v>292</v>
      </c>
      <c r="L3" s="16"/>
    </row>
    <row r="4" spans="1:12" ht="15" customHeight="1" x14ac:dyDescent="0.3">
      <c r="A4" s="10">
        <v>9</v>
      </c>
      <c r="B4" s="10">
        <v>2</v>
      </c>
      <c r="C4" s="10">
        <v>3</v>
      </c>
      <c r="D4" s="10">
        <v>7</v>
      </c>
      <c r="E4" s="10">
        <v>3</v>
      </c>
      <c r="F4" s="10">
        <v>2</v>
      </c>
      <c r="G4" s="10">
        <v>5</v>
      </c>
      <c r="H4" s="10">
        <v>5</v>
      </c>
      <c r="I4" s="10">
        <v>3</v>
      </c>
      <c r="J4">
        <f>OPR_2P!J4</f>
        <v>100</v>
      </c>
      <c r="K4">
        <f>OPR_2P!K4</f>
        <v>600</v>
      </c>
    </row>
    <row r="5" spans="1:12" ht="15" customHeight="1" x14ac:dyDescent="0.3">
      <c r="A5" s="10">
        <v>15</v>
      </c>
      <c r="B5" s="10">
        <v>19</v>
      </c>
      <c r="C5" s="10">
        <v>17</v>
      </c>
      <c r="D5" s="10">
        <v>14</v>
      </c>
      <c r="E5" s="10">
        <v>11</v>
      </c>
      <c r="F5" s="10">
        <v>13</v>
      </c>
      <c r="G5" s="10">
        <v>14</v>
      </c>
      <c r="H5" s="10">
        <v>7</v>
      </c>
      <c r="I5" s="10">
        <v>9</v>
      </c>
      <c r="J5">
        <f>OPR_2P!J5</f>
        <v>300</v>
      </c>
      <c r="K5">
        <f>OPR_2P!K5</f>
        <v>800</v>
      </c>
    </row>
    <row r="6" spans="1:12" ht="15" customHeight="1" x14ac:dyDescent="0.3">
      <c r="A6" s="10">
        <v>17</v>
      </c>
      <c r="B6" s="10">
        <v>13</v>
      </c>
      <c r="C6" s="10">
        <v>20</v>
      </c>
      <c r="D6" s="10">
        <v>11</v>
      </c>
      <c r="E6" s="10">
        <v>22</v>
      </c>
      <c r="F6" s="10">
        <v>15</v>
      </c>
      <c r="G6" s="10">
        <v>11</v>
      </c>
      <c r="H6" s="10">
        <v>15</v>
      </c>
      <c r="I6" s="10">
        <v>11</v>
      </c>
      <c r="J6">
        <f>OPR_2P!J6</f>
        <v>500</v>
      </c>
      <c r="K6">
        <f>OPR_2P!K6</f>
        <v>1000</v>
      </c>
    </row>
    <row r="7" spans="1:12" ht="15" customHeight="1" x14ac:dyDescent="0.3">
      <c r="A7" s="10">
        <v>20</v>
      </c>
      <c r="B7" s="10">
        <v>16</v>
      </c>
      <c r="C7" s="10">
        <v>27</v>
      </c>
      <c r="D7" s="10">
        <v>21</v>
      </c>
      <c r="E7" s="10">
        <v>16</v>
      </c>
      <c r="F7" s="10">
        <v>15</v>
      </c>
      <c r="G7" s="10">
        <v>14</v>
      </c>
      <c r="H7" s="10">
        <v>16</v>
      </c>
      <c r="I7" s="10">
        <v>11</v>
      </c>
      <c r="J7">
        <f>OPR_2P!J7</f>
        <v>700</v>
      </c>
      <c r="K7">
        <f>OPR_2P!K7</f>
        <v>1200</v>
      </c>
    </row>
    <row r="8" spans="1:12" ht="15" customHeight="1" x14ac:dyDescent="0.3">
      <c r="A8" s="10">
        <v>25</v>
      </c>
      <c r="B8" s="10">
        <v>27</v>
      </c>
      <c r="C8" s="10">
        <v>26</v>
      </c>
      <c r="D8" s="10">
        <v>36</v>
      </c>
      <c r="E8" s="10">
        <v>30</v>
      </c>
      <c r="F8" s="10">
        <v>20</v>
      </c>
      <c r="G8" s="10">
        <v>23</v>
      </c>
      <c r="H8" s="10">
        <v>23</v>
      </c>
      <c r="I8" s="10">
        <v>20</v>
      </c>
      <c r="J8">
        <f>OPR_2P!J8</f>
        <v>900</v>
      </c>
      <c r="K8">
        <f>OPR_2P!K8</f>
        <v>1400</v>
      </c>
    </row>
    <row r="9" spans="1:12" ht="15" customHeight="1" x14ac:dyDescent="0.3">
      <c r="A9" s="10">
        <v>28</v>
      </c>
      <c r="B9" s="10">
        <v>33</v>
      </c>
      <c r="C9" s="10">
        <v>46</v>
      </c>
      <c r="D9" s="10">
        <v>22</v>
      </c>
      <c r="E9" s="10">
        <v>32</v>
      </c>
      <c r="F9" s="10">
        <v>28</v>
      </c>
      <c r="G9" s="10">
        <v>23</v>
      </c>
      <c r="H9" s="10">
        <v>28</v>
      </c>
      <c r="I9" s="10">
        <v>16</v>
      </c>
      <c r="J9">
        <f>OPR_2P!J9</f>
        <v>1100</v>
      </c>
      <c r="K9">
        <f>OPR_2P!K9</f>
        <v>1600</v>
      </c>
    </row>
    <row r="10" spans="1:12" ht="15" customHeight="1" x14ac:dyDescent="0.3">
      <c r="A10" s="10">
        <v>30</v>
      </c>
      <c r="B10" s="10">
        <v>49</v>
      </c>
      <c r="C10" s="10">
        <v>40</v>
      </c>
      <c r="D10" s="10">
        <v>29</v>
      </c>
      <c r="E10" s="10">
        <v>35</v>
      </c>
      <c r="F10" s="10">
        <v>39</v>
      </c>
      <c r="G10" s="10">
        <v>24</v>
      </c>
      <c r="H10" s="10">
        <v>22</v>
      </c>
      <c r="I10" s="10">
        <v>21</v>
      </c>
      <c r="J10">
        <f>OPR_2P!J10</f>
        <v>1300</v>
      </c>
      <c r="K10">
        <f>OPR_2P!K10</f>
        <v>1800</v>
      </c>
    </row>
    <row r="11" spans="1:12" ht="15" customHeight="1" x14ac:dyDescent="0.3">
      <c r="A11" s="10">
        <v>34</v>
      </c>
      <c r="B11" s="10">
        <v>65</v>
      </c>
      <c r="C11" s="10">
        <v>32</v>
      </c>
      <c r="D11" s="10">
        <v>33</v>
      </c>
      <c r="E11" s="10">
        <v>61</v>
      </c>
      <c r="F11" s="10">
        <v>38</v>
      </c>
      <c r="G11" s="10">
        <v>25</v>
      </c>
      <c r="H11" s="10">
        <v>32</v>
      </c>
      <c r="I11" s="10">
        <v>26</v>
      </c>
      <c r="J11">
        <f>OPR_2P!J11</f>
        <v>1500</v>
      </c>
      <c r="K11">
        <f>OPR_2P!K11</f>
        <v>2000</v>
      </c>
    </row>
    <row r="12" spans="1:12" ht="15" customHeight="1" x14ac:dyDescent="0.3">
      <c r="A12" s="10">
        <v>42</v>
      </c>
      <c r="B12" s="10">
        <v>54</v>
      </c>
      <c r="C12" s="10">
        <v>43</v>
      </c>
      <c r="D12" s="10">
        <v>63</v>
      </c>
      <c r="E12" s="10">
        <v>41</v>
      </c>
      <c r="F12" s="10">
        <v>37</v>
      </c>
      <c r="G12" s="10">
        <v>41</v>
      </c>
      <c r="H12" s="10">
        <v>33</v>
      </c>
      <c r="I12" s="10">
        <v>29</v>
      </c>
      <c r="J12">
        <f>OPR_2P!J12</f>
        <v>1700</v>
      </c>
      <c r="K12">
        <f>OPR_2P!K12</f>
        <v>2200</v>
      </c>
    </row>
    <row r="13" spans="1:12" ht="15" customHeight="1" x14ac:dyDescent="0.3">
      <c r="A13" s="10">
        <v>46</v>
      </c>
      <c r="B13" s="10">
        <v>65</v>
      </c>
      <c r="C13" s="10">
        <v>55</v>
      </c>
      <c r="D13" s="10">
        <v>41</v>
      </c>
      <c r="E13" s="10">
        <v>84</v>
      </c>
      <c r="F13" s="10">
        <v>69</v>
      </c>
      <c r="G13" s="10">
        <v>35</v>
      </c>
      <c r="H13" s="10">
        <v>41</v>
      </c>
      <c r="I13" s="10">
        <v>44</v>
      </c>
      <c r="J13">
        <f>OPR_2P!J13</f>
        <v>1900</v>
      </c>
      <c r="K13">
        <f>OPR_2P!K13</f>
        <v>2400</v>
      </c>
    </row>
    <row r="14" spans="1:12" ht="15" customHeight="1" x14ac:dyDescent="0.3">
      <c r="A14" s="10">
        <v>50</v>
      </c>
      <c r="B14" s="10">
        <v>99</v>
      </c>
      <c r="C14" s="10">
        <v>49</v>
      </c>
      <c r="D14" s="10">
        <v>49</v>
      </c>
      <c r="E14" s="10">
        <v>66</v>
      </c>
      <c r="F14" s="10">
        <v>53</v>
      </c>
      <c r="G14" s="10">
        <v>71</v>
      </c>
      <c r="H14" s="10">
        <v>47</v>
      </c>
      <c r="I14" s="10">
        <v>51</v>
      </c>
      <c r="J14">
        <f>OPR_2P!J14</f>
        <v>2100</v>
      </c>
      <c r="K14">
        <f>OPR_2P!K14</f>
        <v>2600</v>
      </c>
    </row>
    <row r="15" spans="1:12" ht="15" customHeight="1" x14ac:dyDescent="0.3">
      <c r="A15" s="10">
        <v>54</v>
      </c>
      <c r="B15" s="10">
        <v>84</v>
      </c>
      <c r="C15" s="10">
        <v>54</v>
      </c>
      <c r="D15" s="10">
        <v>80</v>
      </c>
      <c r="E15" s="10">
        <v>87</v>
      </c>
      <c r="F15" s="10">
        <v>54</v>
      </c>
      <c r="G15" s="10">
        <v>78</v>
      </c>
      <c r="H15" s="10">
        <v>50</v>
      </c>
      <c r="I15" s="10">
        <v>53</v>
      </c>
      <c r="J15">
        <f>OPR_2P!J15</f>
        <v>2300</v>
      </c>
      <c r="K15">
        <f>OPR_2P!K15</f>
        <v>2800</v>
      </c>
    </row>
    <row r="16" spans="1:12" ht="15" customHeight="1" x14ac:dyDescent="0.3">
      <c r="A16" s="10">
        <v>57</v>
      </c>
      <c r="B16" s="10">
        <v>99</v>
      </c>
      <c r="C16" s="10">
        <v>60</v>
      </c>
      <c r="D16" s="10">
        <v>56</v>
      </c>
      <c r="E16" s="10">
        <v>89</v>
      </c>
      <c r="F16" s="10">
        <v>74</v>
      </c>
      <c r="G16" s="10">
        <v>54</v>
      </c>
      <c r="H16" s="10">
        <v>55</v>
      </c>
      <c r="I16" s="10">
        <v>63</v>
      </c>
      <c r="J16">
        <f>OPR_2P!J16</f>
        <v>2500</v>
      </c>
      <c r="K16">
        <f>OPR_2P!K16</f>
        <v>3000</v>
      </c>
    </row>
    <row r="17" spans="1:11" ht="15" customHeight="1" x14ac:dyDescent="0.3">
      <c r="A17" s="10">
        <v>63</v>
      </c>
      <c r="B17" s="10">
        <v>115</v>
      </c>
      <c r="C17" s="10">
        <v>95</v>
      </c>
      <c r="D17" s="10">
        <v>84</v>
      </c>
      <c r="E17" s="10">
        <v>120</v>
      </c>
      <c r="F17" s="10">
        <v>75</v>
      </c>
      <c r="G17" s="10">
        <v>52</v>
      </c>
      <c r="H17" s="10">
        <v>77</v>
      </c>
      <c r="I17" s="10">
        <v>68</v>
      </c>
      <c r="J17">
        <f>OPR_2P!J17</f>
        <v>2700</v>
      </c>
      <c r="K17">
        <f>OPR_2P!K17</f>
        <v>3200</v>
      </c>
    </row>
    <row r="18" spans="1:11" ht="15" customHeight="1" x14ac:dyDescent="0.3">
      <c r="A18" s="10">
        <v>70</v>
      </c>
      <c r="B18" s="10">
        <v>133</v>
      </c>
      <c r="C18" s="10">
        <v>71</v>
      </c>
      <c r="D18" s="10">
        <v>99</v>
      </c>
      <c r="E18" s="10">
        <v>111</v>
      </c>
      <c r="F18" s="10">
        <v>86</v>
      </c>
      <c r="G18" s="10">
        <v>84</v>
      </c>
      <c r="H18" s="10">
        <v>57</v>
      </c>
      <c r="I18" s="10">
        <v>56</v>
      </c>
      <c r="J18">
        <f>OPR_2P!J18</f>
        <v>2900</v>
      </c>
      <c r="K18">
        <f>OPR_2P!K18</f>
        <v>3400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L73"/>
  <sheetViews>
    <sheetView zoomScaleNormal="100" workbookViewId="0"/>
  </sheetViews>
  <sheetFormatPr defaultColWidth="8.6640625" defaultRowHeight="14.4" x14ac:dyDescent="0.3"/>
  <cols>
    <col min="1" max="1" width="12" customWidth="1"/>
    <col min="2" max="2" width="7" customWidth="1"/>
    <col min="3" max="3" width="8" customWidth="1"/>
    <col min="4" max="4" width="10" customWidth="1"/>
    <col min="5" max="5" width="12" customWidth="1"/>
    <col min="6" max="8" width="14" customWidth="1"/>
    <col min="9" max="9" width="12" customWidth="1"/>
    <col min="10" max="10" width="14" customWidth="1"/>
    <col min="11" max="11" width="10" customWidth="1"/>
    <col min="12" max="12" width="20" customWidth="1"/>
  </cols>
  <sheetData>
    <row r="1" spans="1:12" ht="27.75" customHeight="1" x14ac:dyDescent="0.3">
      <c r="A1" s="128" t="s">
        <v>293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30"/>
    </row>
    <row r="2" spans="1:12" ht="15" customHeight="1" x14ac:dyDescent="0.3">
      <c r="A2" s="59" t="s">
        <v>294</v>
      </c>
      <c r="B2" s="60">
        <f ca="1">TODAY()</f>
        <v>46119</v>
      </c>
    </row>
    <row r="3" spans="1:12" ht="15" customHeight="1" x14ac:dyDescent="0.3">
      <c r="A3" s="61" t="s">
        <v>2</v>
      </c>
      <c r="B3" s="61" t="s">
        <v>3</v>
      </c>
      <c r="C3" s="61" t="s">
        <v>4</v>
      </c>
      <c r="D3" s="61" t="s">
        <v>8</v>
      </c>
      <c r="E3" s="61" t="s">
        <v>10</v>
      </c>
      <c r="F3" s="61" t="s">
        <v>295</v>
      </c>
      <c r="G3" s="61" t="s">
        <v>296</v>
      </c>
      <c r="H3" s="61" t="s">
        <v>297</v>
      </c>
      <c r="I3" s="61" t="s">
        <v>298</v>
      </c>
      <c r="J3" s="61" t="s">
        <v>11</v>
      </c>
      <c r="K3" s="61" t="s">
        <v>299</v>
      </c>
      <c r="L3" s="61" t="s">
        <v>300</v>
      </c>
    </row>
    <row r="4" spans="1:12" ht="15" customHeight="1" x14ac:dyDescent="0.3">
      <c r="A4" t="str">
        <f>Job_Master!A4</f>
        <v>BJ-104</v>
      </c>
      <c r="B4">
        <f>Job_Master!B4</f>
        <v>28</v>
      </c>
      <c r="C4" t="str">
        <f>Job_Master!C4</f>
        <v>2P</v>
      </c>
      <c r="D4" t="str">
        <f>Job_Master!G4</f>
        <v>Medium</v>
      </c>
      <c r="E4" t="str">
        <f>Job_Master!I4</f>
        <v>Released</v>
      </c>
      <c r="F4" t="str">
        <f ca="1">IF(QC_Plan!J4&lt;&gt;"","QC",IF(FID_Plan!J4&lt;&gt;"","FID",IF(VENT_Plan!J4&lt;&gt;"","VENT",IF(ENG_Plan!J4&lt;&gt;"","ENG",IF(EDM_Plan!J4&lt;&gt;"","EDM",IF(CARVING_Plan!J4&lt;&gt;"","CARVING",IF(SPM_Plan!J4&lt;&gt;"","SPM","VTL")))))))</f>
        <v>QC</v>
      </c>
      <c r="G4" s="62">
        <f ca="1">VTL_Plan!J4</f>
        <v>46113.291666666657</v>
      </c>
      <c r="H4" s="62">
        <f ca="1">QC_Plan!M4</f>
        <v>46132.339285714275</v>
      </c>
      <c r="I4" s="63">
        <f ca="1">(IF(VTL_Plan!M4&lt;&gt;"",1,0)+IF(SPM_Plan!M4&lt;&gt;"",1,0)+IF(CARVING_Plan!M4&lt;&gt;"",1,0)+IF(EDM_Plan!M4&lt;&gt;"",1,0)+IF(ENG_Plan!M4&lt;&gt;"",1,0)+IF(VENT_Plan!M4&lt;&gt;"",1,0)+IF(FID_Plan!M4&lt;&gt;"",1,0)+IF(QC_Plan!M4&lt;&gt;"",1,0))/8</f>
        <v>1</v>
      </c>
      <c r="J4" s="64">
        <f ca="1">Job_Master!J4</f>
        <v>46162.339285714275</v>
      </c>
      <c r="K4" t="str">
        <f t="shared" ref="K4:K35" ca="1" si="0">IF(OR(J4="",H4=""),"Pending",IF(H4&lt;=J4,"✅ On Time","⚠ Delayed"))</f>
        <v>✅ On Time</v>
      </c>
    </row>
    <row r="5" spans="1:12" ht="15" customHeight="1" x14ac:dyDescent="0.3">
      <c r="A5" t="str">
        <f>Job_Master!A5</f>
        <v>BJ-101</v>
      </c>
      <c r="B5">
        <f>Job_Master!B5</f>
        <v>42</v>
      </c>
      <c r="C5" t="str">
        <f>Job_Master!C5</f>
        <v>SOL</v>
      </c>
      <c r="D5" t="str">
        <f>Job_Master!G5</f>
        <v>Medium</v>
      </c>
      <c r="E5" t="str">
        <f>Job_Master!I5</f>
        <v>On Hold</v>
      </c>
      <c r="F5" t="str">
        <f ca="1">IF(QC_Plan!J5&lt;&gt;"","QC",IF(FID_Plan!J5&lt;&gt;"","FID",IF(VENT_Plan!J5&lt;&gt;"","VENT",IF(ENG_Plan!J5&lt;&gt;"","ENG",IF(EDM_Plan!J5&lt;&gt;"","EDM",IF(CARVING_Plan!J5&lt;&gt;"","CARVING",IF(SPM_Plan!J5&lt;&gt;"","SPM","VTL")))))))</f>
        <v>QC</v>
      </c>
      <c r="G5" s="62">
        <f ca="1">VTL_Plan!J5</f>
        <v>46113.291666666657</v>
      </c>
      <c r="H5" s="62">
        <f ca="1">QC_Plan!M5</f>
        <v>46170.368386243375</v>
      </c>
      <c r="I5" s="63">
        <f ca="1">(IF(VTL_Plan!M5&lt;&gt;"",1,0)+IF(SPM_Plan!M5&lt;&gt;"",1,0)+IF(CARVING_Plan!M5&lt;&gt;"",1,0)+IF(EDM_Plan!M5&lt;&gt;"",1,0)+IF(ENG_Plan!M5&lt;&gt;"",1,0)+IF(VENT_Plan!M5&lt;&gt;"",1,0)+IF(FID_Plan!M5&lt;&gt;"",1,0)+IF(QC_Plan!M5&lt;&gt;"",1,0))/8</f>
        <v>1</v>
      </c>
      <c r="J5" s="64">
        <f ca="1">Job_Master!J5</f>
        <v>46200.368386243375</v>
      </c>
      <c r="K5" t="str">
        <f t="shared" ca="1" si="0"/>
        <v>✅ On Time</v>
      </c>
    </row>
    <row r="6" spans="1:12" ht="15" customHeight="1" x14ac:dyDescent="0.3">
      <c r="A6" t="str">
        <f>Job_Master!A6</f>
        <v>BJ-105</v>
      </c>
      <c r="B6">
        <f>Job_Master!B6</f>
        <v>28</v>
      </c>
      <c r="C6" t="str">
        <f>Job_Master!C6</f>
        <v>RW</v>
      </c>
      <c r="D6" t="str">
        <f>Job_Master!G6</f>
        <v>Medium</v>
      </c>
      <c r="E6" t="str">
        <f>Job_Master!I6</f>
        <v>Released</v>
      </c>
      <c r="F6" t="str">
        <f ca="1">IF(QC_Plan!J6&lt;&gt;"","QC",IF(FID_Plan!J6&lt;&gt;"","FID",IF(VENT_Plan!J6&lt;&gt;"","VENT",IF(ENG_Plan!J6&lt;&gt;"","ENG",IF(EDM_Plan!J6&lt;&gt;"","EDM",IF(CARVING_Plan!J6&lt;&gt;"","CARVING",IF(SPM_Plan!J6&lt;&gt;"","SPM","VTL")))))))</f>
        <v>QC</v>
      </c>
      <c r="G6" s="62">
        <f ca="1">VTL_Plan!J6</f>
        <v>46113.291666666657</v>
      </c>
      <c r="H6" s="62">
        <f ca="1">QC_Plan!M6</f>
        <v>46134.58465608464</v>
      </c>
      <c r="I6" s="63">
        <f ca="1">(IF(VTL_Plan!M6&lt;&gt;"",1,0)+IF(SPM_Plan!M6&lt;&gt;"",1,0)+IF(CARVING_Plan!M6&lt;&gt;"",1,0)+IF(EDM_Plan!M6&lt;&gt;"",1,0)+IF(ENG_Plan!M6&lt;&gt;"",1,0)+IF(VENT_Plan!M6&lt;&gt;"",1,0)+IF(FID_Plan!M6&lt;&gt;"",1,0)+IF(QC_Plan!M6&lt;&gt;"",1,0))/8</f>
        <v>1</v>
      </c>
      <c r="J6" s="64">
        <f ca="1">Job_Master!J6</f>
        <v>46164.58465608464</v>
      </c>
      <c r="K6" t="str">
        <f t="shared" ca="1" si="0"/>
        <v>✅ On Time</v>
      </c>
    </row>
    <row r="7" spans="1:12" ht="15" customHeight="1" x14ac:dyDescent="0.3">
      <c r="A7" t="str">
        <f>Job_Master!A7</f>
        <v>BJ-100</v>
      </c>
      <c r="B7">
        <f>Job_Master!B7</f>
        <v>25</v>
      </c>
      <c r="C7" t="str">
        <f>Job_Master!C7</f>
        <v>SEG</v>
      </c>
      <c r="D7" t="str">
        <f>Job_Master!G7</f>
        <v>Low</v>
      </c>
      <c r="E7" t="str">
        <f>Job_Master!I7</f>
        <v>Released</v>
      </c>
      <c r="F7" t="str">
        <f ca="1">IF(QC_Plan!J7&lt;&gt;"","QC",IF(FID_Plan!J7&lt;&gt;"","FID",IF(VENT_Plan!J7&lt;&gt;"","VENT",IF(ENG_Plan!J7&lt;&gt;"","ENG",IF(EDM_Plan!J7&lt;&gt;"","EDM",IF(CARVING_Plan!J7&lt;&gt;"","CARVING",IF(SPM_Plan!J7&lt;&gt;"","SPM","VTL")))))))</f>
        <v>QC</v>
      </c>
      <c r="G7" s="62">
        <f ca="1">VTL_Plan!J7</f>
        <v>46115.884259259248</v>
      </c>
      <c r="H7" s="62">
        <f ca="1">QC_Plan!M7</f>
        <v>46178.949735449729</v>
      </c>
      <c r="I7" s="63">
        <f ca="1">(IF(VTL_Plan!M7&lt;&gt;"",1,0)+IF(SPM_Plan!M7&lt;&gt;"",1,0)+IF(CARVING_Plan!M7&lt;&gt;"",1,0)+IF(EDM_Plan!M7&lt;&gt;"",1,0)+IF(ENG_Plan!M7&lt;&gt;"",1,0)+IF(VENT_Plan!M7&lt;&gt;"",1,0)+IF(FID_Plan!M7&lt;&gt;"",1,0)+IF(QC_Plan!M7&lt;&gt;"",1,0))/8</f>
        <v>1</v>
      </c>
      <c r="J7" s="64">
        <f ca="1">Job_Master!J7</f>
        <v>46208.949735449729</v>
      </c>
      <c r="K7" t="str">
        <f t="shared" ca="1" si="0"/>
        <v>✅ On Time</v>
      </c>
    </row>
    <row r="8" spans="1:12" ht="15" customHeight="1" x14ac:dyDescent="0.3">
      <c r="A8" t="str">
        <f>Job_Master!A8</f>
        <v>BJ-102</v>
      </c>
      <c r="B8">
        <f>Job_Master!B8</f>
        <v>34</v>
      </c>
      <c r="C8" t="str">
        <f>Job_Master!C8</f>
        <v>SEG</v>
      </c>
      <c r="D8" t="str">
        <f>Job_Master!G8</f>
        <v>Medium</v>
      </c>
      <c r="E8" t="str">
        <f>Job_Master!I8</f>
        <v>Cancelled</v>
      </c>
      <c r="F8" t="str">
        <f ca="1">IF(QC_Plan!J8&lt;&gt;"","QC",IF(FID_Plan!J8&lt;&gt;"","FID",IF(VENT_Plan!J8&lt;&gt;"","VENT",IF(ENG_Plan!J8&lt;&gt;"","ENG",IF(EDM_Plan!J8&lt;&gt;"","EDM",IF(CARVING_Plan!J8&lt;&gt;"","CARVING",IF(SPM_Plan!J8&lt;&gt;"","SPM","VTL")))))))</f>
        <v>QC</v>
      </c>
      <c r="G8" s="62">
        <f ca="1">VTL_Plan!J8</f>
        <v>46113.291666666657</v>
      </c>
      <c r="H8" s="62">
        <f ca="1">QC_Plan!M8</f>
        <v>46190.01124338623</v>
      </c>
      <c r="I8" s="63">
        <f ca="1">(IF(VTL_Plan!M8&lt;&gt;"",1,0)+IF(SPM_Plan!M8&lt;&gt;"",1,0)+IF(CARVING_Plan!M8&lt;&gt;"",1,0)+IF(EDM_Plan!M8&lt;&gt;"",1,0)+IF(ENG_Plan!M8&lt;&gt;"",1,0)+IF(VENT_Plan!M8&lt;&gt;"",1,0)+IF(FID_Plan!M8&lt;&gt;"",1,0)+IF(QC_Plan!M8&lt;&gt;"",1,0))/8</f>
        <v>1</v>
      </c>
      <c r="J8" s="64">
        <f ca="1">Job_Master!J8</f>
        <v>46220.01124338623</v>
      </c>
      <c r="K8" t="str">
        <f t="shared" ca="1" si="0"/>
        <v>✅ On Time</v>
      </c>
    </row>
    <row r="9" spans="1:12" ht="15" customHeight="1" x14ac:dyDescent="0.3">
      <c r="A9" t="str">
        <f>Job_Master!A9</f>
        <v>BJ-103</v>
      </c>
      <c r="B9">
        <f>Job_Master!B9</f>
        <v>20</v>
      </c>
      <c r="C9" t="str">
        <f>Job_Master!C9</f>
        <v>RW</v>
      </c>
      <c r="D9" t="str">
        <f>Job_Master!G9</f>
        <v>Low</v>
      </c>
      <c r="E9" t="str">
        <f>Job_Master!I9</f>
        <v>Released</v>
      </c>
      <c r="F9" t="str">
        <f ca="1">IF(QC_Plan!J9&lt;&gt;"","QC",IF(FID_Plan!J9&lt;&gt;"","FID",IF(VENT_Plan!J9&lt;&gt;"","VENT",IF(ENG_Plan!J9&lt;&gt;"","ENG",IF(EDM_Plan!J9&lt;&gt;"","EDM",IF(CARVING_Plan!J9&lt;&gt;"","CARVING",IF(SPM_Plan!J9&lt;&gt;"","SPM","VTL")))))))</f>
        <v>QC</v>
      </c>
      <c r="G9" s="62">
        <f ca="1">VTL_Plan!J9</f>
        <v>46115.884259259248</v>
      </c>
      <c r="H9" s="62">
        <f ca="1">QC_Plan!M9</f>
        <v>46130.480820105811</v>
      </c>
      <c r="I9" s="63">
        <f ca="1">(IF(VTL_Plan!M9&lt;&gt;"",1,0)+IF(SPM_Plan!M9&lt;&gt;"",1,0)+IF(CARVING_Plan!M9&lt;&gt;"",1,0)+IF(EDM_Plan!M9&lt;&gt;"",1,0)+IF(ENG_Plan!M9&lt;&gt;"",1,0)+IF(VENT_Plan!M9&lt;&gt;"",1,0)+IF(FID_Plan!M9&lt;&gt;"",1,0)+IF(QC_Plan!M9&lt;&gt;"",1,0))/8</f>
        <v>1</v>
      </c>
      <c r="J9" s="64">
        <f ca="1">Job_Master!J9</f>
        <v>46160.480820105811</v>
      </c>
      <c r="K9" t="str">
        <f t="shared" ca="1" si="0"/>
        <v>✅ On Time</v>
      </c>
    </row>
    <row r="10" spans="1:12" ht="15" customHeight="1" x14ac:dyDescent="0.3">
      <c r="A10" t="str">
        <f>Job_Master!A10</f>
        <v>BJ-108</v>
      </c>
      <c r="B10">
        <f>Job_Master!B10</f>
        <v>70</v>
      </c>
      <c r="C10" t="str">
        <f>Job_Master!C10</f>
        <v>RW</v>
      </c>
      <c r="D10" t="str">
        <f>Job_Master!G10</f>
        <v>High</v>
      </c>
      <c r="E10" t="str">
        <f>Job_Master!I10</f>
        <v>Released</v>
      </c>
      <c r="F10" t="str">
        <f ca="1">IF(QC_Plan!J10&lt;&gt;"","QC",IF(FID_Plan!J10&lt;&gt;"","FID",IF(VENT_Plan!J10&lt;&gt;"","VENT",IF(ENG_Plan!J10&lt;&gt;"","ENG",IF(EDM_Plan!J10&lt;&gt;"","EDM",IF(CARVING_Plan!J10&lt;&gt;"","CARVING",IF(SPM_Plan!J10&lt;&gt;"","SPM","VTL")))))))</f>
        <v>QC</v>
      </c>
      <c r="G10" s="62">
        <f ca="1">VTL_Plan!J10</f>
        <v>46122.828703703693</v>
      </c>
      <c r="H10" s="62">
        <f ca="1">QC_Plan!M10</f>
        <v>46183.675264550257</v>
      </c>
      <c r="I10" s="63">
        <f ca="1">(IF(VTL_Plan!M10&lt;&gt;"",1,0)+IF(SPM_Plan!M10&lt;&gt;"",1,0)+IF(CARVING_Plan!M10&lt;&gt;"",1,0)+IF(EDM_Plan!M10&lt;&gt;"",1,0)+IF(ENG_Plan!M10&lt;&gt;"",1,0)+IF(VENT_Plan!M10&lt;&gt;"",1,0)+IF(FID_Plan!M10&lt;&gt;"",1,0)+IF(QC_Plan!M10&lt;&gt;"",1,0))/8</f>
        <v>1</v>
      </c>
      <c r="J10" s="64">
        <f ca="1">Job_Master!J10</f>
        <v>46213.675264550257</v>
      </c>
      <c r="K10" t="str">
        <f t="shared" ca="1" si="0"/>
        <v>✅ On Time</v>
      </c>
    </row>
    <row r="11" spans="1:12" ht="15" customHeight="1" x14ac:dyDescent="0.3">
      <c r="A11" t="str">
        <f>Job_Master!A11</f>
        <v>BJ-106</v>
      </c>
      <c r="B11">
        <f>Job_Master!B11</f>
        <v>15</v>
      </c>
      <c r="C11" t="str">
        <f>Job_Master!C11</f>
        <v>RW</v>
      </c>
      <c r="D11" t="str">
        <f>Job_Master!G11</f>
        <v>Low</v>
      </c>
      <c r="E11" t="str">
        <f>Job_Master!I11</f>
        <v>On Hold</v>
      </c>
      <c r="F11" t="str">
        <f ca="1">IF(QC_Plan!J11&lt;&gt;"","QC",IF(FID_Plan!J11&lt;&gt;"","FID",IF(VENT_Plan!J11&lt;&gt;"","VENT",IF(ENG_Plan!J11&lt;&gt;"","ENG",IF(EDM_Plan!J11&lt;&gt;"","EDM",IF(CARVING_Plan!J11&lt;&gt;"","CARVING",IF(SPM_Plan!J11&lt;&gt;"","SPM","VTL")))))))</f>
        <v>QC</v>
      </c>
      <c r="G11" s="62">
        <f ca="1">VTL_Plan!J11</f>
        <v>46117.736111111102</v>
      </c>
      <c r="H11" s="62">
        <f ca="1">QC_Plan!M11</f>
        <v>46125.259259259255</v>
      </c>
      <c r="I11" s="63">
        <f ca="1">(IF(VTL_Plan!M11&lt;&gt;"",1,0)+IF(SPM_Plan!M11&lt;&gt;"",1,0)+IF(CARVING_Plan!M11&lt;&gt;"",1,0)+IF(EDM_Plan!M11&lt;&gt;"",1,0)+IF(ENG_Plan!M11&lt;&gt;"",1,0)+IF(VENT_Plan!M11&lt;&gt;"",1,0)+IF(FID_Plan!M11&lt;&gt;"",1,0)+IF(QC_Plan!M11&lt;&gt;"",1,0))/8</f>
        <v>1</v>
      </c>
      <c r="J11" s="64">
        <f ca="1">Job_Master!J11</f>
        <v>46155.259259259255</v>
      </c>
      <c r="K11" t="str">
        <f t="shared" ca="1" si="0"/>
        <v>✅ On Time</v>
      </c>
    </row>
    <row r="12" spans="1:12" ht="15" customHeight="1" x14ac:dyDescent="0.3">
      <c r="A12" t="str">
        <f>Job_Master!A12</f>
        <v>BJ-109</v>
      </c>
      <c r="B12">
        <f>Job_Master!B12</f>
        <v>30</v>
      </c>
      <c r="C12" t="str">
        <f>Job_Master!C12</f>
        <v>RW</v>
      </c>
      <c r="D12" t="str">
        <f>Job_Master!G12</f>
        <v>Medium</v>
      </c>
      <c r="E12" t="str">
        <f>Job_Master!I12</f>
        <v>Released</v>
      </c>
      <c r="F12" t="str">
        <f ca="1">IF(QC_Plan!J12&lt;&gt;"","QC",IF(FID_Plan!J12&lt;&gt;"","FID",IF(VENT_Plan!J12&lt;&gt;"","VENT",IF(ENG_Plan!J12&lt;&gt;"","ENG",IF(EDM_Plan!J12&lt;&gt;"","EDM",IF(CARVING_Plan!J12&lt;&gt;"","CARVING",IF(SPM_Plan!J12&lt;&gt;"","SPM","VTL")))))))</f>
        <v>QC</v>
      </c>
      <c r="G12" s="62">
        <f ca="1">VTL_Plan!J12</f>
        <v>46121.069444444438</v>
      </c>
      <c r="H12" s="62">
        <f ca="1">QC_Plan!M12</f>
        <v>46141.91931216931</v>
      </c>
      <c r="I12" s="63">
        <f ca="1">(IF(VTL_Plan!M12&lt;&gt;"",1,0)+IF(SPM_Plan!M12&lt;&gt;"",1,0)+IF(CARVING_Plan!M12&lt;&gt;"",1,0)+IF(EDM_Plan!M12&lt;&gt;"",1,0)+IF(ENG_Plan!M12&lt;&gt;"",1,0)+IF(VENT_Plan!M12&lt;&gt;"",1,0)+IF(FID_Plan!M12&lt;&gt;"",1,0)+IF(QC_Plan!M12&lt;&gt;"",1,0))/8</f>
        <v>1</v>
      </c>
      <c r="J12" s="64">
        <f ca="1">Job_Master!J12</f>
        <v>46171.91931216931</v>
      </c>
      <c r="K12" t="str">
        <f t="shared" ca="1" si="0"/>
        <v>✅ On Time</v>
      </c>
    </row>
    <row r="13" spans="1:12" ht="15" customHeight="1" x14ac:dyDescent="0.3">
      <c r="A13" t="str">
        <f>Job_Master!A13</f>
        <v>BJ-110</v>
      </c>
      <c r="B13">
        <f>Job_Master!B13</f>
        <v>17</v>
      </c>
      <c r="C13" t="str">
        <f>Job_Master!C13</f>
        <v>2P</v>
      </c>
      <c r="D13" t="str">
        <f>Job_Master!G13</f>
        <v>Low</v>
      </c>
      <c r="E13" t="str">
        <f>Job_Master!I13</f>
        <v>Released</v>
      </c>
      <c r="F13" t="str">
        <f ca="1">IF(QC_Plan!J13&lt;&gt;"","QC",IF(FID_Plan!J13&lt;&gt;"","FID",IF(VENT_Plan!J13&lt;&gt;"","VENT",IF(ENG_Plan!J13&lt;&gt;"","ENG",IF(EDM_Plan!J13&lt;&gt;"","EDM",IF(CARVING_Plan!J13&lt;&gt;"","CARVING",IF(SPM_Plan!J13&lt;&gt;"","SPM","VTL")))))))</f>
        <v>QC</v>
      </c>
      <c r="G13" s="62">
        <f ca="1">VTL_Plan!J13</f>
        <v>46119.124999999993</v>
      </c>
      <c r="H13" s="62">
        <f ca="1">QC_Plan!M13</f>
        <v>46128.923280423267</v>
      </c>
      <c r="I13" s="63">
        <f ca="1">(IF(VTL_Plan!M13&lt;&gt;"",1,0)+IF(SPM_Plan!M13&lt;&gt;"",1,0)+IF(CARVING_Plan!M13&lt;&gt;"",1,0)+IF(EDM_Plan!M13&lt;&gt;"",1,0)+IF(ENG_Plan!M13&lt;&gt;"",1,0)+IF(VENT_Plan!M13&lt;&gt;"",1,0)+IF(FID_Plan!M13&lt;&gt;"",1,0)+IF(QC_Plan!M13&lt;&gt;"",1,0))/8</f>
        <v>1</v>
      </c>
      <c r="J13" s="64">
        <f ca="1">Job_Master!J13</f>
        <v>46158.923280423267</v>
      </c>
      <c r="K13" t="str">
        <f t="shared" ca="1" si="0"/>
        <v>✅ On Time</v>
      </c>
    </row>
    <row r="14" spans="1:12" ht="15" customHeight="1" x14ac:dyDescent="0.3">
      <c r="A14" t="str">
        <f>Job_Master!A14</f>
        <v>BJ-111</v>
      </c>
      <c r="B14">
        <f>Job_Master!B14</f>
        <v>25</v>
      </c>
      <c r="C14" t="str">
        <f>Job_Master!C14</f>
        <v>RW</v>
      </c>
      <c r="D14" t="str">
        <f>Job_Master!G14</f>
        <v>Low</v>
      </c>
      <c r="E14" t="str">
        <f>Job_Master!I14</f>
        <v>Released</v>
      </c>
      <c r="F14" t="str">
        <f ca="1">IF(QC_Plan!J14&lt;&gt;"","QC",IF(FID_Plan!J14&lt;&gt;"","FID",IF(VENT_Plan!J14&lt;&gt;"","VENT",IF(ENG_Plan!J14&lt;&gt;"","ENG",IF(EDM_Plan!J14&lt;&gt;"","EDM",IF(CARVING_Plan!J14&lt;&gt;"","CARVING",IF(SPM_Plan!J14&lt;&gt;"","SPM","VTL")))))))</f>
        <v>QC</v>
      </c>
      <c r="G14" s="62">
        <f ca="1">VTL_Plan!J14</f>
        <v>46120.699074074066</v>
      </c>
      <c r="H14" s="62">
        <f ca="1">QC_Plan!M14</f>
        <v>46137.78571428571</v>
      </c>
      <c r="I14" s="63">
        <f ca="1">(IF(VTL_Plan!M14&lt;&gt;"",1,0)+IF(SPM_Plan!M14&lt;&gt;"",1,0)+IF(CARVING_Plan!M14&lt;&gt;"",1,0)+IF(EDM_Plan!M14&lt;&gt;"",1,0)+IF(ENG_Plan!M14&lt;&gt;"",1,0)+IF(VENT_Plan!M14&lt;&gt;"",1,0)+IF(FID_Plan!M14&lt;&gt;"",1,0)+IF(QC_Plan!M14&lt;&gt;"",1,0))/8</f>
        <v>1</v>
      </c>
      <c r="J14" s="64">
        <f ca="1">Job_Master!J14</f>
        <v>46167.78571428571</v>
      </c>
      <c r="K14" t="str">
        <f t="shared" ca="1" si="0"/>
        <v>✅ On Time</v>
      </c>
    </row>
    <row r="15" spans="1:12" ht="15" customHeight="1" x14ac:dyDescent="0.3">
      <c r="A15" t="str">
        <f>Job_Master!A15</f>
        <v>BJ-107</v>
      </c>
      <c r="B15">
        <f>Job_Master!B15</f>
        <v>20</v>
      </c>
      <c r="C15" t="str">
        <f>Job_Master!C15</f>
        <v>SEG</v>
      </c>
      <c r="D15" t="str">
        <f>Job_Master!G15</f>
        <v>Low</v>
      </c>
      <c r="E15" t="str">
        <f>Job_Master!I15</f>
        <v>On Hold</v>
      </c>
      <c r="F15" t="str">
        <f ca="1">IF(QC_Plan!J15&lt;&gt;"","QC",IF(FID_Plan!J15&lt;&gt;"","FID",IF(VENT_Plan!J15&lt;&gt;"","VENT",IF(ENG_Plan!J15&lt;&gt;"","ENG",IF(EDM_Plan!J15&lt;&gt;"","EDM",IF(CARVING_Plan!J15&lt;&gt;"","CARVING",IF(SPM_Plan!J15&lt;&gt;"","SPM","VTL")))))))</f>
        <v>QC</v>
      </c>
      <c r="G15" s="62">
        <f ca="1">VTL_Plan!J15</f>
        <v>46123.013888888883</v>
      </c>
      <c r="H15" s="62">
        <f ca="1">QC_Plan!M15</f>
        <v>46175.199735449722</v>
      </c>
      <c r="I15" s="63">
        <f ca="1">(IF(VTL_Plan!M15&lt;&gt;"",1,0)+IF(SPM_Plan!M15&lt;&gt;"",1,0)+IF(CARVING_Plan!M15&lt;&gt;"",1,0)+IF(EDM_Plan!M15&lt;&gt;"",1,0)+IF(ENG_Plan!M15&lt;&gt;"",1,0)+IF(VENT_Plan!M15&lt;&gt;"",1,0)+IF(FID_Plan!M15&lt;&gt;"",1,0)+IF(QC_Plan!M15&lt;&gt;"",1,0))/8</f>
        <v>1</v>
      </c>
      <c r="J15" s="64">
        <f ca="1">Job_Master!J15</f>
        <v>46205.199735449722</v>
      </c>
      <c r="K15" t="str">
        <f t="shared" ca="1" si="0"/>
        <v>✅ On Time</v>
      </c>
    </row>
    <row r="16" spans="1:12" ht="15" customHeight="1" x14ac:dyDescent="0.3">
      <c r="A16" t="str">
        <f>Job_Master!A16</f>
        <v>BJ-112</v>
      </c>
      <c r="B16">
        <f>Job_Master!B16</f>
        <v>17</v>
      </c>
      <c r="C16" t="str">
        <f>Job_Master!C16</f>
        <v>2P</v>
      </c>
      <c r="D16" t="str">
        <f>Job_Master!G16</f>
        <v>Low</v>
      </c>
      <c r="E16" t="str">
        <f>Job_Master!I16</f>
        <v>Released</v>
      </c>
      <c r="F16" t="str">
        <f ca="1">IF(QC_Plan!J16&lt;&gt;"","QC",IF(FID_Plan!J16&lt;&gt;"","FID",IF(VENT_Plan!J16&lt;&gt;"","VENT",IF(ENG_Plan!J16&lt;&gt;"","ENG",IF(EDM_Plan!J16&lt;&gt;"","EDM",IF(CARVING_Plan!J16&lt;&gt;"","CARVING",IF(SPM_Plan!J16&lt;&gt;"","SPM","VTL")))))))</f>
        <v>QC</v>
      </c>
      <c r="G16" s="62">
        <f ca="1">VTL_Plan!J16</f>
        <v>46128.569444444438</v>
      </c>
      <c r="H16" s="62">
        <f ca="1">QC_Plan!M16</f>
        <v>46141.608465608449</v>
      </c>
      <c r="I16" s="63">
        <f ca="1">(IF(VTL_Plan!M16&lt;&gt;"",1,0)+IF(SPM_Plan!M16&lt;&gt;"",1,0)+IF(CARVING_Plan!M16&lt;&gt;"",1,0)+IF(EDM_Plan!M16&lt;&gt;"",1,0)+IF(ENG_Plan!M16&lt;&gt;"",1,0)+IF(VENT_Plan!M16&lt;&gt;"",1,0)+IF(FID_Plan!M16&lt;&gt;"",1,0)+IF(QC_Plan!M16&lt;&gt;"",1,0))/8</f>
        <v>1</v>
      </c>
      <c r="J16" s="64">
        <f ca="1">Job_Master!J16</f>
        <v>46171.608465608449</v>
      </c>
      <c r="K16" t="str">
        <f t="shared" ca="1" si="0"/>
        <v>✅ On Time</v>
      </c>
    </row>
    <row r="17" spans="1:11" ht="15" customHeight="1" x14ac:dyDescent="0.3">
      <c r="A17" t="str">
        <f>Job_Master!A17</f>
        <v>BJ-114</v>
      </c>
      <c r="B17">
        <f>Job_Master!B17</f>
        <v>50</v>
      </c>
      <c r="C17" t="str">
        <f>Job_Master!C17</f>
        <v>SEG</v>
      </c>
      <c r="D17" t="str">
        <f>Job_Master!G17</f>
        <v>High</v>
      </c>
      <c r="E17" t="str">
        <f>Job_Master!I17</f>
        <v>Released</v>
      </c>
      <c r="F17" t="str">
        <f ca="1">IF(QC_Plan!J17&lt;&gt;"","QC",IF(FID_Plan!J17&lt;&gt;"","FID",IF(VENT_Plan!J17&lt;&gt;"","VENT",IF(ENG_Plan!J17&lt;&gt;"","ENG",IF(EDM_Plan!J17&lt;&gt;"","EDM",IF(CARVING_Plan!J17&lt;&gt;"","CARVING",IF(SPM_Plan!J17&lt;&gt;"","SPM","VTL")))))))</f>
        <v>QC</v>
      </c>
      <c r="G17" s="62">
        <f ca="1">VTL_Plan!J17</f>
        <v>46122.736111111102</v>
      </c>
      <c r="H17" s="62">
        <f ca="1">QC_Plan!M17</f>
        <v>46239.495370370365</v>
      </c>
      <c r="I17" s="63">
        <f ca="1">(IF(VTL_Plan!M17&lt;&gt;"",1,0)+IF(SPM_Plan!M17&lt;&gt;"",1,0)+IF(CARVING_Plan!M17&lt;&gt;"",1,0)+IF(EDM_Plan!M17&lt;&gt;"",1,0)+IF(ENG_Plan!M17&lt;&gt;"",1,0)+IF(VENT_Plan!M17&lt;&gt;"",1,0)+IF(FID_Plan!M17&lt;&gt;"",1,0)+IF(QC_Plan!M17&lt;&gt;"",1,0))/8</f>
        <v>1</v>
      </c>
      <c r="J17" s="64">
        <f ca="1">Job_Master!J17</f>
        <v>46269.495370370365</v>
      </c>
      <c r="K17" t="str">
        <f t="shared" ca="1" si="0"/>
        <v>✅ On Time</v>
      </c>
    </row>
    <row r="18" spans="1:11" ht="15" customHeight="1" x14ac:dyDescent="0.3">
      <c r="A18" t="str">
        <f>Job_Master!A18</f>
        <v>BJ-115</v>
      </c>
      <c r="B18">
        <f>Job_Master!B18</f>
        <v>46</v>
      </c>
      <c r="C18" t="str">
        <f>Job_Master!C18</f>
        <v>2P</v>
      </c>
      <c r="D18" t="str">
        <f>Job_Master!G18</f>
        <v>High</v>
      </c>
      <c r="E18" t="str">
        <f>Job_Master!I18</f>
        <v>Cancelled</v>
      </c>
      <c r="F18" t="str">
        <f ca="1">IF(QC_Plan!J18&lt;&gt;"","QC",IF(FID_Plan!J18&lt;&gt;"","FID",IF(VENT_Plan!J18&lt;&gt;"","VENT",IF(ENG_Plan!J18&lt;&gt;"","ENG",IF(EDM_Plan!J18&lt;&gt;"","EDM",IF(CARVING_Plan!J18&lt;&gt;"","CARVING",IF(SPM_Plan!J18&lt;&gt;"","SPM","VTL")))))))</f>
        <v>QC</v>
      </c>
      <c r="G18" s="62">
        <f ca="1">VTL_Plan!J18</f>
        <v>46123.847222222219</v>
      </c>
      <c r="H18" s="62">
        <f ca="1">QC_Plan!M18</f>
        <v>46156.813492063491</v>
      </c>
      <c r="I18" s="63">
        <f ca="1">(IF(VTL_Plan!M18&lt;&gt;"",1,0)+IF(SPM_Plan!M18&lt;&gt;"",1,0)+IF(CARVING_Plan!M18&lt;&gt;"",1,0)+IF(EDM_Plan!M18&lt;&gt;"",1,0)+IF(ENG_Plan!M18&lt;&gt;"",1,0)+IF(VENT_Plan!M18&lt;&gt;"",1,0)+IF(FID_Plan!M18&lt;&gt;"",1,0)+IF(QC_Plan!M18&lt;&gt;"",1,0))/8</f>
        <v>1</v>
      </c>
      <c r="J18" s="64">
        <f ca="1">Job_Master!J18</f>
        <v>46186.813492063491</v>
      </c>
      <c r="K18" t="str">
        <f t="shared" ca="1" si="0"/>
        <v>✅ On Time</v>
      </c>
    </row>
    <row r="19" spans="1:11" ht="15" customHeight="1" x14ac:dyDescent="0.3">
      <c r="A19" t="str">
        <f>Job_Master!A19</f>
        <v>BJ-116</v>
      </c>
      <c r="B19">
        <f>Job_Master!B19</f>
        <v>54</v>
      </c>
      <c r="C19" t="str">
        <f>Job_Master!C19</f>
        <v>2P</v>
      </c>
      <c r="D19" t="str">
        <f>Job_Master!G19</f>
        <v>High</v>
      </c>
      <c r="E19" t="str">
        <f>Job_Master!I19</f>
        <v>Released</v>
      </c>
      <c r="F19" t="str">
        <f ca="1">IF(QC_Plan!J19&lt;&gt;"","QC",IF(FID_Plan!J19&lt;&gt;"","FID",IF(VENT_Plan!J19&lt;&gt;"","VENT",IF(ENG_Plan!J19&lt;&gt;"","ENG",IF(EDM_Plan!J19&lt;&gt;"","EDM",IF(CARVING_Plan!J19&lt;&gt;"","CARVING",IF(SPM_Plan!J19&lt;&gt;"","SPM","VTL")))))))</f>
        <v>QC</v>
      </c>
      <c r="G19" s="62">
        <f ca="1">VTL_Plan!J19</f>
        <v>46129.310185185175</v>
      </c>
      <c r="H19" s="62">
        <f ca="1">QC_Plan!M19</f>
        <v>46182.167328042313</v>
      </c>
      <c r="I19" s="63">
        <f ca="1">(IF(VTL_Plan!M19&lt;&gt;"",1,0)+IF(SPM_Plan!M19&lt;&gt;"",1,0)+IF(CARVING_Plan!M19&lt;&gt;"",1,0)+IF(EDM_Plan!M19&lt;&gt;"",1,0)+IF(ENG_Plan!M19&lt;&gt;"",1,0)+IF(VENT_Plan!M19&lt;&gt;"",1,0)+IF(FID_Plan!M19&lt;&gt;"",1,0)+IF(QC_Plan!M19&lt;&gt;"",1,0))/8</f>
        <v>1</v>
      </c>
      <c r="J19" s="64">
        <f ca="1">Job_Master!J19</f>
        <v>46212.167328042313</v>
      </c>
      <c r="K19" t="str">
        <f t="shared" ca="1" si="0"/>
        <v>✅ On Time</v>
      </c>
    </row>
    <row r="20" spans="1:11" ht="15" customHeight="1" x14ac:dyDescent="0.3">
      <c r="A20" t="str">
        <f>Job_Master!A20</f>
        <v>BJ-118</v>
      </c>
      <c r="B20">
        <f>Job_Master!B20</f>
        <v>28</v>
      </c>
      <c r="C20" t="str">
        <f>Job_Master!C20</f>
        <v>SOL</v>
      </c>
      <c r="D20" t="str">
        <f>Job_Master!G20</f>
        <v>Medium</v>
      </c>
      <c r="E20" t="str">
        <f>Job_Master!I20</f>
        <v>Released</v>
      </c>
      <c r="F20" t="str">
        <f ca="1">IF(QC_Plan!J20&lt;&gt;"","QC",IF(FID_Plan!J20&lt;&gt;"","FID",IF(VENT_Plan!J20&lt;&gt;"","VENT",IF(ENG_Plan!J20&lt;&gt;"","ENG",IF(EDM_Plan!J20&lt;&gt;"","EDM",IF(CARVING_Plan!J20&lt;&gt;"","CARVING",IF(SPM_Plan!J20&lt;&gt;"","SPM","VTL")))))))</f>
        <v>QC</v>
      </c>
      <c r="G20" s="62">
        <f ca="1">VTL_Plan!J20</f>
        <v>46128.106481481482</v>
      </c>
      <c r="H20" s="62">
        <f ca="1">QC_Plan!M20</f>
        <v>46166.750661375649</v>
      </c>
      <c r="I20" s="63">
        <f ca="1">(IF(VTL_Plan!M20&lt;&gt;"",1,0)+IF(SPM_Plan!M20&lt;&gt;"",1,0)+IF(CARVING_Plan!M20&lt;&gt;"",1,0)+IF(EDM_Plan!M20&lt;&gt;"",1,0)+IF(ENG_Plan!M20&lt;&gt;"",1,0)+IF(VENT_Plan!M20&lt;&gt;"",1,0)+IF(FID_Plan!M20&lt;&gt;"",1,0)+IF(QC_Plan!M20&lt;&gt;"",1,0))/8</f>
        <v>1</v>
      </c>
      <c r="J20" s="64">
        <f ca="1">Job_Master!J20</f>
        <v>46196.750661375649</v>
      </c>
      <c r="K20" t="str">
        <f t="shared" ca="1" si="0"/>
        <v>✅ On Time</v>
      </c>
    </row>
    <row r="21" spans="1:11" ht="15" customHeight="1" x14ac:dyDescent="0.3">
      <c r="A21" t="str">
        <f>Job_Master!A21</f>
        <v>BJ-119</v>
      </c>
      <c r="B21">
        <f>Job_Master!B21</f>
        <v>63</v>
      </c>
      <c r="C21" t="str">
        <f>Job_Master!C21</f>
        <v>SOL</v>
      </c>
      <c r="D21" t="str">
        <f>Job_Master!G21</f>
        <v>High</v>
      </c>
      <c r="E21" t="str">
        <f>Job_Master!I21</f>
        <v>On Hold</v>
      </c>
      <c r="F21" t="str">
        <f ca="1">IF(QC_Plan!J21&lt;&gt;"","QC",IF(FID_Plan!J21&lt;&gt;"","FID",IF(VENT_Plan!J21&lt;&gt;"","VENT",IF(ENG_Plan!J21&lt;&gt;"","ENG",IF(EDM_Plan!J21&lt;&gt;"","EDM",IF(CARVING_Plan!J21&lt;&gt;"","CARVING",IF(SPM_Plan!J21&lt;&gt;"","SPM","VTL")))))))</f>
        <v>QC</v>
      </c>
      <c r="G21" s="62">
        <f ca="1">VTL_Plan!J21</f>
        <v>46134.310185185175</v>
      </c>
      <c r="H21" s="62">
        <f ca="1">QC_Plan!M21</f>
        <v>46258.655423280419</v>
      </c>
      <c r="I21" s="63">
        <f ca="1">(IF(VTL_Plan!M21&lt;&gt;"",1,0)+IF(SPM_Plan!M21&lt;&gt;"",1,0)+IF(CARVING_Plan!M21&lt;&gt;"",1,0)+IF(EDM_Plan!M21&lt;&gt;"",1,0)+IF(ENG_Plan!M21&lt;&gt;"",1,0)+IF(VENT_Plan!M21&lt;&gt;"",1,0)+IF(FID_Plan!M21&lt;&gt;"",1,0)+IF(QC_Plan!M21&lt;&gt;"",1,0))/8</f>
        <v>1</v>
      </c>
      <c r="J21" s="64">
        <f ca="1">Job_Master!J21</f>
        <v>46288.655423280419</v>
      </c>
      <c r="K21" t="str">
        <f t="shared" ca="1" si="0"/>
        <v>✅ On Time</v>
      </c>
    </row>
    <row r="22" spans="1:11" ht="15" customHeight="1" x14ac:dyDescent="0.3">
      <c r="A22" t="str">
        <f>Job_Master!A22</f>
        <v>BJ-120</v>
      </c>
      <c r="B22">
        <f>Job_Master!B22</f>
        <v>46</v>
      </c>
      <c r="C22" t="str">
        <f>Job_Master!C22</f>
        <v>2P</v>
      </c>
      <c r="D22" t="str">
        <f>Job_Master!G22</f>
        <v>High</v>
      </c>
      <c r="E22" t="str">
        <f>Job_Master!I22</f>
        <v>Released</v>
      </c>
      <c r="F22" t="str">
        <f ca="1">IF(QC_Plan!J22&lt;&gt;"","QC",IF(FID_Plan!J22&lt;&gt;"","FID",IF(VENT_Plan!J22&lt;&gt;"","VENT",IF(ENG_Plan!J22&lt;&gt;"","ENG",IF(EDM_Plan!J22&lt;&gt;"","EDM",IF(CARVING_Plan!J22&lt;&gt;"","CARVING",IF(SPM_Plan!J22&lt;&gt;"","SPM","VTL")))))))</f>
        <v>QC</v>
      </c>
      <c r="G22" s="62">
        <f ca="1">VTL_Plan!J22</f>
        <v>46133.291666666664</v>
      </c>
      <c r="H22" s="62">
        <f ca="1">QC_Plan!M22</f>
        <v>46166.257936507936</v>
      </c>
      <c r="I22" s="63">
        <f ca="1">(IF(VTL_Plan!M22&lt;&gt;"",1,0)+IF(SPM_Plan!M22&lt;&gt;"",1,0)+IF(CARVING_Plan!M22&lt;&gt;"",1,0)+IF(EDM_Plan!M22&lt;&gt;"",1,0)+IF(ENG_Plan!M22&lt;&gt;"",1,0)+IF(VENT_Plan!M22&lt;&gt;"",1,0)+IF(FID_Plan!M22&lt;&gt;"",1,0)+IF(QC_Plan!M22&lt;&gt;"",1,0))/8</f>
        <v>1</v>
      </c>
      <c r="J22" s="64">
        <f ca="1">Job_Master!J22</f>
        <v>46196.257936507936</v>
      </c>
      <c r="K22" t="str">
        <f t="shared" ca="1" si="0"/>
        <v>✅ On Time</v>
      </c>
    </row>
    <row r="23" spans="1:11" ht="15" customHeight="1" x14ac:dyDescent="0.3">
      <c r="A23" t="str">
        <f>Job_Master!A23</f>
        <v>BJ-113</v>
      </c>
      <c r="B23">
        <f>Job_Master!B23</f>
        <v>9</v>
      </c>
      <c r="C23" t="str">
        <f>Job_Master!C23</f>
        <v>SEG</v>
      </c>
      <c r="D23" t="str">
        <f>Job_Master!G23</f>
        <v>Low</v>
      </c>
      <c r="E23" t="str">
        <f>Job_Master!I23</f>
        <v>Released</v>
      </c>
      <c r="F23" t="str">
        <f ca="1">IF(QC_Plan!J23&lt;&gt;"","QC",IF(FID_Plan!J23&lt;&gt;"","FID",IF(VENT_Plan!J23&lt;&gt;"","VENT",IF(ENG_Plan!J23&lt;&gt;"","ENG",IF(EDM_Plan!J23&lt;&gt;"","EDM",IF(CARVING_Plan!J23&lt;&gt;"","CARVING",IF(SPM_Plan!J23&lt;&gt;"","SPM","VTL")))))))</f>
        <v>QC</v>
      </c>
      <c r="G23" s="62">
        <f ca="1">VTL_Plan!J23</f>
        <v>46130.143518518511</v>
      </c>
      <c r="H23" s="62">
        <f ca="1">QC_Plan!M23</f>
        <v>46166.813492063491</v>
      </c>
      <c r="I23" s="63">
        <f ca="1">(IF(VTL_Plan!M23&lt;&gt;"",1,0)+IF(SPM_Plan!M23&lt;&gt;"",1,0)+IF(CARVING_Plan!M23&lt;&gt;"",1,0)+IF(EDM_Plan!M23&lt;&gt;"",1,0)+IF(ENG_Plan!M23&lt;&gt;"",1,0)+IF(VENT_Plan!M23&lt;&gt;"",1,0)+IF(FID_Plan!M23&lt;&gt;"",1,0)+IF(QC_Plan!M23&lt;&gt;"",1,0))/8</f>
        <v>1</v>
      </c>
      <c r="J23" s="64">
        <f ca="1">Job_Master!J23</f>
        <v>46196.813492063491</v>
      </c>
      <c r="K23" t="str">
        <f t="shared" ca="1" si="0"/>
        <v>✅ On Time</v>
      </c>
    </row>
    <row r="24" spans="1:11" ht="15" customHeight="1" x14ac:dyDescent="0.3">
      <c r="A24" t="str">
        <f>Job_Master!A24</f>
        <v>BJ-121</v>
      </c>
      <c r="B24">
        <f>Job_Master!B24</f>
        <v>57</v>
      </c>
      <c r="C24" t="str">
        <f>Job_Master!C24</f>
        <v>RW</v>
      </c>
      <c r="D24" t="str">
        <f>Job_Master!G24</f>
        <v>High</v>
      </c>
      <c r="E24" t="str">
        <f>Job_Master!I24</f>
        <v>Released</v>
      </c>
      <c r="F24" t="str">
        <f ca="1">IF(QC_Plan!J24&lt;&gt;"","QC",IF(FID_Plan!J24&lt;&gt;"","FID",IF(VENT_Plan!J24&lt;&gt;"","VENT",IF(ENG_Plan!J24&lt;&gt;"","ENG",IF(EDM_Plan!J24&lt;&gt;"","EDM",IF(CARVING_Plan!J24&lt;&gt;"","CARVING",IF(SPM_Plan!J24&lt;&gt;"","SPM","VTL")))))))</f>
        <v>QC</v>
      </c>
      <c r="G24" s="62">
        <f ca="1">VTL_Plan!J24</f>
        <v>46136.624999999993</v>
      </c>
      <c r="H24" s="62">
        <f ca="1">QC_Plan!M24</f>
        <v>46190.804894179884</v>
      </c>
      <c r="I24" s="63">
        <f ca="1">(IF(VTL_Plan!M24&lt;&gt;"",1,0)+IF(SPM_Plan!M24&lt;&gt;"",1,0)+IF(CARVING_Plan!M24&lt;&gt;"",1,0)+IF(EDM_Plan!M24&lt;&gt;"",1,0)+IF(ENG_Plan!M24&lt;&gt;"",1,0)+IF(VENT_Plan!M24&lt;&gt;"",1,0)+IF(FID_Plan!M24&lt;&gt;"",1,0)+IF(QC_Plan!M24&lt;&gt;"",1,0))/8</f>
        <v>1</v>
      </c>
      <c r="J24" s="64">
        <f ca="1">Job_Master!J24</f>
        <v>46220.804894179884</v>
      </c>
      <c r="K24" t="str">
        <f t="shared" ca="1" si="0"/>
        <v>✅ On Time</v>
      </c>
    </row>
    <row r="25" spans="1:11" ht="15" customHeight="1" x14ac:dyDescent="0.3">
      <c r="A25" t="str">
        <f>Job_Master!A25</f>
        <v>BJ-123</v>
      </c>
      <c r="B25">
        <f>Job_Master!B25</f>
        <v>46</v>
      </c>
      <c r="C25" t="str">
        <f>Job_Master!C25</f>
        <v>RW</v>
      </c>
      <c r="D25" t="str">
        <f>Job_Master!G25</f>
        <v>High</v>
      </c>
      <c r="E25" t="str">
        <f>Job_Master!I25</f>
        <v>On Hold</v>
      </c>
      <c r="F25" t="str">
        <f ca="1">IF(QC_Plan!J25&lt;&gt;"","QC",IF(FID_Plan!J25&lt;&gt;"","FID",IF(VENT_Plan!J25&lt;&gt;"","VENT",IF(ENG_Plan!J25&lt;&gt;"","ENG",IF(EDM_Plan!J25&lt;&gt;"","EDM",IF(CARVING_Plan!J25&lt;&gt;"","CARVING",IF(SPM_Plan!J25&lt;&gt;"","SPM","VTL")))))))</f>
        <v>QC</v>
      </c>
      <c r="G25" s="62">
        <f ca="1">VTL_Plan!J25</f>
        <v>46137.550925925927</v>
      </c>
      <c r="H25" s="62">
        <f ca="1">QC_Plan!M25</f>
        <v>46173.420634920622</v>
      </c>
      <c r="I25" s="63">
        <f ca="1">(IF(VTL_Plan!M25&lt;&gt;"",1,0)+IF(SPM_Plan!M25&lt;&gt;"",1,0)+IF(CARVING_Plan!M25&lt;&gt;"",1,0)+IF(EDM_Plan!M25&lt;&gt;"",1,0)+IF(ENG_Plan!M25&lt;&gt;"",1,0)+IF(VENT_Plan!M25&lt;&gt;"",1,0)+IF(FID_Plan!M25&lt;&gt;"",1,0)+IF(QC_Plan!M25&lt;&gt;"",1,0))/8</f>
        <v>1</v>
      </c>
      <c r="J25" s="64">
        <f ca="1">Job_Master!J25</f>
        <v>46203.420634920622</v>
      </c>
      <c r="K25" t="str">
        <f t="shared" ca="1" si="0"/>
        <v>✅ On Time</v>
      </c>
    </row>
    <row r="26" spans="1:11" ht="15" customHeight="1" x14ac:dyDescent="0.3">
      <c r="A26" t="str">
        <f>Job_Master!A26</f>
        <v>BJ-117</v>
      </c>
      <c r="B26">
        <f>Job_Master!B26</f>
        <v>15</v>
      </c>
      <c r="C26" t="str">
        <f>Job_Master!C26</f>
        <v>RW</v>
      </c>
      <c r="D26" t="str">
        <f>Job_Master!G26</f>
        <v>Low</v>
      </c>
      <c r="E26" t="str">
        <f>Job_Master!I26</f>
        <v>Released</v>
      </c>
      <c r="F26" t="str">
        <f ca="1">IF(QC_Plan!J26&lt;&gt;"","QC",IF(FID_Plan!J26&lt;&gt;"","FID",IF(VENT_Plan!J26&lt;&gt;"","VENT",IF(ENG_Plan!J26&lt;&gt;"","ENG",IF(EDM_Plan!J26&lt;&gt;"","EDM",IF(CARVING_Plan!J26&lt;&gt;"","CARVING",IF(SPM_Plan!J26&lt;&gt;"","SPM","VTL")))))))</f>
        <v>QC</v>
      </c>
      <c r="G26" s="62">
        <f ca="1">VTL_Plan!J26</f>
        <v>46132.643518518511</v>
      </c>
      <c r="H26" s="62">
        <f ca="1">QC_Plan!M26</f>
        <v>46167.461640211637</v>
      </c>
      <c r="I26" s="63">
        <f ca="1">(IF(VTL_Plan!M26&lt;&gt;"",1,0)+IF(SPM_Plan!M26&lt;&gt;"",1,0)+IF(CARVING_Plan!M26&lt;&gt;"",1,0)+IF(EDM_Plan!M26&lt;&gt;"",1,0)+IF(ENG_Plan!M26&lt;&gt;"",1,0)+IF(VENT_Plan!M26&lt;&gt;"",1,0)+IF(FID_Plan!M26&lt;&gt;"",1,0)+IF(QC_Plan!M26&lt;&gt;"",1,0))/8</f>
        <v>1</v>
      </c>
      <c r="J26" s="64">
        <f ca="1">Job_Master!J26</f>
        <v>46197.461640211637</v>
      </c>
      <c r="K26" t="str">
        <f t="shared" ca="1" si="0"/>
        <v>✅ On Time</v>
      </c>
    </row>
    <row r="27" spans="1:11" ht="15" customHeight="1" x14ac:dyDescent="0.3">
      <c r="A27" t="str">
        <f>Job_Master!A27</f>
        <v>BJ-122</v>
      </c>
      <c r="B27">
        <f>Job_Master!B27</f>
        <v>54</v>
      </c>
      <c r="C27" t="str">
        <f>Job_Master!C27</f>
        <v>SOL</v>
      </c>
      <c r="D27" t="str">
        <f>Job_Master!G27</f>
        <v>High</v>
      </c>
      <c r="E27" t="str">
        <f>Job_Master!I27</f>
        <v>Released</v>
      </c>
      <c r="F27" t="str">
        <f ca="1">IF(QC_Plan!J27&lt;&gt;"","QC",IF(FID_Plan!J27&lt;&gt;"","FID",IF(VENT_Plan!J27&lt;&gt;"","VENT",IF(ENG_Plan!J27&lt;&gt;"","ENG",IF(EDM_Plan!J27&lt;&gt;"","EDM",IF(CARVING_Plan!J27&lt;&gt;"","CARVING",IF(SPM_Plan!J27&lt;&gt;"","SPM","VTL")))))))</f>
        <v>QC</v>
      </c>
      <c r="G27" s="62">
        <f ca="1">VTL_Plan!J27</f>
        <v>46141.902777777774</v>
      </c>
      <c r="H27" s="62">
        <f ca="1">QC_Plan!M27</f>
        <v>46247.418650793647</v>
      </c>
      <c r="I27" s="63">
        <f ca="1">(IF(VTL_Plan!M27&lt;&gt;"",1,0)+IF(SPM_Plan!M27&lt;&gt;"",1,0)+IF(CARVING_Plan!M27&lt;&gt;"",1,0)+IF(EDM_Plan!M27&lt;&gt;"",1,0)+IF(ENG_Plan!M27&lt;&gt;"",1,0)+IF(VENT_Plan!M27&lt;&gt;"",1,0)+IF(FID_Plan!M27&lt;&gt;"",1,0)+IF(QC_Plan!M27&lt;&gt;"",1,0))/8</f>
        <v>1</v>
      </c>
      <c r="J27" s="64">
        <f ca="1">Job_Master!J27</f>
        <v>46277.418650793647</v>
      </c>
      <c r="K27" t="str">
        <f t="shared" ca="1" si="0"/>
        <v>✅ On Time</v>
      </c>
    </row>
    <row r="28" spans="1:11" ht="15" customHeight="1" x14ac:dyDescent="0.3">
      <c r="A28" t="str">
        <f>Job_Master!A28</f>
        <v>BJ-124</v>
      </c>
      <c r="B28">
        <f>Job_Master!B28</f>
        <v>42</v>
      </c>
      <c r="C28" t="str">
        <f>Job_Master!C28</f>
        <v>2P</v>
      </c>
      <c r="D28" t="str">
        <f>Job_Master!G28</f>
        <v>Medium</v>
      </c>
      <c r="E28" t="str">
        <f>Job_Master!I28</f>
        <v>Cancelled</v>
      </c>
      <c r="F28" t="str">
        <f ca="1">IF(QC_Plan!J28&lt;&gt;"","QC",IF(FID_Plan!J28&lt;&gt;"","FID",IF(VENT_Plan!J28&lt;&gt;"","VENT",IF(ENG_Plan!J28&lt;&gt;"","ENG",IF(EDM_Plan!J28&lt;&gt;"","EDM",IF(CARVING_Plan!J28&lt;&gt;"","CARVING",IF(SPM_Plan!J28&lt;&gt;"","SPM","VTL")))))))</f>
        <v>QC</v>
      </c>
      <c r="G28" s="62">
        <f ca="1">VTL_Plan!J28</f>
        <v>46141.81018518519</v>
      </c>
      <c r="H28" s="62">
        <f ca="1">QC_Plan!M28</f>
        <v>46178.473544973545</v>
      </c>
      <c r="I28" s="63">
        <f ca="1">(IF(VTL_Plan!M28&lt;&gt;"",1,0)+IF(SPM_Plan!M28&lt;&gt;"",1,0)+IF(CARVING_Plan!M28&lt;&gt;"",1,0)+IF(EDM_Plan!M28&lt;&gt;"",1,0)+IF(ENG_Plan!M28&lt;&gt;"",1,0)+IF(VENT_Plan!M28&lt;&gt;"",1,0)+IF(FID_Plan!M28&lt;&gt;"",1,0)+IF(QC_Plan!M28&lt;&gt;"",1,0))/8</f>
        <v>1</v>
      </c>
      <c r="J28" s="64">
        <f ca="1">Job_Master!J28</f>
        <v>46208.473544973545</v>
      </c>
      <c r="K28" t="str">
        <f t="shared" ca="1" si="0"/>
        <v>✅ On Time</v>
      </c>
    </row>
    <row r="29" spans="1:11" ht="15" customHeight="1" x14ac:dyDescent="0.3">
      <c r="A29" t="str">
        <f>Job_Master!A29</f>
        <v>BJ-126</v>
      </c>
      <c r="B29">
        <f>Job_Master!B29</f>
        <v>42</v>
      </c>
      <c r="C29" t="str">
        <f>Job_Master!C29</f>
        <v>2P</v>
      </c>
      <c r="D29" t="str">
        <f>Job_Master!G29</f>
        <v>Medium</v>
      </c>
      <c r="E29" t="str">
        <f>Job_Master!I29</f>
        <v>Released</v>
      </c>
      <c r="F29" t="str">
        <f ca="1">IF(QC_Plan!J29&lt;&gt;"","QC",IF(FID_Plan!J29&lt;&gt;"","FID",IF(VENT_Plan!J29&lt;&gt;"","VENT",IF(ENG_Plan!J29&lt;&gt;"","ENG",IF(EDM_Plan!J29&lt;&gt;"","EDM",IF(CARVING_Plan!J29&lt;&gt;"","CARVING",IF(SPM_Plan!J29&lt;&gt;"","SPM","VTL")))))))</f>
        <v>QC</v>
      </c>
      <c r="G29" s="62">
        <f ca="1">VTL_Plan!J29</f>
        <v>46145.69907407408</v>
      </c>
      <c r="H29" s="62">
        <f ca="1">QC_Plan!M29</f>
        <v>46186.519179894167</v>
      </c>
      <c r="I29" s="63">
        <f ca="1">(IF(VTL_Plan!M29&lt;&gt;"",1,0)+IF(SPM_Plan!M29&lt;&gt;"",1,0)+IF(CARVING_Plan!M29&lt;&gt;"",1,0)+IF(EDM_Plan!M29&lt;&gt;"",1,0)+IF(ENG_Plan!M29&lt;&gt;"",1,0)+IF(VENT_Plan!M29&lt;&gt;"",1,0)+IF(FID_Plan!M29&lt;&gt;"",1,0)+IF(QC_Plan!M29&lt;&gt;"",1,0))/8</f>
        <v>1</v>
      </c>
      <c r="J29" s="64">
        <f ca="1">Job_Master!J29</f>
        <v>46216.519179894167</v>
      </c>
      <c r="K29" t="str">
        <f t="shared" ca="1" si="0"/>
        <v>✅ On Time</v>
      </c>
    </row>
    <row r="30" spans="1:11" ht="15" customHeight="1" x14ac:dyDescent="0.3">
      <c r="A30" t="str">
        <f>Job_Master!A30</f>
        <v>BJ-127</v>
      </c>
      <c r="B30">
        <f>Job_Master!B30</f>
        <v>15</v>
      </c>
      <c r="C30" t="str">
        <f>Job_Master!C30</f>
        <v>RW</v>
      </c>
      <c r="D30" t="str">
        <f>Job_Master!G30</f>
        <v>Low</v>
      </c>
      <c r="E30" t="str">
        <f>Job_Master!I30</f>
        <v>Released</v>
      </c>
      <c r="F30" t="str">
        <f ca="1">IF(QC_Plan!J30&lt;&gt;"","QC",IF(FID_Plan!J30&lt;&gt;"","FID",IF(VENT_Plan!J30&lt;&gt;"","VENT",IF(ENG_Plan!J30&lt;&gt;"","ENG",IF(EDM_Plan!J30&lt;&gt;"","EDM",IF(CARVING_Plan!J30&lt;&gt;"","CARVING",IF(SPM_Plan!J30&lt;&gt;"","SPM","VTL")))))))</f>
        <v>QC</v>
      </c>
      <c r="G30" s="62">
        <f ca="1">VTL_Plan!J30</f>
        <v>46134.310185185182</v>
      </c>
      <c r="H30" s="62">
        <f ca="1">QC_Plan!M30</f>
        <v>46168.109788359783</v>
      </c>
      <c r="I30" s="63">
        <f ca="1">(IF(VTL_Plan!M30&lt;&gt;"",1,0)+IF(SPM_Plan!M30&lt;&gt;"",1,0)+IF(CARVING_Plan!M30&lt;&gt;"",1,0)+IF(EDM_Plan!M30&lt;&gt;"",1,0)+IF(ENG_Plan!M30&lt;&gt;"",1,0)+IF(VENT_Plan!M30&lt;&gt;"",1,0)+IF(FID_Plan!M30&lt;&gt;"",1,0)+IF(QC_Plan!M30&lt;&gt;"",1,0))/8</f>
        <v>1</v>
      </c>
      <c r="J30" s="64">
        <f ca="1">Job_Master!J30</f>
        <v>46198.109788359783</v>
      </c>
      <c r="K30" t="str">
        <f t="shared" ca="1" si="0"/>
        <v>✅ On Time</v>
      </c>
    </row>
    <row r="31" spans="1:11" ht="15" customHeight="1" x14ac:dyDescent="0.3">
      <c r="A31" t="str">
        <f>Job_Master!A31</f>
        <v>BJ-128</v>
      </c>
      <c r="B31">
        <f>Job_Master!B31</f>
        <v>46</v>
      </c>
      <c r="C31" t="str">
        <f>Job_Master!C31</f>
        <v>2P</v>
      </c>
      <c r="D31" t="str">
        <f>Job_Master!G31</f>
        <v>High</v>
      </c>
      <c r="E31" t="str">
        <f>Job_Master!I31</f>
        <v>On Hold</v>
      </c>
      <c r="F31" t="str">
        <f ca="1">IF(QC_Plan!J31&lt;&gt;"","QC",IF(FID_Plan!J31&lt;&gt;"","FID",IF(VENT_Plan!J31&lt;&gt;"","VENT",IF(ENG_Plan!J31&lt;&gt;"","ENG",IF(EDM_Plan!J31&lt;&gt;"","EDM",IF(CARVING_Plan!J31&lt;&gt;"","CARVING",IF(SPM_Plan!J31&lt;&gt;"","SPM","VTL")))))))</f>
        <v>QC</v>
      </c>
      <c r="G31" s="62">
        <f ca="1">VTL_Plan!J31</f>
        <v>46149.587962962971</v>
      </c>
      <c r="H31" s="62">
        <f ca="1">QC_Plan!M31</f>
        <v>46189.759920634904</v>
      </c>
      <c r="I31" s="63">
        <f ca="1">(IF(VTL_Plan!M31&lt;&gt;"",1,0)+IF(SPM_Plan!M31&lt;&gt;"",1,0)+IF(CARVING_Plan!M31&lt;&gt;"",1,0)+IF(EDM_Plan!M31&lt;&gt;"",1,0)+IF(ENG_Plan!M31&lt;&gt;"",1,0)+IF(VENT_Plan!M31&lt;&gt;"",1,0)+IF(FID_Plan!M31&lt;&gt;"",1,0)+IF(QC_Plan!M31&lt;&gt;"",1,0))/8</f>
        <v>1</v>
      </c>
      <c r="J31" s="64">
        <f ca="1">Job_Master!J31</f>
        <v>46219.759920634904</v>
      </c>
      <c r="K31" t="str">
        <f t="shared" ca="1" si="0"/>
        <v>✅ On Time</v>
      </c>
    </row>
    <row r="32" spans="1:11" ht="15" customHeight="1" x14ac:dyDescent="0.3">
      <c r="A32" t="str">
        <f>Job_Master!A32</f>
        <v>BJ-125</v>
      </c>
      <c r="B32">
        <f>Job_Master!B32</f>
        <v>25</v>
      </c>
      <c r="C32" t="str">
        <f>Job_Master!C32</f>
        <v>SEG</v>
      </c>
      <c r="D32" t="str">
        <f>Job_Master!G32</f>
        <v>Low</v>
      </c>
      <c r="E32" t="str">
        <f>Job_Master!I32</f>
        <v>Released</v>
      </c>
      <c r="F32" t="str">
        <f ca="1">IF(QC_Plan!J32&lt;&gt;"","QC",IF(FID_Plan!J32&lt;&gt;"","FID",IF(VENT_Plan!J32&lt;&gt;"","VENT",IF(ENG_Plan!J32&lt;&gt;"","ENG",IF(EDM_Plan!J32&lt;&gt;"","EDM",IF(CARVING_Plan!J32&lt;&gt;"","CARVING",IF(SPM_Plan!J32&lt;&gt;"","SPM","VTL")))))))</f>
        <v>QC</v>
      </c>
      <c r="G32" s="62">
        <f ca="1">VTL_Plan!J32</f>
        <v>46135.699074074073</v>
      </c>
      <c r="H32" s="62">
        <f ca="1">QC_Plan!M32</f>
        <v>46196.148809523795</v>
      </c>
      <c r="I32" s="63">
        <f ca="1">(IF(VTL_Plan!M32&lt;&gt;"",1,0)+IF(SPM_Plan!M32&lt;&gt;"",1,0)+IF(CARVING_Plan!M32&lt;&gt;"",1,0)+IF(EDM_Plan!M32&lt;&gt;"",1,0)+IF(ENG_Plan!M32&lt;&gt;"",1,0)+IF(VENT_Plan!M32&lt;&gt;"",1,0)+IF(FID_Plan!M32&lt;&gt;"",1,0)+IF(QC_Plan!M32&lt;&gt;"",1,0))/8</f>
        <v>1</v>
      </c>
      <c r="J32" s="64">
        <f ca="1">Job_Master!J32</f>
        <v>46226.148809523795</v>
      </c>
      <c r="K32" t="str">
        <f t="shared" ca="1" si="0"/>
        <v>✅ On Time</v>
      </c>
    </row>
    <row r="33" spans="1:11" ht="15" customHeight="1" x14ac:dyDescent="0.3">
      <c r="A33" t="str">
        <f>Job_Master!A33</f>
        <v>BJ-129</v>
      </c>
      <c r="B33">
        <f>Job_Master!B33</f>
        <v>9</v>
      </c>
      <c r="C33" t="str">
        <f>Job_Master!C33</f>
        <v>RW</v>
      </c>
      <c r="D33" t="str">
        <f>Job_Master!G33</f>
        <v>Low</v>
      </c>
      <c r="E33" t="str">
        <f>Job_Master!I33</f>
        <v>Released</v>
      </c>
      <c r="F33" t="str">
        <f ca="1">IF(QC_Plan!J33&lt;&gt;"","QC",IF(FID_Plan!J33&lt;&gt;"","FID",IF(VENT_Plan!J33&lt;&gt;"","VENT",IF(ENG_Plan!J33&lt;&gt;"","ENG",IF(EDM_Plan!J33&lt;&gt;"","EDM",IF(CARVING_Plan!J33&lt;&gt;"","CARVING",IF(SPM_Plan!J33&lt;&gt;"","SPM","VTL")))))))</f>
        <v>QC</v>
      </c>
      <c r="G33" s="62">
        <f ca="1">VTL_Plan!J33</f>
        <v>46142.643518518518</v>
      </c>
      <c r="H33" s="62">
        <f ca="1">QC_Plan!M33</f>
        <v>46168.572751322747</v>
      </c>
      <c r="I33" s="63">
        <f ca="1">(IF(VTL_Plan!M33&lt;&gt;"",1,0)+IF(SPM_Plan!M33&lt;&gt;"",1,0)+IF(CARVING_Plan!M33&lt;&gt;"",1,0)+IF(EDM_Plan!M33&lt;&gt;"",1,0)+IF(ENG_Plan!M33&lt;&gt;"",1,0)+IF(VENT_Plan!M33&lt;&gt;"",1,0)+IF(FID_Plan!M33&lt;&gt;"",1,0)+IF(QC_Plan!M33&lt;&gt;"",1,0))/8</f>
        <v>1</v>
      </c>
      <c r="J33" s="64">
        <f ca="1">Job_Master!J33</f>
        <v>46198.572751322747</v>
      </c>
      <c r="K33" t="str">
        <f t="shared" ca="1" si="0"/>
        <v>✅ On Time</v>
      </c>
    </row>
    <row r="34" spans="1:11" ht="15" customHeight="1" x14ac:dyDescent="0.3">
      <c r="A34" t="str">
        <f>Job_Master!A34</f>
        <v>BJ-130</v>
      </c>
      <c r="B34">
        <f>Job_Master!B34</f>
        <v>57</v>
      </c>
      <c r="C34" t="str">
        <f>Job_Master!C34</f>
        <v>RW</v>
      </c>
      <c r="D34" t="str">
        <f>Job_Master!G34</f>
        <v>High</v>
      </c>
      <c r="E34" t="str">
        <f>Job_Master!I34</f>
        <v>Released</v>
      </c>
      <c r="F34" t="str">
        <f ca="1">IF(QC_Plan!J34&lt;&gt;"","QC",IF(FID_Plan!J34&lt;&gt;"","FID",IF(VENT_Plan!J34&lt;&gt;"","VENT",IF(ENG_Plan!J34&lt;&gt;"","ENG",IF(EDM_Plan!J34&lt;&gt;"","EDM",IF(CARVING_Plan!J34&lt;&gt;"","CARVING",IF(SPM_Plan!J34&lt;&gt;"","SPM","VTL")))))))</f>
        <v>QC</v>
      </c>
      <c r="G34" s="62">
        <f ca="1">VTL_Plan!J34</f>
        <v>46145.976851851839</v>
      </c>
      <c r="H34" s="62">
        <f ca="1">QC_Plan!M34</f>
        <v>46203.278439153422</v>
      </c>
      <c r="I34" s="63">
        <f ca="1">(IF(VTL_Plan!M34&lt;&gt;"",1,0)+IF(SPM_Plan!M34&lt;&gt;"",1,0)+IF(CARVING_Plan!M34&lt;&gt;"",1,0)+IF(EDM_Plan!M34&lt;&gt;"",1,0)+IF(ENG_Plan!M34&lt;&gt;"",1,0)+IF(VENT_Plan!M34&lt;&gt;"",1,0)+IF(FID_Plan!M34&lt;&gt;"",1,0)+IF(QC_Plan!M34&lt;&gt;"",1,0))/8</f>
        <v>1</v>
      </c>
      <c r="J34" s="64">
        <f ca="1">Job_Master!J34</f>
        <v>46233.278439153422</v>
      </c>
      <c r="K34" t="str">
        <f t="shared" ca="1" si="0"/>
        <v>✅ On Time</v>
      </c>
    </row>
    <row r="35" spans="1:11" ht="15" customHeight="1" x14ac:dyDescent="0.3">
      <c r="A35" t="str">
        <f>Job_Master!A35</f>
        <v>BJ-133</v>
      </c>
      <c r="B35">
        <f>Job_Master!B35</f>
        <v>25</v>
      </c>
      <c r="C35" t="str">
        <f>Job_Master!C35</f>
        <v>RW</v>
      </c>
      <c r="D35" t="str">
        <f>Job_Master!G35</f>
        <v>Low</v>
      </c>
      <c r="E35" t="str">
        <f>Job_Master!I35</f>
        <v>On Hold</v>
      </c>
      <c r="F35" t="str">
        <f ca="1">IF(QC_Plan!J35&lt;&gt;"","QC",IF(FID_Plan!J35&lt;&gt;"","FID",IF(VENT_Plan!J35&lt;&gt;"","VENT",IF(ENG_Plan!J35&lt;&gt;"","ENG",IF(EDM_Plan!J35&lt;&gt;"","EDM",IF(CARVING_Plan!J35&lt;&gt;"","CARVING",IF(SPM_Plan!J35&lt;&gt;"","SPM","VTL")))))))</f>
        <v>QC</v>
      </c>
      <c r="G35" s="62">
        <f ca="1">VTL_Plan!J35</f>
        <v>46143.476851851854</v>
      </c>
      <c r="H35" s="62">
        <f ca="1">QC_Plan!M35</f>
        <v>46170.302248677239</v>
      </c>
      <c r="I35" s="63">
        <f ca="1">(IF(VTL_Plan!M35&lt;&gt;"",1,0)+IF(SPM_Plan!M35&lt;&gt;"",1,0)+IF(CARVING_Plan!M35&lt;&gt;"",1,0)+IF(EDM_Plan!M35&lt;&gt;"",1,0)+IF(ENG_Plan!M35&lt;&gt;"",1,0)+IF(VENT_Plan!M35&lt;&gt;"",1,0)+IF(FID_Plan!M35&lt;&gt;"",1,0)+IF(QC_Plan!M35&lt;&gt;"",1,0))/8</f>
        <v>1</v>
      </c>
      <c r="J35" s="64">
        <f ca="1">Job_Master!J35</f>
        <v>46200.302248677239</v>
      </c>
      <c r="K35" t="str">
        <f t="shared" ca="1" si="0"/>
        <v>✅ On Time</v>
      </c>
    </row>
    <row r="36" spans="1:11" ht="15" customHeight="1" x14ac:dyDescent="0.3">
      <c r="A36" t="str">
        <f>Job_Master!A36</f>
        <v>BJ-131</v>
      </c>
      <c r="B36">
        <f>Job_Master!B36</f>
        <v>70</v>
      </c>
      <c r="C36" t="str">
        <f>Job_Master!C36</f>
        <v>2P</v>
      </c>
      <c r="D36" t="str">
        <f>Job_Master!G36</f>
        <v>High</v>
      </c>
      <c r="E36" t="str">
        <f>Job_Master!I36</f>
        <v>Released</v>
      </c>
      <c r="F36" t="str">
        <f ca="1">IF(QC_Plan!J36&lt;&gt;"","QC",IF(FID_Plan!J36&lt;&gt;"","FID",IF(VENT_Plan!J36&lt;&gt;"","VENT",IF(ENG_Plan!J36&lt;&gt;"","ENG",IF(EDM_Plan!J36&lt;&gt;"","EDM",IF(CARVING_Plan!J36&lt;&gt;"","CARVING",IF(SPM_Plan!J36&lt;&gt;"","SPM","VTL")))))))</f>
        <v>QC</v>
      </c>
      <c r="G36" s="62">
        <f ca="1">VTL_Plan!J36</f>
        <v>46151.25462962962</v>
      </c>
      <c r="H36" s="62">
        <f ca="1">QC_Plan!M36</f>
        <v>46216.373677248674</v>
      </c>
      <c r="I36" s="63">
        <f ca="1">(IF(VTL_Plan!M36&lt;&gt;"",1,0)+IF(SPM_Plan!M36&lt;&gt;"",1,0)+IF(CARVING_Plan!M36&lt;&gt;"",1,0)+IF(EDM_Plan!M36&lt;&gt;"",1,0)+IF(ENG_Plan!M36&lt;&gt;"",1,0)+IF(VENT_Plan!M36&lt;&gt;"",1,0)+IF(FID_Plan!M36&lt;&gt;"",1,0)+IF(QC_Plan!M36&lt;&gt;"",1,0))/8</f>
        <v>1</v>
      </c>
      <c r="J36" s="64">
        <f ca="1">Job_Master!J36</f>
        <v>46246.373677248674</v>
      </c>
      <c r="K36" t="str">
        <f t="shared" ref="K36:K67" ca="1" si="1">IF(OR(J36="",H36=""),"Pending",IF(H36&lt;=J36,"✅ On Time","⚠ Delayed"))</f>
        <v>✅ On Time</v>
      </c>
    </row>
    <row r="37" spans="1:11" ht="15" customHeight="1" x14ac:dyDescent="0.3">
      <c r="A37" t="str">
        <f>Job_Master!A37</f>
        <v>BJ-134</v>
      </c>
      <c r="B37">
        <f>Job_Master!B37</f>
        <v>15</v>
      </c>
      <c r="C37" t="str">
        <f>Job_Master!C37</f>
        <v>RW</v>
      </c>
      <c r="D37" t="str">
        <f>Job_Master!G37</f>
        <v>Low</v>
      </c>
      <c r="E37" t="str">
        <f>Job_Master!I37</f>
        <v>Released</v>
      </c>
      <c r="F37" t="str">
        <f ca="1">IF(QC_Plan!J37&lt;&gt;"","QC",IF(FID_Plan!J37&lt;&gt;"","FID",IF(VENT_Plan!J37&lt;&gt;"","VENT",IF(ENG_Plan!J37&lt;&gt;"","ENG",IF(EDM_Plan!J37&lt;&gt;"","EDM",IF(CARVING_Plan!J37&lt;&gt;"","CARVING",IF(SPM_Plan!J37&lt;&gt;"","SPM","VTL")))))))</f>
        <v>QC</v>
      </c>
      <c r="G37" s="62">
        <f ca="1">VTL_Plan!J37</f>
        <v>46145.791666666672</v>
      </c>
      <c r="H37" s="62">
        <f ca="1">QC_Plan!M37</f>
        <v>46170.950396825385</v>
      </c>
      <c r="I37" s="63">
        <f ca="1">(IF(VTL_Plan!M37&lt;&gt;"",1,0)+IF(SPM_Plan!M37&lt;&gt;"",1,0)+IF(CARVING_Plan!M37&lt;&gt;"",1,0)+IF(EDM_Plan!M37&lt;&gt;"",1,0)+IF(ENG_Plan!M37&lt;&gt;"",1,0)+IF(VENT_Plan!M37&lt;&gt;"",1,0)+IF(FID_Plan!M37&lt;&gt;"",1,0)+IF(QC_Plan!M37&lt;&gt;"",1,0))/8</f>
        <v>1</v>
      </c>
      <c r="J37" s="64">
        <f ca="1">Job_Master!J37</f>
        <v>46200.950396825385</v>
      </c>
      <c r="K37" t="str">
        <f t="shared" ca="1" si="1"/>
        <v>✅ On Time</v>
      </c>
    </row>
    <row r="38" spans="1:11" ht="15" customHeight="1" x14ac:dyDescent="0.3">
      <c r="A38" t="str">
        <f>Job_Master!A38</f>
        <v>BJ-135</v>
      </c>
      <c r="B38">
        <f>Job_Master!B38</f>
        <v>28</v>
      </c>
      <c r="C38" t="str">
        <f>Job_Master!C38</f>
        <v>2P</v>
      </c>
      <c r="D38" t="str">
        <f>Job_Master!G38</f>
        <v>Medium</v>
      </c>
      <c r="E38" t="str">
        <f>Job_Master!I38</f>
        <v>Cancelled</v>
      </c>
      <c r="F38" t="str">
        <f ca="1">IF(QC_Plan!J38&lt;&gt;"","QC",IF(FID_Plan!J38&lt;&gt;"","FID",IF(VENT_Plan!J38&lt;&gt;"","VENT",IF(ENG_Plan!J38&lt;&gt;"","ENG",IF(EDM_Plan!J38&lt;&gt;"","EDM",IF(CARVING_Plan!J38&lt;&gt;"","CARVING",IF(SPM_Plan!J38&lt;&gt;"","SPM","VTL")))))))</f>
        <v>QC</v>
      </c>
      <c r="G38" s="62">
        <f ca="1">VTL_Plan!J38</f>
        <v>46147.180555555562</v>
      </c>
      <c r="H38" s="62">
        <f ca="1">QC_Plan!M38</f>
        <v>46174.654100529093</v>
      </c>
      <c r="I38" s="63">
        <f ca="1">(IF(VTL_Plan!M38&lt;&gt;"",1,0)+IF(SPM_Plan!M38&lt;&gt;"",1,0)+IF(CARVING_Plan!M38&lt;&gt;"",1,0)+IF(EDM_Plan!M38&lt;&gt;"",1,0)+IF(ENG_Plan!M38&lt;&gt;"",1,0)+IF(VENT_Plan!M38&lt;&gt;"",1,0)+IF(FID_Plan!M38&lt;&gt;"",1,0)+IF(QC_Plan!M38&lt;&gt;"",1,0))/8</f>
        <v>1</v>
      </c>
      <c r="J38" s="64">
        <f ca="1">Job_Master!J38</f>
        <v>46204.654100529093</v>
      </c>
      <c r="K38" t="str">
        <f t="shared" ca="1" si="1"/>
        <v>✅ On Time</v>
      </c>
    </row>
    <row r="39" spans="1:11" ht="15" customHeight="1" x14ac:dyDescent="0.3">
      <c r="A39" t="str">
        <f>Job_Master!A39</f>
        <v>BJ-132</v>
      </c>
      <c r="B39">
        <f>Job_Master!B39</f>
        <v>57</v>
      </c>
      <c r="C39" t="str">
        <f>Job_Master!C39</f>
        <v>SOL</v>
      </c>
      <c r="D39" t="str">
        <f>Job_Master!G39</f>
        <v>High</v>
      </c>
      <c r="E39" t="str">
        <f>Job_Master!I39</f>
        <v>Released</v>
      </c>
      <c r="F39" t="str">
        <f ca="1">IF(QC_Plan!J39&lt;&gt;"","QC",IF(FID_Plan!J39&lt;&gt;"","FID",IF(VENT_Plan!J39&lt;&gt;"","VENT",IF(ENG_Plan!J39&lt;&gt;"","ENG",IF(EDM_Plan!J39&lt;&gt;"","EDM",IF(CARVING_Plan!J39&lt;&gt;"","CARVING",IF(SPM_Plan!J39&lt;&gt;"","SPM","VTL")))))))</f>
        <v>QC</v>
      </c>
      <c r="G39" s="62">
        <f ca="1">VTL_Plan!J39</f>
        <v>46151.902777777774</v>
      </c>
      <c r="H39" s="62">
        <f ca="1">QC_Plan!M39</f>
        <v>46271.241402116386</v>
      </c>
      <c r="I39" s="63">
        <f ca="1">(IF(VTL_Plan!M39&lt;&gt;"",1,0)+IF(SPM_Plan!M39&lt;&gt;"",1,0)+IF(CARVING_Plan!M39&lt;&gt;"",1,0)+IF(EDM_Plan!M39&lt;&gt;"",1,0)+IF(ENG_Plan!M39&lt;&gt;"",1,0)+IF(VENT_Plan!M39&lt;&gt;"",1,0)+IF(FID_Plan!M39&lt;&gt;"",1,0)+IF(QC_Plan!M39&lt;&gt;"",1,0))/8</f>
        <v>1</v>
      </c>
      <c r="J39" s="64">
        <f ca="1">Job_Master!J39</f>
        <v>46301.241402116386</v>
      </c>
      <c r="K39" t="str">
        <f t="shared" ca="1" si="1"/>
        <v>✅ On Time</v>
      </c>
    </row>
    <row r="40" spans="1:11" ht="15" customHeight="1" x14ac:dyDescent="0.3">
      <c r="A40" t="str">
        <f>Job_Master!A40</f>
        <v>BJ-136</v>
      </c>
      <c r="B40">
        <f>Job_Master!B40</f>
        <v>20</v>
      </c>
      <c r="C40" t="str">
        <f>Job_Master!C40</f>
        <v>RW</v>
      </c>
      <c r="D40" t="str">
        <f>Job_Master!G40</f>
        <v>Low</v>
      </c>
      <c r="E40" t="str">
        <f>Job_Master!I40</f>
        <v>Released</v>
      </c>
      <c r="F40" t="str">
        <f ca="1">IF(QC_Plan!J40&lt;&gt;"","QC",IF(FID_Plan!J40&lt;&gt;"","FID",IF(VENT_Plan!J40&lt;&gt;"","VENT",IF(ENG_Plan!J40&lt;&gt;"","ENG",IF(EDM_Plan!J40&lt;&gt;"","EDM",IF(CARVING_Plan!J40&lt;&gt;"","CARVING",IF(SPM_Plan!J40&lt;&gt;"","SPM","VTL")))))))</f>
        <v>QC</v>
      </c>
      <c r="G40" s="62">
        <f ca="1">VTL_Plan!J40</f>
        <v>46149.773148148153</v>
      </c>
      <c r="H40" s="62">
        <f ca="1">QC_Plan!M40</f>
        <v>46176.413359788356</v>
      </c>
      <c r="I40" s="63">
        <f ca="1">(IF(VTL_Plan!M40&lt;&gt;"",1,0)+IF(SPM_Plan!M40&lt;&gt;"",1,0)+IF(CARVING_Plan!M40&lt;&gt;"",1,0)+IF(EDM_Plan!M40&lt;&gt;"",1,0)+IF(ENG_Plan!M40&lt;&gt;"",1,0)+IF(VENT_Plan!M40&lt;&gt;"",1,0)+IF(FID_Plan!M40&lt;&gt;"",1,0)+IF(QC_Plan!M40&lt;&gt;"",1,0))/8</f>
        <v>1</v>
      </c>
      <c r="J40" s="64">
        <f ca="1">Job_Master!J40</f>
        <v>46206.413359788356</v>
      </c>
      <c r="K40" t="str">
        <f t="shared" ca="1" si="1"/>
        <v>✅ On Time</v>
      </c>
    </row>
    <row r="41" spans="1:11" ht="15" customHeight="1" x14ac:dyDescent="0.3">
      <c r="A41" t="str">
        <f>Job_Master!A41</f>
        <v>BJ-137</v>
      </c>
      <c r="B41">
        <f>Job_Master!B41</f>
        <v>34</v>
      </c>
      <c r="C41" t="str">
        <f>Job_Master!C41</f>
        <v>RW</v>
      </c>
      <c r="D41" t="str">
        <f>Job_Master!G41</f>
        <v>Medium</v>
      </c>
      <c r="E41" t="str">
        <f>Job_Master!I41</f>
        <v>On Hold</v>
      </c>
      <c r="F41" t="str">
        <f ca="1">IF(QC_Plan!J41&lt;&gt;"","QC",IF(FID_Plan!J41&lt;&gt;"","FID",IF(VENT_Plan!J41&lt;&gt;"","VENT",IF(ENG_Plan!J41&lt;&gt;"","ENG",IF(EDM_Plan!J41&lt;&gt;"","EDM",IF(CARVING_Plan!J41&lt;&gt;"","CARVING",IF(SPM_Plan!J41&lt;&gt;"","SPM","VTL")))))))</f>
        <v>QC</v>
      </c>
      <c r="G41" s="62">
        <f ca="1">VTL_Plan!J41</f>
        <v>46153.847222222234</v>
      </c>
      <c r="H41" s="62">
        <f ca="1">QC_Plan!M41</f>
        <v>46183.711640211637</v>
      </c>
      <c r="I41" s="63">
        <f ca="1">(IF(VTL_Plan!M41&lt;&gt;"",1,0)+IF(SPM_Plan!M41&lt;&gt;"",1,0)+IF(CARVING_Plan!M41&lt;&gt;"",1,0)+IF(EDM_Plan!M41&lt;&gt;"",1,0)+IF(ENG_Plan!M41&lt;&gt;"",1,0)+IF(VENT_Plan!M41&lt;&gt;"",1,0)+IF(FID_Plan!M41&lt;&gt;"",1,0)+IF(QC_Plan!M41&lt;&gt;"",1,0))/8</f>
        <v>1</v>
      </c>
      <c r="J41" s="64">
        <f ca="1">Job_Master!J41</f>
        <v>46213.711640211637</v>
      </c>
      <c r="K41" t="str">
        <f t="shared" ca="1" si="1"/>
        <v>✅ On Time</v>
      </c>
    </row>
    <row r="42" spans="1:11" ht="15" customHeight="1" x14ac:dyDescent="0.3">
      <c r="A42" t="str">
        <f>Job_Master!A42</f>
        <v>BJ-140</v>
      </c>
      <c r="B42">
        <f>Job_Master!B42</f>
        <v>54</v>
      </c>
      <c r="C42" t="str">
        <f>Job_Master!C42</f>
        <v>RW</v>
      </c>
      <c r="D42" t="str">
        <f>Job_Master!G42</f>
        <v>High</v>
      </c>
      <c r="E42" t="str">
        <f>Job_Master!I42</f>
        <v>Released</v>
      </c>
      <c r="F42" t="str">
        <f ca="1">IF(QC_Plan!J42&lt;&gt;"","QC",IF(FID_Plan!J42&lt;&gt;"","FID",IF(VENT_Plan!J42&lt;&gt;"","VENT",IF(ENG_Plan!J42&lt;&gt;"","ENG",IF(EDM_Plan!J42&lt;&gt;"","EDM",IF(CARVING_Plan!J42&lt;&gt;"","CARVING",IF(SPM_Plan!J42&lt;&gt;"","SPM","VTL")))))))</f>
        <v>QC</v>
      </c>
      <c r="G42" s="62">
        <f ca="1">VTL_Plan!J42</f>
        <v>46157.736111111102</v>
      </c>
      <c r="H42" s="62">
        <f ca="1">QC_Plan!M42</f>
        <v>46206.902777777788</v>
      </c>
      <c r="I42" s="63">
        <f ca="1">(IF(VTL_Plan!M42&lt;&gt;"",1,0)+IF(SPM_Plan!M42&lt;&gt;"",1,0)+IF(CARVING_Plan!M42&lt;&gt;"",1,0)+IF(EDM_Plan!M42&lt;&gt;"",1,0)+IF(ENG_Plan!M42&lt;&gt;"",1,0)+IF(VENT_Plan!M42&lt;&gt;"",1,0)+IF(FID_Plan!M42&lt;&gt;"",1,0)+IF(QC_Plan!M42&lt;&gt;"",1,0))/8</f>
        <v>1</v>
      </c>
      <c r="J42" s="64">
        <f ca="1">Job_Master!J42</f>
        <v>46236.902777777788</v>
      </c>
      <c r="K42" t="str">
        <f t="shared" ca="1" si="1"/>
        <v>✅ On Time</v>
      </c>
    </row>
    <row r="43" spans="1:11" ht="15" customHeight="1" x14ac:dyDescent="0.3">
      <c r="A43" t="str">
        <f>Job_Master!A43</f>
        <v>BJ-138</v>
      </c>
      <c r="B43">
        <f>Job_Master!B43</f>
        <v>9</v>
      </c>
      <c r="C43" t="str">
        <f>Job_Master!C43</f>
        <v>RW</v>
      </c>
      <c r="D43" t="str">
        <f>Job_Master!G43</f>
        <v>Low</v>
      </c>
      <c r="E43" t="str">
        <f>Job_Master!I43</f>
        <v>Released</v>
      </c>
      <c r="F43" t="str">
        <f ca="1">IF(QC_Plan!J43&lt;&gt;"","QC",IF(FID_Plan!J43&lt;&gt;"","FID",IF(VENT_Plan!J43&lt;&gt;"","VENT",IF(ENG_Plan!J43&lt;&gt;"","ENG",IF(EDM_Plan!J43&lt;&gt;"","EDM",IF(CARVING_Plan!J43&lt;&gt;"","CARVING",IF(SPM_Plan!J43&lt;&gt;"","SPM","VTL")))))))</f>
        <v>QC</v>
      </c>
      <c r="G43" s="62">
        <f ca="1">VTL_Plan!J43</f>
        <v>46151.625000000007</v>
      </c>
      <c r="H43" s="62">
        <f ca="1">QC_Plan!M43</f>
        <v>46176.876322751319</v>
      </c>
      <c r="I43" s="63">
        <f ca="1">(IF(VTL_Plan!M43&lt;&gt;"",1,0)+IF(SPM_Plan!M43&lt;&gt;"",1,0)+IF(CARVING_Plan!M43&lt;&gt;"",1,0)+IF(EDM_Plan!M43&lt;&gt;"",1,0)+IF(ENG_Plan!M43&lt;&gt;"",1,0)+IF(VENT_Plan!M43&lt;&gt;"",1,0)+IF(FID_Plan!M43&lt;&gt;"",1,0)+IF(QC_Plan!M43&lt;&gt;"",1,0))/8</f>
        <v>1</v>
      </c>
      <c r="J43" s="64">
        <f ca="1">Job_Master!J43</f>
        <v>46206.876322751319</v>
      </c>
      <c r="K43" t="str">
        <f t="shared" ca="1" si="1"/>
        <v>✅ On Time</v>
      </c>
    </row>
    <row r="44" spans="1:11" ht="15" customHeight="1" x14ac:dyDescent="0.3">
      <c r="A44" t="str">
        <f>Job_Master!A44</f>
        <v>BJ-144</v>
      </c>
      <c r="B44">
        <f>Job_Master!B44</f>
        <v>63</v>
      </c>
      <c r="C44" t="str">
        <f>Job_Master!C44</f>
        <v>RW</v>
      </c>
      <c r="D44" t="str">
        <f>Job_Master!G44</f>
        <v>High</v>
      </c>
      <c r="E44" t="str">
        <f>Job_Master!I44</f>
        <v>Released</v>
      </c>
      <c r="F44" t="str">
        <f ca="1">IF(QC_Plan!J44&lt;&gt;"","QC",IF(FID_Plan!J44&lt;&gt;"","FID",IF(VENT_Plan!J44&lt;&gt;"","VENT",IF(ENG_Plan!J44&lt;&gt;"","ENG",IF(EDM_Plan!J44&lt;&gt;"","EDM",IF(CARVING_Plan!J44&lt;&gt;"","CARVING",IF(SPM_Plan!J44&lt;&gt;"","SPM","VTL")))))))</f>
        <v>QC</v>
      </c>
      <c r="G44" s="62">
        <f ca="1">VTL_Plan!J44</f>
        <v>46162.736111111102</v>
      </c>
      <c r="H44" s="62">
        <f ca="1">QC_Plan!M44</f>
        <v>46239.412698412692</v>
      </c>
      <c r="I44" s="63">
        <f ca="1">(IF(VTL_Plan!M44&lt;&gt;"",1,0)+IF(SPM_Plan!M44&lt;&gt;"",1,0)+IF(CARVING_Plan!M44&lt;&gt;"",1,0)+IF(EDM_Plan!M44&lt;&gt;"",1,0)+IF(ENG_Plan!M44&lt;&gt;"",1,0)+IF(VENT_Plan!M44&lt;&gt;"",1,0)+IF(FID_Plan!M44&lt;&gt;"",1,0)+IF(QC_Plan!M44&lt;&gt;"",1,0))/8</f>
        <v>1</v>
      </c>
      <c r="J44" s="64">
        <f ca="1">Job_Master!J44</f>
        <v>46269.412698412692</v>
      </c>
      <c r="K44" t="str">
        <f t="shared" ca="1" si="1"/>
        <v>✅ On Time</v>
      </c>
    </row>
    <row r="45" spans="1:11" ht="15" customHeight="1" x14ac:dyDescent="0.3">
      <c r="A45" t="str">
        <f>Job_Master!A45</f>
        <v>BJ-146</v>
      </c>
      <c r="B45">
        <f>Job_Master!B45</f>
        <v>20</v>
      </c>
      <c r="C45" t="str">
        <f>Job_Master!C45</f>
        <v>RW</v>
      </c>
      <c r="D45" t="str">
        <f>Job_Master!G45</f>
        <v>Low</v>
      </c>
      <c r="E45" t="str">
        <f>Job_Master!I45</f>
        <v>On Hold</v>
      </c>
      <c r="F45" t="str">
        <f ca="1">IF(QC_Plan!J45&lt;&gt;"","QC",IF(FID_Plan!J45&lt;&gt;"","FID",IF(VENT_Plan!J45&lt;&gt;"","VENT",IF(ENG_Plan!J45&lt;&gt;"","ENG",IF(EDM_Plan!J45&lt;&gt;"","EDM",IF(CARVING_Plan!J45&lt;&gt;"","CARVING",IF(SPM_Plan!J45&lt;&gt;"","SPM","VTL")))))))</f>
        <v>QC</v>
      </c>
      <c r="G45" s="62">
        <f ca="1">VTL_Plan!J45</f>
        <v>46152.458333333343</v>
      </c>
      <c r="H45" s="62">
        <f ca="1">QC_Plan!M45</f>
        <v>46178.635582010582</v>
      </c>
      <c r="I45" s="63">
        <f ca="1">(IF(VTL_Plan!M45&lt;&gt;"",1,0)+IF(SPM_Plan!M45&lt;&gt;"",1,0)+IF(CARVING_Plan!M45&lt;&gt;"",1,0)+IF(EDM_Plan!M45&lt;&gt;"",1,0)+IF(ENG_Plan!M45&lt;&gt;"",1,0)+IF(VENT_Plan!M45&lt;&gt;"",1,0)+IF(FID_Plan!M45&lt;&gt;"",1,0)+IF(QC_Plan!M45&lt;&gt;"",1,0))/8</f>
        <v>1</v>
      </c>
      <c r="J45" s="64">
        <f ca="1">Job_Master!J45</f>
        <v>46208.635582010582</v>
      </c>
      <c r="K45" t="str">
        <f t="shared" ca="1" si="1"/>
        <v>✅ On Time</v>
      </c>
    </row>
    <row r="46" spans="1:11" ht="15" customHeight="1" x14ac:dyDescent="0.3">
      <c r="A46" t="str">
        <f>Job_Master!A46</f>
        <v>BJ-139</v>
      </c>
      <c r="B46">
        <f>Job_Master!B46</f>
        <v>15</v>
      </c>
      <c r="C46" t="str">
        <f>Job_Master!C46</f>
        <v>RW</v>
      </c>
      <c r="D46" t="str">
        <f>Job_Master!G46</f>
        <v>Low</v>
      </c>
      <c r="E46" t="str">
        <f>Job_Master!I46</f>
        <v>Released</v>
      </c>
      <c r="F46" t="str">
        <f ca="1">IF(QC_Plan!J46&lt;&gt;"","QC",IF(FID_Plan!J46&lt;&gt;"","FID",IF(VENT_Plan!J46&lt;&gt;"","VENT",IF(ENG_Plan!J46&lt;&gt;"","ENG",IF(EDM_Plan!J46&lt;&gt;"","EDM",IF(CARVING_Plan!J46&lt;&gt;"","CARVING",IF(SPM_Plan!J46&lt;&gt;"","SPM","VTL")))))))</f>
        <v>QC</v>
      </c>
      <c r="G46" s="62">
        <f ca="1">VTL_Plan!J46</f>
        <v>46154.310185185197</v>
      </c>
      <c r="H46" s="62">
        <f ca="1">QC_Plan!M46</f>
        <v>46179.283730158728</v>
      </c>
      <c r="I46" s="63">
        <f ca="1">(IF(VTL_Plan!M46&lt;&gt;"",1,0)+IF(SPM_Plan!M46&lt;&gt;"",1,0)+IF(CARVING_Plan!M46&lt;&gt;"",1,0)+IF(EDM_Plan!M46&lt;&gt;"",1,0)+IF(ENG_Plan!M46&lt;&gt;"",1,0)+IF(VENT_Plan!M46&lt;&gt;"",1,0)+IF(FID_Plan!M46&lt;&gt;"",1,0)+IF(QC_Plan!M46&lt;&gt;"",1,0))/8</f>
        <v>1</v>
      </c>
      <c r="J46" s="64">
        <f ca="1">Job_Master!J46</f>
        <v>46209.283730158728</v>
      </c>
      <c r="K46" t="str">
        <f t="shared" ca="1" si="1"/>
        <v>✅ On Time</v>
      </c>
    </row>
    <row r="47" spans="1:11" ht="15" customHeight="1" x14ac:dyDescent="0.3">
      <c r="A47" t="str">
        <f>Job_Master!A47</f>
        <v>BJ-141</v>
      </c>
      <c r="B47">
        <f>Job_Master!B47</f>
        <v>50</v>
      </c>
      <c r="C47" t="str">
        <f>Job_Master!C47</f>
        <v>SOL</v>
      </c>
      <c r="D47" t="str">
        <f>Job_Master!G47</f>
        <v>High</v>
      </c>
      <c r="E47" t="str">
        <f>Job_Master!I47</f>
        <v>Released</v>
      </c>
      <c r="F47" t="str">
        <f ca="1">IF(QC_Plan!J47&lt;&gt;"","QC",IF(FID_Plan!J47&lt;&gt;"","FID",IF(VENT_Plan!J47&lt;&gt;"","VENT",IF(ENG_Plan!J47&lt;&gt;"","ENG",IF(EDM_Plan!J47&lt;&gt;"","EDM",IF(CARVING_Plan!J47&lt;&gt;"","CARVING",IF(SPM_Plan!J47&lt;&gt;"","SPM","VTL")))))))</f>
        <v>QC</v>
      </c>
      <c r="G47" s="62">
        <f ca="1">VTL_Plan!J47</f>
        <v>46162.458333333328</v>
      </c>
      <c r="H47" s="62">
        <f ca="1">QC_Plan!M47</f>
        <v>46282.438492063477</v>
      </c>
      <c r="I47" s="63">
        <f ca="1">(IF(VTL_Plan!M47&lt;&gt;"",1,0)+IF(SPM_Plan!M47&lt;&gt;"",1,0)+IF(CARVING_Plan!M47&lt;&gt;"",1,0)+IF(EDM_Plan!M47&lt;&gt;"",1,0)+IF(ENG_Plan!M47&lt;&gt;"",1,0)+IF(VENT_Plan!M47&lt;&gt;"",1,0)+IF(FID_Plan!M47&lt;&gt;"",1,0)+IF(QC_Plan!M47&lt;&gt;"",1,0))/8</f>
        <v>1</v>
      </c>
      <c r="J47" s="64">
        <f ca="1">Job_Master!J47</f>
        <v>46312.438492063477</v>
      </c>
      <c r="K47" t="str">
        <f t="shared" ca="1" si="1"/>
        <v>✅ On Time</v>
      </c>
    </row>
    <row r="48" spans="1:11" ht="15" customHeight="1" x14ac:dyDescent="0.3">
      <c r="A48" t="str">
        <f>Job_Master!A48</f>
        <v>BJ-142</v>
      </c>
      <c r="B48">
        <f>Job_Master!B48</f>
        <v>9</v>
      </c>
      <c r="C48" t="str">
        <f>Job_Master!C48</f>
        <v>RW</v>
      </c>
      <c r="D48" t="str">
        <f>Job_Master!G48</f>
        <v>Low</v>
      </c>
      <c r="E48" t="str">
        <f>Job_Master!I48</f>
        <v>Cancelled</v>
      </c>
      <c r="F48" t="str">
        <f ca="1">IF(QC_Plan!J48&lt;&gt;"","QC",IF(FID_Plan!J48&lt;&gt;"","FID",IF(VENT_Plan!J48&lt;&gt;"","VENT",IF(ENG_Plan!J48&lt;&gt;"","ENG",IF(EDM_Plan!J48&lt;&gt;"","EDM",IF(CARVING_Plan!J48&lt;&gt;"","CARVING",IF(SPM_Plan!J48&lt;&gt;"","SPM","VTL")))))))</f>
        <v>QC</v>
      </c>
      <c r="G48" s="62">
        <f ca="1">VTL_Plan!J48</f>
        <v>46155.699074074088</v>
      </c>
      <c r="H48" s="62">
        <f ca="1">QC_Plan!M48</f>
        <v>46179.746693121691</v>
      </c>
      <c r="I48" s="63">
        <f ca="1">(IF(VTL_Plan!M48&lt;&gt;"",1,0)+IF(SPM_Plan!M48&lt;&gt;"",1,0)+IF(CARVING_Plan!M48&lt;&gt;"",1,0)+IF(EDM_Plan!M48&lt;&gt;"",1,0)+IF(ENG_Plan!M48&lt;&gt;"",1,0)+IF(VENT_Plan!M48&lt;&gt;"",1,0)+IF(FID_Plan!M48&lt;&gt;"",1,0)+IF(QC_Plan!M48&lt;&gt;"",1,0))/8</f>
        <v>1</v>
      </c>
      <c r="J48" s="64">
        <f ca="1">Job_Master!J48</f>
        <v>46209.746693121691</v>
      </c>
      <c r="K48" t="str">
        <f t="shared" ca="1" si="1"/>
        <v>✅ On Time</v>
      </c>
    </row>
    <row r="49" spans="1:11" ht="15" customHeight="1" x14ac:dyDescent="0.3">
      <c r="A49" t="str">
        <f>Job_Master!A49</f>
        <v>BJ-147</v>
      </c>
      <c r="B49">
        <f>Job_Master!B49</f>
        <v>34</v>
      </c>
      <c r="C49" t="str">
        <f>Job_Master!C49</f>
        <v>SOL</v>
      </c>
      <c r="D49" t="str">
        <f>Job_Master!G49</f>
        <v>Medium</v>
      </c>
      <c r="E49" t="str">
        <f>Job_Master!I49</f>
        <v>Released</v>
      </c>
      <c r="F49" t="str">
        <f ca="1">IF(QC_Plan!J49&lt;&gt;"","QC",IF(FID_Plan!J49&lt;&gt;"","FID",IF(VENT_Plan!J49&lt;&gt;"","VENT",IF(ENG_Plan!J49&lt;&gt;"","ENG",IF(EDM_Plan!J49&lt;&gt;"","EDM",IF(CARVING_Plan!J49&lt;&gt;"","CARVING",IF(SPM_Plan!J49&lt;&gt;"","SPM","VTL")))))))</f>
        <v>QC</v>
      </c>
      <c r="G49" s="62">
        <f ca="1">VTL_Plan!J49</f>
        <v>46156.99537037038</v>
      </c>
      <c r="H49" s="62">
        <f ca="1">QC_Plan!M49</f>
        <v>46209.912037037051</v>
      </c>
      <c r="I49" s="63">
        <f ca="1">(IF(VTL_Plan!M49&lt;&gt;"",1,0)+IF(SPM_Plan!M49&lt;&gt;"",1,0)+IF(CARVING_Plan!M49&lt;&gt;"",1,0)+IF(EDM_Plan!M49&lt;&gt;"",1,0)+IF(ENG_Plan!M49&lt;&gt;"",1,0)+IF(VENT_Plan!M49&lt;&gt;"",1,0)+IF(FID_Plan!M49&lt;&gt;"",1,0)+IF(QC_Plan!M49&lt;&gt;"",1,0))/8</f>
        <v>1</v>
      </c>
      <c r="J49" s="64">
        <f ca="1">Job_Master!J49</f>
        <v>46239.912037037051</v>
      </c>
      <c r="K49" t="str">
        <f t="shared" ca="1" si="1"/>
        <v>✅ On Time</v>
      </c>
    </row>
    <row r="50" spans="1:11" ht="15" customHeight="1" x14ac:dyDescent="0.3">
      <c r="A50" t="str">
        <f>Job_Master!A50</f>
        <v>BJ-150</v>
      </c>
      <c r="B50">
        <f>Job_Master!B50</f>
        <v>34</v>
      </c>
      <c r="C50" t="str">
        <f>Job_Master!C50</f>
        <v>SOL</v>
      </c>
      <c r="D50" t="str">
        <f>Job_Master!G50</f>
        <v>Medium</v>
      </c>
      <c r="E50" t="str">
        <f>Job_Master!I50</f>
        <v>Released</v>
      </c>
      <c r="F50" t="str">
        <f ca="1">IF(QC_Plan!J50&lt;&gt;"","QC",IF(FID_Plan!J50&lt;&gt;"","FID",IF(VENT_Plan!J50&lt;&gt;"","VENT",IF(ENG_Plan!J50&lt;&gt;"","ENG",IF(EDM_Plan!J50&lt;&gt;"","EDM",IF(CARVING_Plan!J50&lt;&gt;"","CARVING",IF(SPM_Plan!J50&lt;&gt;"","SPM","VTL")))))))</f>
        <v>QC</v>
      </c>
      <c r="G50" s="62">
        <f ca="1">VTL_Plan!J50</f>
        <v>46163.291666666679</v>
      </c>
      <c r="H50" s="62">
        <f ca="1">QC_Plan!M50</f>
        <v>46221.949074074088</v>
      </c>
      <c r="I50" s="63">
        <f ca="1">(IF(VTL_Plan!M50&lt;&gt;"",1,0)+IF(SPM_Plan!M50&lt;&gt;"",1,0)+IF(CARVING_Plan!M50&lt;&gt;"",1,0)+IF(EDM_Plan!M50&lt;&gt;"",1,0)+IF(ENG_Plan!M50&lt;&gt;"",1,0)+IF(VENT_Plan!M50&lt;&gt;"",1,0)+IF(FID_Plan!M50&lt;&gt;"",1,0)+IF(QC_Plan!M50&lt;&gt;"",1,0))/8</f>
        <v>1</v>
      </c>
      <c r="J50" s="64">
        <f ca="1">Job_Master!J50</f>
        <v>46251.949074074088</v>
      </c>
      <c r="K50" t="str">
        <f t="shared" ca="1" si="1"/>
        <v>✅ On Time</v>
      </c>
    </row>
    <row r="51" spans="1:11" ht="15" customHeight="1" x14ac:dyDescent="0.3">
      <c r="A51" t="str">
        <f>Job_Master!A51</f>
        <v>BJ-151</v>
      </c>
      <c r="B51">
        <f>Job_Master!B51</f>
        <v>25</v>
      </c>
      <c r="C51" t="str">
        <f>Job_Master!C51</f>
        <v>SOL</v>
      </c>
      <c r="D51" t="str">
        <f>Job_Master!G51</f>
        <v>Low</v>
      </c>
      <c r="E51" t="str">
        <f>Job_Master!I51</f>
        <v>On Hold</v>
      </c>
      <c r="F51" t="str">
        <f ca="1">IF(QC_Plan!J51&lt;&gt;"","QC",IF(FID_Plan!J51&lt;&gt;"","FID",IF(VENT_Plan!J51&lt;&gt;"","VENT",IF(ENG_Plan!J51&lt;&gt;"","ENG",IF(EDM_Plan!J51&lt;&gt;"","EDM",IF(CARVING_Plan!J51&lt;&gt;"","CARVING",IF(SPM_Plan!J51&lt;&gt;"","SPM","VTL")))))))</f>
        <v>QC</v>
      </c>
      <c r="G51" s="62">
        <f ca="1">VTL_Plan!J51</f>
        <v>46156.532407407423</v>
      </c>
      <c r="H51" s="62">
        <f ca="1">QC_Plan!M51</f>
        <v>46226.20833333335</v>
      </c>
      <c r="I51" s="63">
        <f ca="1">(IF(VTL_Plan!M51&lt;&gt;"",1,0)+IF(SPM_Plan!M51&lt;&gt;"",1,0)+IF(CARVING_Plan!M51&lt;&gt;"",1,0)+IF(EDM_Plan!M51&lt;&gt;"",1,0)+IF(ENG_Plan!M51&lt;&gt;"",1,0)+IF(VENT_Plan!M51&lt;&gt;"",1,0)+IF(FID_Plan!M51&lt;&gt;"",1,0)+IF(QC_Plan!M51&lt;&gt;"",1,0))/8</f>
        <v>1</v>
      </c>
      <c r="J51" s="64">
        <f ca="1">Job_Master!J51</f>
        <v>46256.20833333335</v>
      </c>
      <c r="K51" t="str">
        <f t="shared" ca="1" si="1"/>
        <v>✅ On Time</v>
      </c>
    </row>
    <row r="52" spans="1:11" ht="15" customHeight="1" x14ac:dyDescent="0.3">
      <c r="A52" t="str">
        <f>Job_Master!A52</f>
        <v>BJ-152</v>
      </c>
      <c r="B52">
        <f>Job_Master!B52</f>
        <v>34</v>
      </c>
      <c r="C52" t="str">
        <f>Job_Master!C52</f>
        <v>2P</v>
      </c>
      <c r="D52" t="str">
        <f>Job_Master!G52</f>
        <v>Medium</v>
      </c>
      <c r="E52" t="str">
        <f>Job_Master!I52</f>
        <v>Released</v>
      </c>
      <c r="F52" t="str">
        <f ca="1">IF(QC_Plan!J52&lt;&gt;"","QC",IF(FID_Plan!J52&lt;&gt;"","FID",IF(VENT_Plan!J52&lt;&gt;"","VENT",IF(ENG_Plan!J52&lt;&gt;"","ENG",IF(EDM_Plan!J52&lt;&gt;"","EDM",IF(CARVING_Plan!J52&lt;&gt;"","CARVING",IF(SPM_Plan!J52&lt;&gt;"","SPM","VTL")))))))</f>
        <v>QC</v>
      </c>
      <c r="G52" s="62">
        <f ca="1">VTL_Plan!J52</f>
        <v>46169.587962962978</v>
      </c>
      <c r="H52" s="62">
        <f ca="1">QC_Plan!M52</f>
        <v>46219.773148148168</v>
      </c>
      <c r="I52" s="63">
        <f ca="1">(IF(VTL_Plan!M52&lt;&gt;"",1,0)+IF(SPM_Plan!M52&lt;&gt;"",1,0)+IF(CARVING_Plan!M52&lt;&gt;"",1,0)+IF(EDM_Plan!M52&lt;&gt;"",1,0)+IF(ENG_Plan!M52&lt;&gt;"",1,0)+IF(VENT_Plan!M52&lt;&gt;"",1,0)+IF(FID_Plan!M52&lt;&gt;"",1,0)+IF(QC_Plan!M52&lt;&gt;"",1,0))/8</f>
        <v>1</v>
      </c>
      <c r="J52" s="64">
        <f ca="1">Job_Master!J52</f>
        <v>46249.773148148168</v>
      </c>
      <c r="K52" t="str">
        <f t="shared" ca="1" si="1"/>
        <v>✅ On Time</v>
      </c>
    </row>
    <row r="53" spans="1:11" ht="15" customHeight="1" x14ac:dyDescent="0.3">
      <c r="A53" t="str">
        <f>Job_Master!A53</f>
        <v>BJ-143</v>
      </c>
      <c r="B53">
        <f>Job_Master!B53</f>
        <v>17</v>
      </c>
      <c r="C53" t="str">
        <f>Job_Master!C53</f>
        <v>SOL</v>
      </c>
      <c r="D53" t="str">
        <f>Job_Master!G53</f>
        <v>Low</v>
      </c>
      <c r="E53" t="str">
        <f>Job_Master!I53</f>
        <v>Released</v>
      </c>
      <c r="F53" t="str">
        <f ca="1">IF(QC_Plan!J53&lt;&gt;"","QC",IF(FID_Plan!J53&lt;&gt;"","FID",IF(VENT_Plan!J53&lt;&gt;"","VENT",IF(ENG_Plan!J53&lt;&gt;"","ENG",IF(EDM_Plan!J53&lt;&gt;"","EDM",IF(CARVING_Plan!J53&lt;&gt;"","CARVING",IF(SPM_Plan!J53&lt;&gt;"","SPM","VTL")))))))</f>
        <v>QC</v>
      </c>
      <c r="G53" s="62">
        <f ca="1">VTL_Plan!J53</f>
        <v>46161.162037037051</v>
      </c>
      <c r="H53" s="62">
        <f ca="1">QC_Plan!M53</f>
        <v>46222.550925925949</v>
      </c>
      <c r="I53" s="63">
        <f ca="1">(IF(VTL_Plan!M53&lt;&gt;"",1,0)+IF(SPM_Plan!M53&lt;&gt;"",1,0)+IF(CARVING_Plan!M53&lt;&gt;"",1,0)+IF(EDM_Plan!M53&lt;&gt;"",1,0)+IF(ENG_Plan!M53&lt;&gt;"",1,0)+IF(VENT_Plan!M53&lt;&gt;"",1,0)+IF(FID_Plan!M53&lt;&gt;"",1,0)+IF(QC_Plan!M53&lt;&gt;"",1,0))/8</f>
        <v>1</v>
      </c>
      <c r="J53" s="64">
        <f ca="1">Job_Master!J53</f>
        <v>46252.550925925949</v>
      </c>
      <c r="K53" t="str">
        <f t="shared" ca="1" si="1"/>
        <v>✅ On Time</v>
      </c>
    </row>
    <row r="54" spans="1:11" ht="15" customHeight="1" x14ac:dyDescent="0.3">
      <c r="A54" t="str">
        <f>Job_Master!A54</f>
        <v>BJ-154</v>
      </c>
      <c r="B54">
        <f>Job_Master!B54</f>
        <v>25</v>
      </c>
      <c r="C54" t="str">
        <f>Job_Master!C54</f>
        <v>RW</v>
      </c>
      <c r="D54" t="str">
        <f>Job_Master!G54</f>
        <v>Low</v>
      </c>
      <c r="E54" t="str">
        <f>Job_Master!I54</f>
        <v>Released</v>
      </c>
      <c r="F54" t="str">
        <f ca="1">IF(QC_Plan!J54&lt;&gt;"","QC",IF(FID_Plan!J54&lt;&gt;"","FID",IF(VENT_Plan!J54&lt;&gt;"","VENT",IF(ENG_Plan!J54&lt;&gt;"","ENG",IF(EDM_Plan!J54&lt;&gt;"","EDM",IF(CARVING_Plan!J54&lt;&gt;"","CARVING",IF(SPM_Plan!J54&lt;&gt;"","SPM","VTL")))))))</f>
        <v>QC</v>
      </c>
      <c r="G54" s="62">
        <f ca="1">VTL_Plan!J54</f>
        <v>46164.310185185197</v>
      </c>
      <c r="H54" s="62">
        <f ca="1">QC_Plan!M54</f>
        <v>46227.689814814832</v>
      </c>
      <c r="I54" s="63">
        <f ca="1">(IF(VTL_Plan!M54&lt;&gt;"",1,0)+IF(SPM_Plan!M54&lt;&gt;"",1,0)+IF(CARVING_Plan!M54&lt;&gt;"",1,0)+IF(EDM_Plan!M54&lt;&gt;"",1,0)+IF(ENG_Plan!M54&lt;&gt;"",1,0)+IF(VENT_Plan!M54&lt;&gt;"",1,0)+IF(FID_Plan!M54&lt;&gt;"",1,0)+IF(QC_Plan!M54&lt;&gt;"",1,0))/8</f>
        <v>1</v>
      </c>
      <c r="J54" s="64">
        <f ca="1">Job_Master!J54</f>
        <v>46257.689814814832</v>
      </c>
      <c r="K54" t="str">
        <f t="shared" ca="1" si="1"/>
        <v>✅ On Time</v>
      </c>
    </row>
    <row r="55" spans="1:11" ht="15" customHeight="1" x14ac:dyDescent="0.3">
      <c r="A55" t="str">
        <f>Job_Master!A55</f>
        <v>BJ-156</v>
      </c>
      <c r="B55">
        <f>Job_Master!B55</f>
        <v>25</v>
      </c>
      <c r="C55" t="str">
        <f>Job_Master!C55</f>
        <v>2P</v>
      </c>
      <c r="D55" t="str">
        <f>Job_Master!G55</f>
        <v>Low</v>
      </c>
      <c r="E55" t="str">
        <f>Job_Master!I55</f>
        <v>On Hold</v>
      </c>
      <c r="F55" t="str">
        <f ca="1">IF(QC_Plan!J55&lt;&gt;"","QC",IF(FID_Plan!J55&lt;&gt;"","FID",IF(VENT_Plan!J55&lt;&gt;"","VENT",IF(ENG_Plan!J55&lt;&gt;"","ENG",IF(EDM_Plan!J55&lt;&gt;"","EDM",IF(CARVING_Plan!J55&lt;&gt;"","CARVING",IF(SPM_Plan!J55&lt;&gt;"","SPM","VTL")))))))</f>
        <v>QC</v>
      </c>
      <c r="G55" s="62">
        <f ca="1">VTL_Plan!J55</f>
        <v>46166.625000000015</v>
      </c>
      <c r="H55" s="62">
        <f ca="1">QC_Plan!M55</f>
        <v>46225.050925925949</v>
      </c>
      <c r="I55" s="63">
        <f ca="1">(IF(VTL_Plan!M55&lt;&gt;"",1,0)+IF(SPM_Plan!M55&lt;&gt;"",1,0)+IF(CARVING_Plan!M55&lt;&gt;"",1,0)+IF(EDM_Plan!M55&lt;&gt;"",1,0)+IF(ENG_Plan!M55&lt;&gt;"",1,0)+IF(VENT_Plan!M55&lt;&gt;"",1,0)+IF(FID_Plan!M55&lt;&gt;"",1,0)+IF(QC_Plan!M55&lt;&gt;"",1,0))/8</f>
        <v>1</v>
      </c>
      <c r="J55" s="64">
        <f ca="1">Job_Master!J55</f>
        <v>46255.050925925949</v>
      </c>
      <c r="K55" t="str">
        <f t="shared" ca="1" si="1"/>
        <v>✅ On Time</v>
      </c>
    </row>
    <row r="56" spans="1:11" ht="15" customHeight="1" x14ac:dyDescent="0.3">
      <c r="A56" t="str">
        <f>Job_Master!A56</f>
        <v>BJ-145</v>
      </c>
      <c r="B56">
        <f>Job_Master!B56</f>
        <v>15</v>
      </c>
      <c r="C56" t="str">
        <f>Job_Master!C56</f>
        <v>2P</v>
      </c>
      <c r="D56" t="str">
        <f>Job_Master!G56</f>
        <v>Low</v>
      </c>
      <c r="E56" t="str">
        <f>Job_Master!I56</f>
        <v>Released</v>
      </c>
      <c r="F56" t="str">
        <f ca="1">IF(QC_Plan!J56&lt;&gt;"","QC",IF(FID_Plan!J56&lt;&gt;"","FID",IF(VENT_Plan!J56&lt;&gt;"","VENT",IF(ENG_Plan!J56&lt;&gt;"","ENG",IF(EDM_Plan!J56&lt;&gt;"","EDM",IF(CARVING_Plan!J56&lt;&gt;"","CARVING",IF(SPM_Plan!J56&lt;&gt;"","SPM","VTL")))))))</f>
        <v>QC</v>
      </c>
      <c r="G56" s="62">
        <f ca="1">VTL_Plan!J56</f>
        <v>46168.939814814832</v>
      </c>
      <c r="H56" s="62">
        <f ca="1">QC_Plan!M56</f>
        <v>46228.893518518533</v>
      </c>
      <c r="I56" s="63">
        <f ca="1">(IF(VTL_Plan!M56&lt;&gt;"",1,0)+IF(SPM_Plan!M56&lt;&gt;"",1,0)+IF(CARVING_Plan!M56&lt;&gt;"",1,0)+IF(EDM_Plan!M56&lt;&gt;"",1,0)+IF(ENG_Plan!M56&lt;&gt;"",1,0)+IF(VENT_Plan!M56&lt;&gt;"",1,0)+IF(FID_Plan!M56&lt;&gt;"",1,0)+IF(QC_Plan!M56&lt;&gt;"",1,0))/8</f>
        <v>1</v>
      </c>
      <c r="J56" s="64">
        <f ca="1">Job_Master!J56</f>
        <v>46258.893518518533</v>
      </c>
      <c r="K56" t="str">
        <f t="shared" ca="1" si="1"/>
        <v>✅ On Time</v>
      </c>
    </row>
    <row r="57" spans="1:11" ht="15" customHeight="1" x14ac:dyDescent="0.3">
      <c r="A57" t="str">
        <f>Job_Master!A57</f>
        <v>BJ-153</v>
      </c>
      <c r="B57">
        <f>Job_Master!B57</f>
        <v>34</v>
      </c>
      <c r="C57" t="str">
        <f>Job_Master!C57</f>
        <v>SEG</v>
      </c>
      <c r="D57" t="str">
        <f>Job_Master!G57</f>
        <v>Medium</v>
      </c>
      <c r="E57" t="str">
        <f>Job_Master!I57</f>
        <v>Released</v>
      </c>
      <c r="F57" t="str">
        <f ca="1">IF(QC_Plan!J57&lt;&gt;"","QC",IF(FID_Plan!J57&lt;&gt;"","FID",IF(VENT_Plan!J57&lt;&gt;"","VENT",IF(ENG_Plan!J57&lt;&gt;"","ENG",IF(EDM_Plan!J57&lt;&gt;"","EDM",IF(CARVING_Plan!J57&lt;&gt;"","CARVING",IF(SPM_Plan!J57&lt;&gt;"","SPM","VTL")))))))</f>
        <v>QC</v>
      </c>
      <c r="G57" s="62">
        <f ca="1">VTL_Plan!J57</f>
        <v>46172.736111111124</v>
      </c>
      <c r="H57" s="62">
        <f ca="1">QC_Plan!M57</f>
        <v>46255.609788359776</v>
      </c>
      <c r="I57" s="63">
        <f ca="1">(IF(VTL_Plan!M57&lt;&gt;"",1,0)+IF(SPM_Plan!M57&lt;&gt;"",1,0)+IF(CARVING_Plan!M57&lt;&gt;"",1,0)+IF(EDM_Plan!M57&lt;&gt;"",1,0)+IF(ENG_Plan!M57&lt;&gt;"",1,0)+IF(VENT_Plan!M57&lt;&gt;"",1,0)+IF(FID_Plan!M57&lt;&gt;"",1,0)+IF(QC_Plan!M57&lt;&gt;"",1,0))/8</f>
        <v>1</v>
      </c>
      <c r="J57" s="64">
        <f ca="1">Job_Master!J57</f>
        <v>46285.609788359776</v>
      </c>
      <c r="K57" t="str">
        <f t="shared" ca="1" si="1"/>
        <v>✅ On Time</v>
      </c>
    </row>
    <row r="58" spans="1:11" ht="15" customHeight="1" x14ac:dyDescent="0.3">
      <c r="A58" t="str">
        <f>Job_Master!A58</f>
        <v>BJ-160</v>
      </c>
      <c r="B58">
        <f>Job_Master!B58</f>
        <v>34</v>
      </c>
      <c r="C58" t="str">
        <f>Job_Master!C58</f>
        <v>2P</v>
      </c>
      <c r="D58" t="str">
        <f>Job_Master!G58</f>
        <v>Medium</v>
      </c>
      <c r="E58" t="str">
        <f>Job_Master!I58</f>
        <v>Cancelled</v>
      </c>
      <c r="F58" t="str">
        <f ca="1">IF(QC_Plan!J58&lt;&gt;"","QC",IF(FID_Plan!J58&lt;&gt;"","FID",IF(VENT_Plan!J58&lt;&gt;"","VENT",IF(ENG_Plan!J58&lt;&gt;"","ENG",IF(EDM_Plan!J58&lt;&gt;"","EDM",IF(CARVING_Plan!J58&lt;&gt;"","CARVING",IF(SPM_Plan!J58&lt;&gt;"","SPM","VTL")))))))</f>
        <v>QC</v>
      </c>
      <c r="G58" s="62">
        <f ca="1">VTL_Plan!J58</f>
        <v>46168.569444444438</v>
      </c>
      <c r="H58" s="62">
        <f ca="1">QC_Plan!M58</f>
        <v>46231.393518518533</v>
      </c>
      <c r="I58" s="63">
        <f ca="1">(IF(VTL_Plan!M58&lt;&gt;"",1,0)+IF(SPM_Plan!M58&lt;&gt;"",1,0)+IF(CARVING_Plan!M58&lt;&gt;"",1,0)+IF(EDM_Plan!M58&lt;&gt;"",1,0)+IF(ENG_Plan!M58&lt;&gt;"",1,0)+IF(VENT_Plan!M58&lt;&gt;"",1,0)+IF(FID_Plan!M58&lt;&gt;"",1,0)+IF(QC_Plan!M58&lt;&gt;"",1,0))/8</f>
        <v>1</v>
      </c>
      <c r="J58" s="64">
        <f ca="1">Job_Master!J58</f>
        <v>46261.393518518533</v>
      </c>
      <c r="K58" t="str">
        <f t="shared" ca="1" si="1"/>
        <v>✅ On Time</v>
      </c>
    </row>
    <row r="59" spans="1:11" ht="15" customHeight="1" x14ac:dyDescent="0.3">
      <c r="A59" t="str">
        <f>Job_Master!A59</f>
        <v>BJ-158</v>
      </c>
      <c r="B59">
        <f>Job_Master!B59</f>
        <v>54</v>
      </c>
      <c r="C59" t="str">
        <f>Job_Master!C59</f>
        <v>2P</v>
      </c>
      <c r="D59" t="str">
        <f>Job_Master!G59</f>
        <v>High</v>
      </c>
      <c r="E59" t="str">
        <f>Job_Master!I59</f>
        <v>Released</v>
      </c>
      <c r="F59" t="str">
        <f ca="1">IF(QC_Plan!J59&lt;&gt;"","QC",IF(FID_Plan!J59&lt;&gt;"","FID",IF(VENT_Plan!J59&lt;&gt;"","VENT",IF(ENG_Plan!J59&lt;&gt;"","ENG",IF(EDM_Plan!J59&lt;&gt;"","EDM",IF(CARVING_Plan!J59&lt;&gt;"","CARVING",IF(SPM_Plan!J59&lt;&gt;"","SPM","VTL")))))))</f>
        <v>QC</v>
      </c>
      <c r="G59" s="62">
        <f ca="1">VTL_Plan!J59</f>
        <v>46171.717592592584</v>
      </c>
      <c r="H59" s="62">
        <f ca="1">QC_Plan!M59</f>
        <v>46247.398809523802</v>
      </c>
      <c r="I59" s="63">
        <f ca="1">(IF(VTL_Plan!M59&lt;&gt;"",1,0)+IF(SPM_Plan!M59&lt;&gt;"",1,0)+IF(CARVING_Plan!M59&lt;&gt;"",1,0)+IF(EDM_Plan!M59&lt;&gt;"",1,0)+IF(ENG_Plan!M59&lt;&gt;"",1,0)+IF(VENT_Plan!M59&lt;&gt;"",1,0)+IF(FID_Plan!M59&lt;&gt;"",1,0)+IF(QC_Plan!M59&lt;&gt;"",1,0))/8</f>
        <v>1</v>
      </c>
      <c r="J59" s="64">
        <f ca="1">Job_Master!J59</f>
        <v>46277.398809523802</v>
      </c>
      <c r="K59" t="str">
        <f t="shared" ca="1" si="1"/>
        <v>✅ On Time</v>
      </c>
    </row>
    <row r="60" spans="1:11" ht="15" customHeight="1" x14ac:dyDescent="0.3">
      <c r="A60" t="str">
        <f>Job_Master!A60</f>
        <v>BJ-157</v>
      </c>
      <c r="B60">
        <f>Job_Master!B60</f>
        <v>50</v>
      </c>
      <c r="C60" t="str">
        <f>Job_Master!C60</f>
        <v>SEG</v>
      </c>
      <c r="D60" t="str">
        <f>Job_Master!G60</f>
        <v>High</v>
      </c>
      <c r="E60" t="str">
        <f>Job_Master!I60</f>
        <v>Released</v>
      </c>
      <c r="F60" t="str">
        <f ca="1">IF(QC_Plan!J60&lt;&gt;"","QC",IF(FID_Plan!J60&lt;&gt;"","FID",IF(VENT_Plan!J60&lt;&gt;"","VENT",IF(ENG_Plan!J60&lt;&gt;"","ENG",IF(EDM_Plan!J60&lt;&gt;"","EDM",IF(CARVING_Plan!J60&lt;&gt;"","CARVING",IF(SPM_Plan!J60&lt;&gt;"","SPM","VTL")))))))</f>
        <v>QC</v>
      </c>
      <c r="G60" s="62">
        <f ca="1">VTL_Plan!J60</f>
        <v>46171.717592592591</v>
      </c>
      <c r="H60" s="62">
        <f ca="1">QC_Plan!M60</f>
        <v>46316.43981481481</v>
      </c>
      <c r="I60" s="63">
        <f ca="1">(IF(VTL_Plan!M60&lt;&gt;"",1,0)+IF(SPM_Plan!M60&lt;&gt;"",1,0)+IF(CARVING_Plan!M60&lt;&gt;"",1,0)+IF(EDM_Plan!M60&lt;&gt;"",1,0)+IF(ENG_Plan!M60&lt;&gt;"",1,0)+IF(VENT_Plan!M60&lt;&gt;"",1,0)+IF(FID_Plan!M60&lt;&gt;"",1,0)+IF(QC_Plan!M60&lt;&gt;"",1,0))/8</f>
        <v>1</v>
      </c>
      <c r="J60" s="64">
        <f ca="1">Job_Master!J60</f>
        <v>46346.43981481481</v>
      </c>
      <c r="K60" t="str">
        <f t="shared" ca="1" si="1"/>
        <v>✅ On Time</v>
      </c>
    </row>
    <row r="61" spans="1:11" ht="15" customHeight="1" x14ac:dyDescent="0.3">
      <c r="A61" t="str">
        <f>Job_Master!A61</f>
        <v>BJ-159</v>
      </c>
      <c r="B61">
        <f>Job_Master!B61</f>
        <v>54</v>
      </c>
      <c r="C61" t="str">
        <f>Job_Master!C61</f>
        <v>RW</v>
      </c>
      <c r="D61" t="str">
        <f>Job_Master!G61</f>
        <v>High</v>
      </c>
      <c r="E61" t="str">
        <f>Job_Master!I61</f>
        <v>On Hold</v>
      </c>
      <c r="F61" t="str">
        <f ca="1">IF(QC_Plan!J61&lt;&gt;"","QC",IF(FID_Plan!J61&lt;&gt;"","FID",IF(VENT_Plan!J61&lt;&gt;"","VENT",IF(ENG_Plan!J61&lt;&gt;"","ENG",IF(EDM_Plan!J61&lt;&gt;"","EDM",IF(CARVING_Plan!J61&lt;&gt;"","CARVING",IF(SPM_Plan!J61&lt;&gt;"","SPM","VTL")))))))</f>
        <v>QC</v>
      </c>
      <c r="G61" s="62">
        <f ca="1">VTL_Plan!J61</f>
        <v>46176.995370370365</v>
      </c>
      <c r="H61" s="62">
        <f ca="1">QC_Plan!M61</f>
        <v>46253.695105820101</v>
      </c>
      <c r="I61" s="63">
        <f ca="1">(IF(VTL_Plan!M61&lt;&gt;"",1,0)+IF(SPM_Plan!M61&lt;&gt;"",1,0)+IF(CARVING_Plan!M61&lt;&gt;"",1,0)+IF(EDM_Plan!M61&lt;&gt;"",1,0)+IF(ENG_Plan!M61&lt;&gt;"",1,0)+IF(VENT_Plan!M61&lt;&gt;"",1,0)+IF(FID_Plan!M61&lt;&gt;"",1,0)+IF(QC_Plan!M61&lt;&gt;"",1,0))/8</f>
        <v>1</v>
      </c>
      <c r="J61" s="64">
        <f ca="1">Job_Master!J61</f>
        <v>46283.695105820101</v>
      </c>
      <c r="K61" t="str">
        <f t="shared" ca="1" si="1"/>
        <v>✅ On Time</v>
      </c>
    </row>
    <row r="62" spans="1:11" ht="15" customHeight="1" x14ac:dyDescent="0.3">
      <c r="A62" t="str">
        <f>Job_Master!A62</f>
        <v>BJ-148</v>
      </c>
      <c r="B62">
        <f>Job_Master!B62</f>
        <v>9</v>
      </c>
      <c r="C62" t="str">
        <f>Job_Master!C62</f>
        <v>SEG</v>
      </c>
      <c r="D62" t="str">
        <f>Job_Master!G62</f>
        <v>Low</v>
      </c>
      <c r="E62" t="str">
        <f>Job_Master!I62</f>
        <v>Released</v>
      </c>
      <c r="F62" t="str">
        <f ca="1">IF(QC_Plan!J62&lt;&gt;"","QC",IF(FID_Plan!J62&lt;&gt;"","FID",IF(VENT_Plan!J62&lt;&gt;"","VENT",IF(ENG_Plan!J62&lt;&gt;"","ENG",IF(EDM_Plan!J62&lt;&gt;"","EDM",IF(CARVING_Plan!J62&lt;&gt;"","CARVING",IF(SPM_Plan!J62&lt;&gt;"","SPM","VTL")))))))</f>
        <v>QC</v>
      </c>
      <c r="G62" s="62">
        <f ca="1">VTL_Plan!J62</f>
        <v>46170.328703703723</v>
      </c>
      <c r="H62" s="62">
        <f ca="1">QC_Plan!M62</f>
        <v>46231.949074074088</v>
      </c>
      <c r="I62" s="63">
        <f ca="1">(IF(VTL_Plan!M62&lt;&gt;"",1,0)+IF(SPM_Plan!M62&lt;&gt;"",1,0)+IF(CARVING_Plan!M62&lt;&gt;"",1,0)+IF(EDM_Plan!M62&lt;&gt;"",1,0)+IF(ENG_Plan!M62&lt;&gt;"",1,0)+IF(VENT_Plan!M62&lt;&gt;"",1,0)+IF(FID_Plan!M62&lt;&gt;"",1,0)+IF(QC_Plan!M62&lt;&gt;"",1,0))/8</f>
        <v>1</v>
      </c>
      <c r="J62" s="64">
        <f ca="1">Job_Master!J62</f>
        <v>46261.949074074088</v>
      </c>
      <c r="K62" t="str">
        <f t="shared" ca="1" si="1"/>
        <v>✅ On Time</v>
      </c>
    </row>
    <row r="63" spans="1:11" ht="15" customHeight="1" x14ac:dyDescent="0.3">
      <c r="A63" t="str">
        <f>Job_Master!A63</f>
        <v>BJ-161</v>
      </c>
      <c r="B63">
        <f>Job_Master!B63</f>
        <v>30</v>
      </c>
      <c r="C63" t="str">
        <f>Job_Master!C63</f>
        <v>SEG</v>
      </c>
      <c r="D63" t="str">
        <f>Job_Master!G63</f>
        <v>Medium</v>
      </c>
      <c r="E63" t="str">
        <f>Job_Master!I63</f>
        <v>Released</v>
      </c>
      <c r="F63" t="str">
        <f ca="1">IF(QC_Plan!J63&lt;&gt;"","QC",IF(FID_Plan!J63&lt;&gt;"","FID",IF(VENT_Plan!J63&lt;&gt;"","VENT",IF(ENG_Plan!J63&lt;&gt;"","ENG",IF(EDM_Plan!J63&lt;&gt;"","EDM",IF(CARVING_Plan!J63&lt;&gt;"","CARVING",IF(SPM_Plan!J63&lt;&gt;"","SPM","VTL")))))))</f>
        <v>QC</v>
      </c>
      <c r="G63" s="62">
        <f ca="1">VTL_Plan!J63</f>
        <v>46182.180555555569</v>
      </c>
      <c r="H63" s="62">
        <f ca="1">QC_Plan!M63</f>
        <v>46241.191798941807</v>
      </c>
      <c r="I63" s="63">
        <f ca="1">(IF(VTL_Plan!M63&lt;&gt;"",1,0)+IF(SPM_Plan!M63&lt;&gt;"",1,0)+IF(CARVING_Plan!M63&lt;&gt;"",1,0)+IF(EDM_Plan!M63&lt;&gt;"",1,0)+IF(ENG_Plan!M63&lt;&gt;"",1,0)+IF(VENT_Plan!M63&lt;&gt;"",1,0)+IF(FID_Plan!M63&lt;&gt;"",1,0)+IF(QC_Plan!M63&lt;&gt;"",1,0))/8</f>
        <v>1</v>
      </c>
      <c r="J63" s="64">
        <f ca="1">Job_Master!J63</f>
        <v>46271.191798941807</v>
      </c>
      <c r="K63" t="str">
        <f t="shared" ca="1" si="1"/>
        <v>✅ On Time</v>
      </c>
    </row>
    <row r="64" spans="1:11" ht="15" customHeight="1" x14ac:dyDescent="0.3">
      <c r="A64" t="str">
        <f>Job_Master!A64</f>
        <v>BJ-149</v>
      </c>
      <c r="B64">
        <f>Job_Master!B64</f>
        <v>9</v>
      </c>
      <c r="C64" t="str">
        <f>Job_Master!C64</f>
        <v>2P</v>
      </c>
      <c r="D64" t="str">
        <f>Job_Master!G64</f>
        <v>Low</v>
      </c>
      <c r="E64" t="str">
        <f>Job_Master!I64</f>
        <v>Released</v>
      </c>
      <c r="F64" t="str">
        <f ca="1">IF(QC_Plan!J64&lt;&gt;"","QC",IF(FID_Plan!J64&lt;&gt;"","FID",IF(VENT_Plan!J64&lt;&gt;"","VENT",IF(ENG_Plan!J64&lt;&gt;"","ENG",IF(EDM_Plan!J64&lt;&gt;"","EDM",IF(CARVING_Plan!J64&lt;&gt;"","CARVING",IF(SPM_Plan!J64&lt;&gt;"","SPM","VTL")))))))</f>
        <v>QC</v>
      </c>
      <c r="G64" s="62">
        <f ca="1">VTL_Plan!J64</f>
        <v>46172.828703703723</v>
      </c>
      <c r="H64" s="62">
        <f ca="1">QC_Plan!M64</f>
        <v>46254.158068783065</v>
      </c>
      <c r="I64" s="63">
        <f ca="1">(IF(VTL_Plan!M64&lt;&gt;"",1,0)+IF(SPM_Plan!M64&lt;&gt;"",1,0)+IF(CARVING_Plan!M64&lt;&gt;"",1,0)+IF(EDM_Plan!M64&lt;&gt;"",1,0)+IF(ENG_Plan!M64&lt;&gt;"",1,0)+IF(VENT_Plan!M64&lt;&gt;"",1,0)+IF(FID_Plan!M64&lt;&gt;"",1,0)+IF(QC_Plan!M64&lt;&gt;"",1,0))/8</f>
        <v>1</v>
      </c>
      <c r="J64" s="64">
        <f ca="1">Job_Master!J64</f>
        <v>46284.158068783065</v>
      </c>
      <c r="K64" t="str">
        <f t="shared" ca="1" si="1"/>
        <v>✅ On Time</v>
      </c>
    </row>
    <row r="65" spans="1:11" ht="15" customHeight="1" x14ac:dyDescent="0.3">
      <c r="A65" t="str">
        <f>Job_Master!A65</f>
        <v>BJ-163</v>
      </c>
      <c r="B65">
        <f>Job_Master!B65</f>
        <v>70</v>
      </c>
      <c r="C65" t="str">
        <f>Job_Master!C65</f>
        <v>SOL</v>
      </c>
      <c r="D65" t="str">
        <f>Job_Master!G65</f>
        <v>High</v>
      </c>
      <c r="E65" t="str">
        <f>Job_Master!I65</f>
        <v>On Hold</v>
      </c>
      <c r="F65" t="str">
        <f ca="1">IF(QC_Plan!J65&lt;&gt;"","QC",IF(FID_Plan!J65&lt;&gt;"","FID",IF(VENT_Plan!J65&lt;&gt;"","VENT",IF(ENG_Plan!J65&lt;&gt;"","ENG",IF(EDM_Plan!J65&lt;&gt;"","EDM",IF(CARVING_Plan!J65&lt;&gt;"","CARVING",IF(SPM_Plan!J65&lt;&gt;"","SPM","VTL")))))))</f>
        <v>QC</v>
      </c>
      <c r="G65" s="62">
        <f ca="1">VTL_Plan!J65</f>
        <v>46181.995370370365</v>
      </c>
      <c r="H65" s="62">
        <f ca="1">QC_Plan!M65</f>
        <v>46331.995370370365</v>
      </c>
      <c r="I65" s="63">
        <f ca="1">(IF(VTL_Plan!M65&lt;&gt;"",1,0)+IF(SPM_Plan!M65&lt;&gt;"",1,0)+IF(CARVING_Plan!M65&lt;&gt;"",1,0)+IF(EDM_Plan!M65&lt;&gt;"",1,0)+IF(ENG_Plan!M65&lt;&gt;"",1,0)+IF(VENT_Plan!M65&lt;&gt;"",1,0)+IF(FID_Plan!M65&lt;&gt;"",1,0)+IF(QC_Plan!M65&lt;&gt;"",1,0))/8</f>
        <v>1</v>
      </c>
      <c r="J65" s="64">
        <f ca="1">Job_Master!J65</f>
        <v>46361.995370370365</v>
      </c>
      <c r="K65" t="str">
        <f t="shared" ca="1" si="1"/>
        <v>✅ On Time</v>
      </c>
    </row>
    <row r="66" spans="1:11" ht="15" customHeight="1" x14ac:dyDescent="0.3">
      <c r="A66" t="str">
        <f>Job_Master!A66</f>
        <v>BJ-164</v>
      </c>
      <c r="B66">
        <f>Job_Master!B66</f>
        <v>42</v>
      </c>
      <c r="C66" t="str">
        <f>Job_Master!C66</f>
        <v>SOL</v>
      </c>
      <c r="D66" t="str">
        <f>Job_Master!G66</f>
        <v>Medium</v>
      </c>
      <c r="E66" t="str">
        <f>Job_Master!I66</f>
        <v>Released</v>
      </c>
      <c r="F66" t="str">
        <f ca="1">IF(QC_Plan!J66&lt;&gt;"","QC",IF(FID_Plan!J66&lt;&gt;"","FID",IF(VENT_Plan!J66&lt;&gt;"","VENT",IF(ENG_Plan!J66&lt;&gt;"","ENG",IF(EDM_Plan!J66&lt;&gt;"","EDM",IF(CARVING_Plan!J66&lt;&gt;"","CARVING",IF(SPM_Plan!J66&lt;&gt;"","SPM","VTL")))))))</f>
        <v>QC</v>
      </c>
      <c r="G66" s="62">
        <f ca="1">VTL_Plan!J66</f>
        <v>46190.513888888905</v>
      </c>
      <c r="H66" s="62">
        <f ca="1">QC_Plan!M66</f>
        <v>46260.431216931203</v>
      </c>
      <c r="I66" s="63">
        <f ca="1">(IF(VTL_Plan!M66&lt;&gt;"",1,0)+IF(SPM_Plan!M66&lt;&gt;"",1,0)+IF(CARVING_Plan!M66&lt;&gt;"",1,0)+IF(EDM_Plan!M66&lt;&gt;"",1,0)+IF(ENG_Plan!M66&lt;&gt;"",1,0)+IF(VENT_Plan!M66&lt;&gt;"",1,0)+IF(FID_Plan!M66&lt;&gt;"",1,0)+IF(QC_Plan!M66&lt;&gt;"",1,0))/8</f>
        <v>1</v>
      </c>
      <c r="J66" s="64">
        <f ca="1">Job_Master!J66</f>
        <v>46290.431216931203</v>
      </c>
      <c r="K66" t="str">
        <f t="shared" ca="1" si="1"/>
        <v>✅ On Time</v>
      </c>
    </row>
    <row r="67" spans="1:11" ht="15" customHeight="1" x14ac:dyDescent="0.3">
      <c r="A67" t="str">
        <f>Job_Master!A67</f>
        <v>BJ-168</v>
      </c>
      <c r="B67">
        <f>Job_Master!B67</f>
        <v>20</v>
      </c>
      <c r="C67" t="str">
        <f>Job_Master!C67</f>
        <v>2P</v>
      </c>
      <c r="D67" t="str">
        <f>Job_Master!G67</f>
        <v>Low</v>
      </c>
      <c r="E67" t="str">
        <f>Job_Master!I67</f>
        <v>Released</v>
      </c>
      <c r="F67" t="str">
        <f ca="1">IF(QC_Plan!J67&lt;&gt;"","QC",IF(FID_Plan!J67&lt;&gt;"","FID",IF(VENT_Plan!J67&lt;&gt;"","VENT",IF(ENG_Plan!J67&lt;&gt;"","ENG",IF(EDM_Plan!J67&lt;&gt;"","EDM",IF(CARVING_Plan!J67&lt;&gt;"","CARVING",IF(SPM_Plan!J67&lt;&gt;"","SPM","VTL")))))))</f>
        <v>QC</v>
      </c>
      <c r="G67" s="62">
        <f ca="1">VTL_Plan!J67</f>
        <v>46173.662037037058</v>
      </c>
      <c r="H67" s="62">
        <f ca="1">QC_Plan!M67</f>
        <v>46256.720899470885</v>
      </c>
      <c r="I67" s="63">
        <f ca="1">(IF(VTL_Plan!M67&lt;&gt;"",1,0)+IF(SPM_Plan!M67&lt;&gt;"",1,0)+IF(CARVING_Plan!M67&lt;&gt;"",1,0)+IF(EDM_Plan!M67&lt;&gt;"",1,0)+IF(ENG_Plan!M67&lt;&gt;"",1,0)+IF(VENT_Plan!M67&lt;&gt;"",1,0)+IF(FID_Plan!M67&lt;&gt;"",1,0)+IF(QC_Plan!M67&lt;&gt;"",1,0))/8</f>
        <v>1</v>
      </c>
      <c r="J67" s="64">
        <f ca="1">Job_Master!J67</f>
        <v>46286.720899470885</v>
      </c>
      <c r="K67" t="str">
        <f t="shared" ca="1" si="1"/>
        <v>✅ On Time</v>
      </c>
    </row>
    <row r="68" spans="1:11" ht="15" customHeight="1" x14ac:dyDescent="0.3">
      <c r="A68" t="str">
        <f>Job_Master!A68</f>
        <v>BJ-155</v>
      </c>
      <c r="B68">
        <f>Job_Master!B68</f>
        <v>17</v>
      </c>
      <c r="C68" t="str">
        <f>Job_Master!C68</f>
        <v>RW</v>
      </c>
      <c r="D68" t="str">
        <f>Job_Master!G68</f>
        <v>Low</v>
      </c>
      <c r="E68" t="str">
        <f>Job_Master!I68</f>
        <v>Cancelled</v>
      </c>
      <c r="F68" t="str">
        <f ca="1">IF(QC_Plan!J68&lt;&gt;"","QC",IF(FID_Plan!J68&lt;&gt;"","FID",IF(VENT_Plan!J68&lt;&gt;"","VENT",IF(ENG_Plan!J68&lt;&gt;"","ENG",IF(EDM_Plan!J68&lt;&gt;"","EDM",IF(CARVING_Plan!J68&lt;&gt;"","CARVING",IF(SPM_Plan!J68&lt;&gt;"","SPM","VTL")))))))</f>
        <v>QC</v>
      </c>
      <c r="G68" s="62">
        <f ca="1">VTL_Plan!J68</f>
        <v>46175.513888888912</v>
      </c>
      <c r="H68" s="62">
        <f ca="1">QC_Plan!M68</f>
        <v>46257.739417989404</v>
      </c>
      <c r="I68" s="63">
        <f ca="1">(IF(VTL_Plan!M68&lt;&gt;"",1,0)+IF(SPM_Plan!M68&lt;&gt;"",1,0)+IF(CARVING_Plan!M68&lt;&gt;"",1,0)+IF(EDM_Plan!M68&lt;&gt;"",1,0)+IF(ENG_Plan!M68&lt;&gt;"",1,0)+IF(VENT_Plan!M68&lt;&gt;"",1,0)+IF(FID_Plan!M68&lt;&gt;"",1,0)+IF(QC_Plan!M68&lt;&gt;"",1,0))/8</f>
        <v>1</v>
      </c>
      <c r="J68" s="64">
        <f ca="1">Job_Master!J68</f>
        <v>46287.739417989404</v>
      </c>
      <c r="K68" t="str">
        <f t="shared" ref="K68:K99" ca="1" si="2">IF(OR(J68="",H68=""),"Pending",IF(H68&lt;=J68,"✅ On Time","⚠ Delayed"))</f>
        <v>✅ On Time</v>
      </c>
    </row>
    <row r="69" spans="1:11" ht="15" customHeight="1" x14ac:dyDescent="0.3">
      <c r="A69" t="str">
        <f>Job_Master!A69</f>
        <v>BJ-167</v>
      </c>
      <c r="B69">
        <f>Job_Master!B69</f>
        <v>54</v>
      </c>
      <c r="C69" t="str">
        <f>Job_Master!C69</f>
        <v>2P</v>
      </c>
      <c r="D69" t="str">
        <f>Job_Master!G69</f>
        <v>High</v>
      </c>
      <c r="E69" t="str">
        <f>Job_Master!I69</f>
        <v>Released</v>
      </c>
      <c r="F69" t="str">
        <f ca="1">IF(QC_Plan!J69&lt;&gt;"","QC",IF(FID_Plan!J69&lt;&gt;"","FID",IF(VENT_Plan!J69&lt;&gt;"","VENT",IF(ENG_Plan!J69&lt;&gt;"","ENG",IF(EDM_Plan!J69&lt;&gt;"","EDM",IF(CARVING_Plan!J69&lt;&gt;"","CARVING",IF(SPM_Plan!J69&lt;&gt;"","SPM","VTL")))))))</f>
        <v>QC</v>
      </c>
      <c r="G69" s="62">
        <f ca="1">VTL_Plan!J69</f>
        <v>46185.606481481482</v>
      </c>
      <c r="H69" s="62">
        <f ca="1">QC_Plan!M69</f>
        <v>46288.642195767177</v>
      </c>
      <c r="I69" s="63">
        <f ca="1">(IF(VTL_Plan!M69&lt;&gt;"",1,0)+IF(SPM_Plan!M69&lt;&gt;"",1,0)+IF(CARVING_Plan!M69&lt;&gt;"",1,0)+IF(EDM_Plan!M69&lt;&gt;"",1,0)+IF(ENG_Plan!M69&lt;&gt;"",1,0)+IF(VENT_Plan!M69&lt;&gt;"",1,0)+IF(FID_Plan!M69&lt;&gt;"",1,0)+IF(QC_Plan!M69&lt;&gt;"",1,0))/8</f>
        <v>1</v>
      </c>
      <c r="J69" s="64">
        <f ca="1">Job_Master!J69</f>
        <v>46318.642195767177</v>
      </c>
      <c r="K69" t="str">
        <f t="shared" ca="1" si="2"/>
        <v>✅ On Time</v>
      </c>
    </row>
    <row r="70" spans="1:11" ht="15" customHeight="1" x14ac:dyDescent="0.3">
      <c r="A70" t="str">
        <f>Job_Master!A70</f>
        <v>BJ-166</v>
      </c>
      <c r="B70">
        <f>Job_Master!B70</f>
        <v>50</v>
      </c>
      <c r="C70" t="str">
        <f>Job_Master!C70</f>
        <v>SOL</v>
      </c>
      <c r="D70" t="str">
        <f>Job_Master!G70</f>
        <v>High</v>
      </c>
      <c r="E70" t="str">
        <f>Job_Master!I70</f>
        <v>Released</v>
      </c>
      <c r="F70" t="str">
        <f ca="1">IF(QC_Plan!J70&lt;&gt;"","QC",IF(FID_Plan!J70&lt;&gt;"","FID",IF(VENT_Plan!J70&lt;&gt;"","VENT",IF(ENG_Plan!J70&lt;&gt;"","ENG",IF(EDM_Plan!J70&lt;&gt;"","EDM",IF(CARVING_Plan!J70&lt;&gt;"","CARVING",IF(SPM_Plan!J70&lt;&gt;"","SPM","VTL")))))))</f>
        <v>QC</v>
      </c>
      <c r="G70" s="62">
        <f ca="1">VTL_Plan!J70</f>
        <v>46190.606481481482</v>
      </c>
      <c r="H70" s="62">
        <f ca="1">QC_Plan!M70</f>
        <v>46313.027116402103</v>
      </c>
      <c r="I70" s="63">
        <f ca="1">(IF(VTL_Plan!M70&lt;&gt;"",1,0)+IF(SPM_Plan!M70&lt;&gt;"",1,0)+IF(CARVING_Plan!M70&lt;&gt;"",1,0)+IF(EDM_Plan!M70&lt;&gt;"",1,0)+IF(ENG_Plan!M70&lt;&gt;"",1,0)+IF(VENT_Plan!M70&lt;&gt;"",1,0)+IF(FID_Plan!M70&lt;&gt;"",1,0)+IF(QC_Plan!M70&lt;&gt;"",1,0))/8</f>
        <v>1</v>
      </c>
      <c r="J70" s="64">
        <f ca="1">Job_Master!J70</f>
        <v>46343.027116402103</v>
      </c>
      <c r="K70" t="str">
        <f t="shared" ca="1" si="2"/>
        <v>✅ On Time</v>
      </c>
    </row>
    <row r="71" spans="1:11" ht="15" customHeight="1" x14ac:dyDescent="0.3">
      <c r="A71" t="str">
        <f>Job_Master!A71</f>
        <v>BJ-162</v>
      </c>
      <c r="B71">
        <f>Job_Master!B71</f>
        <v>17</v>
      </c>
      <c r="C71" t="str">
        <f>Job_Master!C71</f>
        <v>SOL</v>
      </c>
      <c r="D71" t="str">
        <f>Job_Master!G71</f>
        <v>Low</v>
      </c>
      <c r="E71" t="str">
        <f>Job_Master!I71</f>
        <v>On Hold</v>
      </c>
      <c r="F71" t="str">
        <f ca="1">IF(QC_Plan!J71&lt;&gt;"","QC",IF(FID_Plan!J71&lt;&gt;"","FID",IF(VENT_Plan!J71&lt;&gt;"","VENT",IF(ENG_Plan!J71&lt;&gt;"","ENG",IF(EDM_Plan!J71&lt;&gt;"","EDM",IF(CARVING_Plan!J71&lt;&gt;"","CARVING",IF(SPM_Plan!J71&lt;&gt;"","SPM","VTL")))))))</f>
        <v>QC</v>
      </c>
      <c r="G71" s="62">
        <f ca="1">VTL_Plan!J71</f>
        <v>46177.087962962985</v>
      </c>
      <c r="H71" s="62">
        <f ca="1">QC_Plan!M71</f>
        <v>46243.969576719588</v>
      </c>
      <c r="I71" s="63">
        <f ca="1">(IF(VTL_Plan!M71&lt;&gt;"",1,0)+IF(SPM_Plan!M71&lt;&gt;"",1,0)+IF(CARVING_Plan!M71&lt;&gt;"",1,0)+IF(EDM_Plan!M71&lt;&gt;"",1,0)+IF(ENG_Plan!M71&lt;&gt;"",1,0)+IF(VENT_Plan!M71&lt;&gt;"",1,0)+IF(FID_Plan!M71&lt;&gt;"",1,0)+IF(QC_Plan!M71&lt;&gt;"",1,0))/8</f>
        <v>1</v>
      </c>
      <c r="J71" s="64">
        <f ca="1">Job_Master!J71</f>
        <v>46273.969576719588</v>
      </c>
      <c r="K71" t="str">
        <f t="shared" ca="1" si="2"/>
        <v>✅ On Time</v>
      </c>
    </row>
    <row r="72" spans="1:11" ht="15" customHeight="1" x14ac:dyDescent="0.3">
      <c r="A72" t="str">
        <f>Job_Master!A72</f>
        <v>BJ-165</v>
      </c>
      <c r="B72">
        <f>Job_Master!B72</f>
        <v>17</v>
      </c>
      <c r="C72" t="str">
        <f>Job_Master!C72</f>
        <v>2P</v>
      </c>
      <c r="D72" t="str">
        <f>Job_Master!G72</f>
        <v>Low</v>
      </c>
      <c r="E72" t="str">
        <f>Job_Master!I72</f>
        <v>Released</v>
      </c>
      <c r="F72" t="str">
        <f ca="1">IF(QC_Plan!J72&lt;&gt;"","QC",IF(FID_Plan!J72&lt;&gt;"","FID",IF(VENT_Plan!J72&lt;&gt;"","VENT",IF(ENG_Plan!J72&lt;&gt;"","ENG",IF(EDM_Plan!J72&lt;&gt;"","EDM",IF(CARVING_Plan!J72&lt;&gt;"","CARVING",IF(SPM_Plan!J72&lt;&gt;"","SPM","VTL")))))))</f>
        <v>QC</v>
      </c>
      <c r="G72" s="62">
        <f ca="1">VTL_Plan!J72</f>
        <v>46180.236111111131</v>
      </c>
      <c r="H72" s="62">
        <f ca="1">QC_Plan!M72</f>
        <v>46258.943121693104</v>
      </c>
      <c r="I72" s="63">
        <f ca="1">(IF(VTL_Plan!M72&lt;&gt;"",1,0)+IF(SPM_Plan!M72&lt;&gt;"",1,0)+IF(CARVING_Plan!M72&lt;&gt;"",1,0)+IF(EDM_Plan!M72&lt;&gt;"",1,0)+IF(ENG_Plan!M72&lt;&gt;"",1,0)+IF(VENT_Plan!M72&lt;&gt;"",1,0)+IF(FID_Plan!M72&lt;&gt;"",1,0)+IF(QC_Plan!M72&lt;&gt;"",1,0))/8</f>
        <v>1</v>
      </c>
      <c r="J72" s="64">
        <f ca="1">Job_Master!J72</f>
        <v>46288.943121693104</v>
      </c>
      <c r="K72" t="str">
        <f t="shared" ca="1" si="2"/>
        <v>✅ On Time</v>
      </c>
    </row>
    <row r="73" spans="1:11" ht="15" customHeight="1" x14ac:dyDescent="0.3">
      <c r="A73" t="str">
        <f>Job_Master!A73</f>
        <v>BJ-169</v>
      </c>
      <c r="B73">
        <f>Job_Master!B73</f>
        <v>17</v>
      </c>
      <c r="C73" t="str">
        <f>Job_Master!C73</f>
        <v>SEG</v>
      </c>
      <c r="D73" t="str">
        <f>Job_Master!G73</f>
        <v>Low</v>
      </c>
      <c r="E73" t="str">
        <f>Job_Master!I73</f>
        <v>Released</v>
      </c>
      <c r="F73" t="str">
        <f ca="1">IF(QC_Plan!J73&lt;&gt;"","QC",IF(FID_Plan!J73&lt;&gt;"","FID",IF(VENT_Plan!J73&lt;&gt;"","VENT",IF(ENG_Plan!J73&lt;&gt;"","ENG",IF(EDM_Plan!J73&lt;&gt;"","EDM",IF(CARVING_Plan!J73&lt;&gt;"","CARVING",IF(SPM_Plan!J73&lt;&gt;"","SPM","VTL")))))))</f>
        <v>QC</v>
      </c>
      <c r="G73" s="62">
        <f ca="1">VTL_Plan!J73</f>
        <v>46181.810185185204</v>
      </c>
      <c r="H73" s="62">
        <f ca="1">QC_Plan!M73</f>
        <v>46261.998677248659</v>
      </c>
      <c r="I73" s="63">
        <f ca="1">(IF(VTL_Plan!M73&lt;&gt;"",1,0)+IF(SPM_Plan!M73&lt;&gt;"",1,0)+IF(CARVING_Plan!M73&lt;&gt;"",1,0)+IF(EDM_Plan!M73&lt;&gt;"",1,0)+IF(ENG_Plan!M73&lt;&gt;"",1,0)+IF(VENT_Plan!M73&lt;&gt;"",1,0)+IF(FID_Plan!M73&lt;&gt;"",1,0)+IF(QC_Plan!M73&lt;&gt;"",1,0))/8</f>
        <v>1</v>
      </c>
      <c r="J73" s="64">
        <f ca="1">Job_Master!J73</f>
        <v>46291.998677248659</v>
      </c>
      <c r="K73" t="str">
        <f t="shared" ca="1" si="2"/>
        <v>✅ On Time</v>
      </c>
    </row>
  </sheetData>
  <mergeCells count="1">
    <mergeCell ref="A1:L1"/>
  </mergeCells>
  <conditionalFormatting sqref="D4:D74">
    <cfRule type="expression" dxfId="31" priority="5">
      <formula>$D4="High"</formula>
    </cfRule>
    <cfRule type="expression" dxfId="30" priority="6">
      <formula>$D4="Medium"</formula>
    </cfRule>
    <cfRule type="expression" dxfId="29" priority="7">
      <formula>$D4="Low"</formula>
    </cfRule>
  </conditionalFormatting>
  <conditionalFormatting sqref="K4:K74">
    <cfRule type="containsText" dxfId="28" priority="2" operator="containsText" text="On Time">
      <formula>NOT(ISERROR(SEARCH("On Time",K4)))</formula>
    </cfRule>
    <cfRule type="containsText" dxfId="27" priority="3" operator="containsText" text="Delayed">
      <formula>NOT(ISERROR(SEARCH("Delayed",K4)))</formula>
    </cfRule>
    <cfRule type="containsText" dxfId="26" priority="4" operator="containsText" text="Pending">
      <formula>NOT(ISERROR(SEARCH("Pending",K4)))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L200"/>
  <sheetViews>
    <sheetView zoomScaleNormal="100" workbookViewId="0">
      <selection activeCell="L15" sqref="L15"/>
    </sheetView>
  </sheetViews>
  <sheetFormatPr defaultColWidth="8.6640625" defaultRowHeight="14.4" x14ac:dyDescent="0.3"/>
  <cols>
    <col min="1" max="1" width="12" customWidth="1"/>
    <col min="2" max="2" width="7" customWidth="1"/>
    <col min="3" max="3" width="8" customWidth="1"/>
    <col min="4" max="4" width="10" customWidth="1"/>
    <col min="5" max="7" width="14" customWidth="1"/>
    <col min="8" max="8" width="10" customWidth="1"/>
    <col min="9" max="9" width="14" customWidth="1"/>
    <col min="10" max="10" width="12" customWidth="1"/>
    <col min="11" max="11" width="14" customWidth="1"/>
    <col min="12" max="12" width="20" customWidth="1"/>
  </cols>
  <sheetData>
    <row r="1" spans="1:12" ht="25.5" customHeight="1" x14ac:dyDescent="0.3">
      <c r="A1" s="131" t="s">
        <v>301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</row>
    <row r="2" spans="1:12" ht="27.75" customHeight="1" x14ac:dyDescent="0.3">
      <c r="A2" s="65" t="s">
        <v>2</v>
      </c>
      <c r="B2" s="65" t="s">
        <v>3</v>
      </c>
      <c r="C2" s="65" t="s">
        <v>4</v>
      </c>
      <c r="D2" s="65" t="s">
        <v>8</v>
      </c>
      <c r="E2" s="65" t="s">
        <v>12</v>
      </c>
      <c r="F2" s="65" t="s">
        <v>302</v>
      </c>
      <c r="G2" s="65" t="s">
        <v>11</v>
      </c>
      <c r="H2" s="65" t="s">
        <v>303</v>
      </c>
      <c r="I2" s="65" t="s">
        <v>304</v>
      </c>
      <c r="J2" s="65" t="s">
        <v>305</v>
      </c>
      <c r="K2" s="65" t="s">
        <v>306</v>
      </c>
      <c r="L2" s="65" t="s">
        <v>300</v>
      </c>
    </row>
    <row r="3" spans="1:12" ht="15" customHeight="1" x14ac:dyDescent="0.3">
      <c r="A3" t="str">
        <f>Job_Master!A4</f>
        <v>BJ-104</v>
      </c>
      <c r="B3">
        <f>Job_Master!B4</f>
        <v>28</v>
      </c>
      <c r="C3" t="str">
        <f>Job_Master!C4</f>
        <v>2P</v>
      </c>
      <c r="D3" t="str">
        <f>Job_Master!G4</f>
        <v>Medium</v>
      </c>
      <c r="E3" t="str">
        <f>Job_Master!K4</f>
        <v>Alpha Corp</v>
      </c>
      <c r="F3" s="64">
        <f ca="1">Job_Master!F4</f>
        <v>46132.339285714275</v>
      </c>
      <c r="G3" s="64">
        <f ca="1">Job_Master!J4</f>
        <v>46162.339285714275</v>
      </c>
      <c r="H3" s="66">
        <f t="shared" ref="H3:H34" ca="1" si="0">IF(OR(F3="",G3=""),"",(G3-F3))</f>
        <v>30</v>
      </c>
      <c r="I3" t="str">
        <f t="shared" ref="I3:I34" ca="1" si="1">IF(OR(F3="",G3=""),"⚪ Pending",IF(H3&lt;0,"🔴 OVERDUE",IF(H3&lt;7,"🟡 AT RISK","🟢 ON TRACK")))</f>
        <v>🟢 ON TRACK</v>
      </c>
      <c r="J3" t="s">
        <v>307</v>
      </c>
      <c r="K3" s="67"/>
    </row>
    <row r="4" spans="1:12" ht="15" customHeight="1" x14ac:dyDescent="0.3">
      <c r="A4" t="str">
        <f>Job_Master!A5</f>
        <v>BJ-101</v>
      </c>
      <c r="B4">
        <f>Job_Master!B5</f>
        <v>42</v>
      </c>
      <c r="C4" t="str">
        <f>Job_Master!C5</f>
        <v>SOL</v>
      </c>
      <c r="D4" t="str">
        <f>Job_Master!G5</f>
        <v>Medium</v>
      </c>
      <c r="E4" t="str">
        <f>Job_Master!K5</f>
        <v>Beta Ltd</v>
      </c>
      <c r="F4" s="64">
        <f ca="1">Job_Master!F5</f>
        <v>46170.368386243375</v>
      </c>
      <c r="G4" s="64">
        <f ca="1">Job_Master!J5</f>
        <v>46200.368386243375</v>
      </c>
      <c r="H4" s="66">
        <f t="shared" ca="1" si="0"/>
        <v>30</v>
      </c>
      <c r="I4" t="str">
        <f t="shared" ca="1" si="1"/>
        <v>🟢 ON TRACK</v>
      </c>
      <c r="J4" t="s">
        <v>307</v>
      </c>
      <c r="K4" s="67"/>
    </row>
    <row r="5" spans="1:12" ht="15" customHeight="1" x14ac:dyDescent="0.3">
      <c r="A5" t="str">
        <f>Job_Master!A6</f>
        <v>BJ-105</v>
      </c>
      <c r="B5">
        <f>Job_Master!B6</f>
        <v>28</v>
      </c>
      <c r="C5" t="str">
        <f>Job_Master!C6</f>
        <v>RW</v>
      </c>
      <c r="D5" t="str">
        <f>Job_Master!G6</f>
        <v>Medium</v>
      </c>
      <c r="E5" t="str">
        <f>Job_Master!K6</f>
        <v>Alpha Corp</v>
      </c>
      <c r="F5" s="64">
        <f ca="1">Job_Master!F6</f>
        <v>46134.58465608464</v>
      </c>
      <c r="G5" s="64">
        <f ca="1">Job_Master!J6</f>
        <v>46164.58465608464</v>
      </c>
      <c r="H5" s="66">
        <f t="shared" ca="1" si="0"/>
        <v>30</v>
      </c>
      <c r="I5" t="str">
        <f t="shared" ca="1" si="1"/>
        <v>🟢 ON TRACK</v>
      </c>
      <c r="J5" t="s">
        <v>307</v>
      </c>
      <c r="K5" s="67"/>
    </row>
    <row r="6" spans="1:12" ht="15" customHeight="1" x14ac:dyDescent="0.3">
      <c r="A6" t="str">
        <f>Job_Master!A7</f>
        <v>BJ-100</v>
      </c>
      <c r="B6">
        <f>Job_Master!B7</f>
        <v>25</v>
      </c>
      <c r="C6" t="str">
        <f>Job_Master!C7</f>
        <v>SEG</v>
      </c>
      <c r="D6" t="str">
        <f>Job_Master!G7</f>
        <v>Low</v>
      </c>
      <c r="E6" t="str">
        <f>Job_Master!K7</f>
        <v>Gamma Inc</v>
      </c>
      <c r="F6" s="64">
        <f ca="1">Job_Master!F7</f>
        <v>46178.949735449729</v>
      </c>
      <c r="G6" s="64">
        <f ca="1">Job_Master!J7</f>
        <v>46208.949735449729</v>
      </c>
      <c r="H6" s="66">
        <f t="shared" ca="1" si="0"/>
        <v>30</v>
      </c>
      <c r="I6" t="str">
        <f t="shared" ca="1" si="1"/>
        <v>🟢 ON TRACK</v>
      </c>
      <c r="J6" t="s">
        <v>307</v>
      </c>
      <c r="K6" s="67"/>
    </row>
    <row r="7" spans="1:12" ht="15" customHeight="1" x14ac:dyDescent="0.3">
      <c r="A7" t="str">
        <f>Job_Master!A8</f>
        <v>BJ-102</v>
      </c>
      <c r="B7">
        <f>Job_Master!B8</f>
        <v>34</v>
      </c>
      <c r="C7" t="str">
        <f>Job_Master!C8</f>
        <v>SEG</v>
      </c>
      <c r="D7" t="str">
        <f>Job_Master!G8</f>
        <v>Medium</v>
      </c>
      <c r="E7" t="str">
        <f>Job_Master!K8</f>
        <v>Beta Ltd</v>
      </c>
      <c r="F7" s="64">
        <f ca="1">Job_Master!F8</f>
        <v>46190.01124338623</v>
      </c>
      <c r="G7" s="64">
        <f ca="1">Job_Master!J8</f>
        <v>46220.01124338623</v>
      </c>
      <c r="H7" s="66">
        <f t="shared" ca="1" si="0"/>
        <v>30</v>
      </c>
      <c r="I7" t="str">
        <f t="shared" ca="1" si="1"/>
        <v>🟢 ON TRACK</v>
      </c>
      <c r="J7" t="s">
        <v>307</v>
      </c>
      <c r="K7" s="67"/>
    </row>
    <row r="8" spans="1:12" ht="15" customHeight="1" x14ac:dyDescent="0.3">
      <c r="A8" t="str">
        <f>Job_Master!A9</f>
        <v>BJ-103</v>
      </c>
      <c r="B8">
        <f>Job_Master!B9</f>
        <v>20</v>
      </c>
      <c r="C8" t="str">
        <f>Job_Master!C9</f>
        <v>RW</v>
      </c>
      <c r="D8" t="str">
        <f>Job_Master!G9</f>
        <v>Low</v>
      </c>
      <c r="E8" t="str">
        <f>Job_Master!K9</f>
        <v>Delta Co</v>
      </c>
      <c r="F8" s="64">
        <f ca="1">Job_Master!F9</f>
        <v>46130.480820105811</v>
      </c>
      <c r="G8" s="64">
        <f ca="1">Job_Master!J9</f>
        <v>46160.480820105811</v>
      </c>
      <c r="H8" s="66">
        <f t="shared" ca="1" si="0"/>
        <v>30</v>
      </c>
      <c r="I8" t="str">
        <f t="shared" ca="1" si="1"/>
        <v>🟢 ON TRACK</v>
      </c>
      <c r="J8" t="s">
        <v>307</v>
      </c>
      <c r="K8" s="67"/>
    </row>
    <row r="9" spans="1:12" ht="15" customHeight="1" x14ac:dyDescent="0.3">
      <c r="A9" t="str">
        <f>Job_Master!A10</f>
        <v>BJ-108</v>
      </c>
      <c r="B9">
        <f>Job_Master!B10</f>
        <v>70</v>
      </c>
      <c r="C9" t="str">
        <f>Job_Master!C10</f>
        <v>RW</v>
      </c>
      <c r="D9" t="str">
        <f>Job_Master!G10</f>
        <v>High</v>
      </c>
      <c r="E9" t="str">
        <f>Job_Master!K10</f>
        <v>Alpha Corp</v>
      </c>
      <c r="F9" s="64">
        <f ca="1">Job_Master!F10</f>
        <v>46183.675264550257</v>
      </c>
      <c r="G9" s="64">
        <f ca="1">Job_Master!J10</f>
        <v>46213.675264550257</v>
      </c>
      <c r="H9" s="66">
        <f t="shared" ca="1" si="0"/>
        <v>30</v>
      </c>
      <c r="I9" t="str">
        <f t="shared" ca="1" si="1"/>
        <v>🟢 ON TRACK</v>
      </c>
      <c r="J9" t="s">
        <v>307</v>
      </c>
      <c r="K9" s="67"/>
    </row>
    <row r="10" spans="1:12" ht="15" customHeight="1" x14ac:dyDescent="0.3">
      <c r="A10" t="str">
        <f>Job_Master!A11</f>
        <v>BJ-106</v>
      </c>
      <c r="B10">
        <f>Job_Master!B11</f>
        <v>15</v>
      </c>
      <c r="C10" t="str">
        <f>Job_Master!C11</f>
        <v>RW</v>
      </c>
      <c r="D10" t="str">
        <f>Job_Master!G11</f>
        <v>Low</v>
      </c>
      <c r="E10" t="str">
        <f>Job_Master!K11</f>
        <v>Gamma Inc</v>
      </c>
      <c r="F10" s="64">
        <f ca="1">Job_Master!F11</f>
        <v>46125.259259259255</v>
      </c>
      <c r="G10" s="64">
        <f ca="1">Job_Master!J11</f>
        <v>46155.259259259255</v>
      </c>
      <c r="H10" s="66">
        <f t="shared" ca="1" si="0"/>
        <v>30</v>
      </c>
      <c r="I10" t="str">
        <f t="shared" ca="1" si="1"/>
        <v>🟢 ON TRACK</v>
      </c>
      <c r="J10" t="s">
        <v>307</v>
      </c>
      <c r="K10" s="67"/>
    </row>
    <row r="11" spans="1:12" ht="15" customHeight="1" x14ac:dyDescent="0.3">
      <c r="A11" t="str">
        <f>Job_Master!A12</f>
        <v>BJ-109</v>
      </c>
      <c r="B11">
        <f>Job_Master!B12</f>
        <v>30</v>
      </c>
      <c r="C11" t="str">
        <f>Job_Master!C12</f>
        <v>RW</v>
      </c>
      <c r="D11" t="str">
        <f>Job_Master!G12</f>
        <v>Medium</v>
      </c>
      <c r="E11" t="str">
        <f>Job_Master!K12</f>
        <v>Beta Ltd</v>
      </c>
      <c r="F11" s="64">
        <f ca="1">Job_Master!F12</f>
        <v>46141.91931216931</v>
      </c>
      <c r="G11" s="64">
        <f ca="1">Job_Master!J12</f>
        <v>46171.91931216931</v>
      </c>
      <c r="H11" s="66">
        <f t="shared" ca="1" si="0"/>
        <v>30</v>
      </c>
      <c r="I11" t="str">
        <f t="shared" ca="1" si="1"/>
        <v>🟢 ON TRACK</v>
      </c>
      <c r="J11" t="s">
        <v>307</v>
      </c>
      <c r="K11" s="67"/>
    </row>
    <row r="12" spans="1:12" ht="15" customHeight="1" x14ac:dyDescent="0.3">
      <c r="A12" t="str">
        <f>Job_Master!A13</f>
        <v>BJ-110</v>
      </c>
      <c r="B12">
        <f>Job_Master!B13</f>
        <v>17</v>
      </c>
      <c r="C12" t="str">
        <f>Job_Master!C13</f>
        <v>2P</v>
      </c>
      <c r="D12" t="str">
        <f>Job_Master!G13</f>
        <v>Low</v>
      </c>
      <c r="E12" t="str">
        <f>Job_Master!K13</f>
        <v>Delta Co</v>
      </c>
      <c r="F12" s="64">
        <f ca="1">Job_Master!F13</f>
        <v>46128.923280423267</v>
      </c>
      <c r="G12" s="64">
        <f ca="1">Job_Master!J13</f>
        <v>46158.923280423267</v>
      </c>
      <c r="H12" s="66">
        <f t="shared" ca="1" si="0"/>
        <v>30</v>
      </c>
      <c r="I12" t="str">
        <f t="shared" ca="1" si="1"/>
        <v>🟢 ON TRACK</v>
      </c>
      <c r="J12" t="s">
        <v>307</v>
      </c>
      <c r="K12" s="67"/>
    </row>
    <row r="13" spans="1:12" ht="15" customHeight="1" x14ac:dyDescent="0.3">
      <c r="A13" t="str">
        <f>Job_Master!A14</f>
        <v>BJ-111</v>
      </c>
      <c r="B13">
        <f>Job_Master!B14</f>
        <v>25</v>
      </c>
      <c r="C13" t="str">
        <f>Job_Master!C14</f>
        <v>RW</v>
      </c>
      <c r="D13" t="str">
        <f>Job_Master!G14</f>
        <v>Low</v>
      </c>
      <c r="E13" t="str">
        <f>Job_Master!K14</f>
        <v>Alpha Corp</v>
      </c>
      <c r="F13" s="64">
        <f ca="1">Job_Master!F14</f>
        <v>46137.78571428571</v>
      </c>
      <c r="G13" s="64">
        <f ca="1">Job_Master!J14</f>
        <v>46167.78571428571</v>
      </c>
      <c r="H13" s="66">
        <f t="shared" ca="1" si="0"/>
        <v>30</v>
      </c>
      <c r="I13" t="str">
        <f t="shared" ca="1" si="1"/>
        <v>🟢 ON TRACK</v>
      </c>
      <c r="J13" t="s">
        <v>307</v>
      </c>
      <c r="K13" s="67"/>
    </row>
    <row r="14" spans="1:12" ht="15" customHeight="1" x14ac:dyDescent="0.3">
      <c r="A14" t="str">
        <f>Job_Master!A15</f>
        <v>BJ-107</v>
      </c>
      <c r="B14">
        <f>Job_Master!B15</f>
        <v>20</v>
      </c>
      <c r="C14" t="str">
        <f>Job_Master!C15</f>
        <v>SEG</v>
      </c>
      <c r="D14" t="str">
        <f>Job_Master!G15</f>
        <v>Low</v>
      </c>
      <c r="E14" t="str">
        <f>Job_Master!K15</f>
        <v>Beta Ltd</v>
      </c>
      <c r="F14" s="64">
        <f ca="1">Job_Master!F15</f>
        <v>46175.199735449722</v>
      </c>
      <c r="G14" s="64">
        <f ca="1">Job_Master!J15</f>
        <v>46205.199735449722</v>
      </c>
      <c r="H14" s="66">
        <f t="shared" ca="1" si="0"/>
        <v>30</v>
      </c>
      <c r="I14" t="str">
        <f t="shared" ca="1" si="1"/>
        <v>🟢 ON TRACK</v>
      </c>
      <c r="J14" t="s">
        <v>307</v>
      </c>
      <c r="K14" s="67"/>
    </row>
    <row r="15" spans="1:12" ht="15" customHeight="1" x14ac:dyDescent="0.3">
      <c r="A15" t="str">
        <f>Job_Master!A16</f>
        <v>BJ-112</v>
      </c>
      <c r="B15">
        <f>Job_Master!B16</f>
        <v>17</v>
      </c>
      <c r="C15" t="str">
        <f>Job_Master!C16</f>
        <v>2P</v>
      </c>
      <c r="D15" t="str">
        <f>Job_Master!G16</f>
        <v>Low</v>
      </c>
      <c r="E15" t="str">
        <f>Job_Master!K16</f>
        <v>Alpha Corp</v>
      </c>
      <c r="F15" s="64">
        <f ca="1">Job_Master!F16</f>
        <v>46141.608465608449</v>
      </c>
      <c r="G15" s="64">
        <f ca="1">Job_Master!J16</f>
        <v>46171.608465608449</v>
      </c>
      <c r="H15" s="66">
        <f t="shared" ca="1" si="0"/>
        <v>30</v>
      </c>
      <c r="I15" t="str">
        <f t="shared" ca="1" si="1"/>
        <v>🟢 ON TRACK</v>
      </c>
      <c r="J15" t="s">
        <v>307</v>
      </c>
      <c r="K15" s="67"/>
    </row>
    <row r="16" spans="1:12" ht="15" customHeight="1" x14ac:dyDescent="0.3">
      <c r="A16" t="str">
        <f>Job_Master!A17</f>
        <v>BJ-114</v>
      </c>
      <c r="B16">
        <f>Job_Master!B17</f>
        <v>50</v>
      </c>
      <c r="C16" t="str">
        <f>Job_Master!C17</f>
        <v>SEG</v>
      </c>
      <c r="D16" t="str">
        <f>Job_Master!G17</f>
        <v>High</v>
      </c>
      <c r="E16" t="str">
        <f>Job_Master!K17</f>
        <v>Gamma Inc</v>
      </c>
      <c r="F16" s="64">
        <f ca="1">Job_Master!F17</f>
        <v>46239.495370370365</v>
      </c>
      <c r="G16" s="64">
        <f ca="1">Job_Master!J17</f>
        <v>46269.495370370365</v>
      </c>
      <c r="H16" s="66">
        <f t="shared" ca="1" si="0"/>
        <v>30</v>
      </c>
      <c r="I16" t="str">
        <f t="shared" ca="1" si="1"/>
        <v>🟢 ON TRACK</v>
      </c>
      <c r="J16" t="s">
        <v>307</v>
      </c>
      <c r="K16" s="67"/>
    </row>
    <row r="17" spans="1:11" ht="15" customHeight="1" x14ac:dyDescent="0.3">
      <c r="A17" t="str">
        <f>Job_Master!A18</f>
        <v>BJ-115</v>
      </c>
      <c r="B17">
        <f>Job_Master!B18</f>
        <v>46</v>
      </c>
      <c r="C17" t="str">
        <f>Job_Master!C18</f>
        <v>2P</v>
      </c>
      <c r="D17" t="str">
        <f>Job_Master!G18</f>
        <v>High</v>
      </c>
      <c r="E17" t="str">
        <f>Job_Master!K18</f>
        <v>Beta Ltd</v>
      </c>
      <c r="F17" s="64">
        <f ca="1">Job_Master!F18</f>
        <v>46156.813492063491</v>
      </c>
      <c r="G17" s="64">
        <f ca="1">Job_Master!J18</f>
        <v>46186.813492063491</v>
      </c>
      <c r="H17" s="66">
        <f t="shared" ca="1" si="0"/>
        <v>30</v>
      </c>
      <c r="I17" t="str">
        <f t="shared" ca="1" si="1"/>
        <v>🟢 ON TRACK</v>
      </c>
      <c r="J17" t="s">
        <v>307</v>
      </c>
      <c r="K17" s="67"/>
    </row>
    <row r="18" spans="1:11" ht="15" customHeight="1" x14ac:dyDescent="0.3">
      <c r="A18" t="str">
        <f>Job_Master!A19</f>
        <v>BJ-116</v>
      </c>
      <c r="B18">
        <f>Job_Master!B19</f>
        <v>54</v>
      </c>
      <c r="C18" t="str">
        <f>Job_Master!C19</f>
        <v>2P</v>
      </c>
      <c r="D18" t="str">
        <f>Job_Master!G19</f>
        <v>High</v>
      </c>
      <c r="E18" t="str">
        <f>Job_Master!K19</f>
        <v>Delta Co</v>
      </c>
      <c r="F18" s="64">
        <f ca="1">Job_Master!F19</f>
        <v>46182.167328042313</v>
      </c>
      <c r="G18" s="64">
        <f ca="1">Job_Master!J19</f>
        <v>46212.167328042313</v>
      </c>
      <c r="H18" s="66">
        <f t="shared" ca="1" si="0"/>
        <v>30</v>
      </c>
      <c r="I18" t="str">
        <f t="shared" ca="1" si="1"/>
        <v>🟢 ON TRACK</v>
      </c>
      <c r="J18" t="s">
        <v>307</v>
      </c>
      <c r="K18" s="67"/>
    </row>
    <row r="19" spans="1:11" ht="15" customHeight="1" x14ac:dyDescent="0.3">
      <c r="A19" t="str">
        <f>Job_Master!A20</f>
        <v>BJ-118</v>
      </c>
      <c r="B19">
        <f>Job_Master!B20</f>
        <v>28</v>
      </c>
      <c r="C19" t="str">
        <f>Job_Master!C20</f>
        <v>SOL</v>
      </c>
      <c r="D19" t="str">
        <f>Job_Master!G20</f>
        <v>Medium</v>
      </c>
      <c r="E19" t="str">
        <f>Job_Master!K20</f>
        <v>Alpha Corp</v>
      </c>
      <c r="F19" s="64">
        <f ca="1">Job_Master!F20</f>
        <v>46166.750661375649</v>
      </c>
      <c r="G19" s="64">
        <f ca="1">Job_Master!J20</f>
        <v>46196.750661375649</v>
      </c>
      <c r="H19" s="66">
        <f t="shared" ca="1" si="0"/>
        <v>30</v>
      </c>
      <c r="I19" t="str">
        <f t="shared" ca="1" si="1"/>
        <v>🟢 ON TRACK</v>
      </c>
      <c r="J19" t="s">
        <v>307</v>
      </c>
      <c r="K19" s="67"/>
    </row>
    <row r="20" spans="1:11" ht="15" customHeight="1" x14ac:dyDescent="0.3">
      <c r="A20" t="str">
        <f>Job_Master!A21</f>
        <v>BJ-119</v>
      </c>
      <c r="B20">
        <f>Job_Master!B21</f>
        <v>63</v>
      </c>
      <c r="C20" t="str">
        <f>Job_Master!C21</f>
        <v>SOL</v>
      </c>
      <c r="D20" t="str">
        <f>Job_Master!G21</f>
        <v>High</v>
      </c>
      <c r="E20" t="str">
        <f>Job_Master!K21</f>
        <v>Gamma Inc</v>
      </c>
      <c r="F20" s="64">
        <f ca="1">Job_Master!F21</f>
        <v>46258.655423280419</v>
      </c>
      <c r="G20" s="64">
        <f ca="1">Job_Master!J21</f>
        <v>46288.655423280419</v>
      </c>
      <c r="H20" s="66">
        <f t="shared" ca="1" si="0"/>
        <v>30</v>
      </c>
      <c r="I20" t="str">
        <f t="shared" ca="1" si="1"/>
        <v>🟢 ON TRACK</v>
      </c>
      <c r="J20" t="s">
        <v>307</v>
      </c>
      <c r="K20" s="67"/>
    </row>
    <row r="21" spans="1:11" ht="15" customHeight="1" x14ac:dyDescent="0.3">
      <c r="A21" t="str">
        <f>Job_Master!A22</f>
        <v>BJ-120</v>
      </c>
      <c r="B21">
        <f>Job_Master!B22</f>
        <v>46</v>
      </c>
      <c r="C21" t="str">
        <f>Job_Master!C22</f>
        <v>2P</v>
      </c>
      <c r="D21" t="str">
        <f>Job_Master!G22</f>
        <v>High</v>
      </c>
      <c r="E21" t="str">
        <f>Job_Master!K22</f>
        <v>Beta Ltd</v>
      </c>
      <c r="F21" s="64">
        <f ca="1">Job_Master!F22</f>
        <v>46166.257936507936</v>
      </c>
      <c r="G21" s="64">
        <f ca="1">Job_Master!J22</f>
        <v>46196.257936507936</v>
      </c>
      <c r="H21" s="66">
        <f t="shared" ca="1" si="0"/>
        <v>30</v>
      </c>
      <c r="I21" t="str">
        <f t="shared" ca="1" si="1"/>
        <v>🟢 ON TRACK</v>
      </c>
      <c r="J21" t="s">
        <v>307</v>
      </c>
      <c r="K21" s="67"/>
    </row>
    <row r="22" spans="1:11" ht="15" customHeight="1" x14ac:dyDescent="0.3">
      <c r="A22" t="str">
        <f>Job_Master!A23</f>
        <v>BJ-113</v>
      </c>
      <c r="B22">
        <f>Job_Master!B23</f>
        <v>9</v>
      </c>
      <c r="C22" t="str">
        <f>Job_Master!C23</f>
        <v>SEG</v>
      </c>
      <c r="D22" t="str">
        <f>Job_Master!G23</f>
        <v>Low</v>
      </c>
      <c r="E22" t="str">
        <f>Job_Master!K23</f>
        <v>Delta Co</v>
      </c>
      <c r="F22" s="64">
        <f ca="1">Job_Master!F23</f>
        <v>46166.813492063491</v>
      </c>
      <c r="G22" s="64">
        <f ca="1">Job_Master!J23</f>
        <v>46196.813492063491</v>
      </c>
      <c r="H22" s="66">
        <f t="shared" ca="1" si="0"/>
        <v>30</v>
      </c>
      <c r="I22" t="str">
        <f t="shared" ca="1" si="1"/>
        <v>🟢 ON TRACK</v>
      </c>
      <c r="J22" t="s">
        <v>307</v>
      </c>
      <c r="K22" s="67"/>
    </row>
    <row r="23" spans="1:11" ht="15" customHeight="1" x14ac:dyDescent="0.3">
      <c r="A23" t="str">
        <f>Job_Master!A24</f>
        <v>BJ-121</v>
      </c>
      <c r="B23">
        <f>Job_Master!B24</f>
        <v>57</v>
      </c>
      <c r="C23" t="str">
        <f>Job_Master!C24</f>
        <v>RW</v>
      </c>
      <c r="D23" t="str">
        <f>Job_Master!G24</f>
        <v>High</v>
      </c>
      <c r="E23" t="str">
        <f>Job_Master!K24</f>
        <v>Alpha Corp</v>
      </c>
      <c r="F23" s="64">
        <f ca="1">Job_Master!F24</f>
        <v>46190.804894179884</v>
      </c>
      <c r="G23" s="64">
        <f ca="1">Job_Master!J24</f>
        <v>46220.804894179884</v>
      </c>
      <c r="H23" s="66">
        <f t="shared" ca="1" si="0"/>
        <v>30</v>
      </c>
      <c r="I23" t="str">
        <f t="shared" ca="1" si="1"/>
        <v>🟢 ON TRACK</v>
      </c>
      <c r="J23" t="s">
        <v>307</v>
      </c>
      <c r="K23" s="67"/>
    </row>
    <row r="24" spans="1:11" ht="15" customHeight="1" x14ac:dyDescent="0.3">
      <c r="A24" t="str">
        <f>Job_Master!A25</f>
        <v>BJ-123</v>
      </c>
      <c r="B24">
        <f>Job_Master!B25</f>
        <v>46</v>
      </c>
      <c r="C24" t="str">
        <f>Job_Master!C25</f>
        <v>RW</v>
      </c>
      <c r="D24" t="str">
        <f>Job_Master!G25</f>
        <v>High</v>
      </c>
      <c r="E24" t="str">
        <f>Job_Master!K25</f>
        <v>Beta Ltd</v>
      </c>
      <c r="F24" s="64">
        <f ca="1">Job_Master!F25</f>
        <v>46173.420634920622</v>
      </c>
      <c r="G24" s="64">
        <f ca="1">Job_Master!J25</f>
        <v>46203.420634920622</v>
      </c>
      <c r="H24" s="66">
        <f t="shared" ca="1" si="0"/>
        <v>30</v>
      </c>
      <c r="I24" t="str">
        <f t="shared" ca="1" si="1"/>
        <v>🟢 ON TRACK</v>
      </c>
      <c r="J24" t="s">
        <v>307</v>
      </c>
      <c r="K24" s="67"/>
    </row>
    <row r="25" spans="1:11" ht="15" customHeight="1" x14ac:dyDescent="0.3">
      <c r="A25" t="str">
        <f>Job_Master!A26</f>
        <v>BJ-117</v>
      </c>
      <c r="B25">
        <f>Job_Master!B26</f>
        <v>15</v>
      </c>
      <c r="C25" t="str">
        <f>Job_Master!C26</f>
        <v>RW</v>
      </c>
      <c r="D25" t="str">
        <f>Job_Master!G26</f>
        <v>Low</v>
      </c>
      <c r="E25" t="str">
        <f>Job_Master!K26</f>
        <v>Alpha Corp</v>
      </c>
      <c r="F25" s="64">
        <f ca="1">Job_Master!F26</f>
        <v>46167.461640211637</v>
      </c>
      <c r="G25" s="64">
        <f ca="1">Job_Master!J26</f>
        <v>46197.461640211637</v>
      </c>
      <c r="H25" s="66">
        <f t="shared" ca="1" si="0"/>
        <v>30</v>
      </c>
      <c r="I25" t="str">
        <f t="shared" ca="1" si="1"/>
        <v>🟢 ON TRACK</v>
      </c>
      <c r="J25" t="s">
        <v>307</v>
      </c>
      <c r="K25" s="67"/>
    </row>
    <row r="26" spans="1:11" ht="15" customHeight="1" x14ac:dyDescent="0.3">
      <c r="A26" t="str">
        <f>Job_Master!A27</f>
        <v>BJ-122</v>
      </c>
      <c r="B26">
        <f>Job_Master!B27</f>
        <v>54</v>
      </c>
      <c r="C26" t="str">
        <f>Job_Master!C27</f>
        <v>SOL</v>
      </c>
      <c r="D26" t="str">
        <f>Job_Master!G27</f>
        <v>High</v>
      </c>
      <c r="E26" t="str">
        <f>Job_Master!K27</f>
        <v>Gamma Inc</v>
      </c>
      <c r="F26" s="64">
        <f ca="1">Job_Master!F27</f>
        <v>46247.418650793647</v>
      </c>
      <c r="G26" s="64">
        <f ca="1">Job_Master!J27</f>
        <v>46277.418650793647</v>
      </c>
      <c r="H26" s="66">
        <f t="shared" ca="1" si="0"/>
        <v>30</v>
      </c>
      <c r="I26" t="str">
        <f t="shared" ca="1" si="1"/>
        <v>🟢 ON TRACK</v>
      </c>
      <c r="J26" t="s">
        <v>307</v>
      </c>
      <c r="K26" s="67"/>
    </row>
    <row r="27" spans="1:11" ht="15" customHeight="1" x14ac:dyDescent="0.3">
      <c r="A27" t="str">
        <f>Job_Master!A28</f>
        <v>BJ-124</v>
      </c>
      <c r="B27">
        <f>Job_Master!B28</f>
        <v>42</v>
      </c>
      <c r="C27" t="str">
        <f>Job_Master!C28</f>
        <v>2P</v>
      </c>
      <c r="D27" t="str">
        <f>Job_Master!G28</f>
        <v>Medium</v>
      </c>
      <c r="E27" t="str">
        <f>Job_Master!K28</f>
        <v>Beta Ltd</v>
      </c>
      <c r="F27" s="64">
        <f ca="1">Job_Master!F28</f>
        <v>46178.473544973545</v>
      </c>
      <c r="G27" s="64">
        <f ca="1">Job_Master!J28</f>
        <v>46208.473544973545</v>
      </c>
      <c r="H27" s="66">
        <f t="shared" ca="1" si="0"/>
        <v>30</v>
      </c>
      <c r="I27" t="str">
        <f t="shared" ca="1" si="1"/>
        <v>🟢 ON TRACK</v>
      </c>
      <c r="J27" t="s">
        <v>307</v>
      </c>
      <c r="K27" s="67"/>
    </row>
    <row r="28" spans="1:11" ht="15" customHeight="1" x14ac:dyDescent="0.3">
      <c r="A28" t="str">
        <f>Job_Master!A29</f>
        <v>BJ-126</v>
      </c>
      <c r="B28">
        <f>Job_Master!B29</f>
        <v>42</v>
      </c>
      <c r="C28" t="str">
        <f>Job_Master!C29</f>
        <v>2P</v>
      </c>
      <c r="D28" t="str">
        <f>Job_Master!G29</f>
        <v>Medium</v>
      </c>
      <c r="E28" t="str">
        <f>Job_Master!K29</f>
        <v>Delta Co</v>
      </c>
      <c r="F28" s="64">
        <f ca="1">Job_Master!F29</f>
        <v>46186.519179894167</v>
      </c>
      <c r="G28" s="64">
        <f ca="1">Job_Master!J29</f>
        <v>46216.519179894167</v>
      </c>
      <c r="H28" s="66">
        <f t="shared" ca="1" si="0"/>
        <v>30</v>
      </c>
      <c r="I28" t="str">
        <f t="shared" ca="1" si="1"/>
        <v>🟢 ON TRACK</v>
      </c>
      <c r="J28" t="s">
        <v>307</v>
      </c>
      <c r="K28" s="67"/>
    </row>
    <row r="29" spans="1:11" ht="15" customHeight="1" x14ac:dyDescent="0.3">
      <c r="A29" t="str">
        <f>Job_Master!A30</f>
        <v>BJ-127</v>
      </c>
      <c r="B29">
        <f>Job_Master!B30</f>
        <v>15</v>
      </c>
      <c r="C29" t="str">
        <f>Job_Master!C30</f>
        <v>RW</v>
      </c>
      <c r="D29" t="str">
        <f>Job_Master!G30</f>
        <v>Low</v>
      </c>
      <c r="E29" t="str">
        <f>Job_Master!K30</f>
        <v>Alpha Corp</v>
      </c>
      <c r="F29" s="64">
        <f ca="1">Job_Master!F30</f>
        <v>46168.109788359783</v>
      </c>
      <c r="G29" s="64">
        <f ca="1">Job_Master!J30</f>
        <v>46198.109788359783</v>
      </c>
      <c r="H29" s="66">
        <f t="shared" ca="1" si="0"/>
        <v>30</v>
      </c>
      <c r="I29" t="str">
        <f t="shared" ca="1" si="1"/>
        <v>🟢 ON TRACK</v>
      </c>
      <c r="J29" t="s">
        <v>307</v>
      </c>
      <c r="K29" s="67"/>
    </row>
    <row r="30" spans="1:11" ht="15" customHeight="1" x14ac:dyDescent="0.3">
      <c r="A30" t="str">
        <f>Job_Master!A31</f>
        <v>BJ-128</v>
      </c>
      <c r="B30">
        <f>Job_Master!B31</f>
        <v>46</v>
      </c>
      <c r="C30" t="str">
        <f>Job_Master!C31</f>
        <v>2P</v>
      </c>
      <c r="D30" t="str">
        <f>Job_Master!G31</f>
        <v>High</v>
      </c>
      <c r="E30" t="str">
        <f>Job_Master!K31</f>
        <v>Gamma Inc</v>
      </c>
      <c r="F30" s="64">
        <f ca="1">Job_Master!F31</f>
        <v>46189.759920634904</v>
      </c>
      <c r="G30" s="64">
        <f ca="1">Job_Master!J31</f>
        <v>46219.759920634904</v>
      </c>
      <c r="H30" s="66">
        <f t="shared" ca="1" si="0"/>
        <v>30</v>
      </c>
      <c r="I30" t="str">
        <f t="shared" ca="1" si="1"/>
        <v>🟢 ON TRACK</v>
      </c>
      <c r="J30" t="s">
        <v>307</v>
      </c>
      <c r="K30" s="67"/>
    </row>
    <row r="31" spans="1:11" ht="15" customHeight="1" x14ac:dyDescent="0.3">
      <c r="A31" t="str">
        <f>Job_Master!A32</f>
        <v>BJ-125</v>
      </c>
      <c r="B31">
        <f>Job_Master!B32</f>
        <v>25</v>
      </c>
      <c r="C31" t="str">
        <f>Job_Master!C32</f>
        <v>SEG</v>
      </c>
      <c r="D31" t="str">
        <f>Job_Master!G32</f>
        <v>Low</v>
      </c>
      <c r="E31" t="str">
        <f>Job_Master!K32</f>
        <v>Beta Ltd</v>
      </c>
      <c r="F31" s="64">
        <f ca="1">Job_Master!F32</f>
        <v>46196.148809523795</v>
      </c>
      <c r="G31" s="64">
        <f ca="1">Job_Master!J32</f>
        <v>46226.148809523795</v>
      </c>
      <c r="H31" s="66">
        <f t="shared" ca="1" si="0"/>
        <v>30</v>
      </c>
      <c r="I31" t="str">
        <f t="shared" ca="1" si="1"/>
        <v>🟢 ON TRACK</v>
      </c>
      <c r="J31" t="s">
        <v>307</v>
      </c>
      <c r="K31" s="67"/>
    </row>
    <row r="32" spans="1:11" ht="15" customHeight="1" x14ac:dyDescent="0.3">
      <c r="A32" t="str">
        <f>Job_Master!A33</f>
        <v>BJ-129</v>
      </c>
      <c r="B32">
        <f>Job_Master!B33</f>
        <v>9</v>
      </c>
      <c r="C32" t="str">
        <f>Job_Master!C33</f>
        <v>RW</v>
      </c>
      <c r="D32" t="str">
        <f>Job_Master!G33</f>
        <v>Low</v>
      </c>
      <c r="E32" t="str">
        <f>Job_Master!K33</f>
        <v>Delta Co</v>
      </c>
      <c r="F32" s="64">
        <f ca="1">Job_Master!F33</f>
        <v>46168.572751322747</v>
      </c>
      <c r="G32" s="64">
        <f ca="1">Job_Master!J33</f>
        <v>46198.572751322747</v>
      </c>
      <c r="H32" s="66">
        <f t="shared" ca="1" si="0"/>
        <v>30</v>
      </c>
      <c r="I32" t="str">
        <f t="shared" ca="1" si="1"/>
        <v>🟢 ON TRACK</v>
      </c>
      <c r="J32" t="s">
        <v>307</v>
      </c>
      <c r="K32" s="67"/>
    </row>
    <row r="33" spans="1:11" ht="15" customHeight="1" x14ac:dyDescent="0.3">
      <c r="A33" t="str">
        <f>Job_Master!A34</f>
        <v>BJ-130</v>
      </c>
      <c r="B33">
        <f>Job_Master!B34</f>
        <v>57</v>
      </c>
      <c r="C33" t="str">
        <f>Job_Master!C34</f>
        <v>RW</v>
      </c>
      <c r="D33" t="str">
        <f>Job_Master!G34</f>
        <v>High</v>
      </c>
      <c r="E33" t="str">
        <f>Job_Master!K34</f>
        <v>Alpha Corp</v>
      </c>
      <c r="F33" s="64">
        <f ca="1">Job_Master!F34</f>
        <v>46203.278439153422</v>
      </c>
      <c r="G33" s="64">
        <f ca="1">Job_Master!J34</f>
        <v>46233.278439153422</v>
      </c>
      <c r="H33" s="66">
        <f t="shared" ca="1" si="0"/>
        <v>30</v>
      </c>
      <c r="I33" t="str">
        <f t="shared" ca="1" si="1"/>
        <v>🟢 ON TRACK</v>
      </c>
      <c r="J33" t="s">
        <v>307</v>
      </c>
      <c r="K33" s="67"/>
    </row>
    <row r="34" spans="1:11" ht="15" customHeight="1" x14ac:dyDescent="0.3">
      <c r="A34" t="str">
        <f>Job_Master!A35</f>
        <v>BJ-133</v>
      </c>
      <c r="B34">
        <f>Job_Master!B35</f>
        <v>25</v>
      </c>
      <c r="C34" t="str">
        <f>Job_Master!C35</f>
        <v>RW</v>
      </c>
      <c r="D34" t="str">
        <f>Job_Master!G35</f>
        <v>Low</v>
      </c>
      <c r="E34" t="str">
        <f>Job_Master!K35</f>
        <v>Beta Ltd</v>
      </c>
      <c r="F34" s="64">
        <f ca="1">Job_Master!F35</f>
        <v>46170.302248677239</v>
      </c>
      <c r="G34" s="64">
        <f ca="1">Job_Master!J35</f>
        <v>46200.302248677239</v>
      </c>
      <c r="H34" s="66">
        <f t="shared" ca="1" si="0"/>
        <v>30</v>
      </c>
      <c r="I34" t="str">
        <f t="shared" ca="1" si="1"/>
        <v>🟢 ON TRACK</v>
      </c>
      <c r="J34" t="s">
        <v>307</v>
      </c>
      <c r="K34" s="67"/>
    </row>
    <row r="35" spans="1:11" ht="15" customHeight="1" x14ac:dyDescent="0.3">
      <c r="A35" t="str">
        <f>Job_Master!A36</f>
        <v>BJ-131</v>
      </c>
      <c r="B35">
        <f>Job_Master!B36</f>
        <v>70</v>
      </c>
      <c r="C35" t="str">
        <f>Job_Master!C36</f>
        <v>2P</v>
      </c>
      <c r="D35" t="str">
        <f>Job_Master!G36</f>
        <v>High</v>
      </c>
      <c r="E35" t="str">
        <f>Job_Master!K36</f>
        <v>Alpha Corp</v>
      </c>
      <c r="F35" s="64">
        <f ca="1">Job_Master!F36</f>
        <v>46216.373677248674</v>
      </c>
      <c r="G35" s="64">
        <f ca="1">Job_Master!J36</f>
        <v>46246.373677248674</v>
      </c>
      <c r="H35" s="66">
        <f t="shared" ref="H35:H66" ca="1" si="2">IF(OR(F35="",G35=""),"",(G35-F35))</f>
        <v>30</v>
      </c>
      <c r="I35" t="str">
        <f t="shared" ref="I35:I66" ca="1" si="3">IF(OR(F35="",G35=""),"⚪ Pending",IF(H35&lt;0,"🔴 OVERDUE",IF(H35&lt;7,"🟡 AT RISK","🟢 ON TRACK")))</f>
        <v>🟢 ON TRACK</v>
      </c>
      <c r="J35" t="s">
        <v>307</v>
      </c>
      <c r="K35" s="67"/>
    </row>
    <row r="36" spans="1:11" ht="15" customHeight="1" x14ac:dyDescent="0.3">
      <c r="A36" t="str">
        <f>Job_Master!A37</f>
        <v>BJ-134</v>
      </c>
      <c r="B36">
        <f>Job_Master!B37</f>
        <v>15</v>
      </c>
      <c r="C36" t="str">
        <f>Job_Master!C37</f>
        <v>RW</v>
      </c>
      <c r="D36" t="str">
        <f>Job_Master!G37</f>
        <v>Low</v>
      </c>
      <c r="E36" t="str">
        <f>Job_Master!K37</f>
        <v>Gamma Inc</v>
      </c>
      <c r="F36" s="64">
        <f ca="1">Job_Master!F37</f>
        <v>46170.950396825385</v>
      </c>
      <c r="G36" s="64">
        <f ca="1">Job_Master!J37</f>
        <v>46200.950396825385</v>
      </c>
      <c r="H36" s="66">
        <f t="shared" ca="1" si="2"/>
        <v>30</v>
      </c>
      <c r="I36" t="str">
        <f t="shared" ca="1" si="3"/>
        <v>🟢 ON TRACK</v>
      </c>
      <c r="J36" t="s">
        <v>307</v>
      </c>
      <c r="K36" s="67"/>
    </row>
    <row r="37" spans="1:11" ht="15" customHeight="1" x14ac:dyDescent="0.3">
      <c r="A37" t="str">
        <f>Job_Master!A38</f>
        <v>BJ-135</v>
      </c>
      <c r="B37">
        <f>Job_Master!B38</f>
        <v>28</v>
      </c>
      <c r="C37" t="str">
        <f>Job_Master!C38</f>
        <v>2P</v>
      </c>
      <c r="D37" t="str">
        <f>Job_Master!G38</f>
        <v>Medium</v>
      </c>
      <c r="E37" t="str">
        <f>Job_Master!K38</f>
        <v>Beta Ltd</v>
      </c>
      <c r="F37" s="64">
        <f ca="1">Job_Master!F38</f>
        <v>46174.654100529093</v>
      </c>
      <c r="G37" s="64">
        <f ca="1">Job_Master!J38</f>
        <v>46204.654100529093</v>
      </c>
      <c r="H37" s="66">
        <f t="shared" ca="1" si="2"/>
        <v>30</v>
      </c>
      <c r="I37" t="str">
        <f t="shared" ca="1" si="3"/>
        <v>🟢 ON TRACK</v>
      </c>
      <c r="J37" t="s">
        <v>307</v>
      </c>
      <c r="K37" s="67"/>
    </row>
    <row r="38" spans="1:11" ht="15" customHeight="1" x14ac:dyDescent="0.3">
      <c r="A38" t="str">
        <f>Job_Master!A39</f>
        <v>BJ-132</v>
      </c>
      <c r="B38">
        <f>Job_Master!B39</f>
        <v>57</v>
      </c>
      <c r="C38" t="str">
        <f>Job_Master!C39</f>
        <v>SOL</v>
      </c>
      <c r="D38" t="str">
        <f>Job_Master!G39</f>
        <v>High</v>
      </c>
      <c r="E38" t="str">
        <f>Job_Master!K39</f>
        <v>Delta Co</v>
      </c>
      <c r="F38" s="64">
        <f ca="1">Job_Master!F39</f>
        <v>46271.241402116386</v>
      </c>
      <c r="G38" s="64">
        <f ca="1">Job_Master!J39</f>
        <v>46301.241402116386</v>
      </c>
      <c r="H38" s="66">
        <f t="shared" ca="1" si="2"/>
        <v>30</v>
      </c>
      <c r="I38" t="str">
        <f t="shared" ca="1" si="3"/>
        <v>🟢 ON TRACK</v>
      </c>
      <c r="J38" t="s">
        <v>307</v>
      </c>
      <c r="K38" s="67"/>
    </row>
    <row r="39" spans="1:11" ht="15" customHeight="1" x14ac:dyDescent="0.3">
      <c r="A39" t="str">
        <f>Job_Master!A40</f>
        <v>BJ-136</v>
      </c>
      <c r="B39">
        <f>Job_Master!B40</f>
        <v>20</v>
      </c>
      <c r="C39" t="str">
        <f>Job_Master!C40</f>
        <v>RW</v>
      </c>
      <c r="D39" t="str">
        <f>Job_Master!G40</f>
        <v>Low</v>
      </c>
      <c r="E39" t="str">
        <f>Job_Master!K40</f>
        <v>Alpha Corp</v>
      </c>
      <c r="F39" s="64">
        <f ca="1">Job_Master!F40</f>
        <v>46176.413359788356</v>
      </c>
      <c r="G39" s="64">
        <f ca="1">Job_Master!J40</f>
        <v>46206.413359788356</v>
      </c>
      <c r="H39" s="66">
        <f t="shared" ca="1" si="2"/>
        <v>30</v>
      </c>
      <c r="I39" t="str">
        <f t="shared" ca="1" si="3"/>
        <v>🟢 ON TRACK</v>
      </c>
      <c r="J39" t="s">
        <v>307</v>
      </c>
      <c r="K39" s="67"/>
    </row>
    <row r="40" spans="1:11" ht="15" customHeight="1" x14ac:dyDescent="0.3">
      <c r="A40" t="str">
        <f>Job_Master!A41</f>
        <v>BJ-137</v>
      </c>
      <c r="B40">
        <f>Job_Master!B41</f>
        <v>34</v>
      </c>
      <c r="C40" t="str">
        <f>Job_Master!C41</f>
        <v>RW</v>
      </c>
      <c r="D40" t="str">
        <f>Job_Master!G41</f>
        <v>Medium</v>
      </c>
      <c r="E40" t="str">
        <f>Job_Master!K41</f>
        <v>Gamma Inc</v>
      </c>
      <c r="F40" s="64">
        <f ca="1">Job_Master!F41</f>
        <v>46183.711640211637</v>
      </c>
      <c r="G40" s="64">
        <f ca="1">Job_Master!J41</f>
        <v>46213.711640211637</v>
      </c>
      <c r="H40" s="66">
        <f t="shared" ca="1" si="2"/>
        <v>30</v>
      </c>
      <c r="I40" t="str">
        <f t="shared" ca="1" si="3"/>
        <v>🟢 ON TRACK</v>
      </c>
      <c r="J40" t="s">
        <v>307</v>
      </c>
      <c r="K40" s="67"/>
    </row>
    <row r="41" spans="1:11" ht="15" customHeight="1" x14ac:dyDescent="0.3">
      <c r="A41" t="str">
        <f>Job_Master!A42</f>
        <v>BJ-140</v>
      </c>
      <c r="B41">
        <f>Job_Master!B42</f>
        <v>54</v>
      </c>
      <c r="C41" t="str">
        <f>Job_Master!C42</f>
        <v>RW</v>
      </c>
      <c r="D41" t="str">
        <f>Job_Master!G42</f>
        <v>High</v>
      </c>
      <c r="E41" t="str">
        <f>Job_Master!K42</f>
        <v>Beta Ltd</v>
      </c>
      <c r="F41" s="64">
        <f ca="1">Job_Master!F42</f>
        <v>46206.902777777788</v>
      </c>
      <c r="G41" s="64">
        <f ca="1">Job_Master!J42</f>
        <v>46236.902777777788</v>
      </c>
      <c r="H41" s="66">
        <f t="shared" ca="1" si="2"/>
        <v>30</v>
      </c>
      <c r="I41" t="str">
        <f t="shared" ca="1" si="3"/>
        <v>🟢 ON TRACK</v>
      </c>
      <c r="J41" t="s">
        <v>307</v>
      </c>
      <c r="K41" s="67"/>
    </row>
    <row r="42" spans="1:11" ht="15" customHeight="1" x14ac:dyDescent="0.3">
      <c r="A42" t="str">
        <f>Job_Master!A43</f>
        <v>BJ-138</v>
      </c>
      <c r="B42">
        <f>Job_Master!B43</f>
        <v>9</v>
      </c>
      <c r="C42" t="str">
        <f>Job_Master!C43</f>
        <v>RW</v>
      </c>
      <c r="D42" t="str">
        <f>Job_Master!G43</f>
        <v>Low</v>
      </c>
      <c r="E42" t="str">
        <f>Job_Master!K43</f>
        <v>Delta Co</v>
      </c>
      <c r="F42" s="64">
        <f ca="1">Job_Master!F43</f>
        <v>46176.876322751319</v>
      </c>
      <c r="G42" s="64">
        <f ca="1">Job_Master!J43</f>
        <v>46206.876322751319</v>
      </c>
      <c r="H42" s="66">
        <f t="shared" ca="1" si="2"/>
        <v>30</v>
      </c>
      <c r="I42" t="str">
        <f t="shared" ca="1" si="3"/>
        <v>🟢 ON TRACK</v>
      </c>
      <c r="J42" t="s">
        <v>307</v>
      </c>
      <c r="K42" s="67"/>
    </row>
    <row r="43" spans="1:11" ht="15" customHeight="1" x14ac:dyDescent="0.3">
      <c r="A43" t="str">
        <f>Job_Master!A44</f>
        <v>BJ-144</v>
      </c>
      <c r="B43">
        <f>Job_Master!B44</f>
        <v>63</v>
      </c>
      <c r="C43" t="str">
        <f>Job_Master!C44</f>
        <v>RW</v>
      </c>
      <c r="D43" t="str">
        <f>Job_Master!G44</f>
        <v>High</v>
      </c>
      <c r="E43" t="str">
        <f>Job_Master!K44</f>
        <v>Alpha Corp</v>
      </c>
      <c r="F43" s="64">
        <f ca="1">Job_Master!F44</f>
        <v>46239.412698412692</v>
      </c>
      <c r="G43" s="64">
        <f ca="1">Job_Master!J44</f>
        <v>46269.412698412692</v>
      </c>
      <c r="H43" s="66">
        <f t="shared" ca="1" si="2"/>
        <v>30</v>
      </c>
      <c r="I43" t="str">
        <f t="shared" ca="1" si="3"/>
        <v>🟢 ON TRACK</v>
      </c>
      <c r="J43" t="s">
        <v>307</v>
      </c>
      <c r="K43" s="67"/>
    </row>
    <row r="44" spans="1:11" ht="15" customHeight="1" x14ac:dyDescent="0.3">
      <c r="A44" t="str">
        <f>Job_Master!A45</f>
        <v>BJ-146</v>
      </c>
      <c r="B44">
        <f>Job_Master!B45</f>
        <v>20</v>
      </c>
      <c r="C44" t="str">
        <f>Job_Master!C45</f>
        <v>RW</v>
      </c>
      <c r="D44" t="str">
        <f>Job_Master!G45</f>
        <v>Low</v>
      </c>
      <c r="E44" t="str">
        <f>Job_Master!K45</f>
        <v>Beta Ltd</v>
      </c>
      <c r="F44" s="64">
        <f ca="1">Job_Master!F45</f>
        <v>46178.635582010582</v>
      </c>
      <c r="G44" s="64">
        <f ca="1">Job_Master!J45</f>
        <v>46208.635582010582</v>
      </c>
      <c r="H44" s="66">
        <f t="shared" ca="1" si="2"/>
        <v>30</v>
      </c>
      <c r="I44" t="str">
        <f t="shared" ca="1" si="3"/>
        <v>🟢 ON TRACK</v>
      </c>
      <c r="J44" t="s">
        <v>307</v>
      </c>
      <c r="K44" s="67"/>
    </row>
    <row r="45" spans="1:11" ht="15" customHeight="1" x14ac:dyDescent="0.3">
      <c r="A45" t="str">
        <f>Job_Master!A46</f>
        <v>BJ-139</v>
      </c>
      <c r="B45">
        <f>Job_Master!B46</f>
        <v>15</v>
      </c>
      <c r="C45" t="str">
        <f>Job_Master!C46</f>
        <v>RW</v>
      </c>
      <c r="D45" t="str">
        <f>Job_Master!G46</f>
        <v>Low</v>
      </c>
      <c r="E45" t="str">
        <f>Job_Master!K46</f>
        <v>Alpha Corp</v>
      </c>
      <c r="F45" s="64">
        <f ca="1">Job_Master!F46</f>
        <v>46179.283730158728</v>
      </c>
      <c r="G45" s="64">
        <f ca="1">Job_Master!J46</f>
        <v>46209.283730158728</v>
      </c>
      <c r="H45" s="66">
        <f t="shared" ca="1" si="2"/>
        <v>30</v>
      </c>
      <c r="I45" t="str">
        <f t="shared" ca="1" si="3"/>
        <v>🟢 ON TRACK</v>
      </c>
      <c r="J45" t="s">
        <v>307</v>
      </c>
      <c r="K45" s="67"/>
    </row>
    <row r="46" spans="1:11" ht="15" customHeight="1" x14ac:dyDescent="0.3">
      <c r="A46" t="str">
        <f>Job_Master!A47</f>
        <v>BJ-141</v>
      </c>
      <c r="B46">
        <f>Job_Master!B47</f>
        <v>50</v>
      </c>
      <c r="C46" t="str">
        <f>Job_Master!C47</f>
        <v>SOL</v>
      </c>
      <c r="D46" t="str">
        <f>Job_Master!G47</f>
        <v>High</v>
      </c>
      <c r="E46" t="str">
        <f>Job_Master!K47</f>
        <v>Gamma Inc</v>
      </c>
      <c r="F46" s="64">
        <f ca="1">Job_Master!F47</f>
        <v>46282.438492063477</v>
      </c>
      <c r="G46" s="64">
        <f ca="1">Job_Master!J47</f>
        <v>46312.438492063477</v>
      </c>
      <c r="H46" s="66">
        <f t="shared" ca="1" si="2"/>
        <v>30</v>
      </c>
      <c r="I46" t="str">
        <f t="shared" ca="1" si="3"/>
        <v>🟢 ON TRACK</v>
      </c>
      <c r="J46" t="s">
        <v>307</v>
      </c>
      <c r="K46" s="67"/>
    </row>
    <row r="47" spans="1:11" ht="15" customHeight="1" x14ac:dyDescent="0.3">
      <c r="A47" t="str">
        <f>Job_Master!A48</f>
        <v>BJ-142</v>
      </c>
      <c r="B47">
        <f>Job_Master!B48</f>
        <v>9</v>
      </c>
      <c r="C47" t="str">
        <f>Job_Master!C48</f>
        <v>RW</v>
      </c>
      <c r="D47" t="str">
        <f>Job_Master!G48</f>
        <v>Low</v>
      </c>
      <c r="E47" t="str">
        <f>Job_Master!K48</f>
        <v>Beta Ltd</v>
      </c>
      <c r="F47" s="64">
        <f ca="1">Job_Master!F48</f>
        <v>46179.746693121691</v>
      </c>
      <c r="G47" s="64">
        <f ca="1">Job_Master!J48</f>
        <v>46209.746693121691</v>
      </c>
      <c r="H47" s="66">
        <f t="shared" ca="1" si="2"/>
        <v>30</v>
      </c>
      <c r="I47" t="str">
        <f t="shared" ca="1" si="3"/>
        <v>🟢 ON TRACK</v>
      </c>
      <c r="J47" t="s">
        <v>307</v>
      </c>
      <c r="K47" s="67"/>
    </row>
    <row r="48" spans="1:11" ht="15" customHeight="1" x14ac:dyDescent="0.3">
      <c r="A48" t="str">
        <f>Job_Master!A49</f>
        <v>BJ-147</v>
      </c>
      <c r="B48">
        <f>Job_Master!B49</f>
        <v>34</v>
      </c>
      <c r="C48" t="str">
        <f>Job_Master!C49</f>
        <v>SOL</v>
      </c>
      <c r="D48" t="str">
        <f>Job_Master!G49</f>
        <v>Medium</v>
      </c>
      <c r="E48" t="str">
        <f>Job_Master!K49</f>
        <v>Delta Co</v>
      </c>
      <c r="F48" s="64">
        <f ca="1">Job_Master!F49</f>
        <v>46209.912037037051</v>
      </c>
      <c r="G48" s="64">
        <f ca="1">Job_Master!J49</f>
        <v>46239.912037037051</v>
      </c>
      <c r="H48" s="66">
        <f t="shared" ca="1" si="2"/>
        <v>30</v>
      </c>
      <c r="I48" t="str">
        <f t="shared" ca="1" si="3"/>
        <v>🟢 ON TRACK</v>
      </c>
      <c r="J48" t="s">
        <v>307</v>
      </c>
      <c r="K48" s="67"/>
    </row>
    <row r="49" spans="1:11" ht="15" customHeight="1" x14ac:dyDescent="0.3">
      <c r="A49" t="str">
        <f>Job_Master!A50</f>
        <v>BJ-150</v>
      </c>
      <c r="B49">
        <f>Job_Master!B50</f>
        <v>34</v>
      </c>
      <c r="C49" t="str">
        <f>Job_Master!C50</f>
        <v>SOL</v>
      </c>
      <c r="D49" t="str">
        <f>Job_Master!G50</f>
        <v>Medium</v>
      </c>
      <c r="E49" t="str">
        <f>Job_Master!K50</f>
        <v>Alpha Corp</v>
      </c>
      <c r="F49" s="64">
        <f ca="1">Job_Master!F50</f>
        <v>46221.949074074088</v>
      </c>
      <c r="G49" s="64">
        <f ca="1">Job_Master!J50</f>
        <v>46251.949074074088</v>
      </c>
      <c r="H49" s="66">
        <f t="shared" ca="1" si="2"/>
        <v>30</v>
      </c>
      <c r="I49" t="str">
        <f t="shared" ca="1" si="3"/>
        <v>🟢 ON TRACK</v>
      </c>
      <c r="J49" t="s">
        <v>307</v>
      </c>
      <c r="K49" s="67"/>
    </row>
    <row r="50" spans="1:11" ht="15" customHeight="1" x14ac:dyDescent="0.3">
      <c r="A50" t="str">
        <f>Job_Master!A51</f>
        <v>BJ-151</v>
      </c>
      <c r="B50">
        <f>Job_Master!B51</f>
        <v>25</v>
      </c>
      <c r="C50" t="str">
        <f>Job_Master!C51</f>
        <v>SOL</v>
      </c>
      <c r="D50" t="str">
        <f>Job_Master!G51</f>
        <v>Low</v>
      </c>
      <c r="E50" t="str">
        <f>Job_Master!K51</f>
        <v>Gamma Inc</v>
      </c>
      <c r="F50" s="64">
        <f ca="1">Job_Master!F51</f>
        <v>46226.20833333335</v>
      </c>
      <c r="G50" s="64">
        <f ca="1">Job_Master!J51</f>
        <v>46256.20833333335</v>
      </c>
      <c r="H50" s="66">
        <f t="shared" ca="1" si="2"/>
        <v>30</v>
      </c>
      <c r="I50" t="str">
        <f t="shared" ca="1" si="3"/>
        <v>🟢 ON TRACK</v>
      </c>
      <c r="J50" t="s">
        <v>307</v>
      </c>
      <c r="K50" s="67"/>
    </row>
    <row r="51" spans="1:11" ht="15" customHeight="1" x14ac:dyDescent="0.3">
      <c r="A51" t="str">
        <f>Job_Master!A52</f>
        <v>BJ-152</v>
      </c>
      <c r="B51">
        <f>Job_Master!B52</f>
        <v>34</v>
      </c>
      <c r="C51" t="str">
        <f>Job_Master!C52</f>
        <v>2P</v>
      </c>
      <c r="D51" t="str">
        <f>Job_Master!G52</f>
        <v>Medium</v>
      </c>
      <c r="E51" t="str">
        <f>Job_Master!K52</f>
        <v>Beta Ltd</v>
      </c>
      <c r="F51" s="64">
        <f ca="1">Job_Master!F52</f>
        <v>46219.773148148168</v>
      </c>
      <c r="G51" s="64">
        <f ca="1">Job_Master!J52</f>
        <v>46249.773148148168</v>
      </c>
      <c r="H51" s="66">
        <f t="shared" ca="1" si="2"/>
        <v>30</v>
      </c>
      <c r="I51" t="str">
        <f t="shared" ca="1" si="3"/>
        <v>🟢 ON TRACK</v>
      </c>
      <c r="J51" t="s">
        <v>307</v>
      </c>
      <c r="K51" s="67"/>
    </row>
    <row r="52" spans="1:11" ht="15" customHeight="1" x14ac:dyDescent="0.3">
      <c r="A52" t="str">
        <f>Job_Master!A53</f>
        <v>BJ-143</v>
      </c>
      <c r="B52">
        <f>Job_Master!B53</f>
        <v>17</v>
      </c>
      <c r="C52" t="str">
        <f>Job_Master!C53</f>
        <v>SOL</v>
      </c>
      <c r="D52" t="str">
        <f>Job_Master!G53</f>
        <v>Low</v>
      </c>
      <c r="E52" t="str">
        <f>Job_Master!K53</f>
        <v>Delta Co</v>
      </c>
      <c r="F52" s="64">
        <f ca="1">Job_Master!F53</f>
        <v>46222.550925925949</v>
      </c>
      <c r="G52" s="64">
        <f ca="1">Job_Master!J53</f>
        <v>46252.550925925949</v>
      </c>
      <c r="H52" s="66">
        <f t="shared" ca="1" si="2"/>
        <v>30</v>
      </c>
      <c r="I52" t="str">
        <f t="shared" ca="1" si="3"/>
        <v>🟢 ON TRACK</v>
      </c>
      <c r="J52" t="s">
        <v>307</v>
      </c>
      <c r="K52" s="67"/>
    </row>
    <row r="53" spans="1:11" ht="15" customHeight="1" x14ac:dyDescent="0.3">
      <c r="A53" t="str">
        <f>Job_Master!A54</f>
        <v>BJ-154</v>
      </c>
      <c r="B53">
        <f>Job_Master!B54</f>
        <v>25</v>
      </c>
      <c r="C53" t="str">
        <f>Job_Master!C54</f>
        <v>RW</v>
      </c>
      <c r="D53" t="str">
        <f>Job_Master!G54</f>
        <v>Low</v>
      </c>
      <c r="E53" t="str">
        <f>Job_Master!K54</f>
        <v>Alpha Corp</v>
      </c>
      <c r="F53" s="64">
        <f ca="1">Job_Master!F54</f>
        <v>46227.689814814832</v>
      </c>
      <c r="G53" s="64">
        <f ca="1">Job_Master!J54</f>
        <v>46257.689814814832</v>
      </c>
      <c r="H53" s="66">
        <f t="shared" ca="1" si="2"/>
        <v>30</v>
      </c>
      <c r="I53" t="str">
        <f t="shared" ca="1" si="3"/>
        <v>🟢 ON TRACK</v>
      </c>
      <c r="J53" t="s">
        <v>307</v>
      </c>
      <c r="K53" s="67"/>
    </row>
    <row r="54" spans="1:11" ht="15" customHeight="1" x14ac:dyDescent="0.3">
      <c r="A54" t="str">
        <f>Job_Master!A55</f>
        <v>BJ-156</v>
      </c>
      <c r="B54">
        <f>Job_Master!B55</f>
        <v>25</v>
      </c>
      <c r="C54" t="str">
        <f>Job_Master!C55</f>
        <v>2P</v>
      </c>
      <c r="D54" t="str">
        <f>Job_Master!G55</f>
        <v>Low</v>
      </c>
      <c r="E54" t="str">
        <f>Job_Master!K55</f>
        <v>Beta Ltd</v>
      </c>
      <c r="F54" s="64">
        <f ca="1">Job_Master!F55</f>
        <v>46225.050925925949</v>
      </c>
      <c r="G54" s="64">
        <f ca="1">Job_Master!J55</f>
        <v>46255.050925925949</v>
      </c>
      <c r="H54" s="66">
        <f t="shared" ca="1" si="2"/>
        <v>30</v>
      </c>
      <c r="I54" t="str">
        <f t="shared" ca="1" si="3"/>
        <v>🟢 ON TRACK</v>
      </c>
      <c r="J54" t="s">
        <v>307</v>
      </c>
      <c r="K54" s="67"/>
    </row>
    <row r="55" spans="1:11" ht="15" customHeight="1" x14ac:dyDescent="0.3">
      <c r="A55" t="str">
        <f>Job_Master!A56</f>
        <v>BJ-145</v>
      </c>
      <c r="B55">
        <f>Job_Master!B56</f>
        <v>15</v>
      </c>
      <c r="C55" t="str">
        <f>Job_Master!C56</f>
        <v>2P</v>
      </c>
      <c r="D55" t="str">
        <f>Job_Master!G56</f>
        <v>Low</v>
      </c>
      <c r="E55" t="str">
        <f>Job_Master!K56</f>
        <v>Alpha Corp</v>
      </c>
      <c r="F55" s="64">
        <f ca="1">Job_Master!F56</f>
        <v>46228.893518518533</v>
      </c>
      <c r="G55" s="64">
        <f ca="1">Job_Master!J56</f>
        <v>46258.893518518533</v>
      </c>
      <c r="H55" s="66">
        <f t="shared" ca="1" si="2"/>
        <v>30</v>
      </c>
      <c r="I55" t="str">
        <f t="shared" ca="1" si="3"/>
        <v>🟢 ON TRACK</v>
      </c>
      <c r="J55" t="s">
        <v>307</v>
      </c>
      <c r="K55" s="67"/>
    </row>
    <row r="56" spans="1:11" ht="15" customHeight="1" x14ac:dyDescent="0.3">
      <c r="A56" t="str">
        <f>Job_Master!A57</f>
        <v>BJ-153</v>
      </c>
      <c r="B56">
        <f>Job_Master!B57</f>
        <v>34</v>
      </c>
      <c r="C56" t="str">
        <f>Job_Master!C57</f>
        <v>SEG</v>
      </c>
      <c r="D56" t="str">
        <f>Job_Master!G57</f>
        <v>Medium</v>
      </c>
      <c r="E56" t="str">
        <f>Job_Master!K57</f>
        <v>Gamma Inc</v>
      </c>
      <c r="F56" s="64">
        <f ca="1">Job_Master!F57</f>
        <v>46255.609788359776</v>
      </c>
      <c r="G56" s="64">
        <f ca="1">Job_Master!J57</f>
        <v>46285.609788359776</v>
      </c>
      <c r="H56" s="66">
        <f t="shared" ca="1" si="2"/>
        <v>30</v>
      </c>
      <c r="I56" t="str">
        <f t="shared" ca="1" si="3"/>
        <v>🟢 ON TRACK</v>
      </c>
      <c r="J56" t="s">
        <v>307</v>
      </c>
      <c r="K56" s="67"/>
    </row>
    <row r="57" spans="1:11" ht="15" customHeight="1" x14ac:dyDescent="0.3">
      <c r="A57" t="str">
        <f>Job_Master!A58</f>
        <v>BJ-160</v>
      </c>
      <c r="B57">
        <f>Job_Master!B58</f>
        <v>34</v>
      </c>
      <c r="C57" t="str">
        <f>Job_Master!C58</f>
        <v>2P</v>
      </c>
      <c r="D57" t="str">
        <f>Job_Master!G58</f>
        <v>Medium</v>
      </c>
      <c r="E57" t="str">
        <f>Job_Master!K58</f>
        <v>Beta Ltd</v>
      </c>
      <c r="F57" s="64">
        <f ca="1">Job_Master!F58</f>
        <v>46231.393518518533</v>
      </c>
      <c r="G57" s="64">
        <f ca="1">Job_Master!J58</f>
        <v>46261.393518518533</v>
      </c>
      <c r="H57" s="66">
        <f t="shared" ca="1" si="2"/>
        <v>30</v>
      </c>
      <c r="I57" t="str">
        <f t="shared" ca="1" si="3"/>
        <v>🟢 ON TRACK</v>
      </c>
      <c r="J57" t="s">
        <v>307</v>
      </c>
      <c r="K57" s="67"/>
    </row>
    <row r="58" spans="1:11" ht="15" customHeight="1" x14ac:dyDescent="0.3">
      <c r="A58" t="str">
        <f>Job_Master!A59</f>
        <v>BJ-158</v>
      </c>
      <c r="B58">
        <f>Job_Master!B59</f>
        <v>54</v>
      </c>
      <c r="C58" t="str">
        <f>Job_Master!C59</f>
        <v>2P</v>
      </c>
      <c r="D58" t="str">
        <f>Job_Master!G59</f>
        <v>High</v>
      </c>
      <c r="E58" t="str">
        <f>Job_Master!K59</f>
        <v>Delta Co</v>
      </c>
      <c r="F58" s="64">
        <f ca="1">Job_Master!F59</f>
        <v>46247.398809523802</v>
      </c>
      <c r="G58" s="64">
        <f ca="1">Job_Master!J59</f>
        <v>46277.398809523802</v>
      </c>
      <c r="H58" s="66">
        <f t="shared" ca="1" si="2"/>
        <v>30</v>
      </c>
      <c r="I58" t="str">
        <f t="shared" ca="1" si="3"/>
        <v>🟢 ON TRACK</v>
      </c>
      <c r="J58" t="s">
        <v>307</v>
      </c>
      <c r="K58" s="67"/>
    </row>
    <row r="59" spans="1:11" ht="15" customHeight="1" x14ac:dyDescent="0.3">
      <c r="A59" t="str">
        <f>Job_Master!A60</f>
        <v>BJ-157</v>
      </c>
      <c r="B59">
        <f>Job_Master!B60</f>
        <v>50</v>
      </c>
      <c r="C59" t="str">
        <f>Job_Master!C60</f>
        <v>SEG</v>
      </c>
      <c r="D59" t="str">
        <f>Job_Master!G60</f>
        <v>High</v>
      </c>
      <c r="E59" t="str">
        <f>Job_Master!K60</f>
        <v>Alpha Corp</v>
      </c>
      <c r="F59" s="64">
        <f ca="1">Job_Master!F60</f>
        <v>46316.43981481481</v>
      </c>
      <c r="G59" s="64">
        <f ca="1">Job_Master!J60</f>
        <v>46346.43981481481</v>
      </c>
      <c r="H59" s="66">
        <f t="shared" ca="1" si="2"/>
        <v>30</v>
      </c>
      <c r="I59" t="str">
        <f t="shared" ca="1" si="3"/>
        <v>🟢 ON TRACK</v>
      </c>
      <c r="J59" t="s">
        <v>307</v>
      </c>
      <c r="K59" s="67"/>
    </row>
    <row r="60" spans="1:11" ht="15" customHeight="1" x14ac:dyDescent="0.3">
      <c r="A60" t="str">
        <f>Job_Master!A61</f>
        <v>BJ-159</v>
      </c>
      <c r="B60">
        <f>Job_Master!B61</f>
        <v>54</v>
      </c>
      <c r="C60" t="str">
        <f>Job_Master!C61</f>
        <v>RW</v>
      </c>
      <c r="D60" t="str">
        <f>Job_Master!G61</f>
        <v>High</v>
      </c>
      <c r="E60" t="str">
        <f>Job_Master!K61</f>
        <v>Gamma Inc</v>
      </c>
      <c r="F60" s="64">
        <f ca="1">Job_Master!F61</f>
        <v>46253.695105820101</v>
      </c>
      <c r="G60" s="64">
        <f ca="1">Job_Master!J61</f>
        <v>46283.695105820101</v>
      </c>
      <c r="H60" s="66">
        <f t="shared" ca="1" si="2"/>
        <v>30</v>
      </c>
      <c r="I60" t="str">
        <f t="shared" ca="1" si="3"/>
        <v>🟢 ON TRACK</v>
      </c>
      <c r="J60" t="s">
        <v>307</v>
      </c>
      <c r="K60" s="67"/>
    </row>
    <row r="61" spans="1:11" ht="15" customHeight="1" x14ac:dyDescent="0.3">
      <c r="A61" t="str">
        <f>Job_Master!A62</f>
        <v>BJ-148</v>
      </c>
      <c r="B61">
        <f>Job_Master!B62</f>
        <v>9</v>
      </c>
      <c r="C61" t="str">
        <f>Job_Master!C62</f>
        <v>SEG</v>
      </c>
      <c r="D61" t="str">
        <f>Job_Master!G62</f>
        <v>Low</v>
      </c>
      <c r="E61" t="str">
        <f>Job_Master!K62</f>
        <v>Beta Ltd</v>
      </c>
      <c r="F61" s="64">
        <f ca="1">Job_Master!F62</f>
        <v>46231.949074074088</v>
      </c>
      <c r="G61" s="64">
        <f ca="1">Job_Master!J62</f>
        <v>46261.949074074088</v>
      </c>
      <c r="H61" s="66">
        <f t="shared" ca="1" si="2"/>
        <v>30</v>
      </c>
      <c r="I61" t="str">
        <f t="shared" ca="1" si="3"/>
        <v>🟢 ON TRACK</v>
      </c>
      <c r="J61" t="s">
        <v>307</v>
      </c>
      <c r="K61" s="67"/>
    </row>
    <row r="62" spans="1:11" ht="15" customHeight="1" x14ac:dyDescent="0.3">
      <c r="A62" t="str">
        <f>Job_Master!A63</f>
        <v>BJ-161</v>
      </c>
      <c r="B62">
        <f>Job_Master!B63</f>
        <v>30</v>
      </c>
      <c r="C62" t="str">
        <f>Job_Master!C63</f>
        <v>SEG</v>
      </c>
      <c r="D62" t="str">
        <f>Job_Master!G63</f>
        <v>Medium</v>
      </c>
      <c r="E62" t="str">
        <f>Job_Master!K63</f>
        <v>Delta Co</v>
      </c>
      <c r="F62" s="64">
        <f ca="1">Job_Master!F63</f>
        <v>46241.191798941807</v>
      </c>
      <c r="G62" s="64">
        <f ca="1">Job_Master!J63</f>
        <v>46271.191798941807</v>
      </c>
      <c r="H62" s="66">
        <f t="shared" ca="1" si="2"/>
        <v>30</v>
      </c>
      <c r="I62" t="str">
        <f t="shared" ca="1" si="3"/>
        <v>🟢 ON TRACK</v>
      </c>
      <c r="J62" t="s">
        <v>307</v>
      </c>
      <c r="K62" s="67"/>
    </row>
    <row r="63" spans="1:11" ht="15" customHeight="1" x14ac:dyDescent="0.3">
      <c r="A63" t="str">
        <f>Job_Master!A64</f>
        <v>BJ-149</v>
      </c>
      <c r="B63">
        <f>Job_Master!B64</f>
        <v>9</v>
      </c>
      <c r="C63" t="str">
        <f>Job_Master!C64</f>
        <v>2P</v>
      </c>
      <c r="D63" t="str">
        <f>Job_Master!G64</f>
        <v>Low</v>
      </c>
      <c r="E63" t="str">
        <f>Job_Master!K64</f>
        <v>Alpha Corp</v>
      </c>
      <c r="F63" s="64">
        <f ca="1">Job_Master!F64</f>
        <v>46254.158068783065</v>
      </c>
      <c r="G63" s="64">
        <f ca="1">Job_Master!J64</f>
        <v>46284.158068783065</v>
      </c>
      <c r="H63" s="66">
        <f t="shared" ca="1" si="2"/>
        <v>30</v>
      </c>
      <c r="I63" t="str">
        <f t="shared" ca="1" si="3"/>
        <v>🟢 ON TRACK</v>
      </c>
      <c r="J63" t="s">
        <v>307</v>
      </c>
      <c r="K63" s="67"/>
    </row>
    <row r="64" spans="1:11" ht="15" customHeight="1" x14ac:dyDescent="0.3">
      <c r="A64" t="str">
        <f>Job_Master!A65</f>
        <v>BJ-163</v>
      </c>
      <c r="B64">
        <f>Job_Master!B65</f>
        <v>70</v>
      </c>
      <c r="C64" t="str">
        <f>Job_Master!C65</f>
        <v>SOL</v>
      </c>
      <c r="D64" t="str">
        <f>Job_Master!G65</f>
        <v>High</v>
      </c>
      <c r="E64" t="str">
        <f>Job_Master!K65</f>
        <v>Beta Ltd</v>
      </c>
      <c r="F64" s="64">
        <f ca="1">Job_Master!F65</f>
        <v>46331.995370370365</v>
      </c>
      <c r="G64" s="64">
        <f ca="1">Job_Master!J65</f>
        <v>46361.995370370365</v>
      </c>
      <c r="H64" s="66">
        <f t="shared" ca="1" si="2"/>
        <v>30</v>
      </c>
      <c r="I64" t="str">
        <f t="shared" ca="1" si="3"/>
        <v>🟢 ON TRACK</v>
      </c>
      <c r="J64" t="s">
        <v>307</v>
      </c>
      <c r="K64" s="67"/>
    </row>
    <row r="65" spans="1:11" ht="15" customHeight="1" x14ac:dyDescent="0.3">
      <c r="A65" t="str">
        <f>Job_Master!A66</f>
        <v>BJ-164</v>
      </c>
      <c r="B65">
        <f>Job_Master!B66</f>
        <v>42</v>
      </c>
      <c r="C65" t="str">
        <f>Job_Master!C66</f>
        <v>SOL</v>
      </c>
      <c r="D65" t="str">
        <f>Job_Master!G66</f>
        <v>Medium</v>
      </c>
      <c r="E65" t="str">
        <f>Job_Master!K66</f>
        <v>Alpha Corp</v>
      </c>
      <c r="F65" s="64">
        <f ca="1">Job_Master!F66</f>
        <v>46260.431216931203</v>
      </c>
      <c r="G65" s="64">
        <f ca="1">Job_Master!J66</f>
        <v>46290.431216931203</v>
      </c>
      <c r="H65" s="66">
        <f t="shared" ca="1" si="2"/>
        <v>30</v>
      </c>
      <c r="I65" t="str">
        <f t="shared" ca="1" si="3"/>
        <v>🟢 ON TRACK</v>
      </c>
      <c r="J65" t="s">
        <v>307</v>
      </c>
      <c r="K65" s="67"/>
    </row>
    <row r="66" spans="1:11" ht="15" customHeight="1" x14ac:dyDescent="0.3">
      <c r="A66" t="str">
        <f>Job_Master!A67</f>
        <v>BJ-168</v>
      </c>
      <c r="B66">
        <f>Job_Master!B67</f>
        <v>20</v>
      </c>
      <c r="C66" t="str">
        <f>Job_Master!C67</f>
        <v>2P</v>
      </c>
      <c r="D66" t="str">
        <f>Job_Master!G67</f>
        <v>Low</v>
      </c>
      <c r="E66" t="str">
        <f>Job_Master!K67</f>
        <v>Gamma Inc</v>
      </c>
      <c r="F66" s="64">
        <f ca="1">Job_Master!F67</f>
        <v>46256.720899470885</v>
      </c>
      <c r="G66" s="64">
        <f ca="1">Job_Master!J67</f>
        <v>46286.720899470885</v>
      </c>
      <c r="H66" s="66">
        <f t="shared" ca="1" si="2"/>
        <v>30</v>
      </c>
      <c r="I66" t="str">
        <f t="shared" ca="1" si="3"/>
        <v>🟢 ON TRACK</v>
      </c>
      <c r="J66" t="s">
        <v>307</v>
      </c>
      <c r="K66" s="67"/>
    </row>
    <row r="67" spans="1:11" ht="15" customHeight="1" x14ac:dyDescent="0.3">
      <c r="A67" t="str">
        <f>Job_Master!A68</f>
        <v>BJ-155</v>
      </c>
      <c r="B67">
        <f>Job_Master!B68</f>
        <v>17</v>
      </c>
      <c r="C67" t="str">
        <f>Job_Master!C68</f>
        <v>RW</v>
      </c>
      <c r="D67" t="str">
        <f>Job_Master!G68</f>
        <v>Low</v>
      </c>
      <c r="E67" t="str">
        <f>Job_Master!K68</f>
        <v>Beta Ltd</v>
      </c>
      <c r="F67" s="64">
        <f ca="1">Job_Master!F68</f>
        <v>46257.739417989404</v>
      </c>
      <c r="G67" s="64">
        <f ca="1">Job_Master!J68</f>
        <v>46287.739417989404</v>
      </c>
      <c r="H67" s="66">
        <f t="shared" ref="H67:H98" ca="1" si="4">IF(OR(F67="",G67=""),"",(G67-F67))</f>
        <v>30</v>
      </c>
      <c r="I67" t="str">
        <f t="shared" ref="I67:I98" ca="1" si="5">IF(OR(F67="",G67=""),"⚪ Pending",IF(H67&lt;0,"🔴 OVERDUE",IF(H67&lt;7,"🟡 AT RISK","🟢 ON TRACK")))</f>
        <v>🟢 ON TRACK</v>
      </c>
      <c r="J67" t="s">
        <v>307</v>
      </c>
      <c r="K67" s="67"/>
    </row>
    <row r="68" spans="1:11" ht="15" customHeight="1" x14ac:dyDescent="0.3">
      <c r="A68" t="str">
        <f>Job_Master!A69</f>
        <v>BJ-167</v>
      </c>
      <c r="B68">
        <f>Job_Master!B69</f>
        <v>54</v>
      </c>
      <c r="C68" t="str">
        <f>Job_Master!C69</f>
        <v>2P</v>
      </c>
      <c r="D68" t="str">
        <f>Job_Master!G69</f>
        <v>High</v>
      </c>
      <c r="E68" t="str">
        <f>Job_Master!K69</f>
        <v>Delta Co</v>
      </c>
      <c r="F68" s="64">
        <f ca="1">Job_Master!F69</f>
        <v>46288.642195767177</v>
      </c>
      <c r="G68" s="64">
        <f ca="1">Job_Master!J69</f>
        <v>46318.642195767177</v>
      </c>
      <c r="H68" s="66">
        <f t="shared" ca="1" si="4"/>
        <v>30</v>
      </c>
      <c r="I68" t="str">
        <f t="shared" ca="1" si="5"/>
        <v>🟢 ON TRACK</v>
      </c>
      <c r="J68" t="s">
        <v>307</v>
      </c>
      <c r="K68" s="67"/>
    </row>
    <row r="69" spans="1:11" ht="15" customHeight="1" x14ac:dyDescent="0.3">
      <c r="A69" t="str">
        <f>Job_Master!A70</f>
        <v>BJ-166</v>
      </c>
      <c r="B69">
        <f>Job_Master!B70</f>
        <v>50</v>
      </c>
      <c r="C69" t="str">
        <f>Job_Master!C70</f>
        <v>SOL</v>
      </c>
      <c r="D69" t="str">
        <f>Job_Master!G70</f>
        <v>High</v>
      </c>
      <c r="E69" t="str">
        <f>Job_Master!K70</f>
        <v>Alpha Corp</v>
      </c>
      <c r="F69" s="64">
        <f ca="1">Job_Master!F70</f>
        <v>46313.027116402103</v>
      </c>
      <c r="G69" s="64">
        <f ca="1">Job_Master!J70</f>
        <v>46343.027116402103</v>
      </c>
      <c r="H69" s="66">
        <f t="shared" ca="1" si="4"/>
        <v>30</v>
      </c>
      <c r="I69" t="str">
        <f t="shared" ca="1" si="5"/>
        <v>🟢 ON TRACK</v>
      </c>
      <c r="J69" t="s">
        <v>307</v>
      </c>
      <c r="K69" s="67"/>
    </row>
    <row r="70" spans="1:11" ht="15" customHeight="1" x14ac:dyDescent="0.3">
      <c r="A70" t="str">
        <f>Job_Master!A71</f>
        <v>BJ-162</v>
      </c>
      <c r="B70">
        <f>Job_Master!B71</f>
        <v>17</v>
      </c>
      <c r="C70" t="str">
        <f>Job_Master!C71</f>
        <v>SOL</v>
      </c>
      <c r="D70" t="str">
        <f>Job_Master!G71</f>
        <v>Low</v>
      </c>
      <c r="E70" t="str">
        <f>Job_Master!K71</f>
        <v>Gamma Inc</v>
      </c>
      <c r="F70" s="64">
        <f ca="1">Job_Master!F71</f>
        <v>46243.969576719588</v>
      </c>
      <c r="G70" s="64">
        <f ca="1">Job_Master!J71</f>
        <v>46273.969576719588</v>
      </c>
      <c r="H70" s="66">
        <f t="shared" ca="1" si="4"/>
        <v>30</v>
      </c>
      <c r="I70" t="str">
        <f t="shared" ca="1" si="5"/>
        <v>🟢 ON TRACK</v>
      </c>
      <c r="J70" t="s">
        <v>307</v>
      </c>
      <c r="K70" s="67"/>
    </row>
    <row r="71" spans="1:11" ht="15" customHeight="1" x14ac:dyDescent="0.3">
      <c r="A71" t="str">
        <f>Job_Master!A72</f>
        <v>BJ-165</v>
      </c>
      <c r="B71">
        <f>Job_Master!B72</f>
        <v>17</v>
      </c>
      <c r="C71" t="str">
        <f>Job_Master!C72</f>
        <v>2P</v>
      </c>
      <c r="D71" t="str">
        <f>Job_Master!G72</f>
        <v>Low</v>
      </c>
      <c r="E71" t="str">
        <f>Job_Master!K72</f>
        <v>Beta Ltd</v>
      </c>
      <c r="F71" s="64">
        <f ca="1">Job_Master!F72</f>
        <v>46258.943121693104</v>
      </c>
      <c r="G71" s="64">
        <f ca="1">Job_Master!J72</f>
        <v>46288.943121693104</v>
      </c>
      <c r="H71" s="66">
        <f t="shared" ca="1" si="4"/>
        <v>30</v>
      </c>
      <c r="I71" t="str">
        <f t="shared" ca="1" si="5"/>
        <v>🟢 ON TRACK</v>
      </c>
      <c r="J71" t="s">
        <v>307</v>
      </c>
      <c r="K71" s="67"/>
    </row>
    <row r="72" spans="1:11" ht="15" customHeight="1" x14ac:dyDescent="0.3">
      <c r="A72" t="str">
        <f>Job_Master!A73</f>
        <v>BJ-169</v>
      </c>
      <c r="B72">
        <f>Job_Master!B73</f>
        <v>17</v>
      </c>
      <c r="C72" t="str">
        <f>Job_Master!C73</f>
        <v>SEG</v>
      </c>
      <c r="D72" t="str">
        <f>Job_Master!G73</f>
        <v>Low</v>
      </c>
      <c r="E72" t="str">
        <f>Job_Master!K73</f>
        <v>Delta Co</v>
      </c>
      <c r="F72" s="64">
        <f ca="1">Job_Master!F73</f>
        <v>46261.998677248659</v>
      </c>
      <c r="G72" s="64">
        <f ca="1">Job_Master!J73</f>
        <v>46291.998677248659</v>
      </c>
      <c r="H72" s="66">
        <f t="shared" ca="1" si="4"/>
        <v>30</v>
      </c>
      <c r="I72" t="str">
        <f t="shared" ca="1" si="5"/>
        <v>🟢 ON TRACK</v>
      </c>
      <c r="J72" t="s">
        <v>307</v>
      </c>
      <c r="K72" s="67"/>
    </row>
    <row r="73" spans="1:11" ht="15" customHeight="1" x14ac:dyDescent="0.3"/>
    <row r="74" spans="1:11" ht="15" customHeight="1" x14ac:dyDescent="0.3"/>
    <row r="75" spans="1:11" ht="15" customHeight="1" x14ac:dyDescent="0.3"/>
    <row r="76" spans="1:11" ht="15" customHeight="1" x14ac:dyDescent="0.3"/>
    <row r="77" spans="1:11" ht="15" customHeight="1" x14ac:dyDescent="0.3"/>
    <row r="78" spans="1:11" ht="15" customHeight="1" x14ac:dyDescent="0.3"/>
    <row r="79" spans="1:11" ht="15" customHeight="1" x14ac:dyDescent="0.3"/>
    <row r="80" spans="1:11" ht="15" customHeight="1" x14ac:dyDescent="0.3"/>
    <row r="81" ht="15" customHeight="1" x14ac:dyDescent="0.3"/>
    <row r="82" ht="15" customHeight="1" x14ac:dyDescent="0.3"/>
    <row r="83" ht="15" customHeight="1" x14ac:dyDescent="0.3"/>
    <row r="84" ht="15" customHeight="1" x14ac:dyDescent="0.3"/>
    <row r="85" ht="15" customHeight="1" x14ac:dyDescent="0.3"/>
    <row r="86" ht="15" customHeight="1" x14ac:dyDescent="0.3"/>
    <row r="87" ht="15" customHeight="1" x14ac:dyDescent="0.3"/>
    <row r="88" ht="15" customHeight="1" x14ac:dyDescent="0.3"/>
    <row r="89" ht="15" customHeight="1" x14ac:dyDescent="0.3"/>
    <row r="90" ht="15" customHeight="1" x14ac:dyDescent="0.3"/>
    <row r="91" ht="15" customHeight="1" x14ac:dyDescent="0.3"/>
    <row r="92" ht="15" customHeight="1" x14ac:dyDescent="0.3"/>
    <row r="93" ht="15" customHeight="1" x14ac:dyDescent="0.3"/>
    <row r="94" ht="15" customHeight="1" x14ac:dyDescent="0.3"/>
    <row r="95" ht="15" customHeight="1" x14ac:dyDescent="0.3"/>
    <row r="96" ht="15" customHeight="1" x14ac:dyDescent="0.3"/>
    <row r="97" ht="15" customHeight="1" x14ac:dyDescent="0.3"/>
    <row r="98" ht="15" customHeight="1" x14ac:dyDescent="0.3"/>
    <row r="99" ht="15" customHeight="1" x14ac:dyDescent="0.3"/>
    <row r="100" ht="15" customHeight="1" x14ac:dyDescent="0.3"/>
    <row r="101" ht="15" customHeight="1" x14ac:dyDescent="0.3"/>
    <row r="102" ht="15" customHeight="1" x14ac:dyDescent="0.3"/>
    <row r="103" ht="15" customHeight="1" x14ac:dyDescent="0.3"/>
    <row r="104" ht="15" customHeight="1" x14ac:dyDescent="0.3"/>
    <row r="105" ht="15" customHeight="1" x14ac:dyDescent="0.3"/>
    <row r="106" ht="15" customHeight="1" x14ac:dyDescent="0.3"/>
    <row r="107" ht="15" customHeight="1" x14ac:dyDescent="0.3"/>
    <row r="108" ht="15" customHeight="1" x14ac:dyDescent="0.3"/>
    <row r="109" ht="15" customHeight="1" x14ac:dyDescent="0.3"/>
    <row r="110" ht="15" customHeight="1" x14ac:dyDescent="0.3"/>
    <row r="111" ht="15" customHeight="1" x14ac:dyDescent="0.3"/>
    <row r="112" ht="15" customHeight="1" x14ac:dyDescent="0.3"/>
    <row r="113" ht="15" customHeight="1" x14ac:dyDescent="0.3"/>
    <row r="114" ht="15" customHeight="1" x14ac:dyDescent="0.3"/>
    <row r="115" ht="15" customHeight="1" x14ac:dyDescent="0.3"/>
    <row r="116" ht="15" customHeight="1" x14ac:dyDescent="0.3"/>
    <row r="117" ht="15" customHeight="1" x14ac:dyDescent="0.3"/>
    <row r="118" ht="15" customHeight="1" x14ac:dyDescent="0.3"/>
    <row r="119" ht="15" customHeight="1" x14ac:dyDescent="0.3"/>
    <row r="120" ht="15" customHeight="1" x14ac:dyDescent="0.3"/>
    <row r="121" ht="15" customHeight="1" x14ac:dyDescent="0.3"/>
    <row r="122" ht="15" customHeight="1" x14ac:dyDescent="0.3"/>
    <row r="123" ht="15" customHeight="1" x14ac:dyDescent="0.3"/>
    <row r="124" ht="15" customHeight="1" x14ac:dyDescent="0.3"/>
    <row r="125" ht="15" customHeight="1" x14ac:dyDescent="0.3"/>
    <row r="126" ht="15" customHeight="1" x14ac:dyDescent="0.3"/>
    <row r="127" ht="15" customHeight="1" x14ac:dyDescent="0.3"/>
    <row r="128" ht="15" customHeight="1" x14ac:dyDescent="0.3"/>
    <row r="129" ht="15" customHeight="1" x14ac:dyDescent="0.3"/>
    <row r="130" ht="15" customHeight="1" x14ac:dyDescent="0.3"/>
    <row r="131" ht="15" customHeight="1" x14ac:dyDescent="0.3"/>
    <row r="132" ht="15" customHeight="1" x14ac:dyDescent="0.3"/>
    <row r="133" ht="15" customHeight="1" x14ac:dyDescent="0.3"/>
    <row r="134" ht="15" customHeight="1" x14ac:dyDescent="0.3"/>
    <row r="135" ht="15" customHeight="1" x14ac:dyDescent="0.3"/>
    <row r="136" ht="15" customHeight="1" x14ac:dyDescent="0.3"/>
    <row r="137" ht="15" customHeight="1" x14ac:dyDescent="0.3"/>
    <row r="138" ht="15" customHeight="1" x14ac:dyDescent="0.3"/>
    <row r="139" ht="15" customHeight="1" x14ac:dyDescent="0.3"/>
    <row r="140" ht="15" customHeight="1" x14ac:dyDescent="0.3"/>
    <row r="141" ht="15" customHeight="1" x14ac:dyDescent="0.3"/>
    <row r="142" ht="15" customHeight="1" x14ac:dyDescent="0.3"/>
    <row r="143" ht="15" customHeight="1" x14ac:dyDescent="0.3"/>
    <row r="144" ht="15" customHeight="1" x14ac:dyDescent="0.3"/>
    <row r="145" ht="15" customHeight="1" x14ac:dyDescent="0.3"/>
    <row r="146" ht="15" customHeight="1" x14ac:dyDescent="0.3"/>
    <row r="147" ht="15" customHeight="1" x14ac:dyDescent="0.3"/>
    <row r="148" ht="15" customHeight="1" x14ac:dyDescent="0.3"/>
    <row r="149" ht="15" customHeight="1" x14ac:dyDescent="0.3"/>
    <row r="150" ht="15" customHeight="1" x14ac:dyDescent="0.3"/>
    <row r="151" ht="15" customHeight="1" x14ac:dyDescent="0.3"/>
    <row r="152" ht="15" customHeight="1" x14ac:dyDescent="0.3"/>
    <row r="153" ht="15" customHeight="1" x14ac:dyDescent="0.3"/>
    <row r="154" ht="15" customHeight="1" x14ac:dyDescent="0.3"/>
    <row r="155" ht="15" customHeight="1" x14ac:dyDescent="0.3"/>
    <row r="156" ht="15" customHeight="1" x14ac:dyDescent="0.3"/>
    <row r="157" ht="15" customHeight="1" x14ac:dyDescent="0.3"/>
    <row r="158" ht="15" customHeight="1" x14ac:dyDescent="0.3"/>
    <row r="159" ht="15" customHeight="1" x14ac:dyDescent="0.3"/>
    <row r="160" ht="15" customHeight="1" x14ac:dyDescent="0.3"/>
    <row r="161" ht="15" customHeight="1" x14ac:dyDescent="0.3"/>
    <row r="162" ht="15" customHeight="1" x14ac:dyDescent="0.3"/>
    <row r="163" ht="15" customHeight="1" x14ac:dyDescent="0.3"/>
    <row r="164" ht="15" customHeight="1" x14ac:dyDescent="0.3"/>
    <row r="165" ht="15" customHeight="1" x14ac:dyDescent="0.3"/>
    <row r="166" ht="15" customHeight="1" x14ac:dyDescent="0.3"/>
    <row r="167" ht="15" customHeight="1" x14ac:dyDescent="0.3"/>
    <row r="168" ht="15" customHeight="1" x14ac:dyDescent="0.3"/>
    <row r="169" ht="15" customHeight="1" x14ac:dyDescent="0.3"/>
    <row r="170" ht="15" customHeight="1" x14ac:dyDescent="0.3"/>
    <row r="171" ht="15" customHeight="1" x14ac:dyDescent="0.3"/>
    <row r="172" ht="15" customHeight="1" x14ac:dyDescent="0.3"/>
    <row r="173" ht="15" customHeight="1" x14ac:dyDescent="0.3"/>
    <row r="174" ht="15" customHeight="1" x14ac:dyDescent="0.3"/>
    <row r="175" ht="15" customHeight="1" x14ac:dyDescent="0.3"/>
    <row r="176" ht="15" customHeight="1" x14ac:dyDescent="0.3"/>
    <row r="177" ht="15" customHeight="1" x14ac:dyDescent="0.3"/>
    <row r="178" ht="15" customHeight="1" x14ac:dyDescent="0.3"/>
    <row r="179" ht="15" customHeight="1" x14ac:dyDescent="0.3"/>
    <row r="180" ht="15" customHeight="1" x14ac:dyDescent="0.3"/>
    <row r="181" ht="15" customHeight="1" x14ac:dyDescent="0.3"/>
    <row r="182" ht="15" customHeight="1" x14ac:dyDescent="0.3"/>
    <row r="183" ht="15" customHeight="1" x14ac:dyDescent="0.3"/>
    <row r="184" ht="15" customHeight="1" x14ac:dyDescent="0.3"/>
    <row r="185" ht="15" customHeight="1" x14ac:dyDescent="0.3"/>
    <row r="186" ht="15" customHeight="1" x14ac:dyDescent="0.3"/>
    <row r="187" ht="15" customHeight="1" x14ac:dyDescent="0.3"/>
    <row r="188" ht="15" customHeight="1" x14ac:dyDescent="0.3"/>
    <row r="189" ht="15" customHeight="1" x14ac:dyDescent="0.3"/>
    <row r="190" ht="15" customHeight="1" x14ac:dyDescent="0.3"/>
    <row r="191" ht="15" customHeight="1" x14ac:dyDescent="0.3"/>
    <row r="192" ht="15" customHeight="1" x14ac:dyDescent="0.3"/>
    <row r="193" ht="15" customHeight="1" x14ac:dyDescent="0.3"/>
    <row r="194" ht="15" customHeight="1" x14ac:dyDescent="0.3"/>
    <row r="195" ht="15" customHeight="1" x14ac:dyDescent="0.3"/>
    <row r="196" ht="15" customHeight="1" x14ac:dyDescent="0.3"/>
    <row r="197" ht="15" customHeight="1" x14ac:dyDescent="0.3"/>
    <row r="198" ht="15" customHeight="1" x14ac:dyDescent="0.3"/>
    <row r="199" ht="15" customHeight="1" x14ac:dyDescent="0.3"/>
    <row r="200" ht="15" customHeight="1" x14ac:dyDescent="0.3"/>
  </sheetData>
  <mergeCells count="1">
    <mergeCell ref="A1:L1"/>
  </mergeCells>
  <conditionalFormatting sqref="D3:D100">
    <cfRule type="expression" dxfId="25" priority="6">
      <formula>$D3="High"</formula>
    </cfRule>
    <cfRule type="expression" dxfId="24" priority="7">
      <formula>$D3="Medium"</formula>
    </cfRule>
    <cfRule type="expression" dxfId="23" priority="8">
      <formula>$D3="Low"</formula>
    </cfRule>
  </conditionalFormatting>
  <conditionalFormatting sqref="I3:I200">
    <cfRule type="containsText" dxfId="22" priority="2" operator="containsText" text="OVERDUE">
      <formula>NOT(ISERROR(SEARCH("OVERDUE",I3)))</formula>
    </cfRule>
    <cfRule type="containsText" dxfId="21" priority="3" operator="containsText" text="AT RISK">
      <formula>NOT(ISERROR(SEARCH("AT RISK",I3)))</formula>
    </cfRule>
    <cfRule type="containsText" dxfId="20" priority="4" operator="containsText" text="ON TRACK">
      <formula>NOT(ISERROR(SEARCH("ON TRACK",I3)))</formula>
    </cfRule>
    <cfRule type="containsText" dxfId="19" priority="5" operator="containsText" text="Pending">
      <formula>NOT(ISERROR(SEARCH("Pending",I3)))</formula>
    </cfRule>
  </conditionalFormatting>
  <dataValidations count="1">
    <dataValidation type="list" sqref="J3:J200" xr:uid="{00000000-0002-0000-1600-000000000000}">
      <formula1>"Yes,No"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J12"/>
  <sheetViews>
    <sheetView zoomScaleNormal="100" workbookViewId="0">
      <selection activeCell="O9" sqref="O9"/>
    </sheetView>
  </sheetViews>
  <sheetFormatPr defaultColWidth="8.6640625" defaultRowHeight="14.4" x14ac:dyDescent="0.3"/>
  <cols>
    <col min="1" max="1" width="38" customWidth="1"/>
    <col min="2" max="2" width="19.21875" bestFit="1" customWidth="1"/>
    <col min="3" max="4" width="6" customWidth="1"/>
    <col min="5" max="5" width="10" style="78" customWidth="1"/>
    <col min="6" max="10" width="14" style="78" customWidth="1"/>
  </cols>
  <sheetData>
    <row r="1" spans="1:10" ht="27.75" customHeight="1" x14ac:dyDescent="0.3">
      <c r="A1" s="132" t="s">
        <v>308</v>
      </c>
      <c r="B1" s="126"/>
      <c r="C1" s="126"/>
      <c r="D1" s="126"/>
      <c r="E1" s="127"/>
      <c r="F1" s="127"/>
      <c r="G1" s="127"/>
      <c r="H1" s="127"/>
      <c r="I1" s="127"/>
      <c r="J1" s="127"/>
    </row>
    <row r="3" spans="1:10" ht="15" customHeight="1" x14ac:dyDescent="0.3">
      <c r="A3" s="133" t="s">
        <v>309</v>
      </c>
      <c r="B3" s="126"/>
      <c r="C3" s="126"/>
      <c r="D3" s="126"/>
      <c r="E3" s="134" t="s">
        <v>310</v>
      </c>
      <c r="F3" s="127"/>
      <c r="G3" s="127"/>
      <c r="H3" s="127"/>
      <c r="I3" s="127"/>
      <c r="J3" s="127"/>
    </row>
    <row r="4" spans="1:10" ht="27.75" customHeight="1" x14ac:dyDescent="0.3">
      <c r="A4" s="68" t="s">
        <v>311</v>
      </c>
      <c r="B4" s="69">
        <f>Settings!K4</f>
        <v>21.6</v>
      </c>
      <c r="E4" s="2" t="s">
        <v>262</v>
      </c>
      <c r="F4" s="2" t="s">
        <v>312</v>
      </c>
      <c r="G4" s="2" t="s">
        <v>313</v>
      </c>
      <c r="H4" s="2" t="s">
        <v>314</v>
      </c>
      <c r="I4" s="2" t="s">
        <v>315</v>
      </c>
      <c r="J4" s="2" t="s">
        <v>316</v>
      </c>
    </row>
    <row r="5" spans="1:10" ht="15" customHeight="1" x14ac:dyDescent="0.3">
      <c r="A5" s="68" t="s">
        <v>317</v>
      </c>
      <c r="B5" s="69">
        <f>Settings!K5</f>
        <v>22.4</v>
      </c>
      <c r="E5" s="78" t="s">
        <v>131</v>
      </c>
      <c r="F5" s="123">
        <f>Dashboard!D9</f>
        <v>7120</v>
      </c>
      <c r="G5" s="123">
        <f ca="1">Dashboard!E9</f>
        <v>21216</v>
      </c>
      <c r="H5" s="124">
        <f t="shared" ref="H5:H12" ca="1" si="0">IF(G5&gt;0,F5/G5,0)</f>
        <v>0.33559577677224733</v>
      </c>
      <c r="I5" s="78">
        <f ca="1">(4+$B$8)*INT(Dashboard!$E$5)*Settings!$K$4*(1+$B$11/100)</f>
        <v>19094.400000000001</v>
      </c>
      <c r="J5" s="124">
        <f t="shared" ref="J5:J12" ca="1" si="1">IF(I5&gt;0,F5/I5,0)</f>
        <v>0.37288419641360815</v>
      </c>
    </row>
    <row r="6" spans="1:10" ht="15" customHeight="1" x14ac:dyDescent="0.3">
      <c r="A6" s="68" t="s">
        <v>318</v>
      </c>
      <c r="B6" s="69">
        <f>COUNTA(Job_Master!A4:A103)</f>
        <v>71</v>
      </c>
      <c r="E6" s="78" t="s">
        <v>138</v>
      </c>
      <c r="F6" s="123">
        <f>Dashboard!D10</f>
        <v>10652</v>
      </c>
      <c r="G6" s="123">
        <f ca="1">Dashboard!E10</f>
        <v>31824</v>
      </c>
      <c r="H6" s="124">
        <f t="shared" ca="1" si="0"/>
        <v>0.3347159376571141</v>
      </c>
      <c r="I6" s="78">
        <f ca="1">(6+$B$9)*INT(Dashboard!$E$5)*Settings!$K$4*(1+$B$11/100)</f>
        <v>28641.600000000002</v>
      </c>
      <c r="J6" s="124">
        <f t="shared" ca="1" si="1"/>
        <v>0.37190659739679344</v>
      </c>
    </row>
    <row r="7" spans="1:10" ht="15" customHeight="1" x14ac:dyDescent="0.3">
      <c r="A7" s="68" t="s">
        <v>319</v>
      </c>
      <c r="B7" s="70">
        <f>Job_Master!B2</f>
        <v>46113.291666666657</v>
      </c>
      <c r="E7" s="78" t="s">
        <v>145</v>
      </c>
      <c r="F7" s="123">
        <f>Dashboard!D11</f>
        <v>8564</v>
      </c>
      <c r="G7" s="123">
        <f ca="1">Dashboard!E11</f>
        <v>31824</v>
      </c>
      <c r="H7" s="124">
        <f t="shared" ca="1" si="0"/>
        <v>0.26910507792860733</v>
      </c>
      <c r="I7" s="78">
        <f ca="1">(6+0)*INT(Dashboard!$E$5)*Settings!$K$4*(1+$B$11/100)</f>
        <v>28641.600000000002</v>
      </c>
      <c r="J7" s="124">
        <f t="shared" ca="1" si="1"/>
        <v>0.29900564214289704</v>
      </c>
    </row>
    <row r="8" spans="1:10" ht="15" customHeight="1" x14ac:dyDescent="0.3">
      <c r="A8" s="68" t="s">
        <v>320</v>
      </c>
      <c r="B8" s="69" t="s">
        <v>281</v>
      </c>
      <c r="E8" s="78" t="s">
        <v>152</v>
      </c>
      <c r="F8" s="123">
        <f>Dashboard!D12</f>
        <v>8704</v>
      </c>
      <c r="G8" s="123">
        <f ca="1">Dashboard!E12</f>
        <v>159120</v>
      </c>
      <c r="H8" s="124">
        <f t="shared" ca="1" si="0"/>
        <v>5.4700854700854701E-2</v>
      </c>
      <c r="I8" s="78">
        <f ca="1">(30+$B$10)*INT(Dashboard!$E$5)*Settings!$K$4*(1+$B$11/100)</f>
        <v>143208</v>
      </c>
      <c r="J8" s="124">
        <f t="shared" ca="1" si="1"/>
        <v>6.0778727445394115E-2</v>
      </c>
    </row>
    <row r="9" spans="1:10" ht="15" customHeight="1" x14ac:dyDescent="0.3">
      <c r="A9" s="68" t="s">
        <v>321</v>
      </c>
      <c r="B9" s="69" t="s">
        <v>281</v>
      </c>
      <c r="E9" s="78" t="s">
        <v>183</v>
      </c>
      <c r="F9" s="123">
        <f>Dashboard!D13</f>
        <v>9356</v>
      </c>
      <c r="G9" s="123">
        <f ca="1">Dashboard!E13</f>
        <v>74256</v>
      </c>
      <c r="H9" s="124">
        <f t="shared" ca="1" si="0"/>
        <v>0.1259965524671407</v>
      </c>
      <c r="I9" s="78">
        <f ca="1">(14+0)*INT(Dashboard!$E$5)*Settings!$K$4*(1+$B$11/100)</f>
        <v>66830.400000000009</v>
      </c>
      <c r="J9" s="124">
        <f t="shared" ca="1" si="1"/>
        <v>0.13999616940793411</v>
      </c>
    </row>
    <row r="10" spans="1:10" ht="15" customHeight="1" x14ac:dyDescent="0.3">
      <c r="A10" s="68" t="s">
        <v>322</v>
      </c>
      <c r="B10" s="69" t="s">
        <v>281</v>
      </c>
      <c r="E10" s="78" t="s">
        <v>198</v>
      </c>
      <c r="F10" s="123">
        <f>Dashboard!D14</f>
        <v>7462</v>
      </c>
      <c r="G10" s="123">
        <f ca="1">Dashboard!E14</f>
        <v>42432</v>
      </c>
      <c r="H10" s="124">
        <f t="shared" ca="1" si="0"/>
        <v>0.17585784313725492</v>
      </c>
      <c r="I10" s="78">
        <f ca="1">(8+0)*INT(Dashboard!$E$5)*Settings!$K$4*(1+$B$11/100)</f>
        <v>38188.800000000003</v>
      </c>
      <c r="J10" s="124">
        <f t="shared" ca="1" si="1"/>
        <v>0.19539760348583876</v>
      </c>
    </row>
    <row r="11" spans="1:10" ht="15" customHeight="1" x14ac:dyDescent="0.3">
      <c r="A11" s="68" t="s">
        <v>323</v>
      </c>
      <c r="B11" s="69" t="s">
        <v>281</v>
      </c>
      <c r="E11" s="78" t="s">
        <v>208</v>
      </c>
      <c r="F11" s="123">
        <f>Dashboard!D15</f>
        <v>7394</v>
      </c>
      <c r="G11" s="123">
        <f ca="1">Dashboard!E15</f>
        <v>53040</v>
      </c>
      <c r="H11" s="124">
        <f t="shared" ca="1" si="0"/>
        <v>0.13940422322775264</v>
      </c>
      <c r="I11" s="78">
        <f ca="1">(10+0)*INT(Dashboard!$E$5)*Settings!$K$4*(1+$B$11/100)</f>
        <v>47736</v>
      </c>
      <c r="J11" s="124">
        <f t="shared" ca="1" si="1"/>
        <v>0.15489358136416959</v>
      </c>
    </row>
    <row r="12" spans="1:10" ht="15" customHeight="1" x14ac:dyDescent="0.3">
      <c r="E12" s="78" t="s">
        <v>219</v>
      </c>
      <c r="F12" s="123">
        <f>Dashboard!D16</f>
        <v>6524</v>
      </c>
      <c r="G12" s="123">
        <f ca="1">Dashboard!E16</f>
        <v>26520</v>
      </c>
      <c r="H12" s="124">
        <f t="shared" ca="1" si="0"/>
        <v>0.24600301659125187</v>
      </c>
      <c r="I12" s="78">
        <f ca="1">(5+0)*INT(Dashboard!$E$5)*Settings!$K$4*(1+$B$11/100)</f>
        <v>23868</v>
      </c>
      <c r="J12" s="124">
        <f t="shared" ca="1" si="1"/>
        <v>0.27333668510139097</v>
      </c>
    </row>
  </sheetData>
  <mergeCells count="3">
    <mergeCell ref="A1:J1"/>
    <mergeCell ref="A3:D3"/>
    <mergeCell ref="E3:J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M73"/>
  <sheetViews>
    <sheetView zoomScaleNormal="100" workbookViewId="0">
      <selection sqref="A1:M1"/>
    </sheetView>
  </sheetViews>
  <sheetFormatPr defaultColWidth="8.6640625" defaultRowHeight="14.4" x14ac:dyDescent="0.3"/>
  <cols>
    <col min="1" max="1" width="12" customWidth="1"/>
    <col min="2" max="2" width="7" customWidth="1"/>
    <col min="3" max="3" width="8" customWidth="1"/>
    <col min="4" max="4" width="10" customWidth="1"/>
    <col min="5" max="5" width="14" customWidth="1"/>
    <col min="6" max="6" width="12" customWidth="1"/>
    <col min="7" max="9" width="14" customWidth="1"/>
    <col min="10" max="10" width="10" customWidth="1"/>
    <col min="11" max="11" width="6" customWidth="1"/>
    <col min="12" max="12" width="12" customWidth="1"/>
  </cols>
  <sheetData>
    <row r="1" spans="1:13" ht="25.5" customHeight="1" x14ac:dyDescent="0.3">
      <c r="A1" s="132" t="s">
        <v>324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</row>
    <row r="2" spans="1:13" ht="15" customHeight="1" x14ac:dyDescent="0.3">
      <c r="A2" s="16" t="s">
        <v>325</v>
      </c>
      <c r="B2" s="71">
        <f ca="1">TODAY()</f>
        <v>46119</v>
      </c>
      <c r="D2" s="16" t="s">
        <v>326</v>
      </c>
      <c r="E2" s="71">
        <f ca="1">B2+28</f>
        <v>46147</v>
      </c>
    </row>
    <row r="3" spans="1:13" ht="27.75" customHeight="1" x14ac:dyDescent="0.3">
      <c r="A3" s="65" t="s">
        <v>2</v>
      </c>
      <c r="B3" s="65" t="s">
        <v>3</v>
      </c>
      <c r="C3" s="65" t="s">
        <v>4</v>
      </c>
      <c r="D3" s="65" t="s">
        <v>8</v>
      </c>
      <c r="E3" s="65" t="s">
        <v>12</v>
      </c>
      <c r="F3" s="65" t="s">
        <v>10</v>
      </c>
      <c r="G3" s="65" t="s">
        <v>327</v>
      </c>
      <c r="H3" s="65" t="s">
        <v>328</v>
      </c>
      <c r="I3" s="65" t="s">
        <v>11</v>
      </c>
      <c r="J3" s="65" t="s">
        <v>303</v>
      </c>
      <c r="K3" s="65" t="s">
        <v>329</v>
      </c>
      <c r="L3" s="65" t="s">
        <v>295</v>
      </c>
    </row>
    <row r="4" spans="1:13" ht="15" customHeight="1" x14ac:dyDescent="0.3">
      <c r="A4" t="str">
        <f ca="1">IF(OR(Job_Master!E4="",Job_Master!F4=""),"",IF(AND(Job_Master!E4&lt;=$E$2,Job_Master!F4&gt;=$B$2),Job_Master!A4,""))</f>
        <v>BJ-104</v>
      </c>
      <c r="B4">
        <f ca="1">IF($A4="","",Job_Master!B4)</f>
        <v>28</v>
      </c>
      <c r="C4" t="str">
        <f ca="1">IF($A4="","",Job_Master!C4)</f>
        <v>2P</v>
      </c>
      <c r="D4" t="str">
        <f ca="1">IF($A4="","",Job_Master!G4)</f>
        <v>Medium</v>
      </c>
      <c r="E4" t="str">
        <f ca="1">IF($A4="","",Job_Master!K4)</f>
        <v>Alpha Corp</v>
      </c>
      <c r="F4" t="str">
        <f ca="1">IF($A4="","",Job_Master!I4)</f>
        <v>Released</v>
      </c>
      <c r="G4" s="64">
        <f ca="1">IF($A4="","",Job_Master!E4)</f>
        <v>46113.291666666657</v>
      </c>
      <c r="H4" s="64">
        <f ca="1">IF($A4="","",Job_Master!F4)</f>
        <v>46132.339285714275</v>
      </c>
      <c r="I4" s="64">
        <f ca="1">IF($A4="","",Job_Master!J4)</f>
        <v>46162.339285714275</v>
      </c>
      <c r="J4" s="66">
        <f t="shared" ref="J4:J35" ca="1" si="0">IF(OR($A4="",$H4="",$I4=""),"",$I4-$H4)</f>
        <v>30</v>
      </c>
      <c r="K4" t="str">
        <f t="shared" ref="K4:K35" ca="1" si="1">IF($A4="","⚪",IF($J4&lt;0,"🔴",IF($J4&lt;7,"🟡","🟢")))</f>
        <v>🟢</v>
      </c>
      <c r="L4" t="str">
        <f ca="1">IF($A4="","",IF(QC_Plan!M4&lt;&gt;"","QC",IF(FID_Plan!M4&lt;&gt;"","FID",IF(VENT_Plan!M4&lt;&gt;"","VENT",IF(ENG_Plan!M4&lt;&gt;"","ENG",IF(EDM_Plan!M4&lt;&gt;"","EDM",IF(CARVING_Plan!M4&lt;&gt;"","CARVING",IF(SPM_Plan!M4&lt;&gt;"","SPM","VTL"))))))))</f>
        <v>QC</v>
      </c>
    </row>
    <row r="5" spans="1:13" ht="15" customHeight="1" x14ac:dyDescent="0.3">
      <c r="A5" t="str">
        <f ca="1">IF(OR(Job_Master!E5="",Job_Master!F5=""),"",IF(AND(Job_Master!E5&lt;=$E$2,Job_Master!F5&gt;=$B$2),Job_Master!A5,""))</f>
        <v>BJ-101</v>
      </c>
      <c r="B5">
        <f ca="1">IF($A5="","",Job_Master!B5)</f>
        <v>42</v>
      </c>
      <c r="C5" t="str">
        <f ca="1">IF($A5="","",Job_Master!C5)</f>
        <v>SOL</v>
      </c>
      <c r="D5" t="str">
        <f ca="1">IF($A5="","",Job_Master!G5)</f>
        <v>Medium</v>
      </c>
      <c r="E5" t="str">
        <f ca="1">IF($A5="","",Job_Master!K5)</f>
        <v>Beta Ltd</v>
      </c>
      <c r="F5" t="str">
        <f ca="1">IF($A5="","",Job_Master!I5)</f>
        <v>On Hold</v>
      </c>
      <c r="G5" s="64">
        <f ca="1">IF($A5="","",Job_Master!E5)</f>
        <v>46113.291666666657</v>
      </c>
      <c r="H5" s="64">
        <f ca="1">IF($A5="","",Job_Master!F5)</f>
        <v>46170.368386243375</v>
      </c>
      <c r="I5" s="64">
        <f ca="1">IF($A5="","",Job_Master!J5)</f>
        <v>46200.368386243375</v>
      </c>
      <c r="J5" s="66">
        <f t="shared" ca="1" si="0"/>
        <v>30</v>
      </c>
      <c r="K5" t="str">
        <f t="shared" ca="1" si="1"/>
        <v>🟢</v>
      </c>
      <c r="L5" t="str">
        <f ca="1">IF($A5="","",IF(QC_Plan!M5&lt;&gt;"","QC",IF(FID_Plan!M5&lt;&gt;"","FID",IF(VENT_Plan!M5&lt;&gt;"","VENT",IF(ENG_Plan!M5&lt;&gt;"","ENG",IF(EDM_Plan!M5&lt;&gt;"","EDM",IF(CARVING_Plan!M5&lt;&gt;"","CARVING",IF(SPM_Plan!M5&lt;&gt;"","SPM","VTL"))))))))</f>
        <v>QC</v>
      </c>
    </row>
    <row r="6" spans="1:13" ht="15" customHeight="1" x14ac:dyDescent="0.3">
      <c r="A6" t="str">
        <f ca="1">IF(OR(Job_Master!E6="",Job_Master!F6=""),"",IF(AND(Job_Master!E6&lt;=$E$2,Job_Master!F6&gt;=$B$2),Job_Master!A6,""))</f>
        <v>BJ-105</v>
      </c>
      <c r="B6">
        <f ca="1">IF($A6="","",Job_Master!B6)</f>
        <v>28</v>
      </c>
      <c r="C6" t="str">
        <f ca="1">IF($A6="","",Job_Master!C6)</f>
        <v>RW</v>
      </c>
      <c r="D6" t="str">
        <f ca="1">IF($A6="","",Job_Master!G6)</f>
        <v>Medium</v>
      </c>
      <c r="E6" t="str">
        <f ca="1">IF($A6="","",Job_Master!K6)</f>
        <v>Alpha Corp</v>
      </c>
      <c r="F6" t="str">
        <f ca="1">IF($A6="","",Job_Master!I6)</f>
        <v>Released</v>
      </c>
      <c r="G6" s="64">
        <f ca="1">IF($A6="","",Job_Master!E6)</f>
        <v>46113.291666666657</v>
      </c>
      <c r="H6" s="64">
        <f ca="1">IF($A6="","",Job_Master!F6)</f>
        <v>46134.58465608464</v>
      </c>
      <c r="I6" s="64">
        <f ca="1">IF($A6="","",Job_Master!J6)</f>
        <v>46164.58465608464</v>
      </c>
      <c r="J6" s="66">
        <f t="shared" ca="1" si="0"/>
        <v>30</v>
      </c>
      <c r="K6" t="str">
        <f t="shared" ca="1" si="1"/>
        <v>🟢</v>
      </c>
      <c r="L6" t="str">
        <f ca="1">IF($A6="","",IF(QC_Plan!M6&lt;&gt;"","QC",IF(FID_Plan!M6&lt;&gt;"","FID",IF(VENT_Plan!M6&lt;&gt;"","VENT",IF(ENG_Plan!M6&lt;&gt;"","ENG",IF(EDM_Plan!M6&lt;&gt;"","EDM",IF(CARVING_Plan!M6&lt;&gt;"","CARVING",IF(SPM_Plan!M6&lt;&gt;"","SPM","VTL"))))))))</f>
        <v>QC</v>
      </c>
    </row>
    <row r="7" spans="1:13" ht="15" customHeight="1" x14ac:dyDescent="0.3">
      <c r="A7" t="str">
        <f ca="1">IF(OR(Job_Master!E7="",Job_Master!F7=""),"",IF(AND(Job_Master!E7&lt;=$E$2,Job_Master!F7&gt;=$B$2),Job_Master!A7,""))</f>
        <v>BJ-100</v>
      </c>
      <c r="B7">
        <f ca="1">IF($A7="","",Job_Master!B7)</f>
        <v>25</v>
      </c>
      <c r="C7" t="str">
        <f ca="1">IF($A7="","",Job_Master!C7)</f>
        <v>SEG</v>
      </c>
      <c r="D7" t="str">
        <f ca="1">IF($A7="","",Job_Master!G7)</f>
        <v>Low</v>
      </c>
      <c r="E7" t="str">
        <f ca="1">IF($A7="","",Job_Master!K7)</f>
        <v>Gamma Inc</v>
      </c>
      <c r="F7" t="str">
        <f ca="1">IF($A7="","",Job_Master!I7)</f>
        <v>Released</v>
      </c>
      <c r="G7" s="64">
        <f ca="1">IF($A7="","",Job_Master!E7)</f>
        <v>46115.884259259248</v>
      </c>
      <c r="H7" s="64">
        <f ca="1">IF($A7="","",Job_Master!F7)</f>
        <v>46178.949735449729</v>
      </c>
      <c r="I7" s="64">
        <f ca="1">IF($A7="","",Job_Master!J7)</f>
        <v>46208.949735449729</v>
      </c>
      <c r="J7" s="66">
        <f t="shared" ca="1" si="0"/>
        <v>30</v>
      </c>
      <c r="K7" t="str">
        <f t="shared" ca="1" si="1"/>
        <v>🟢</v>
      </c>
      <c r="L7" t="str">
        <f ca="1">IF($A7="","",IF(QC_Plan!M7&lt;&gt;"","QC",IF(FID_Plan!M7&lt;&gt;"","FID",IF(VENT_Plan!M7&lt;&gt;"","VENT",IF(ENG_Plan!M7&lt;&gt;"","ENG",IF(EDM_Plan!M7&lt;&gt;"","EDM",IF(CARVING_Plan!M7&lt;&gt;"","CARVING",IF(SPM_Plan!M7&lt;&gt;"","SPM","VTL"))))))))</f>
        <v>QC</v>
      </c>
    </row>
    <row r="8" spans="1:13" ht="15" customHeight="1" x14ac:dyDescent="0.3">
      <c r="A8" t="str">
        <f ca="1">IF(OR(Job_Master!E8="",Job_Master!F8=""),"",IF(AND(Job_Master!E8&lt;=$E$2,Job_Master!F8&gt;=$B$2),Job_Master!A8,""))</f>
        <v>BJ-102</v>
      </c>
      <c r="B8">
        <f ca="1">IF($A8="","",Job_Master!B8)</f>
        <v>34</v>
      </c>
      <c r="C8" t="str">
        <f ca="1">IF($A8="","",Job_Master!C8)</f>
        <v>SEG</v>
      </c>
      <c r="D8" t="str">
        <f ca="1">IF($A8="","",Job_Master!G8)</f>
        <v>Medium</v>
      </c>
      <c r="E8" t="str">
        <f ca="1">IF($A8="","",Job_Master!K8)</f>
        <v>Beta Ltd</v>
      </c>
      <c r="F8" t="str">
        <f ca="1">IF($A8="","",Job_Master!I8)</f>
        <v>Cancelled</v>
      </c>
      <c r="G8" s="64">
        <f ca="1">IF($A8="","",Job_Master!E8)</f>
        <v>46113.291666666657</v>
      </c>
      <c r="H8" s="64">
        <f ca="1">IF($A8="","",Job_Master!F8)</f>
        <v>46190.01124338623</v>
      </c>
      <c r="I8" s="64">
        <f ca="1">IF($A8="","",Job_Master!J8)</f>
        <v>46220.01124338623</v>
      </c>
      <c r="J8" s="66">
        <f t="shared" ca="1" si="0"/>
        <v>30</v>
      </c>
      <c r="K8" t="str">
        <f t="shared" ca="1" si="1"/>
        <v>🟢</v>
      </c>
      <c r="L8" t="str">
        <f ca="1">IF($A8="","",IF(QC_Plan!M8&lt;&gt;"","QC",IF(FID_Plan!M8&lt;&gt;"","FID",IF(VENT_Plan!M8&lt;&gt;"","VENT",IF(ENG_Plan!M8&lt;&gt;"","ENG",IF(EDM_Plan!M8&lt;&gt;"","EDM",IF(CARVING_Plan!M8&lt;&gt;"","CARVING",IF(SPM_Plan!M8&lt;&gt;"","SPM","VTL"))))))))</f>
        <v>QC</v>
      </c>
    </row>
    <row r="9" spans="1:13" ht="15" customHeight="1" x14ac:dyDescent="0.3">
      <c r="A9" t="str">
        <f ca="1">IF(OR(Job_Master!E9="",Job_Master!F9=""),"",IF(AND(Job_Master!E9&lt;=$E$2,Job_Master!F9&gt;=$B$2),Job_Master!A9,""))</f>
        <v>BJ-103</v>
      </c>
      <c r="B9">
        <f ca="1">IF($A9="","",Job_Master!B9)</f>
        <v>20</v>
      </c>
      <c r="C9" t="str">
        <f ca="1">IF($A9="","",Job_Master!C9)</f>
        <v>RW</v>
      </c>
      <c r="D9" t="str">
        <f ca="1">IF($A9="","",Job_Master!G9)</f>
        <v>Low</v>
      </c>
      <c r="E9" t="str">
        <f ca="1">IF($A9="","",Job_Master!K9)</f>
        <v>Delta Co</v>
      </c>
      <c r="F9" t="str">
        <f ca="1">IF($A9="","",Job_Master!I9)</f>
        <v>Released</v>
      </c>
      <c r="G9" s="64">
        <f ca="1">IF($A9="","",Job_Master!E9)</f>
        <v>46115.884259259248</v>
      </c>
      <c r="H9" s="64">
        <f ca="1">IF($A9="","",Job_Master!F9)</f>
        <v>46130.480820105811</v>
      </c>
      <c r="I9" s="64">
        <f ca="1">IF($A9="","",Job_Master!J9)</f>
        <v>46160.480820105811</v>
      </c>
      <c r="J9" s="66">
        <f t="shared" ca="1" si="0"/>
        <v>30</v>
      </c>
      <c r="K9" t="str">
        <f t="shared" ca="1" si="1"/>
        <v>🟢</v>
      </c>
      <c r="L9" t="str">
        <f ca="1">IF($A9="","",IF(QC_Plan!M9&lt;&gt;"","QC",IF(FID_Plan!M9&lt;&gt;"","FID",IF(VENT_Plan!M9&lt;&gt;"","VENT",IF(ENG_Plan!M9&lt;&gt;"","ENG",IF(EDM_Plan!M9&lt;&gt;"","EDM",IF(CARVING_Plan!M9&lt;&gt;"","CARVING",IF(SPM_Plan!M9&lt;&gt;"","SPM","VTL"))))))))</f>
        <v>QC</v>
      </c>
    </row>
    <row r="10" spans="1:13" ht="15" customHeight="1" x14ac:dyDescent="0.3">
      <c r="A10" t="str">
        <f ca="1">IF(OR(Job_Master!E10="",Job_Master!F10=""),"",IF(AND(Job_Master!E10&lt;=$E$2,Job_Master!F10&gt;=$B$2),Job_Master!A10,""))</f>
        <v>BJ-108</v>
      </c>
      <c r="B10">
        <f ca="1">IF($A10="","",Job_Master!B10)</f>
        <v>70</v>
      </c>
      <c r="C10" t="str">
        <f ca="1">IF($A10="","",Job_Master!C10)</f>
        <v>RW</v>
      </c>
      <c r="D10" t="str">
        <f ca="1">IF($A10="","",Job_Master!G10)</f>
        <v>High</v>
      </c>
      <c r="E10" t="str">
        <f ca="1">IF($A10="","",Job_Master!K10)</f>
        <v>Alpha Corp</v>
      </c>
      <c r="F10" t="str">
        <f ca="1">IF($A10="","",Job_Master!I10)</f>
        <v>Released</v>
      </c>
      <c r="G10" s="64">
        <f ca="1">IF($A10="","",Job_Master!E10)</f>
        <v>46122.828703703693</v>
      </c>
      <c r="H10" s="64">
        <f ca="1">IF($A10="","",Job_Master!F10)</f>
        <v>46183.675264550257</v>
      </c>
      <c r="I10" s="64">
        <f ca="1">IF($A10="","",Job_Master!J10)</f>
        <v>46213.675264550257</v>
      </c>
      <c r="J10" s="66">
        <f t="shared" ca="1" si="0"/>
        <v>30</v>
      </c>
      <c r="K10" t="str">
        <f t="shared" ca="1" si="1"/>
        <v>🟢</v>
      </c>
      <c r="L10" t="str">
        <f ca="1">IF($A10="","",IF(QC_Plan!M10&lt;&gt;"","QC",IF(FID_Plan!M10&lt;&gt;"","FID",IF(VENT_Plan!M10&lt;&gt;"","VENT",IF(ENG_Plan!M10&lt;&gt;"","ENG",IF(EDM_Plan!M10&lt;&gt;"","EDM",IF(CARVING_Plan!M10&lt;&gt;"","CARVING",IF(SPM_Plan!M10&lt;&gt;"","SPM","VTL"))))))))</f>
        <v>QC</v>
      </c>
    </row>
    <row r="11" spans="1:13" ht="15" customHeight="1" x14ac:dyDescent="0.3">
      <c r="A11" t="str">
        <f ca="1">IF(OR(Job_Master!E11="",Job_Master!F11=""),"",IF(AND(Job_Master!E11&lt;=$E$2,Job_Master!F11&gt;=$B$2),Job_Master!A11,""))</f>
        <v>BJ-106</v>
      </c>
      <c r="B11">
        <f ca="1">IF($A11="","",Job_Master!B11)</f>
        <v>15</v>
      </c>
      <c r="C11" t="str">
        <f ca="1">IF($A11="","",Job_Master!C11)</f>
        <v>RW</v>
      </c>
      <c r="D11" t="str">
        <f ca="1">IF($A11="","",Job_Master!G11)</f>
        <v>Low</v>
      </c>
      <c r="E11" t="str">
        <f ca="1">IF($A11="","",Job_Master!K11)</f>
        <v>Gamma Inc</v>
      </c>
      <c r="F11" t="str">
        <f ca="1">IF($A11="","",Job_Master!I11)</f>
        <v>On Hold</v>
      </c>
      <c r="G11" s="64">
        <f ca="1">IF($A11="","",Job_Master!E11)</f>
        <v>46117.736111111102</v>
      </c>
      <c r="H11" s="64">
        <f ca="1">IF($A11="","",Job_Master!F11)</f>
        <v>46125.259259259255</v>
      </c>
      <c r="I11" s="64">
        <f ca="1">IF($A11="","",Job_Master!J11)</f>
        <v>46155.259259259255</v>
      </c>
      <c r="J11" s="66">
        <f t="shared" ca="1" si="0"/>
        <v>30</v>
      </c>
      <c r="K11" t="str">
        <f t="shared" ca="1" si="1"/>
        <v>🟢</v>
      </c>
      <c r="L11" t="str">
        <f ca="1">IF($A11="","",IF(QC_Plan!M11&lt;&gt;"","QC",IF(FID_Plan!M11&lt;&gt;"","FID",IF(VENT_Plan!M11&lt;&gt;"","VENT",IF(ENG_Plan!M11&lt;&gt;"","ENG",IF(EDM_Plan!M11&lt;&gt;"","EDM",IF(CARVING_Plan!M11&lt;&gt;"","CARVING",IF(SPM_Plan!M11&lt;&gt;"","SPM","VTL"))))))))</f>
        <v>QC</v>
      </c>
    </row>
    <row r="12" spans="1:13" ht="15" customHeight="1" x14ac:dyDescent="0.3">
      <c r="A12" t="str">
        <f ca="1">IF(OR(Job_Master!E12="",Job_Master!F12=""),"",IF(AND(Job_Master!E12&lt;=$E$2,Job_Master!F12&gt;=$B$2),Job_Master!A12,""))</f>
        <v>BJ-109</v>
      </c>
      <c r="B12">
        <f ca="1">IF($A12="","",Job_Master!B12)</f>
        <v>30</v>
      </c>
      <c r="C12" t="str">
        <f ca="1">IF($A12="","",Job_Master!C12)</f>
        <v>RW</v>
      </c>
      <c r="D12" t="str">
        <f ca="1">IF($A12="","",Job_Master!G12)</f>
        <v>Medium</v>
      </c>
      <c r="E12" t="str">
        <f ca="1">IF($A12="","",Job_Master!K12)</f>
        <v>Beta Ltd</v>
      </c>
      <c r="F12" t="str">
        <f ca="1">IF($A12="","",Job_Master!I12)</f>
        <v>Released</v>
      </c>
      <c r="G12" s="64">
        <f ca="1">IF($A12="","",Job_Master!E12)</f>
        <v>46121.069444444438</v>
      </c>
      <c r="H12" s="64">
        <f ca="1">IF($A12="","",Job_Master!F12)</f>
        <v>46141.91931216931</v>
      </c>
      <c r="I12" s="64">
        <f ca="1">IF($A12="","",Job_Master!J12)</f>
        <v>46171.91931216931</v>
      </c>
      <c r="J12" s="66">
        <f t="shared" ca="1" si="0"/>
        <v>30</v>
      </c>
      <c r="K12" t="str">
        <f t="shared" ca="1" si="1"/>
        <v>🟢</v>
      </c>
      <c r="L12" t="str">
        <f ca="1">IF($A12="","",IF(QC_Plan!M12&lt;&gt;"","QC",IF(FID_Plan!M12&lt;&gt;"","FID",IF(VENT_Plan!M12&lt;&gt;"","VENT",IF(ENG_Plan!M12&lt;&gt;"","ENG",IF(EDM_Plan!M12&lt;&gt;"","EDM",IF(CARVING_Plan!M12&lt;&gt;"","CARVING",IF(SPM_Plan!M12&lt;&gt;"","SPM","VTL"))))))))</f>
        <v>QC</v>
      </c>
    </row>
    <row r="13" spans="1:13" ht="15" customHeight="1" x14ac:dyDescent="0.3">
      <c r="A13" t="str">
        <f ca="1">IF(OR(Job_Master!E13="",Job_Master!F13=""),"",IF(AND(Job_Master!E13&lt;=$E$2,Job_Master!F13&gt;=$B$2),Job_Master!A13,""))</f>
        <v>BJ-110</v>
      </c>
      <c r="B13">
        <f ca="1">IF($A13="","",Job_Master!B13)</f>
        <v>17</v>
      </c>
      <c r="C13" t="str">
        <f ca="1">IF($A13="","",Job_Master!C13)</f>
        <v>2P</v>
      </c>
      <c r="D13" t="str">
        <f ca="1">IF($A13="","",Job_Master!G13)</f>
        <v>Low</v>
      </c>
      <c r="E13" t="str">
        <f ca="1">IF($A13="","",Job_Master!K13)</f>
        <v>Delta Co</v>
      </c>
      <c r="F13" t="str">
        <f ca="1">IF($A13="","",Job_Master!I13)</f>
        <v>Released</v>
      </c>
      <c r="G13" s="64">
        <f ca="1">IF($A13="","",Job_Master!E13)</f>
        <v>46119.124999999993</v>
      </c>
      <c r="H13" s="64">
        <f ca="1">IF($A13="","",Job_Master!F13)</f>
        <v>46128.923280423267</v>
      </c>
      <c r="I13" s="64">
        <f ca="1">IF($A13="","",Job_Master!J13)</f>
        <v>46158.923280423267</v>
      </c>
      <c r="J13" s="66">
        <f t="shared" ca="1" si="0"/>
        <v>30</v>
      </c>
      <c r="K13" t="str">
        <f t="shared" ca="1" si="1"/>
        <v>🟢</v>
      </c>
      <c r="L13" t="str">
        <f ca="1">IF($A13="","",IF(QC_Plan!M13&lt;&gt;"","QC",IF(FID_Plan!M13&lt;&gt;"","FID",IF(VENT_Plan!M13&lt;&gt;"","VENT",IF(ENG_Plan!M13&lt;&gt;"","ENG",IF(EDM_Plan!M13&lt;&gt;"","EDM",IF(CARVING_Plan!M13&lt;&gt;"","CARVING",IF(SPM_Plan!M13&lt;&gt;"","SPM","VTL"))))))))</f>
        <v>QC</v>
      </c>
    </row>
    <row r="14" spans="1:13" ht="15" customHeight="1" x14ac:dyDescent="0.3">
      <c r="A14" t="str">
        <f ca="1">IF(OR(Job_Master!E14="",Job_Master!F14=""),"",IF(AND(Job_Master!E14&lt;=$E$2,Job_Master!F14&gt;=$B$2),Job_Master!A14,""))</f>
        <v>BJ-111</v>
      </c>
      <c r="B14">
        <f ca="1">IF($A14="","",Job_Master!B14)</f>
        <v>25</v>
      </c>
      <c r="C14" t="str">
        <f ca="1">IF($A14="","",Job_Master!C14)</f>
        <v>RW</v>
      </c>
      <c r="D14" t="str">
        <f ca="1">IF($A14="","",Job_Master!G14)</f>
        <v>Low</v>
      </c>
      <c r="E14" t="str">
        <f ca="1">IF($A14="","",Job_Master!K14)</f>
        <v>Alpha Corp</v>
      </c>
      <c r="F14" t="str">
        <f ca="1">IF($A14="","",Job_Master!I14)</f>
        <v>Released</v>
      </c>
      <c r="G14" s="64">
        <f ca="1">IF($A14="","",Job_Master!E14)</f>
        <v>46120.699074074066</v>
      </c>
      <c r="H14" s="64">
        <f ca="1">IF($A14="","",Job_Master!F14)</f>
        <v>46137.78571428571</v>
      </c>
      <c r="I14" s="64">
        <f ca="1">IF($A14="","",Job_Master!J14)</f>
        <v>46167.78571428571</v>
      </c>
      <c r="J14" s="66">
        <f t="shared" ca="1" si="0"/>
        <v>30</v>
      </c>
      <c r="K14" t="str">
        <f t="shared" ca="1" si="1"/>
        <v>🟢</v>
      </c>
      <c r="L14" t="str">
        <f ca="1">IF($A14="","",IF(QC_Plan!M14&lt;&gt;"","QC",IF(FID_Plan!M14&lt;&gt;"","FID",IF(VENT_Plan!M14&lt;&gt;"","VENT",IF(ENG_Plan!M14&lt;&gt;"","ENG",IF(EDM_Plan!M14&lt;&gt;"","EDM",IF(CARVING_Plan!M14&lt;&gt;"","CARVING",IF(SPM_Plan!M14&lt;&gt;"","SPM","VTL"))))))))</f>
        <v>QC</v>
      </c>
    </row>
    <row r="15" spans="1:13" ht="15" customHeight="1" x14ac:dyDescent="0.3">
      <c r="A15" t="str">
        <f ca="1">IF(OR(Job_Master!E15="",Job_Master!F15=""),"",IF(AND(Job_Master!E15&lt;=$E$2,Job_Master!F15&gt;=$B$2),Job_Master!A15,""))</f>
        <v>BJ-107</v>
      </c>
      <c r="B15">
        <f ca="1">IF($A15="","",Job_Master!B15)</f>
        <v>20</v>
      </c>
      <c r="C15" t="str">
        <f ca="1">IF($A15="","",Job_Master!C15)</f>
        <v>SEG</v>
      </c>
      <c r="D15" t="str">
        <f ca="1">IF($A15="","",Job_Master!G15)</f>
        <v>Low</v>
      </c>
      <c r="E15" t="str">
        <f ca="1">IF($A15="","",Job_Master!K15)</f>
        <v>Beta Ltd</v>
      </c>
      <c r="F15" t="str">
        <f ca="1">IF($A15="","",Job_Master!I15)</f>
        <v>On Hold</v>
      </c>
      <c r="G15" s="64">
        <f ca="1">IF($A15="","",Job_Master!E15)</f>
        <v>46123.013888888883</v>
      </c>
      <c r="H15" s="64">
        <f ca="1">IF($A15="","",Job_Master!F15)</f>
        <v>46175.199735449722</v>
      </c>
      <c r="I15" s="64">
        <f ca="1">IF($A15="","",Job_Master!J15)</f>
        <v>46205.199735449722</v>
      </c>
      <c r="J15" s="66">
        <f t="shared" ca="1" si="0"/>
        <v>30</v>
      </c>
      <c r="K15" t="str">
        <f t="shared" ca="1" si="1"/>
        <v>🟢</v>
      </c>
      <c r="L15" t="str">
        <f ca="1">IF($A15="","",IF(QC_Plan!M15&lt;&gt;"","QC",IF(FID_Plan!M15&lt;&gt;"","FID",IF(VENT_Plan!M15&lt;&gt;"","VENT",IF(ENG_Plan!M15&lt;&gt;"","ENG",IF(EDM_Plan!M15&lt;&gt;"","EDM",IF(CARVING_Plan!M15&lt;&gt;"","CARVING",IF(SPM_Plan!M15&lt;&gt;"","SPM","VTL"))))))))</f>
        <v>QC</v>
      </c>
    </row>
    <row r="16" spans="1:13" ht="15" customHeight="1" x14ac:dyDescent="0.3">
      <c r="A16" t="str">
        <f ca="1">IF(OR(Job_Master!E16="",Job_Master!F16=""),"",IF(AND(Job_Master!E16&lt;=$E$2,Job_Master!F16&gt;=$B$2),Job_Master!A16,""))</f>
        <v>BJ-112</v>
      </c>
      <c r="B16">
        <f ca="1">IF($A16="","",Job_Master!B16)</f>
        <v>17</v>
      </c>
      <c r="C16" t="str">
        <f ca="1">IF($A16="","",Job_Master!C16)</f>
        <v>2P</v>
      </c>
      <c r="D16" t="str">
        <f ca="1">IF($A16="","",Job_Master!G16)</f>
        <v>Low</v>
      </c>
      <c r="E16" t="str">
        <f ca="1">IF($A16="","",Job_Master!K16)</f>
        <v>Alpha Corp</v>
      </c>
      <c r="F16" t="str">
        <f ca="1">IF($A16="","",Job_Master!I16)</f>
        <v>Released</v>
      </c>
      <c r="G16" s="64">
        <f ca="1">IF($A16="","",Job_Master!E16)</f>
        <v>46128.569444444438</v>
      </c>
      <c r="H16" s="64">
        <f ca="1">IF($A16="","",Job_Master!F16)</f>
        <v>46141.608465608449</v>
      </c>
      <c r="I16" s="64">
        <f ca="1">IF($A16="","",Job_Master!J16)</f>
        <v>46171.608465608449</v>
      </c>
      <c r="J16" s="66">
        <f t="shared" ca="1" si="0"/>
        <v>30</v>
      </c>
      <c r="K16" t="str">
        <f t="shared" ca="1" si="1"/>
        <v>🟢</v>
      </c>
      <c r="L16" t="str">
        <f ca="1">IF($A16="","",IF(QC_Plan!M16&lt;&gt;"","QC",IF(FID_Plan!M16&lt;&gt;"","FID",IF(VENT_Plan!M16&lt;&gt;"","VENT",IF(ENG_Plan!M16&lt;&gt;"","ENG",IF(EDM_Plan!M16&lt;&gt;"","EDM",IF(CARVING_Plan!M16&lt;&gt;"","CARVING",IF(SPM_Plan!M16&lt;&gt;"","SPM","VTL"))))))))</f>
        <v>QC</v>
      </c>
    </row>
    <row r="17" spans="1:12" ht="15" customHeight="1" x14ac:dyDescent="0.3">
      <c r="A17" t="str">
        <f ca="1">IF(OR(Job_Master!E17="",Job_Master!F17=""),"",IF(AND(Job_Master!E17&lt;=$E$2,Job_Master!F17&gt;=$B$2),Job_Master!A17,""))</f>
        <v>BJ-114</v>
      </c>
      <c r="B17">
        <f ca="1">IF($A17="","",Job_Master!B17)</f>
        <v>50</v>
      </c>
      <c r="C17" t="str">
        <f ca="1">IF($A17="","",Job_Master!C17)</f>
        <v>SEG</v>
      </c>
      <c r="D17" t="str">
        <f ca="1">IF($A17="","",Job_Master!G17)</f>
        <v>High</v>
      </c>
      <c r="E17" t="str">
        <f ca="1">IF($A17="","",Job_Master!K17)</f>
        <v>Gamma Inc</v>
      </c>
      <c r="F17" t="str">
        <f ca="1">IF($A17="","",Job_Master!I17)</f>
        <v>Released</v>
      </c>
      <c r="G17" s="64">
        <f ca="1">IF($A17="","",Job_Master!E17)</f>
        <v>46122.736111111102</v>
      </c>
      <c r="H17" s="64">
        <f ca="1">IF($A17="","",Job_Master!F17)</f>
        <v>46239.495370370365</v>
      </c>
      <c r="I17" s="64">
        <f ca="1">IF($A17="","",Job_Master!J17)</f>
        <v>46269.495370370365</v>
      </c>
      <c r="J17" s="66">
        <f t="shared" ca="1" si="0"/>
        <v>30</v>
      </c>
      <c r="K17" t="str">
        <f t="shared" ca="1" si="1"/>
        <v>🟢</v>
      </c>
      <c r="L17" t="str">
        <f ca="1">IF($A17="","",IF(QC_Plan!M17&lt;&gt;"","QC",IF(FID_Plan!M17&lt;&gt;"","FID",IF(VENT_Plan!M17&lt;&gt;"","VENT",IF(ENG_Plan!M17&lt;&gt;"","ENG",IF(EDM_Plan!M17&lt;&gt;"","EDM",IF(CARVING_Plan!M17&lt;&gt;"","CARVING",IF(SPM_Plan!M17&lt;&gt;"","SPM","VTL"))))))))</f>
        <v>QC</v>
      </c>
    </row>
    <row r="18" spans="1:12" ht="15" customHeight="1" x14ac:dyDescent="0.3">
      <c r="A18" t="str">
        <f ca="1">IF(OR(Job_Master!E18="",Job_Master!F18=""),"",IF(AND(Job_Master!E18&lt;=$E$2,Job_Master!F18&gt;=$B$2),Job_Master!A18,""))</f>
        <v>BJ-115</v>
      </c>
      <c r="B18">
        <f ca="1">IF($A18="","",Job_Master!B18)</f>
        <v>46</v>
      </c>
      <c r="C18" t="str">
        <f ca="1">IF($A18="","",Job_Master!C18)</f>
        <v>2P</v>
      </c>
      <c r="D18" t="str">
        <f ca="1">IF($A18="","",Job_Master!G18)</f>
        <v>High</v>
      </c>
      <c r="E18" t="str">
        <f ca="1">IF($A18="","",Job_Master!K18)</f>
        <v>Beta Ltd</v>
      </c>
      <c r="F18" t="str">
        <f ca="1">IF($A18="","",Job_Master!I18)</f>
        <v>Cancelled</v>
      </c>
      <c r="G18" s="64">
        <f ca="1">IF($A18="","",Job_Master!E18)</f>
        <v>46123.847222222219</v>
      </c>
      <c r="H18" s="64">
        <f ca="1">IF($A18="","",Job_Master!F18)</f>
        <v>46156.813492063491</v>
      </c>
      <c r="I18" s="64">
        <f ca="1">IF($A18="","",Job_Master!J18)</f>
        <v>46186.813492063491</v>
      </c>
      <c r="J18" s="66">
        <f t="shared" ca="1" si="0"/>
        <v>30</v>
      </c>
      <c r="K18" t="str">
        <f t="shared" ca="1" si="1"/>
        <v>🟢</v>
      </c>
      <c r="L18" t="str">
        <f ca="1">IF($A18="","",IF(QC_Plan!M18&lt;&gt;"","QC",IF(FID_Plan!M18&lt;&gt;"","FID",IF(VENT_Plan!M18&lt;&gt;"","VENT",IF(ENG_Plan!M18&lt;&gt;"","ENG",IF(EDM_Plan!M18&lt;&gt;"","EDM",IF(CARVING_Plan!M18&lt;&gt;"","CARVING",IF(SPM_Plan!M18&lt;&gt;"","SPM","VTL"))))))))</f>
        <v>QC</v>
      </c>
    </row>
    <row r="19" spans="1:12" ht="15" customHeight="1" x14ac:dyDescent="0.3">
      <c r="A19" t="str">
        <f ca="1">IF(OR(Job_Master!E19="",Job_Master!F19=""),"",IF(AND(Job_Master!E19&lt;=$E$2,Job_Master!F19&gt;=$B$2),Job_Master!A19,""))</f>
        <v>BJ-116</v>
      </c>
      <c r="B19">
        <f ca="1">IF($A19="","",Job_Master!B19)</f>
        <v>54</v>
      </c>
      <c r="C19" t="str">
        <f ca="1">IF($A19="","",Job_Master!C19)</f>
        <v>2P</v>
      </c>
      <c r="D19" t="str">
        <f ca="1">IF($A19="","",Job_Master!G19)</f>
        <v>High</v>
      </c>
      <c r="E19" t="str">
        <f ca="1">IF($A19="","",Job_Master!K19)</f>
        <v>Delta Co</v>
      </c>
      <c r="F19" t="str">
        <f ca="1">IF($A19="","",Job_Master!I19)</f>
        <v>Released</v>
      </c>
      <c r="G19" s="64">
        <f ca="1">IF($A19="","",Job_Master!E19)</f>
        <v>46129.310185185175</v>
      </c>
      <c r="H19" s="64">
        <f ca="1">IF($A19="","",Job_Master!F19)</f>
        <v>46182.167328042313</v>
      </c>
      <c r="I19" s="64">
        <f ca="1">IF($A19="","",Job_Master!J19)</f>
        <v>46212.167328042313</v>
      </c>
      <c r="J19" s="66">
        <f t="shared" ca="1" si="0"/>
        <v>30</v>
      </c>
      <c r="K19" t="str">
        <f t="shared" ca="1" si="1"/>
        <v>🟢</v>
      </c>
      <c r="L19" t="str">
        <f ca="1">IF($A19="","",IF(QC_Plan!M19&lt;&gt;"","QC",IF(FID_Plan!M19&lt;&gt;"","FID",IF(VENT_Plan!M19&lt;&gt;"","VENT",IF(ENG_Plan!M19&lt;&gt;"","ENG",IF(EDM_Plan!M19&lt;&gt;"","EDM",IF(CARVING_Plan!M19&lt;&gt;"","CARVING",IF(SPM_Plan!M19&lt;&gt;"","SPM","VTL"))))))))</f>
        <v>QC</v>
      </c>
    </row>
    <row r="20" spans="1:12" ht="15" customHeight="1" x14ac:dyDescent="0.3">
      <c r="A20" t="str">
        <f ca="1">IF(OR(Job_Master!E20="",Job_Master!F20=""),"",IF(AND(Job_Master!E20&lt;=$E$2,Job_Master!F20&gt;=$B$2),Job_Master!A20,""))</f>
        <v>BJ-118</v>
      </c>
      <c r="B20">
        <f ca="1">IF($A20="","",Job_Master!B20)</f>
        <v>28</v>
      </c>
      <c r="C20" t="str">
        <f ca="1">IF($A20="","",Job_Master!C20)</f>
        <v>SOL</v>
      </c>
      <c r="D20" t="str">
        <f ca="1">IF($A20="","",Job_Master!G20)</f>
        <v>Medium</v>
      </c>
      <c r="E20" t="str">
        <f ca="1">IF($A20="","",Job_Master!K20)</f>
        <v>Alpha Corp</v>
      </c>
      <c r="F20" t="str">
        <f ca="1">IF($A20="","",Job_Master!I20)</f>
        <v>Released</v>
      </c>
      <c r="G20" s="64">
        <f ca="1">IF($A20="","",Job_Master!E20)</f>
        <v>46128.106481481482</v>
      </c>
      <c r="H20" s="64">
        <f ca="1">IF($A20="","",Job_Master!F20)</f>
        <v>46166.750661375649</v>
      </c>
      <c r="I20" s="64">
        <f ca="1">IF($A20="","",Job_Master!J20)</f>
        <v>46196.750661375649</v>
      </c>
      <c r="J20" s="66">
        <f t="shared" ca="1" si="0"/>
        <v>30</v>
      </c>
      <c r="K20" t="str">
        <f t="shared" ca="1" si="1"/>
        <v>🟢</v>
      </c>
      <c r="L20" t="str">
        <f ca="1">IF($A20="","",IF(QC_Plan!M20&lt;&gt;"","QC",IF(FID_Plan!M20&lt;&gt;"","FID",IF(VENT_Plan!M20&lt;&gt;"","VENT",IF(ENG_Plan!M20&lt;&gt;"","ENG",IF(EDM_Plan!M20&lt;&gt;"","EDM",IF(CARVING_Plan!M20&lt;&gt;"","CARVING",IF(SPM_Plan!M20&lt;&gt;"","SPM","VTL"))))))))</f>
        <v>QC</v>
      </c>
    </row>
    <row r="21" spans="1:12" ht="15" customHeight="1" x14ac:dyDescent="0.3">
      <c r="A21" t="str">
        <f ca="1">IF(OR(Job_Master!E21="",Job_Master!F21=""),"",IF(AND(Job_Master!E21&lt;=$E$2,Job_Master!F21&gt;=$B$2),Job_Master!A21,""))</f>
        <v>BJ-119</v>
      </c>
      <c r="B21">
        <f ca="1">IF($A21="","",Job_Master!B21)</f>
        <v>63</v>
      </c>
      <c r="C21" t="str">
        <f ca="1">IF($A21="","",Job_Master!C21)</f>
        <v>SOL</v>
      </c>
      <c r="D21" t="str">
        <f ca="1">IF($A21="","",Job_Master!G21)</f>
        <v>High</v>
      </c>
      <c r="E21" t="str">
        <f ca="1">IF($A21="","",Job_Master!K21)</f>
        <v>Gamma Inc</v>
      </c>
      <c r="F21" t="str">
        <f ca="1">IF($A21="","",Job_Master!I21)</f>
        <v>On Hold</v>
      </c>
      <c r="G21" s="64">
        <f ca="1">IF($A21="","",Job_Master!E21)</f>
        <v>46134.310185185175</v>
      </c>
      <c r="H21" s="64">
        <f ca="1">IF($A21="","",Job_Master!F21)</f>
        <v>46258.655423280419</v>
      </c>
      <c r="I21" s="64">
        <f ca="1">IF($A21="","",Job_Master!J21)</f>
        <v>46288.655423280419</v>
      </c>
      <c r="J21" s="66">
        <f t="shared" ca="1" si="0"/>
        <v>30</v>
      </c>
      <c r="K21" t="str">
        <f t="shared" ca="1" si="1"/>
        <v>🟢</v>
      </c>
      <c r="L21" t="str">
        <f ca="1">IF($A21="","",IF(QC_Plan!M21&lt;&gt;"","QC",IF(FID_Plan!M21&lt;&gt;"","FID",IF(VENT_Plan!M21&lt;&gt;"","VENT",IF(ENG_Plan!M21&lt;&gt;"","ENG",IF(EDM_Plan!M21&lt;&gt;"","EDM",IF(CARVING_Plan!M21&lt;&gt;"","CARVING",IF(SPM_Plan!M21&lt;&gt;"","SPM","VTL"))))))))</f>
        <v>QC</v>
      </c>
    </row>
    <row r="22" spans="1:12" ht="15" customHeight="1" x14ac:dyDescent="0.3">
      <c r="A22" t="str">
        <f ca="1">IF(OR(Job_Master!E22="",Job_Master!F22=""),"",IF(AND(Job_Master!E22&lt;=$E$2,Job_Master!F22&gt;=$B$2),Job_Master!A22,""))</f>
        <v>BJ-120</v>
      </c>
      <c r="B22">
        <f ca="1">IF($A22="","",Job_Master!B22)</f>
        <v>46</v>
      </c>
      <c r="C22" t="str">
        <f ca="1">IF($A22="","",Job_Master!C22)</f>
        <v>2P</v>
      </c>
      <c r="D22" t="str">
        <f ca="1">IF($A22="","",Job_Master!G22)</f>
        <v>High</v>
      </c>
      <c r="E22" t="str">
        <f ca="1">IF($A22="","",Job_Master!K22)</f>
        <v>Beta Ltd</v>
      </c>
      <c r="F22" t="str">
        <f ca="1">IF($A22="","",Job_Master!I22)</f>
        <v>Released</v>
      </c>
      <c r="G22" s="64">
        <f ca="1">IF($A22="","",Job_Master!E22)</f>
        <v>46133.291666666664</v>
      </c>
      <c r="H22" s="64">
        <f ca="1">IF($A22="","",Job_Master!F22)</f>
        <v>46166.257936507936</v>
      </c>
      <c r="I22" s="64">
        <f ca="1">IF($A22="","",Job_Master!J22)</f>
        <v>46196.257936507936</v>
      </c>
      <c r="J22" s="66">
        <f t="shared" ca="1" si="0"/>
        <v>30</v>
      </c>
      <c r="K22" t="str">
        <f t="shared" ca="1" si="1"/>
        <v>🟢</v>
      </c>
      <c r="L22" t="str">
        <f ca="1">IF($A22="","",IF(QC_Plan!M22&lt;&gt;"","QC",IF(FID_Plan!M22&lt;&gt;"","FID",IF(VENT_Plan!M22&lt;&gt;"","VENT",IF(ENG_Plan!M22&lt;&gt;"","ENG",IF(EDM_Plan!M22&lt;&gt;"","EDM",IF(CARVING_Plan!M22&lt;&gt;"","CARVING",IF(SPM_Plan!M22&lt;&gt;"","SPM","VTL"))))))))</f>
        <v>QC</v>
      </c>
    </row>
    <row r="23" spans="1:12" ht="15" customHeight="1" x14ac:dyDescent="0.3">
      <c r="A23" t="str">
        <f ca="1">IF(OR(Job_Master!E23="",Job_Master!F23=""),"",IF(AND(Job_Master!E23&lt;=$E$2,Job_Master!F23&gt;=$B$2),Job_Master!A23,""))</f>
        <v>BJ-113</v>
      </c>
      <c r="B23">
        <f ca="1">IF($A23="","",Job_Master!B23)</f>
        <v>9</v>
      </c>
      <c r="C23" t="str">
        <f ca="1">IF($A23="","",Job_Master!C23)</f>
        <v>SEG</v>
      </c>
      <c r="D23" t="str">
        <f ca="1">IF($A23="","",Job_Master!G23)</f>
        <v>Low</v>
      </c>
      <c r="E23" t="str">
        <f ca="1">IF($A23="","",Job_Master!K23)</f>
        <v>Delta Co</v>
      </c>
      <c r="F23" t="str">
        <f ca="1">IF($A23="","",Job_Master!I23)</f>
        <v>Released</v>
      </c>
      <c r="G23" s="64">
        <f ca="1">IF($A23="","",Job_Master!E23)</f>
        <v>46130.143518518511</v>
      </c>
      <c r="H23" s="64">
        <f ca="1">IF($A23="","",Job_Master!F23)</f>
        <v>46166.813492063491</v>
      </c>
      <c r="I23" s="64">
        <f ca="1">IF($A23="","",Job_Master!J23)</f>
        <v>46196.813492063491</v>
      </c>
      <c r="J23" s="66">
        <f t="shared" ca="1" si="0"/>
        <v>30</v>
      </c>
      <c r="K23" t="str">
        <f t="shared" ca="1" si="1"/>
        <v>🟢</v>
      </c>
      <c r="L23" t="str">
        <f ca="1">IF($A23="","",IF(QC_Plan!M23&lt;&gt;"","QC",IF(FID_Plan!M23&lt;&gt;"","FID",IF(VENT_Plan!M23&lt;&gt;"","VENT",IF(ENG_Plan!M23&lt;&gt;"","ENG",IF(EDM_Plan!M23&lt;&gt;"","EDM",IF(CARVING_Plan!M23&lt;&gt;"","CARVING",IF(SPM_Plan!M23&lt;&gt;"","SPM","VTL"))))))))</f>
        <v>QC</v>
      </c>
    </row>
    <row r="24" spans="1:12" ht="15" customHeight="1" x14ac:dyDescent="0.3">
      <c r="A24" t="str">
        <f ca="1">IF(OR(Job_Master!E24="",Job_Master!F24=""),"",IF(AND(Job_Master!E24&lt;=$E$2,Job_Master!F24&gt;=$B$2),Job_Master!A24,""))</f>
        <v>BJ-121</v>
      </c>
      <c r="B24">
        <f ca="1">IF($A24="","",Job_Master!B24)</f>
        <v>57</v>
      </c>
      <c r="C24" t="str">
        <f ca="1">IF($A24="","",Job_Master!C24)</f>
        <v>RW</v>
      </c>
      <c r="D24" t="str">
        <f ca="1">IF($A24="","",Job_Master!G24)</f>
        <v>High</v>
      </c>
      <c r="E24" t="str">
        <f ca="1">IF($A24="","",Job_Master!K24)</f>
        <v>Alpha Corp</v>
      </c>
      <c r="F24" t="str">
        <f ca="1">IF($A24="","",Job_Master!I24)</f>
        <v>Released</v>
      </c>
      <c r="G24" s="64">
        <f ca="1">IF($A24="","",Job_Master!E24)</f>
        <v>46136.624999999993</v>
      </c>
      <c r="H24" s="64">
        <f ca="1">IF($A24="","",Job_Master!F24)</f>
        <v>46190.804894179884</v>
      </c>
      <c r="I24" s="64">
        <f ca="1">IF($A24="","",Job_Master!J24)</f>
        <v>46220.804894179884</v>
      </c>
      <c r="J24" s="66">
        <f t="shared" ca="1" si="0"/>
        <v>30</v>
      </c>
      <c r="K24" t="str">
        <f t="shared" ca="1" si="1"/>
        <v>🟢</v>
      </c>
      <c r="L24" t="str">
        <f ca="1">IF($A24="","",IF(QC_Plan!M24&lt;&gt;"","QC",IF(FID_Plan!M24&lt;&gt;"","FID",IF(VENT_Plan!M24&lt;&gt;"","VENT",IF(ENG_Plan!M24&lt;&gt;"","ENG",IF(EDM_Plan!M24&lt;&gt;"","EDM",IF(CARVING_Plan!M24&lt;&gt;"","CARVING",IF(SPM_Plan!M24&lt;&gt;"","SPM","VTL"))))))))</f>
        <v>QC</v>
      </c>
    </row>
    <row r="25" spans="1:12" ht="15" customHeight="1" x14ac:dyDescent="0.3">
      <c r="A25" t="str">
        <f ca="1">IF(OR(Job_Master!E25="",Job_Master!F25=""),"",IF(AND(Job_Master!E25&lt;=$E$2,Job_Master!F25&gt;=$B$2),Job_Master!A25,""))</f>
        <v>BJ-123</v>
      </c>
      <c r="B25">
        <f ca="1">IF($A25="","",Job_Master!B25)</f>
        <v>46</v>
      </c>
      <c r="C25" t="str">
        <f ca="1">IF($A25="","",Job_Master!C25)</f>
        <v>RW</v>
      </c>
      <c r="D25" t="str">
        <f ca="1">IF($A25="","",Job_Master!G25)</f>
        <v>High</v>
      </c>
      <c r="E25" t="str">
        <f ca="1">IF($A25="","",Job_Master!K25)</f>
        <v>Beta Ltd</v>
      </c>
      <c r="F25" t="str">
        <f ca="1">IF($A25="","",Job_Master!I25)</f>
        <v>On Hold</v>
      </c>
      <c r="G25" s="64">
        <f ca="1">IF($A25="","",Job_Master!E25)</f>
        <v>46137.550925925927</v>
      </c>
      <c r="H25" s="64">
        <f ca="1">IF($A25="","",Job_Master!F25)</f>
        <v>46173.420634920622</v>
      </c>
      <c r="I25" s="64">
        <f ca="1">IF($A25="","",Job_Master!J25)</f>
        <v>46203.420634920622</v>
      </c>
      <c r="J25" s="66">
        <f t="shared" ca="1" si="0"/>
        <v>30</v>
      </c>
      <c r="K25" t="str">
        <f t="shared" ca="1" si="1"/>
        <v>🟢</v>
      </c>
      <c r="L25" t="str">
        <f ca="1">IF($A25="","",IF(QC_Plan!M25&lt;&gt;"","QC",IF(FID_Plan!M25&lt;&gt;"","FID",IF(VENT_Plan!M25&lt;&gt;"","VENT",IF(ENG_Plan!M25&lt;&gt;"","ENG",IF(EDM_Plan!M25&lt;&gt;"","EDM",IF(CARVING_Plan!M25&lt;&gt;"","CARVING",IF(SPM_Plan!M25&lt;&gt;"","SPM","VTL"))))))))</f>
        <v>QC</v>
      </c>
    </row>
    <row r="26" spans="1:12" ht="15" customHeight="1" x14ac:dyDescent="0.3">
      <c r="A26" t="str">
        <f ca="1">IF(OR(Job_Master!E26="",Job_Master!F26=""),"",IF(AND(Job_Master!E26&lt;=$E$2,Job_Master!F26&gt;=$B$2),Job_Master!A26,""))</f>
        <v>BJ-117</v>
      </c>
      <c r="B26">
        <f ca="1">IF($A26="","",Job_Master!B26)</f>
        <v>15</v>
      </c>
      <c r="C26" t="str">
        <f ca="1">IF($A26="","",Job_Master!C26)</f>
        <v>RW</v>
      </c>
      <c r="D26" t="str">
        <f ca="1">IF($A26="","",Job_Master!G26)</f>
        <v>Low</v>
      </c>
      <c r="E26" t="str">
        <f ca="1">IF($A26="","",Job_Master!K26)</f>
        <v>Alpha Corp</v>
      </c>
      <c r="F26" t="str">
        <f ca="1">IF($A26="","",Job_Master!I26)</f>
        <v>Released</v>
      </c>
      <c r="G26" s="64">
        <f ca="1">IF($A26="","",Job_Master!E26)</f>
        <v>46132.643518518511</v>
      </c>
      <c r="H26" s="64">
        <f ca="1">IF($A26="","",Job_Master!F26)</f>
        <v>46167.461640211637</v>
      </c>
      <c r="I26" s="64">
        <f ca="1">IF($A26="","",Job_Master!J26)</f>
        <v>46197.461640211637</v>
      </c>
      <c r="J26" s="66">
        <f t="shared" ca="1" si="0"/>
        <v>30</v>
      </c>
      <c r="K26" t="str">
        <f t="shared" ca="1" si="1"/>
        <v>🟢</v>
      </c>
      <c r="L26" t="str">
        <f ca="1">IF($A26="","",IF(QC_Plan!M26&lt;&gt;"","QC",IF(FID_Plan!M26&lt;&gt;"","FID",IF(VENT_Plan!M26&lt;&gt;"","VENT",IF(ENG_Plan!M26&lt;&gt;"","ENG",IF(EDM_Plan!M26&lt;&gt;"","EDM",IF(CARVING_Plan!M26&lt;&gt;"","CARVING",IF(SPM_Plan!M26&lt;&gt;"","SPM","VTL"))))))))</f>
        <v>QC</v>
      </c>
    </row>
    <row r="27" spans="1:12" ht="15" customHeight="1" x14ac:dyDescent="0.3">
      <c r="A27" t="str">
        <f ca="1">IF(OR(Job_Master!E27="",Job_Master!F27=""),"",IF(AND(Job_Master!E27&lt;=$E$2,Job_Master!F27&gt;=$B$2),Job_Master!A27,""))</f>
        <v>BJ-122</v>
      </c>
      <c r="B27">
        <f ca="1">IF($A27="","",Job_Master!B27)</f>
        <v>54</v>
      </c>
      <c r="C27" t="str">
        <f ca="1">IF($A27="","",Job_Master!C27)</f>
        <v>SOL</v>
      </c>
      <c r="D27" t="str">
        <f ca="1">IF($A27="","",Job_Master!G27)</f>
        <v>High</v>
      </c>
      <c r="E27" t="str">
        <f ca="1">IF($A27="","",Job_Master!K27)</f>
        <v>Gamma Inc</v>
      </c>
      <c r="F27" t="str">
        <f ca="1">IF($A27="","",Job_Master!I27)</f>
        <v>Released</v>
      </c>
      <c r="G27" s="64">
        <f ca="1">IF($A27="","",Job_Master!E27)</f>
        <v>46141.902777777774</v>
      </c>
      <c r="H27" s="64">
        <f ca="1">IF($A27="","",Job_Master!F27)</f>
        <v>46247.418650793647</v>
      </c>
      <c r="I27" s="64">
        <f ca="1">IF($A27="","",Job_Master!J27)</f>
        <v>46277.418650793647</v>
      </c>
      <c r="J27" s="66">
        <f t="shared" ca="1" si="0"/>
        <v>30</v>
      </c>
      <c r="K27" t="str">
        <f t="shared" ca="1" si="1"/>
        <v>🟢</v>
      </c>
      <c r="L27" t="str">
        <f ca="1">IF($A27="","",IF(QC_Plan!M27&lt;&gt;"","QC",IF(FID_Plan!M27&lt;&gt;"","FID",IF(VENT_Plan!M27&lt;&gt;"","VENT",IF(ENG_Plan!M27&lt;&gt;"","ENG",IF(EDM_Plan!M27&lt;&gt;"","EDM",IF(CARVING_Plan!M27&lt;&gt;"","CARVING",IF(SPM_Plan!M27&lt;&gt;"","SPM","VTL"))))))))</f>
        <v>QC</v>
      </c>
    </row>
    <row r="28" spans="1:12" ht="15" customHeight="1" x14ac:dyDescent="0.3">
      <c r="A28" t="str">
        <f ca="1">IF(OR(Job_Master!E28="",Job_Master!F28=""),"",IF(AND(Job_Master!E28&lt;=$E$2,Job_Master!F28&gt;=$B$2),Job_Master!A28,""))</f>
        <v>BJ-124</v>
      </c>
      <c r="B28">
        <f ca="1">IF($A28="","",Job_Master!B28)</f>
        <v>42</v>
      </c>
      <c r="C28" t="str">
        <f ca="1">IF($A28="","",Job_Master!C28)</f>
        <v>2P</v>
      </c>
      <c r="D28" t="str">
        <f ca="1">IF($A28="","",Job_Master!G28)</f>
        <v>Medium</v>
      </c>
      <c r="E28" t="str">
        <f ca="1">IF($A28="","",Job_Master!K28)</f>
        <v>Beta Ltd</v>
      </c>
      <c r="F28" t="str">
        <f ca="1">IF($A28="","",Job_Master!I28)</f>
        <v>Cancelled</v>
      </c>
      <c r="G28" s="64">
        <f ca="1">IF($A28="","",Job_Master!E28)</f>
        <v>46141.81018518519</v>
      </c>
      <c r="H28" s="64">
        <f ca="1">IF($A28="","",Job_Master!F28)</f>
        <v>46178.473544973545</v>
      </c>
      <c r="I28" s="64">
        <f ca="1">IF($A28="","",Job_Master!J28)</f>
        <v>46208.473544973545</v>
      </c>
      <c r="J28" s="66">
        <f t="shared" ca="1" si="0"/>
        <v>30</v>
      </c>
      <c r="K28" t="str">
        <f t="shared" ca="1" si="1"/>
        <v>🟢</v>
      </c>
      <c r="L28" t="str">
        <f ca="1">IF($A28="","",IF(QC_Plan!M28&lt;&gt;"","QC",IF(FID_Plan!M28&lt;&gt;"","FID",IF(VENT_Plan!M28&lt;&gt;"","VENT",IF(ENG_Plan!M28&lt;&gt;"","ENG",IF(EDM_Plan!M28&lt;&gt;"","EDM",IF(CARVING_Plan!M28&lt;&gt;"","CARVING",IF(SPM_Plan!M28&lt;&gt;"","SPM","VTL"))))))))</f>
        <v>QC</v>
      </c>
    </row>
    <row r="29" spans="1:12" ht="15" customHeight="1" x14ac:dyDescent="0.3">
      <c r="A29" t="str">
        <f ca="1">IF(OR(Job_Master!E29="",Job_Master!F29=""),"",IF(AND(Job_Master!E29&lt;=$E$2,Job_Master!F29&gt;=$B$2),Job_Master!A29,""))</f>
        <v>BJ-126</v>
      </c>
      <c r="B29">
        <f ca="1">IF($A29="","",Job_Master!B29)</f>
        <v>42</v>
      </c>
      <c r="C29" t="str">
        <f ca="1">IF($A29="","",Job_Master!C29)</f>
        <v>2P</v>
      </c>
      <c r="D29" t="str">
        <f ca="1">IF($A29="","",Job_Master!G29)</f>
        <v>Medium</v>
      </c>
      <c r="E29" t="str">
        <f ca="1">IF($A29="","",Job_Master!K29)</f>
        <v>Delta Co</v>
      </c>
      <c r="F29" t="str">
        <f ca="1">IF($A29="","",Job_Master!I29)</f>
        <v>Released</v>
      </c>
      <c r="G29" s="64">
        <f ca="1">IF($A29="","",Job_Master!E29)</f>
        <v>46145.69907407408</v>
      </c>
      <c r="H29" s="64">
        <f ca="1">IF($A29="","",Job_Master!F29)</f>
        <v>46186.519179894167</v>
      </c>
      <c r="I29" s="64">
        <f ca="1">IF($A29="","",Job_Master!J29)</f>
        <v>46216.519179894167</v>
      </c>
      <c r="J29" s="66">
        <f t="shared" ca="1" si="0"/>
        <v>30</v>
      </c>
      <c r="K29" t="str">
        <f t="shared" ca="1" si="1"/>
        <v>🟢</v>
      </c>
      <c r="L29" t="str">
        <f ca="1">IF($A29="","",IF(QC_Plan!M29&lt;&gt;"","QC",IF(FID_Plan!M29&lt;&gt;"","FID",IF(VENT_Plan!M29&lt;&gt;"","VENT",IF(ENG_Plan!M29&lt;&gt;"","ENG",IF(EDM_Plan!M29&lt;&gt;"","EDM",IF(CARVING_Plan!M29&lt;&gt;"","CARVING",IF(SPM_Plan!M29&lt;&gt;"","SPM","VTL"))))))))</f>
        <v>QC</v>
      </c>
    </row>
    <row r="30" spans="1:12" ht="15" customHeight="1" x14ac:dyDescent="0.3">
      <c r="A30" t="str">
        <f ca="1">IF(OR(Job_Master!E30="",Job_Master!F30=""),"",IF(AND(Job_Master!E30&lt;=$E$2,Job_Master!F30&gt;=$B$2),Job_Master!A30,""))</f>
        <v>BJ-127</v>
      </c>
      <c r="B30">
        <f ca="1">IF($A30="","",Job_Master!B30)</f>
        <v>15</v>
      </c>
      <c r="C30" t="str">
        <f ca="1">IF($A30="","",Job_Master!C30)</f>
        <v>RW</v>
      </c>
      <c r="D30" t="str">
        <f ca="1">IF($A30="","",Job_Master!G30)</f>
        <v>Low</v>
      </c>
      <c r="E30" t="str">
        <f ca="1">IF($A30="","",Job_Master!K30)</f>
        <v>Alpha Corp</v>
      </c>
      <c r="F30" t="str">
        <f ca="1">IF($A30="","",Job_Master!I30)</f>
        <v>Released</v>
      </c>
      <c r="G30" s="64">
        <f ca="1">IF($A30="","",Job_Master!E30)</f>
        <v>46134.310185185182</v>
      </c>
      <c r="H30" s="64">
        <f ca="1">IF($A30="","",Job_Master!F30)</f>
        <v>46168.109788359783</v>
      </c>
      <c r="I30" s="64">
        <f ca="1">IF($A30="","",Job_Master!J30)</f>
        <v>46198.109788359783</v>
      </c>
      <c r="J30" s="66">
        <f t="shared" ca="1" si="0"/>
        <v>30</v>
      </c>
      <c r="K30" t="str">
        <f t="shared" ca="1" si="1"/>
        <v>🟢</v>
      </c>
      <c r="L30" t="str">
        <f ca="1">IF($A30="","",IF(QC_Plan!M30&lt;&gt;"","QC",IF(FID_Plan!M30&lt;&gt;"","FID",IF(VENT_Plan!M30&lt;&gt;"","VENT",IF(ENG_Plan!M30&lt;&gt;"","ENG",IF(EDM_Plan!M30&lt;&gt;"","EDM",IF(CARVING_Plan!M30&lt;&gt;"","CARVING",IF(SPM_Plan!M30&lt;&gt;"","SPM","VTL"))))))))</f>
        <v>QC</v>
      </c>
    </row>
    <row r="31" spans="1:12" ht="15" customHeight="1" x14ac:dyDescent="0.3">
      <c r="A31" t="str">
        <f ca="1">IF(OR(Job_Master!E31="",Job_Master!F31=""),"",IF(AND(Job_Master!E31&lt;=$E$2,Job_Master!F31&gt;=$B$2),Job_Master!A31,""))</f>
        <v/>
      </c>
      <c r="B31" t="str">
        <f ca="1">IF($A31="","",Job_Master!B31)</f>
        <v/>
      </c>
      <c r="C31" t="str">
        <f ca="1">IF($A31="","",Job_Master!C31)</f>
        <v/>
      </c>
      <c r="D31" t="str">
        <f ca="1">IF($A31="","",Job_Master!G31)</f>
        <v/>
      </c>
      <c r="E31" t="str">
        <f ca="1">IF($A31="","",Job_Master!K31)</f>
        <v/>
      </c>
      <c r="F31" t="str">
        <f ca="1">IF($A31="","",Job_Master!I31)</f>
        <v/>
      </c>
      <c r="G31" s="64" t="str">
        <f ca="1">IF($A31="","",Job_Master!E31)</f>
        <v/>
      </c>
      <c r="H31" s="64" t="str">
        <f ca="1">IF($A31="","",Job_Master!F31)</f>
        <v/>
      </c>
      <c r="I31" s="64" t="str">
        <f ca="1">IF($A31="","",Job_Master!J31)</f>
        <v/>
      </c>
      <c r="J31" s="66" t="str">
        <f t="shared" ca="1" si="0"/>
        <v/>
      </c>
      <c r="K31" t="str">
        <f t="shared" ca="1" si="1"/>
        <v>⚪</v>
      </c>
      <c r="L31" t="str">
        <f ca="1">IF($A31="","",IF(QC_Plan!M31&lt;&gt;"","QC",IF(FID_Plan!M31&lt;&gt;"","FID",IF(VENT_Plan!M31&lt;&gt;"","VENT",IF(ENG_Plan!M31&lt;&gt;"","ENG",IF(EDM_Plan!M31&lt;&gt;"","EDM",IF(CARVING_Plan!M31&lt;&gt;"","CARVING",IF(SPM_Plan!M31&lt;&gt;"","SPM","VTL"))))))))</f>
        <v/>
      </c>
    </row>
    <row r="32" spans="1:12" ht="15" customHeight="1" x14ac:dyDescent="0.3">
      <c r="A32" t="str">
        <f ca="1">IF(OR(Job_Master!E32="",Job_Master!F32=""),"",IF(AND(Job_Master!E32&lt;=$E$2,Job_Master!F32&gt;=$B$2),Job_Master!A32,""))</f>
        <v>BJ-125</v>
      </c>
      <c r="B32">
        <f ca="1">IF($A32="","",Job_Master!B32)</f>
        <v>25</v>
      </c>
      <c r="C32" t="str">
        <f ca="1">IF($A32="","",Job_Master!C32)</f>
        <v>SEG</v>
      </c>
      <c r="D32" t="str">
        <f ca="1">IF($A32="","",Job_Master!G32)</f>
        <v>Low</v>
      </c>
      <c r="E32" t="str">
        <f ca="1">IF($A32="","",Job_Master!K32)</f>
        <v>Beta Ltd</v>
      </c>
      <c r="F32" t="str">
        <f ca="1">IF($A32="","",Job_Master!I32)</f>
        <v>Released</v>
      </c>
      <c r="G32" s="64">
        <f ca="1">IF($A32="","",Job_Master!E32)</f>
        <v>46135.699074074073</v>
      </c>
      <c r="H32" s="64">
        <f ca="1">IF($A32="","",Job_Master!F32)</f>
        <v>46196.148809523795</v>
      </c>
      <c r="I32" s="64">
        <f ca="1">IF($A32="","",Job_Master!J32)</f>
        <v>46226.148809523795</v>
      </c>
      <c r="J32" s="66">
        <f t="shared" ca="1" si="0"/>
        <v>30</v>
      </c>
      <c r="K32" t="str">
        <f t="shared" ca="1" si="1"/>
        <v>🟢</v>
      </c>
      <c r="L32" t="str">
        <f ca="1">IF($A32="","",IF(QC_Plan!M32&lt;&gt;"","QC",IF(FID_Plan!M32&lt;&gt;"","FID",IF(VENT_Plan!M32&lt;&gt;"","VENT",IF(ENG_Plan!M32&lt;&gt;"","ENG",IF(EDM_Plan!M32&lt;&gt;"","EDM",IF(CARVING_Plan!M32&lt;&gt;"","CARVING",IF(SPM_Plan!M32&lt;&gt;"","SPM","VTL"))))))))</f>
        <v>QC</v>
      </c>
    </row>
    <row r="33" spans="1:12" ht="15" customHeight="1" x14ac:dyDescent="0.3">
      <c r="A33" t="str">
        <f ca="1">IF(OR(Job_Master!E33="",Job_Master!F33=""),"",IF(AND(Job_Master!E33&lt;=$E$2,Job_Master!F33&gt;=$B$2),Job_Master!A33,""))</f>
        <v>BJ-129</v>
      </c>
      <c r="B33">
        <f ca="1">IF($A33="","",Job_Master!B33)</f>
        <v>9</v>
      </c>
      <c r="C33" t="str">
        <f ca="1">IF($A33="","",Job_Master!C33)</f>
        <v>RW</v>
      </c>
      <c r="D33" t="str">
        <f ca="1">IF($A33="","",Job_Master!G33)</f>
        <v>Low</v>
      </c>
      <c r="E33" t="str">
        <f ca="1">IF($A33="","",Job_Master!K33)</f>
        <v>Delta Co</v>
      </c>
      <c r="F33" t="str">
        <f ca="1">IF($A33="","",Job_Master!I33)</f>
        <v>Released</v>
      </c>
      <c r="G33" s="64">
        <f ca="1">IF($A33="","",Job_Master!E33)</f>
        <v>46142.643518518518</v>
      </c>
      <c r="H33" s="64">
        <f ca="1">IF($A33="","",Job_Master!F33)</f>
        <v>46168.572751322747</v>
      </c>
      <c r="I33" s="64">
        <f ca="1">IF($A33="","",Job_Master!J33)</f>
        <v>46198.572751322747</v>
      </c>
      <c r="J33" s="66">
        <f t="shared" ca="1" si="0"/>
        <v>30</v>
      </c>
      <c r="K33" t="str">
        <f t="shared" ca="1" si="1"/>
        <v>🟢</v>
      </c>
      <c r="L33" t="str">
        <f ca="1">IF($A33="","",IF(QC_Plan!M33&lt;&gt;"","QC",IF(FID_Plan!M33&lt;&gt;"","FID",IF(VENT_Plan!M33&lt;&gt;"","VENT",IF(ENG_Plan!M33&lt;&gt;"","ENG",IF(EDM_Plan!M33&lt;&gt;"","EDM",IF(CARVING_Plan!M33&lt;&gt;"","CARVING",IF(SPM_Plan!M33&lt;&gt;"","SPM","VTL"))))))))</f>
        <v>QC</v>
      </c>
    </row>
    <row r="34" spans="1:12" ht="15" customHeight="1" x14ac:dyDescent="0.3">
      <c r="A34" t="str">
        <f ca="1">IF(OR(Job_Master!E34="",Job_Master!F34=""),"",IF(AND(Job_Master!E34&lt;=$E$2,Job_Master!F34&gt;=$B$2),Job_Master!A34,""))</f>
        <v>BJ-130</v>
      </c>
      <c r="B34">
        <f ca="1">IF($A34="","",Job_Master!B34)</f>
        <v>57</v>
      </c>
      <c r="C34" t="str">
        <f ca="1">IF($A34="","",Job_Master!C34)</f>
        <v>RW</v>
      </c>
      <c r="D34" t="str">
        <f ca="1">IF($A34="","",Job_Master!G34)</f>
        <v>High</v>
      </c>
      <c r="E34" t="str">
        <f ca="1">IF($A34="","",Job_Master!K34)</f>
        <v>Alpha Corp</v>
      </c>
      <c r="F34" t="str">
        <f ca="1">IF($A34="","",Job_Master!I34)</f>
        <v>Released</v>
      </c>
      <c r="G34" s="64">
        <f ca="1">IF($A34="","",Job_Master!E34)</f>
        <v>46145.976851851839</v>
      </c>
      <c r="H34" s="64">
        <f ca="1">IF($A34="","",Job_Master!F34)</f>
        <v>46203.278439153422</v>
      </c>
      <c r="I34" s="64">
        <f ca="1">IF($A34="","",Job_Master!J34)</f>
        <v>46233.278439153422</v>
      </c>
      <c r="J34" s="66">
        <f t="shared" ca="1" si="0"/>
        <v>30</v>
      </c>
      <c r="K34" t="str">
        <f t="shared" ca="1" si="1"/>
        <v>🟢</v>
      </c>
      <c r="L34" t="str">
        <f ca="1">IF($A34="","",IF(QC_Plan!M34&lt;&gt;"","QC",IF(FID_Plan!M34&lt;&gt;"","FID",IF(VENT_Plan!M34&lt;&gt;"","VENT",IF(ENG_Plan!M34&lt;&gt;"","ENG",IF(EDM_Plan!M34&lt;&gt;"","EDM",IF(CARVING_Plan!M34&lt;&gt;"","CARVING",IF(SPM_Plan!M34&lt;&gt;"","SPM","VTL"))))))))</f>
        <v>QC</v>
      </c>
    </row>
    <row r="35" spans="1:12" ht="15" customHeight="1" x14ac:dyDescent="0.3">
      <c r="A35" t="str">
        <f ca="1">IF(OR(Job_Master!E35="",Job_Master!F35=""),"",IF(AND(Job_Master!E35&lt;=$E$2,Job_Master!F35&gt;=$B$2),Job_Master!A35,""))</f>
        <v>BJ-133</v>
      </c>
      <c r="B35">
        <f ca="1">IF($A35="","",Job_Master!B35)</f>
        <v>25</v>
      </c>
      <c r="C35" t="str">
        <f ca="1">IF($A35="","",Job_Master!C35)</f>
        <v>RW</v>
      </c>
      <c r="D35" t="str">
        <f ca="1">IF($A35="","",Job_Master!G35)</f>
        <v>Low</v>
      </c>
      <c r="E35" t="str">
        <f ca="1">IF($A35="","",Job_Master!K35)</f>
        <v>Beta Ltd</v>
      </c>
      <c r="F35" t="str">
        <f ca="1">IF($A35="","",Job_Master!I35)</f>
        <v>On Hold</v>
      </c>
      <c r="G35" s="64">
        <f ca="1">IF($A35="","",Job_Master!E35)</f>
        <v>46143.476851851854</v>
      </c>
      <c r="H35" s="64">
        <f ca="1">IF($A35="","",Job_Master!F35)</f>
        <v>46170.302248677239</v>
      </c>
      <c r="I35" s="64">
        <f ca="1">IF($A35="","",Job_Master!J35)</f>
        <v>46200.302248677239</v>
      </c>
      <c r="J35" s="66">
        <f t="shared" ca="1" si="0"/>
        <v>30</v>
      </c>
      <c r="K35" t="str">
        <f t="shared" ca="1" si="1"/>
        <v>🟢</v>
      </c>
      <c r="L35" t="str">
        <f ca="1">IF($A35="","",IF(QC_Plan!M35&lt;&gt;"","QC",IF(FID_Plan!M35&lt;&gt;"","FID",IF(VENT_Plan!M35&lt;&gt;"","VENT",IF(ENG_Plan!M35&lt;&gt;"","ENG",IF(EDM_Plan!M35&lt;&gt;"","EDM",IF(CARVING_Plan!M35&lt;&gt;"","CARVING",IF(SPM_Plan!M35&lt;&gt;"","SPM","VTL"))))))))</f>
        <v>QC</v>
      </c>
    </row>
    <row r="36" spans="1:12" ht="15" customHeight="1" x14ac:dyDescent="0.3">
      <c r="A36" t="str">
        <f ca="1">IF(OR(Job_Master!E36="",Job_Master!F36=""),"",IF(AND(Job_Master!E36&lt;=$E$2,Job_Master!F36&gt;=$B$2),Job_Master!A36,""))</f>
        <v/>
      </c>
      <c r="B36" t="str">
        <f ca="1">IF($A36="","",Job_Master!B36)</f>
        <v/>
      </c>
      <c r="C36" t="str">
        <f ca="1">IF($A36="","",Job_Master!C36)</f>
        <v/>
      </c>
      <c r="D36" t="str">
        <f ca="1">IF($A36="","",Job_Master!G36)</f>
        <v/>
      </c>
      <c r="E36" t="str">
        <f ca="1">IF($A36="","",Job_Master!K36)</f>
        <v/>
      </c>
      <c r="F36" t="str">
        <f ca="1">IF($A36="","",Job_Master!I36)</f>
        <v/>
      </c>
      <c r="G36" s="64" t="str">
        <f ca="1">IF($A36="","",Job_Master!E36)</f>
        <v/>
      </c>
      <c r="H36" s="64" t="str">
        <f ca="1">IF($A36="","",Job_Master!F36)</f>
        <v/>
      </c>
      <c r="I36" s="64" t="str">
        <f ca="1">IF($A36="","",Job_Master!J36)</f>
        <v/>
      </c>
      <c r="J36" s="66" t="str">
        <f t="shared" ref="J36:J67" ca="1" si="2">IF(OR($A36="",$H36="",$I36=""),"",$I36-$H36)</f>
        <v/>
      </c>
      <c r="K36" t="str">
        <f t="shared" ref="K36:K67" ca="1" si="3">IF($A36="","⚪",IF($J36&lt;0,"🔴",IF($J36&lt;7,"🟡","🟢")))</f>
        <v>⚪</v>
      </c>
      <c r="L36" t="str">
        <f ca="1">IF($A36="","",IF(QC_Plan!M36&lt;&gt;"","QC",IF(FID_Plan!M36&lt;&gt;"","FID",IF(VENT_Plan!M36&lt;&gt;"","VENT",IF(ENG_Plan!M36&lt;&gt;"","ENG",IF(EDM_Plan!M36&lt;&gt;"","EDM",IF(CARVING_Plan!M36&lt;&gt;"","CARVING",IF(SPM_Plan!M36&lt;&gt;"","SPM","VTL"))))))))</f>
        <v/>
      </c>
    </row>
    <row r="37" spans="1:12" ht="15" customHeight="1" x14ac:dyDescent="0.3">
      <c r="A37" t="str">
        <f ca="1">IF(OR(Job_Master!E37="",Job_Master!F37=""),"",IF(AND(Job_Master!E37&lt;=$E$2,Job_Master!F37&gt;=$B$2),Job_Master!A37,""))</f>
        <v>BJ-134</v>
      </c>
      <c r="B37">
        <f ca="1">IF($A37="","",Job_Master!B37)</f>
        <v>15</v>
      </c>
      <c r="C37" t="str">
        <f ca="1">IF($A37="","",Job_Master!C37)</f>
        <v>RW</v>
      </c>
      <c r="D37" t="str">
        <f ca="1">IF($A37="","",Job_Master!G37)</f>
        <v>Low</v>
      </c>
      <c r="E37" t="str">
        <f ca="1">IF($A37="","",Job_Master!K37)</f>
        <v>Gamma Inc</v>
      </c>
      <c r="F37" t="str">
        <f ca="1">IF($A37="","",Job_Master!I37)</f>
        <v>Released</v>
      </c>
      <c r="G37" s="64">
        <f ca="1">IF($A37="","",Job_Master!E37)</f>
        <v>46145.791666666672</v>
      </c>
      <c r="H37" s="64">
        <f ca="1">IF($A37="","",Job_Master!F37)</f>
        <v>46170.950396825385</v>
      </c>
      <c r="I37" s="64">
        <f ca="1">IF($A37="","",Job_Master!J37)</f>
        <v>46200.950396825385</v>
      </c>
      <c r="J37" s="66">
        <f t="shared" ca="1" si="2"/>
        <v>30</v>
      </c>
      <c r="K37" t="str">
        <f t="shared" ca="1" si="3"/>
        <v>🟢</v>
      </c>
      <c r="L37" t="str">
        <f ca="1">IF($A37="","",IF(QC_Plan!M37&lt;&gt;"","QC",IF(FID_Plan!M37&lt;&gt;"","FID",IF(VENT_Plan!M37&lt;&gt;"","VENT",IF(ENG_Plan!M37&lt;&gt;"","ENG",IF(EDM_Plan!M37&lt;&gt;"","EDM",IF(CARVING_Plan!M37&lt;&gt;"","CARVING",IF(SPM_Plan!M37&lt;&gt;"","SPM","VTL"))))))))</f>
        <v>QC</v>
      </c>
    </row>
    <row r="38" spans="1:12" ht="15" customHeight="1" x14ac:dyDescent="0.3">
      <c r="A38" t="str">
        <f ca="1">IF(OR(Job_Master!E38="",Job_Master!F38=""),"",IF(AND(Job_Master!E38&lt;=$E$2,Job_Master!F38&gt;=$B$2),Job_Master!A38,""))</f>
        <v/>
      </c>
      <c r="B38" t="str">
        <f ca="1">IF($A38="","",Job_Master!B38)</f>
        <v/>
      </c>
      <c r="C38" t="str">
        <f ca="1">IF($A38="","",Job_Master!C38)</f>
        <v/>
      </c>
      <c r="D38" t="str">
        <f ca="1">IF($A38="","",Job_Master!G38)</f>
        <v/>
      </c>
      <c r="E38" t="str">
        <f ca="1">IF($A38="","",Job_Master!K38)</f>
        <v/>
      </c>
      <c r="F38" t="str">
        <f ca="1">IF($A38="","",Job_Master!I38)</f>
        <v/>
      </c>
      <c r="G38" s="64" t="str">
        <f ca="1">IF($A38="","",Job_Master!E38)</f>
        <v/>
      </c>
      <c r="H38" s="64" t="str">
        <f ca="1">IF($A38="","",Job_Master!F38)</f>
        <v/>
      </c>
      <c r="I38" s="64" t="str">
        <f ca="1">IF($A38="","",Job_Master!J38)</f>
        <v/>
      </c>
      <c r="J38" s="66" t="str">
        <f t="shared" ca="1" si="2"/>
        <v/>
      </c>
      <c r="K38" t="str">
        <f t="shared" ca="1" si="3"/>
        <v>⚪</v>
      </c>
      <c r="L38" t="str">
        <f ca="1">IF($A38="","",IF(QC_Plan!M38&lt;&gt;"","QC",IF(FID_Plan!M38&lt;&gt;"","FID",IF(VENT_Plan!M38&lt;&gt;"","VENT",IF(ENG_Plan!M38&lt;&gt;"","ENG",IF(EDM_Plan!M38&lt;&gt;"","EDM",IF(CARVING_Plan!M38&lt;&gt;"","CARVING",IF(SPM_Plan!M38&lt;&gt;"","SPM","VTL"))))))))</f>
        <v/>
      </c>
    </row>
    <row r="39" spans="1:12" ht="15" customHeight="1" x14ac:dyDescent="0.3">
      <c r="A39" t="str">
        <f ca="1">IF(OR(Job_Master!E39="",Job_Master!F39=""),"",IF(AND(Job_Master!E39&lt;=$E$2,Job_Master!F39&gt;=$B$2),Job_Master!A39,""))</f>
        <v/>
      </c>
      <c r="B39" t="str">
        <f ca="1">IF($A39="","",Job_Master!B39)</f>
        <v/>
      </c>
      <c r="C39" t="str">
        <f ca="1">IF($A39="","",Job_Master!C39)</f>
        <v/>
      </c>
      <c r="D39" t="str">
        <f ca="1">IF($A39="","",Job_Master!G39)</f>
        <v/>
      </c>
      <c r="E39" t="str">
        <f ca="1">IF($A39="","",Job_Master!K39)</f>
        <v/>
      </c>
      <c r="F39" t="str">
        <f ca="1">IF($A39="","",Job_Master!I39)</f>
        <v/>
      </c>
      <c r="G39" s="64" t="str">
        <f ca="1">IF($A39="","",Job_Master!E39)</f>
        <v/>
      </c>
      <c r="H39" s="64" t="str">
        <f ca="1">IF($A39="","",Job_Master!F39)</f>
        <v/>
      </c>
      <c r="I39" s="64" t="str">
        <f ca="1">IF($A39="","",Job_Master!J39)</f>
        <v/>
      </c>
      <c r="J39" s="66" t="str">
        <f t="shared" ca="1" si="2"/>
        <v/>
      </c>
      <c r="K39" t="str">
        <f t="shared" ca="1" si="3"/>
        <v>⚪</v>
      </c>
      <c r="L39" t="str">
        <f ca="1">IF($A39="","",IF(QC_Plan!M39&lt;&gt;"","QC",IF(FID_Plan!M39&lt;&gt;"","FID",IF(VENT_Plan!M39&lt;&gt;"","VENT",IF(ENG_Plan!M39&lt;&gt;"","ENG",IF(EDM_Plan!M39&lt;&gt;"","EDM",IF(CARVING_Plan!M39&lt;&gt;"","CARVING",IF(SPM_Plan!M39&lt;&gt;"","SPM","VTL"))))))))</f>
        <v/>
      </c>
    </row>
    <row r="40" spans="1:12" ht="15" customHeight="1" x14ac:dyDescent="0.3">
      <c r="A40" t="str">
        <f ca="1">IF(OR(Job_Master!E40="",Job_Master!F40=""),"",IF(AND(Job_Master!E40&lt;=$E$2,Job_Master!F40&gt;=$B$2),Job_Master!A40,""))</f>
        <v/>
      </c>
      <c r="B40" t="str">
        <f ca="1">IF($A40="","",Job_Master!B40)</f>
        <v/>
      </c>
      <c r="C40" t="str">
        <f ca="1">IF($A40="","",Job_Master!C40)</f>
        <v/>
      </c>
      <c r="D40" t="str">
        <f ca="1">IF($A40="","",Job_Master!G40)</f>
        <v/>
      </c>
      <c r="E40" t="str">
        <f ca="1">IF($A40="","",Job_Master!K40)</f>
        <v/>
      </c>
      <c r="F40" t="str">
        <f ca="1">IF($A40="","",Job_Master!I40)</f>
        <v/>
      </c>
      <c r="G40" s="64" t="str">
        <f ca="1">IF($A40="","",Job_Master!E40)</f>
        <v/>
      </c>
      <c r="H40" s="64" t="str">
        <f ca="1">IF($A40="","",Job_Master!F40)</f>
        <v/>
      </c>
      <c r="I40" s="64" t="str">
        <f ca="1">IF($A40="","",Job_Master!J40)</f>
        <v/>
      </c>
      <c r="J40" s="66" t="str">
        <f t="shared" ca="1" si="2"/>
        <v/>
      </c>
      <c r="K40" t="str">
        <f t="shared" ca="1" si="3"/>
        <v>⚪</v>
      </c>
      <c r="L40" t="str">
        <f ca="1">IF($A40="","",IF(QC_Plan!M40&lt;&gt;"","QC",IF(FID_Plan!M40&lt;&gt;"","FID",IF(VENT_Plan!M40&lt;&gt;"","VENT",IF(ENG_Plan!M40&lt;&gt;"","ENG",IF(EDM_Plan!M40&lt;&gt;"","EDM",IF(CARVING_Plan!M40&lt;&gt;"","CARVING",IF(SPM_Plan!M40&lt;&gt;"","SPM","VTL"))))))))</f>
        <v/>
      </c>
    </row>
    <row r="41" spans="1:12" ht="15" customHeight="1" x14ac:dyDescent="0.3">
      <c r="A41" t="str">
        <f ca="1">IF(OR(Job_Master!E41="",Job_Master!F41=""),"",IF(AND(Job_Master!E41&lt;=$E$2,Job_Master!F41&gt;=$B$2),Job_Master!A41,""))</f>
        <v/>
      </c>
      <c r="B41" t="str">
        <f ca="1">IF($A41="","",Job_Master!B41)</f>
        <v/>
      </c>
      <c r="C41" t="str">
        <f ca="1">IF($A41="","",Job_Master!C41)</f>
        <v/>
      </c>
      <c r="D41" t="str">
        <f ca="1">IF($A41="","",Job_Master!G41)</f>
        <v/>
      </c>
      <c r="E41" t="str">
        <f ca="1">IF($A41="","",Job_Master!K41)</f>
        <v/>
      </c>
      <c r="F41" t="str">
        <f ca="1">IF($A41="","",Job_Master!I41)</f>
        <v/>
      </c>
      <c r="G41" s="64" t="str">
        <f ca="1">IF($A41="","",Job_Master!E41)</f>
        <v/>
      </c>
      <c r="H41" s="64" t="str">
        <f ca="1">IF($A41="","",Job_Master!F41)</f>
        <v/>
      </c>
      <c r="I41" s="64" t="str">
        <f ca="1">IF($A41="","",Job_Master!J41)</f>
        <v/>
      </c>
      <c r="J41" s="66" t="str">
        <f t="shared" ca="1" si="2"/>
        <v/>
      </c>
      <c r="K41" t="str">
        <f t="shared" ca="1" si="3"/>
        <v>⚪</v>
      </c>
      <c r="L41" t="str">
        <f ca="1">IF($A41="","",IF(QC_Plan!M41&lt;&gt;"","QC",IF(FID_Plan!M41&lt;&gt;"","FID",IF(VENT_Plan!M41&lt;&gt;"","VENT",IF(ENG_Plan!M41&lt;&gt;"","ENG",IF(EDM_Plan!M41&lt;&gt;"","EDM",IF(CARVING_Plan!M41&lt;&gt;"","CARVING",IF(SPM_Plan!M41&lt;&gt;"","SPM","VTL"))))))))</f>
        <v/>
      </c>
    </row>
    <row r="42" spans="1:12" ht="15" customHeight="1" x14ac:dyDescent="0.3">
      <c r="A42" t="str">
        <f ca="1">IF(OR(Job_Master!E42="",Job_Master!F42=""),"",IF(AND(Job_Master!E42&lt;=$E$2,Job_Master!F42&gt;=$B$2),Job_Master!A42,""))</f>
        <v/>
      </c>
      <c r="B42" t="str">
        <f ca="1">IF($A42="","",Job_Master!B42)</f>
        <v/>
      </c>
      <c r="C42" t="str">
        <f ca="1">IF($A42="","",Job_Master!C42)</f>
        <v/>
      </c>
      <c r="D42" t="str">
        <f ca="1">IF($A42="","",Job_Master!G42)</f>
        <v/>
      </c>
      <c r="E42" t="str">
        <f ca="1">IF($A42="","",Job_Master!K42)</f>
        <v/>
      </c>
      <c r="F42" t="str">
        <f ca="1">IF($A42="","",Job_Master!I42)</f>
        <v/>
      </c>
      <c r="G42" s="64" t="str">
        <f ca="1">IF($A42="","",Job_Master!E42)</f>
        <v/>
      </c>
      <c r="H42" s="64" t="str">
        <f ca="1">IF($A42="","",Job_Master!F42)</f>
        <v/>
      </c>
      <c r="I42" s="64" t="str">
        <f ca="1">IF($A42="","",Job_Master!J42)</f>
        <v/>
      </c>
      <c r="J42" s="66" t="str">
        <f t="shared" ca="1" si="2"/>
        <v/>
      </c>
      <c r="K42" t="str">
        <f t="shared" ca="1" si="3"/>
        <v>⚪</v>
      </c>
      <c r="L42" t="str">
        <f ca="1">IF($A42="","",IF(QC_Plan!M42&lt;&gt;"","QC",IF(FID_Plan!M42&lt;&gt;"","FID",IF(VENT_Plan!M42&lt;&gt;"","VENT",IF(ENG_Plan!M42&lt;&gt;"","ENG",IF(EDM_Plan!M42&lt;&gt;"","EDM",IF(CARVING_Plan!M42&lt;&gt;"","CARVING",IF(SPM_Plan!M42&lt;&gt;"","SPM","VTL"))))))))</f>
        <v/>
      </c>
    </row>
    <row r="43" spans="1:12" ht="15" customHeight="1" x14ac:dyDescent="0.3">
      <c r="A43" t="str">
        <f ca="1">IF(OR(Job_Master!E43="",Job_Master!F43=""),"",IF(AND(Job_Master!E43&lt;=$E$2,Job_Master!F43&gt;=$B$2),Job_Master!A43,""))</f>
        <v/>
      </c>
      <c r="B43" t="str">
        <f ca="1">IF($A43="","",Job_Master!B43)</f>
        <v/>
      </c>
      <c r="C43" t="str">
        <f ca="1">IF($A43="","",Job_Master!C43)</f>
        <v/>
      </c>
      <c r="D43" t="str">
        <f ca="1">IF($A43="","",Job_Master!G43)</f>
        <v/>
      </c>
      <c r="E43" t="str">
        <f ca="1">IF($A43="","",Job_Master!K43)</f>
        <v/>
      </c>
      <c r="F43" t="str">
        <f ca="1">IF($A43="","",Job_Master!I43)</f>
        <v/>
      </c>
      <c r="G43" s="64" t="str">
        <f ca="1">IF($A43="","",Job_Master!E43)</f>
        <v/>
      </c>
      <c r="H43" s="64" t="str">
        <f ca="1">IF($A43="","",Job_Master!F43)</f>
        <v/>
      </c>
      <c r="I43" s="64" t="str">
        <f ca="1">IF($A43="","",Job_Master!J43)</f>
        <v/>
      </c>
      <c r="J43" s="66" t="str">
        <f t="shared" ca="1" si="2"/>
        <v/>
      </c>
      <c r="K43" t="str">
        <f t="shared" ca="1" si="3"/>
        <v>⚪</v>
      </c>
      <c r="L43" t="str">
        <f ca="1">IF($A43="","",IF(QC_Plan!M43&lt;&gt;"","QC",IF(FID_Plan!M43&lt;&gt;"","FID",IF(VENT_Plan!M43&lt;&gt;"","VENT",IF(ENG_Plan!M43&lt;&gt;"","ENG",IF(EDM_Plan!M43&lt;&gt;"","EDM",IF(CARVING_Plan!M43&lt;&gt;"","CARVING",IF(SPM_Plan!M43&lt;&gt;"","SPM","VTL"))))))))</f>
        <v/>
      </c>
    </row>
    <row r="44" spans="1:12" ht="15" customHeight="1" x14ac:dyDescent="0.3">
      <c r="A44" t="str">
        <f ca="1">IF(OR(Job_Master!E44="",Job_Master!F44=""),"",IF(AND(Job_Master!E44&lt;=$E$2,Job_Master!F44&gt;=$B$2),Job_Master!A44,""))</f>
        <v/>
      </c>
      <c r="B44" t="str">
        <f ca="1">IF($A44="","",Job_Master!B44)</f>
        <v/>
      </c>
      <c r="C44" t="str">
        <f ca="1">IF($A44="","",Job_Master!C44)</f>
        <v/>
      </c>
      <c r="D44" t="str">
        <f ca="1">IF($A44="","",Job_Master!G44)</f>
        <v/>
      </c>
      <c r="E44" t="str">
        <f ca="1">IF($A44="","",Job_Master!K44)</f>
        <v/>
      </c>
      <c r="F44" t="str">
        <f ca="1">IF($A44="","",Job_Master!I44)</f>
        <v/>
      </c>
      <c r="G44" s="64" t="str">
        <f ca="1">IF($A44="","",Job_Master!E44)</f>
        <v/>
      </c>
      <c r="H44" s="64" t="str">
        <f ca="1">IF($A44="","",Job_Master!F44)</f>
        <v/>
      </c>
      <c r="I44" s="64" t="str">
        <f ca="1">IF($A44="","",Job_Master!J44)</f>
        <v/>
      </c>
      <c r="J44" s="66" t="str">
        <f t="shared" ca="1" si="2"/>
        <v/>
      </c>
      <c r="K44" t="str">
        <f t="shared" ca="1" si="3"/>
        <v>⚪</v>
      </c>
      <c r="L44" t="str">
        <f ca="1">IF($A44="","",IF(QC_Plan!M44&lt;&gt;"","QC",IF(FID_Plan!M44&lt;&gt;"","FID",IF(VENT_Plan!M44&lt;&gt;"","VENT",IF(ENG_Plan!M44&lt;&gt;"","ENG",IF(EDM_Plan!M44&lt;&gt;"","EDM",IF(CARVING_Plan!M44&lt;&gt;"","CARVING",IF(SPM_Plan!M44&lt;&gt;"","SPM","VTL"))))))))</f>
        <v/>
      </c>
    </row>
    <row r="45" spans="1:12" ht="15" customHeight="1" x14ac:dyDescent="0.3">
      <c r="A45" t="str">
        <f ca="1">IF(OR(Job_Master!E45="",Job_Master!F45=""),"",IF(AND(Job_Master!E45&lt;=$E$2,Job_Master!F45&gt;=$B$2),Job_Master!A45,""))</f>
        <v/>
      </c>
      <c r="B45" t="str">
        <f ca="1">IF($A45="","",Job_Master!B45)</f>
        <v/>
      </c>
      <c r="C45" t="str">
        <f ca="1">IF($A45="","",Job_Master!C45)</f>
        <v/>
      </c>
      <c r="D45" t="str">
        <f ca="1">IF($A45="","",Job_Master!G45)</f>
        <v/>
      </c>
      <c r="E45" t="str">
        <f ca="1">IF($A45="","",Job_Master!K45)</f>
        <v/>
      </c>
      <c r="F45" t="str">
        <f ca="1">IF($A45="","",Job_Master!I45)</f>
        <v/>
      </c>
      <c r="G45" s="64" t="str">
        <f ca="1">IF($A45="","",Job_Master!E45)</f>
        <v/>
      </c>
      <c r="H45" s="64" t="str">
        <f ca="1">IF($A45="","",Job_Master!F45)</f>
        <v/>
      </c>
      <c r="I45" s="64" t="str">
        <f ca="1">IF($A45="","",Job_Master!J45)</f>
        <v/>
      </c>
      <c r="J45" s="66" t="str">
        <f t="shared" ca="1" si="2"/>
        <v/>
      </c>
      <c r="K45" t="str">
        <f t="shared" ca="1" si="3"/>
        <v>⚪</v>
      </c>
      <c r="L45" t="str">
        <f ca="1">IF($A45="","",IF(QC_Plan!M45&lt;&gt;"","QC",IF(FID_Plan!M45&lt;&gt;"","FID",IF(VENT_Plan!M45&lt;&gt;"","VENT",IF(ENG_Plan!M45&lt;&gt;"","ENG",IF(EDM_Plan!M45&lt;&gt;"","EDM",IF(CARVING_Plan!M45&lt;&gt;"","CARVING",IF(SPM_Plan!M45&lt;&gt;"","SPM","VTL"))))))))</f>
        <v/>
      </c>
    </row>
    <row r="46" spans="1:12" ht="15" customHeight="1" x14ac:dyDescent="0.3">
      <c r="A46" t="str">
        <f ca="1">IF(OR(Job_Master!E46="",Job_Master!F46=""),"",IF(AND(Job_Master!E46&lt;=$E$2,Job_Master!F46&gt;=$B$2),Job_Master!A46,""))</f>
        <v/>
      </c>
      <c r="B46" t="str">
        <f ca="1">IF($A46="","",Job_Master!B46)</f>
        <v/>
      </c>
      <c r="C46" t="str">
        <f ca="1">IF($A46="","",Job_Master!C46)</f>
        <v/>
      </c>
      <c r="D46" t="str">
        <f ca="1">IF($A46="","",Job_Master!G46)</f>
        <v/>
      </c>
      <c r="E46" t="str">
        <f ca="1">IF($A46="","",Job_Master!K46)</f>
        <v/>
      </c>
      <c r="F46" t="str">
        <f ca="1">IF($A46="","",Job_Master!I46)</f>
        <v/>
      </c>
      <c r="G46" s="64" t="str">
        <f ca="1">IF($A46="","",Job_Master!E46)</f>
        <v/>
      </c>
      <c r="H46" s="64" t="str">
        <f ca="1">IF($A46="","",Job_Master!F46)</f>
        <v/>
      </c>
      <c r="I46" s="64" t="str">
        <f ca="1">IF($A46="","",Job_Master!J46)</f>
        <v/>
      </c>
      <c r="J46" s="66" t="str">
        <f t="shared" ca="1" si="2"/>
        <v/>
      </c>
      <c r="K46" t="str">
        <f t="shared" ca="1" si="3"/>
        <v>⚪</v>
      </c>
      <c r="L46" t="str">
        <f ca="1">IF($A46="","",IF(QC_Plan!M46&lt;&gt;"","QC",IF(FID_Plan!M46&lt;&gt;"","FID",IF(VENT_Plan!M46&lt;&gt;"","VENT",IF(ENG_Plan!M46&lt;&gt;"","ENG",IF(EDM_Plan!M46&lt;&gt;"","EDM",IF(CARVING_Plan!M46&lt;&gt;"","CARVING",IF(SPM_Plan!M46&lt;&gt;"","SPM","VTL"))))))))</f>
        <v/>
      </c>
    </row>
    <row r="47" spans="1:12" ht="15" customHeight="1" x14ac:dyDescent="0.3">
      <c r="A47" t="str">
        <f ca="1">IF(OR(Job_Master!E47="",Job_Master!F47=""),"",IF(AND(Job_Master!E47&lt;=$E$2,Job_Master!F47&gt;=$B$2),Job_Master!A47,""))</f>
        <v/>
      </c>
      <c r="B47" t="str">
        <f ca="1">IF($A47="","",Job_Master!B47)</f>
        <v/>
      </c>
      <c r="C47" t="str">
        <f ca="1">IF($A47="","",Job_Master!C47)</f>
        <v/>
      </c>
      <c r="D47" t="str">
        <f ca="1">IF($A47="","",Job_Master!G47)</f>
        <v/>
      </c>
      <c r="E47" t="str">
        <f ca="1">IF($A47="","",Job_Master!K47)</f>
        <v/>
      </c>
      <c r="F47" t="str">
        <f ca="1">IF($A47="","",Job_Master!I47)</f>
        <v/>
      </c>
      <c r="G47" s="64" t="str">
        <f ca="1">IF($A47="","",Job_Master!E47)</f>
        <v/>
      </c>
      <c r="H47" s="64" t="str">
        <f ca="1">IF($A47="","",Job_Master!F47)</f>
        <v/>
      </c>
      <c r="I47" s="64" t="str">
        <f ca="1">IF($A47="","",Job_Master!J47)</f>
        <v/>
      </c>
      <c r="J47" s="66" t="str">
        <f t="shared" ca="1" si="2"/>
        <v/>
      </c>
      <c r="K47" t="str">
        <f t="shared" ca="1" si="3"/>
        <v>⚪</v>
      </c>
      <c r="L47" t="str">
        <f ca="1">IF($A47="","",IF(QC_Plan!M47&lt;&gt;"","QC",IF(FID_Plan!M47&lt;&gt;"","FID",IF(VENT_Plan!M47&lt;&gt;"","VENT",IF(ENG_Plan!M47&lt;&gt;"","ENG",IF(EDM_Plan!M47&lt;&gt;"","EDM",IF(CARVING_Plan!M47&lt;&gt;"","CARVING",IF(SPM_Plan!M47&lt;&gt;"","SPM","VTL"))))))))</f>
        <v/>
      </c>
    </row>
    <row r="48" spans="1:12" ht="15" customHeight="1" x14ac:dyDescent="0.3">
      <c r="A48" t="str">
        <f ca="1">IF(OR(Job_Master!E48="",Job_Master!F48=""),"",IF(AND(Job_Master!E48&lt;=$E$2,Job_Master!F48&gt;=$B$2),Job_Master!A48,""))</f>
        <v/>
      </c>
      <c r="B48" t="str">
        <f ca="1">IF($A48="","",Job_Master!B48)</f>
        <v/>
      </c>
      <c r="C48" t="str">
        <f ca="1">IF($A48="","",Job_Master!C48)</f>
        <v/>
      </c>
      <c r="D48" t="str">
        <f ca="1">IF($A48="","",Job_Master!G48)</f>
        <v/>
      </c>
      <c r="E48" t="str">
        <f ca="1">IF($A48="","",Job_Master!K48)</f>
        <v/>
      </c>
      <c r="F48" t="str">
        <f ca="1">IF($A48="","",Job_Master!I48)</f>
        <v/>
      </c>
      <c r="G48" s="64" t="str">
        <f ca="1">IF($A48="","",Job_Master!E48)</f>
        <v/>
      </c>
      <c r="H48" s="64" t="str">
        <f ca="1">IF($A48="","",Job_Master!F48)</f>
        <v/>
      </c>
      <c r="I48" s="64" t="str">
        <f ca="1">IF($A48="","",Job_Master!J48)</f>
        <v/>
      </c>
      <c r="J48" s="66" t="str">
        <f t="shared" ca="1" si="2"/>
        <v/>
      </c>
      <c r="K48" t="str">
        <f t="shared" ca="1" si="3"/>
        <v>⚪</v>
      </c>
      <c r="L48" t="str">
        <f ca="1">IF($A48="","",IF(QC_Plan!M48&lt;&gt;"","QC",IF(FID_Plan!M48&lt;&gt;"","FID",IF(VENT_Plan!M48&lt;&gt;"","VENT",IF(ENG_Plan!M48&lt;&gt;"","ENG",IF(EDM_Plan!M48&lt;&gt;"","EDM",IF(CARVING_Plan!M48&lt;&gt;"","CARVING",IF(SPM_Plan!M48&lt;&gt;"","SPM","VTL"))))))))</f>
        <v/>
      </c>
    </row>
    <row r="49" spans="1:12" ht="15" customHeight="1" x14ac:dyDescent="0.3">
      <c r="A49" t="str">
        <f ca="1">IF(OR(Job_Master!E49="",Job_Master!F49=""),"",IF(AND(Job_Master!E49&lt;=$E$2,Job_Master!F49&gt;=$B$2),Job_Master!A49,""))</f>
        <v/>
      </c>
      <c r="B49" t="str">
        <f ca="1">IF($A49="","",Job_Master!B49)</f>
        <v/>
      </c>
      <c r="C49" t="str">
        <f ca="1">IF($A49="","",Job_Master!C49)</f>
        <v/>
      </c>
      <c r="D49" t="str">
        <f ca="1">IF($A49="","",Job_Master!G49)</f>
        <v/>
      </c>
      <c r="E49" t="str">
        <f ca="1">IF($A49="","",Job_Master!K49)</f>
        <v/>
      </c>
      <c r="F49" t="str">
        <f ca="1">IF($A49="","",Job_Master!I49)</f>
        <v/>
      </c>
      <c r="G49" s="64" t="str">
        <f ca="1">IF($A49="","",Job_Master!E49)</f>
        <v/>
      </c>
      <c r="H49" s="64" t="str">
        <f ca="1">IF($A49="","",Job_Master!F49)</f>
        <v/>
      </c>
      <c r="I49" s="64" t="str">
        <f ca="1">IF($A49="","",Job_Master!J49)</f>
        <v/>
      </c>
      <c r="J49" s="66" t="str">
        <f t="shared" ca="1" si="2"/>
        <v/>
      </c>
      <c r="K49" t="str">
        <f t="shared" ca="1" si="3"/>
        <v>⚪</v>
      </c>
      <c r="L49" t="str">
        <f ca="1">IF($A49="","",IF(QC_Plan!M49&lt;&gt;"","QC",IF(FID_Plan!M49&lt;&gt;"","FID",IF(VENT_Plan!M49&lt;&gt;"","VENT",IF(ENG_Plan!M49&lt;&gt;"","ENG",IF(EDM_Plan!M49&lt;&gt;"","EDM",IF(CARVING_Plan!M49&lt;&gt;"","CARVING",IF(SPM_Plan!M49&lt;&gt;"","SPM","VTL"))))))))</f>
        <v/>
      </c>
    </row>
    <row r="50" spans="1:12" ht="15" customHeight="1" x14ac:dyDescent="0.3">
      <c r="A50" t="str">
        <f ca="1">IF(OR(Job_Master!E50="",Job_Master!F50=""),"",IF(AND(Job_Master!E50&lt;=$E$2,Job_Master!F50&gt;=$B$2),Job_Master!A50,""))</f>
        <v/>
      </c>
      <c r="B50" t="str">
        <f ca="1">IF($A50="","",Job_Master!B50)</f>
        <v/>
      </c>
      <c r="C50" t="str">
        <f ca="1">IF($A50="","",Job_Master!C50)</f>
        <v/>
      </c>
      <c r="D50" t="str">
        <f ca="1">IF($A50="","",Job_Master!G50)</f>
        <v/>
      </c>
      <c r="E50" t="str">
        <f ca="1">IF($A50="","",Job_Master!K50)</f>
        <v/>
      </c>
      <c r="F50" t="str">
        <f ca="1">IF($A50="","",Job_Master!I50)</f>
        <v/>
      </c>
      <c r="G50" s="64" t="str">
        <f ca="1">IF($A50="","",Job_Master!E50)</f>
        <v/>
      </c>
      <c r="H50" s="64" t="str">
        <f ca="1">IF($A50="","",Job_Master!F50)</f>
        <v/>
      </c>
      <c r="I50" s="64" t="str">
        <f ca="1">IF($A50="","",Job_Master!J50)</f>
        <v/>
      </c>
      <c r="J50" s="66" t="str">
        <f t="shared" ca="1" si="2"/>
        <v/>
      </c>
      <c r="K50" t="str">
        <f t="shared" ca="1" si="3"/>
        <v>⚪</v>
      </c>
      <c r="L50" t="str">
        <f ca="1">IF($A50="","",IF(QC_Plan!M50&lt;&gt;"","QC",IF(FID_Plan!M50&lt;&gt;"","FID",IF(VENT_Plan!M50&lt;&gt;"","VENT",IF(ENG_Plan!M50&lt;&gt;"","ENG",IF(EDM_Plan!M50&lt;&gt;"","EDM",IF(CARVING_Plan!M50&lt;&gt;"","CARVING",IF(SPM_Plan!M50&lt;&gt;"","SPM","VTL"))))))))</f>
        <v/>
      </c>
    </row>
    <row r="51" spans="1:12" ht="15" customHeight="1" x14ac:dyDescent="0.3">
      <c r="A51" t="str">
        <f ca="1">IF(OR(Job_Master!E51="",Job_Master!F51=""),"",IF(AND(Job_Master!E51&lt;=$E$2,Job_Master!F51&gt;=$B$2),Job_Master!A51,""))</f>
        <v/>
      </c>
      <c r="B51" t="str">
        <f ca="1">IF($A51="","",Job_Master!B51)</f>
        <v/>
      </c>
      <c r="C51" t="str">
        <f ca="1">IF($A51="","",Job_Master!C51)</f>
        <v/>
      </c>
      <c r="D51" t="str">
        <f ca="1">IF($A51="","",Job_Master!G51)</f>
        <v/>
      </c>
      <c r="E51" t="str">
        <f ca="1">IF($A51="","",Job_Master!K51)</f>
        <v/>
      </c>
      <c r="F51" t="str">
        <f ca="1">IF($A51="","",Job_Master!I51)</f>
        <v/>
      </c>
      <c r="G51" s="64" t="str">
        <f ca="1">IF($A51="","",Job_Master!E51)</f>
        <v/>
      </c>
      <c r="H51" s="64" t="str">
        <f ca="1">IF($A51="","",Job_Master!F51)</f>
        <v/>
      </c>
      <c r="I51" s="64" t="str">
        <f ca="1">IF($A51="","",Job_Master!J51)</f>
        <v/>
      </c>
      <c r="J51" s="66" t="str">
        <f t="shared" ca="1" si="2"/>
        <v/>
      </c>
      <c r="K51" t="str">
        <f t="shared" ca="1" si="3"/>
        <v>⚪</v>
      </c>
      <c r="L51" t="str">
        <f ca="1">IF($A51="","",IF(QC_Plan!M51&lt;&gt;"","QC",IF(FID_Plan!M51&lt;&gt;"","FID",IF(VENT_Plan!M51&lt;&gt;"","VENT",IF(ENG_Plan!M51&lt;&gt;"","ENG",IF(EDM_Plan!M51&lt;&gt;"","EDM",IF(CARVING_Plan!M51&lt;&gt;"","CARVING",IF(SPM_Plan!M51&lt;&gt;"","SPM","VTL"))))))))</f>
        <v/>
      </c>
    </row>
    <row r="52" spans="1:12" ht="15" customHeight="1" x14ac:dyDescent="0.3">
      <c r="A52" t="str">
        <f ca="1">IF(OR(Job_Master!E52="",Job_Master!F52=""),"",IF(AND(Job_Master!E52&lt;=$E$2,Job_Master!F52&gt;=$B$2),Job_Master!A52,""))</f>
        <v/>
      </c>
      <c r="B52" t="str">
        <f ca="1">IF($A52="","",Job_Master!B52)</f>
        <v/>
      </c>
      <c r="C52" t="str">
        <f ca="1">IF($A52="","",Job_Master!C52)</f>
        <v/>
      </c>
      <c r="D52" t="str">
        <f ca="1">IF($A52="","",Job_Master!G52)</f>
        <v/>
      </c>
      <c r="E52" t="str">
        <f ca="1">IF($A52="","",Job_Master!K52)</f>
        <v/>
      </c>
      <c r="F52" t="str">
        <f ca="1">IF($A52="","",Job_Master!I52)</f>
        <v/>
      </c>
      <c r="G52" s="64" t="str">
        <f ca="1">IF($A52="","",Job_Master!E52)</f>
        <v/>
      </c>
      <c r="H52" s="64" t="str">
        <f ca="1">IF($A52="","",Job_Master!F52)</f>
        <v/>
      </c>
      <c r="I52" s="64" t="str">
        <f ca="1">IF($A52="","",Job_Master!J52)</f>
        <v/>
      </c>
      <c r="J52" s="66" t="str">
        <f t="shared" ca="1" si="2"/>
        <v/>
      </c>
      <c r="K52" t="str">
        <f t="shared" ca="1" si="3"/>
        <v>⚪</v>
      </c>
      <c r="L52" t="str">
        <f ca="1">IF($A52="","",IF(QC_Plan!M52&lt;&gt;"","QC",IF(FID_Plan!M52&lt;&gt;"","FID",IF(VENT_Plan!M52&lt;&gt;"","VENT",IF(ENG_Plan!M52&lt;&gt;"","ENG",IF(EDM_Plan!M52&lt;&gt;"","EDM",IF(CARVING_Plan!M52&lt;&gt;"","CARVING",IF(SPM_Plan!M52&lt;&gt;"","SPM","VTL"))))))))</f>
        <v/>
      </c>
    </row>
    <row r="53" spans="1:12" ht="15" customHeight="1" x14ac:dyDescent="0.3">
      <c r="A53" t="str">
        <f ca="1">IF(OR(Job_Master!E53="",Job_Master!F53=""),"",IF(AND(Job_Master!E53&lt;=$E$2,Job_Master!F53&gt;=$B$2),Job_Master!A53,""))</f>
        <v/>
      </c>
      <c r="B53" t="str">
        <f ca="1">IF($A53="","",Job_Master!B53)</f>
        <v/>
      </c>
      <c r="C53" t="str">
        <f ca="1">IF($A53="","",Job_Master!C53)</f>
        <v/>
      </c>
      <c r="D53" t="str">
        <f ca="1">IF($A53="","",Job_Master!G53)</f>
        <v/>
      </c>
      <c r="E53" t="str">
        <f ca="1">IF($A53="","",Job_Master!K53)</f>
        <v/>
      </c>
      <c r="F53" t="str">
        <f ca="1">IF($A53="","",Job_Master!I53)</f>
        <v/>
      </c>
      <c r="G53" s="64" t="str">
        <f ca="1">IF($A53="","",Job_Master!E53)</f>
        <v/>
      </c>
      <c r="H53" s="64" t="str">
        <f ca="1">IF($A53="","",Job_Master!F53)</f>
        <v/>
      </c>
      <c r="I53" s="64" t="str">
        <f ca="1">IF($A53="","",Job_Master!J53)</f>
        <v/>
      </c>
      <c r="J53" s="66" t="str">
        <f t="shared" ca="1" si="2"/>
        <v/>
      </c>
      <c r="K53" t="str">
        <f t="shared" ca="1" si="3"/>
        <v>⚪</v>
      </c>
      <c r="L53" t="str">
        <f ca="1">IF($A53="","",IF(QC_Plan!M53&lt;&gt;"","QC",IF(FID_Plan!M53&lt;&gt;"","FID",IF(VENT_Plan!M53&lt;&gt;"","VENT",IF(ENG_Plan!M53&lt;&gt;"","ENG",IF(EDM_Plan!M53&lt;&gt;"","EDM",IF(CARVING_Plan!M53&lt;&gt;"","CARVING",IF(SPM_Plan!M53&lt;&gt;"","SPM","VTL"))))))))</f>
        <v/>
      </c>
    </row>
    <row r="54" spans="1:12" ht="15" customHeight="1" x14ac:dyDescent="0.3">
      <c r="A54" t="str">
        <f ca="1">IF(OR(Job_Master!E54="",Job_Master!F54=""),"",IF(AND(Job_Master!E54&lt;=$E$2,Job_Master!F54&gt;=$B$2),Job_Master!A54,""))</f>
        <v/>
      </c>
      <c r="B54" t="str">
        <f ca="1">IF($A54="","",Job_Master!B54)</f>
        <v/>
      </c>
      <c r="C54" t="str">
        <f ca="1">IF($A54="","",Job_Master!C54)</f>
        <v/>
      </c>
      <c r="D54" t="str">
        <f ca="1">IF($A54="","",Job_Master!G54)</f>
        <v/>
      </c>
      <c r="E54" t="str">
        <f ca="1">IF($A54="","",Job_Master!K54)</f>
        <v/>
      </c>
      <c r="F54" t="str">
        <f ca="1">IF($A54="","",Job_Master!I54)</f>
        <v/>
      </c>
      <c r="G54" s="64" t="str">
        <f ca="1">IF($A54="","",Job_Master!E54)</f>
        <v/>
      </c>
      <c r="H54" s="64" t="str">
        <f ca="1">IF($A54="","",Job_Master!F54)</f>
        <v/>
      </c>
      <c r="I54" s="64" t="str">
        <f ca="1">IF($A54="","",Job_Master!J54)</f>
        <v/>
      </c>
      <c r="J54" s="66" t="str">
        <f t="shared" ca="1" si="2"/>
        <v/>
      </c>
      <c r="K54" t="str">
        <f t="shared" ca="1" si="3"/>
        <v>⚪</v>
      </c>
      <c r="L54" t="str">
        <f ca="1">IF($A54="","",IF(QC_Plan!M54&lt;&gt;"","QC",IF(FID_Plan!M54&lt;&gt;"","FID",IF(VENT_Plan!M54&lt;&gt;"","VENT",IF(ENG_Plan!M54&lt;&gt;"","ENG",IF(EDM_Plan!M54&lt;&gt;"","EDM",IF(CARVING_Plan!M54&lt;&gt;"","CARVING",IF(SPM_Plan!M54&lt;&gt;"","SPM","VTL"))))))))</f>
        <v/>
      </c>
    </row>
    <row r="55" spans="1:12" ht="15" customHeight="1" x14ac:dyDescent="0.3">
      <c r="A55" t="str">
        <f ca="1">IF(OR(Job_Master!E55="",Job_Master!F55=""),"",IF(AND(Job_Master!E55&lt;=$E$2,Job_Master!F55&gt;=$B$2),Job_Master!A55,""))</f>
        <v/>
      </c>
      <c r="B55" t="str">
        <f ca="1">IF($A55="","",Job_Master!B55)</f>
        <v/>
      </c>
      <c r="C55" t="str">
        <f ca="1">IF($A55="","",Job_Master!C55)</f>
        <v/>
      </c>
      <c r="D55" t="str">
        <f ca="1">IF($A55="","",Job_Master!G55)</f>
        <v/>
      </c>
      <c r="E55" t="str">
        <f ca="1">IF($A55="","",Job_Master!K55)</f>
        <v/>
      </c>
      <c r="F55" t="str">
        <f ca="1">IF($A55="","",Job_Master!I55)</f>
        <v/>
      </c>
      <c r="G55" s="64" t="str">
        <f ca="1">IF($A55="","",Job_Master!E55)</f>
        <v/>
      </c>
      <c r="H55" s="64" t="str">
        <f ca="1">IF($A55="","",Job_Master!F55)</f>
        <v/>
      </c>
      <c r="I55" s="64" t="str">
        <f ca="1">IF($A55="","",Job_Master!J55)</f>
        <v/>
      </c>
      <c r="J55" s="66" t="str">
        <f t="shared" ca="1" si="2"/>
        <v/>
      </c>
      <c r="K55" t="str">
        <f t="shared" ca="1" si="3"/>
        <v>⚪</v>
      </c>
      <c r="L55" t="str">
        <f ca="1">IF($A55="","",IF(QC_Plan!M55&lt;&gt;"","QC",IF(FID_Plan!M55&lt;&gt;"","FID",IF(VENT_Plan!M55&lt;&gt;"","VENT",IF(ENG_Plan!M55&lt;&gt;"","ENG",IF(EDM_Plan!M55&lt;&gt;"","EDM",IF(CARVING_Plan!M55&lt;&gt;"","CARVING",IF(SPM_Plan!M55&lt;&gt;"","SPM","VTL"))))))))</f>
        <v/>
      </c>
    </row>
    <row r="56" spans="1:12" ht="15" customHeight="1" x14ac:dyDescent="0.3">
      <c r="A56" t="str">
        <f ca="1">IF(OR(Job_Master!E56="",Job_Master!F56=""),"",IF(AND(Job_Master!E56&lt;=$E$2,Job_Master!F56&gt;=$B$2),Job_Master!A56,""))</f>
        <v/>
      </c>
      <c r="B56" t="str">
        <f ca="1">IF($A56="","",Job_Master!B56)</f>
        <v/>
      </c>
      <c r="C56" t="str">
        <f ca="1">IF($A56="","",Job_Master!C56)</f>
        <v/>
      </c>
      <c r="D56" t="str">
        <f ca="1">IF($A56="","",Job_Master!G56)</f>
        <v/>
      </c>
      <c r="E56" t="str">
        <f ca="1">IF($A56="","",Job_Master!K56)</f>
        <v/>
      </c>
      <c r="F56" t="str">
        <f ca="1">IF($A56="","",Job_Master!I56)</f>
        <v/>
      </c>
      <c r="G56" s="64" t="str">
        <f ca="1">IF($A56="","",Job_Master!E56)</f>
        <v/>
      </c>
      <c r="H56" s="64" t="str">
        <f ca="1">IF($A56="","",Job_Master!F56)</f>
        <v/>
      </c>
      <c r="I56" s="64" t="str">
        <f ca="1">IF($A56="","",Job_Master!J56)</f>
        <v/>
      </c>
      <c r="J56" s="66" t="str">
        <f t="shared" ca="1" si="2"/>
        <v/>
      </c>
      <c r="K56" t="str">
        <f t="shared" ca="1" si="3"/>
        <v>⚪</v>
      </c>
      <c r="L56" t="str">
        <f ca="1">IF($A56="","",IF(QC_Plan!M56&lt;&gt;"","QC",IF(FID_Plan!M56&lt;&gt;"","FID",IF(VENT_Plan!M56&lt;&gt;"","VENT",IF(ENG_Plan!M56&lt;&gt;"","ENG",IF(EDM_Plan!M56&lt;&gt;"","EDM",IF(CARVING_Plan!M56&lt;&gt;"","CARVING",IF(SPM_Plan!M56&lt;&gt;"","SPM","VTL"))))))))</f>
        <v/>
      </c>
    </row>
    <row r="57" spans="1:12" ht="15" customHeight="1" x14ac:dyDescent="0.3">
      <c r="A57" t="str">
        <f ca="1">IF(OR(Job_Master!E57="",Job_Master!F57=""),"",IF(AND(Job_Master!E57&lt;=$E$2,Job_Master!F57&gt;=$B$2),Job_Master!A57,""))</f>
        <v/>
      </c>
      <c r="B57" t="str">
        <f ca="1">IF($A57="","",Job_Master!B57)</f>
        <v/>
      </c>
      <c r="C57" t="str">
        <f ca="1">IF($A57="","",Job_Master!C57)</f>
        <v/>
      </c>
      <c r="D57" t="str">
        <f ca="1">IF($A57="","",Job_Master!G57)</f>
        <v/>
      </c>
      <c r="E57" t="str">
        <f ca="1">IF($A57="","",Job_Master!K57)</f>
        <v/>
      </c>
      <c r="F57" t="str">
        <f ca="1">IF($A57="","",Job_Master!I57)</f>
        <v/>
      </c>
      <c r="G57" s="64" t="str">
        <f ca="1">IF($A57="","",Job_Master!E57)</f>
        <v/>
      </c>
      <c r="H57" s="64" t="str">
        <f ca="1">IF($A57="","",Job_Master!F57)</f>
        <v/>
      </c>
      <c r="I57" s="64" t="str">
        <f ca="1">IF($A57="","",Job_Master!J57)</f>
        <v/>
      </c>
      <c r="J57" s="66" t="str">
        <f t="shared" ca="1" si="2"/>
        <v/>
      </c>
      <c r="K57" t="str">
        <f t="shared" ca="1" si="3"/>
        <v>⚪</v>
      </c>
      <c r="L57" t="str">
        <f ca="1">IF($A57="","",IF(QC_Plan!M57&lt;&gt;"","QC",IF(FID_Plan!M57&lt;&gt;"","FID",IF(VENT_Plan!M57&lt;&gt;"","VENT",IF(ENG_Plan!M57&lt;&gt;"","ENG",IF(EDM_Plan!M57&lt;&gt;"","EDM",IF(CARVING_Plan!M57&lt;&gt;"","CARVING",IF(SPM_Plan!M57&lt;&gt;"","SPM","VTL"))))))))</f>
        <v/>
      </c>
    </row>
    <row r="58" spans="1:12" ht="15" customHeight="1" x14ac:dyDescent="0.3">
      <c r="A58" t="str">
        <f ca="1">IF(OR(Job_Master!E58="",Job_Master!F58=""),"",IF(AND(Job_Master!E58&lt;=$E$2,Job_Master!F58&gt;=$B$2),Job_Master!A58,""))</f>
        <v/>
      </c>
      <c r="B58" t="str">
        <f ca="1">IF($A58="","",Job_Master!B58)</f>
        <v/>
      </c>
      <c r="C58" t="str">
        <f ca="1">IF($A58="","",Job_Master!C58)</f>
        <v/>
      </c>
      <c r="D58" t="str">
        <f ca="1">IF($A58="","",Job_Master!G58)</f>
        <v/>
      </c>
      <c r="E58" t="str">
        <f ca="1">IF($A58="","",Job_Master!K58)</f>
        <v/>
      </c>
      <c r="F58" t="str">
        <f ca="1">IF($A58="","",Job_Master!I58)</f>
        <v/>
      </c>
      <c r="G58" s="64" t="str">
        <f ca="1">IF($A58="","",Job_Master!E58)</f>
        <v/>
      </c>
      <c r="H58" s="64" t="str">
        <f ca="1">IF($A58="","",Job_Master!F58)</f>
        <v/>
      </c>
      <c r="I58" s="64" t="str">
        <f ca="1">IF($A58="","",Job_Master!J58)</f>
        <v/>
      </c>
      <c r="J58" s="66" t="str">
        <f t="shared" ca="1" si="2"/>
        <v/>
      </c>
      <c r="K58" t="str">
        <f t="shared" ca="1" si="3"/>
        <v>⚪</v>
      </c>
      <c r="L58" t="str">
        <f ca="1">IF($A58="","",IF(QC_Plan!M58&lt;&gt;"","QC",IF(FID_Plan!M58&lt;&gt;"","FID",IF(VENT_Plan!M58&lt;&gt;"","VENT",IF(ENG_Plan!M58&lt;&gt;"","ENG",IF(EDM_Plan!M58&lt;&gt;"","EDM",IF(CARVING_Plan!M58&lt;&gt;"","CARVING",IF(SPM_Plan!M58&lt;&gt;"","SPM","VTL"))))))))</f>
        <v/>
      </c>
    </row>
    <row r="59" spans="1:12" ht="15" customHeight="1" x14ac:dyDescent="0.3">
      <c r="A59" t="str">
        <f ca="1">IF(OR(Job_Master!E59="",Job_Master!F59=""),"",IF(AND(Job_Master!E59&lt;=$E$2,Job_Master!F59&gt;=$B$2),Job_Master!A59,""))</f>
        <v/>
      </c>
      <c r="B59" t="str">
        <f ca="1">IF($A59="","",Job_Master!B59)</f>
        <v/>
      </c>
      <c r="C59" t="str">
        <f ca="1">IF($A59="","",Job_Master!C59)</f>
        <v/>
      </c>
      <c r="D59" t="str">
        <f ca="1">IF($A59="","",Job_Master!G59)</f>
        <v/>
      </c>
      <c r="E59" t="str">
        <f ca="1">IF($A59="","",Job_Master!K59)</f>
        <v/>
      </c>
      <c r="F59" t="str">
        <f ca="1">IF($A59="","",Job_Master!I59)</f>
        <v/>
      </c>
      <c r="G59" s="64" t="str">
        <f ca="1">IF($A59="","",Job_Master!E59)</f>
        <v/>
      </c>
      <c r="H59" s="64" t="str">
        <f ca="1">IF($A59="","",Job_Master!F59)</f>
        <v/>
      </c>
      <c r="I59" s="64" t="str">
        <f ca="1">IF($A59="","",Job_Master!J59)</f>
        <v/>
      </c>
      <c r="J59" s="66" t="str">
        <f t="shared" ca="1" si="2"/>
        <v/>
      </c>
      <c r="K59" t="str">
        <f t="shared" ca="1" si="3"/>
        <v>⚪</v>
      </c>
      <c r="L59" t="str">
        <f ca="1">IF($A59="","",IF(QC_Plan!M59&lt;&gt;"","QC",IF(FID_Plan!M59&lt;&gt;"","FID",IF(VENT_Plan!M59&lt;&gt;"","VENT",IF(ENG_Plan!M59&lt;&gt;"","ENG",IF(EDM_Plan!M59&lt;&gt;"","EDM",IF(CARVING_Plan!M59&lt;&gt;"","CARVING",IF(SPM_Plan!M59&lt;&gt;"","SPM","VTL"))))))))</f>
        <v/>
      </c>
    </row>
    <row r="60" spans="1:12" ht="15" customHeight="1" x14ac:dyDescent="0.3">
      <c r="A60" t="str">
        <f ca="1">IF(OR(Job_Master!E60="",Job_Master!F60=""),"",IF(AND(Job_Master!E60&lt;=$E$2,Job_Master!F60&gt;=$B$2),Job_Master!A60,""))</f>
        <v/>
      </c>
      <c r="B60" t="str">
        <f ca="1">IF($A60="","",Job_Master!B60)</f>
        <v/>
      </c>
      <c r="C60" t="str">
        <f ca="1">IF($A60="","",Job_Master!C60)</f>
        <v/>
      </c>
      <c r="D60" t="str">
        <f ca="1">IF($A60="","",Job_Master!G60)</f>
        <v/>
      </c>
      <c r="E60" t="str">
        <f ca="1">IF($A60="","",Job_Master!K60)</f>
        <v/>
      </c>
      <c r="F60" t="str">
        <f ca="1">IF($A60="","",Job_Master!I60)</f>
        <v/>
      </c>
      <c r="G60" s="64" t="str">
        <f ca="1">IF($A60="","",Job_Master!E60)</f>
        <v/>
      </c>
      <c r="H60" s="64" t="str">
        <f ca="1">IF($A60="","",Job_Master!F60)</f>
        <v/>
      </c>
      <c r="I60" s="64" t="str">
        <f ca="1">IF($A60="","",Job_Master!J60)</f>
        <v/>
      </c>
      <c r="J60" s="66" t="str">
        <f t="shared" ca="1" si="2"/>
        <v/>
      </c>
      <c r="K60" t="str">
        <f t="shared" ca="1" si="3"/>
        <v>⚪</v>
      </c>
      <c r="L60" t="str">
        <f ca="1">IF($A60="","",IF(QC_Plan!M60&lt;&gt;"","QC",IF(FID_Plan!M60&lt;&gt;"","FID",IF(VENT_Plan!M60&lt;&gt;"","VENT",IF(ENG_Plan!M60&lt;&gt;"","ENG",IF(EDM_Plan!M60&lt;&gt;"","EDM",IF(CARVING_Plan!M60&lt;&gt;"","CARVING",IF(SPM_Plan!M60&lt;&gt;"","SPM","VTL"))))))))</f>
        <v/>
      </c>
    </row>
    <row r="61" spans="1:12" ht="15" customHeight="1" x14ac:dyDescent="0.3">
      <c r="A61" t="str">
        <f ca="1">IF(OR(Job_Master!E61="",Job_Master!F61=""),"",IF(AND(Job_Master!E61&lt;=$E$2,Job_Master!F61&gt;=$B$2),Job_Master!A61,""))</f>
        <v/>
      </c>
      <c r="B61" t="str">
        <f ca="1">IF($A61="","",Job_Master!B61)</f>
        <v/>
      </c>
      <c r="C61" t="str">
        <f ca="1">IF($A61="","",Job_Master!C61)</f>
        <v/>
      </c>
      <c r="D61" t="str">
        <f ca="1">IF($A61="","",Job_Master!G61)</f>
        <v/>
      </c>
      <c r="E61" t="str">
        <f ca="1">IF($A61="","",Job_Master!K61)</f>
        <v/>
      </c>
      <c r="F61" t="str">
        <f ca="1">IF($A61="","",Job_Master!I61)</f>
        <v/>
      </c>
      <c r="G61" s="64" t="str">
        <f ca="1">IF($A61="","",Job_Master!E61)</f>
        <v/>
      </c>
      <c r="H61" s="64" t="str">
        <f ca="1">IF($A61="","",Job_Master!F61)</f>
        <v/>
      </c>
      <c r="I61" s="64" t="str">
        <f ca="1">IF($A61="","",Job_Master!J61)</f>
        <v/>
      </c>
      <c r="J61" s="66" t="str">
        <f t="shared" ca="1" si="2"/>
        <v/>
      </c>
      <c r="K61" t="str">
        <f t="shared" ca="1" si="3"/>
        <v>⚪</v>
      </c>
      <c r="L61" t="str">
        <f ca="1">IF($A61="","",IF(QC_Plan!M61&lt;&gt;"","QC",IF(FID_Plan!M61&lt;&gt;"","FID",IF(VENT_Plan!M61&lt;&gt;"","VENT",IF(ENG_Plan!M61&lt;&gt;"","ENG",IF(EDM_Plan!M61&lt;&gt;"","EDM",IF(CARVING_Plan!M61&lt;&gt;"","CARVING",IF(SPM_Plan!M61&lt;&gt;"","SPM","VTL"))))))))</f>
        <v/>
      </c>
    </row>
    <row r="62" spans="1:12" ht="15" customHeight="1" x14ac:dyDescent="0.3">
      <c r="A62" t="str">
        <f ca="1">IF(OR(Job_Master!E62="",Job_Master!F62=""),"",IF(AND(Job_Master!E62&lt;=$E$2,Job_Master!F62&gt;=$B$2),Job_Master!A62,""))</f>
        <v/>
      </c>
      <c r="B62" t="str">
        <f ca="1">IF($A62="","",Job_Master!B62)</f>
        <v/>
      </c>
      <c r="C62" t="str">
        <f ca="1">IF($A62="","",Job_Master!C62)</f>
        <v/>
      </c>
      <c r="D62" t="str">
        <f ca="1">IF($A62="","",Job_Master!G62)</f>
        <v/>
      </c>
      <c r="E62" t="str">
        <f ca="1">IF($A62="","",Job_Master!K62)</f>
        <v/>
      </c>
      <c r="F62" t="str">
        <f ca="1">IF($A62="","",Job_Master!I62)</f>
        <v/>
      </c>
      <c r="G62" s="64" t="str">
        <f ca="1">IF($A62="","",Job_Master!E62)</f>
        <v/>
      </c>
      <c r="H62" s="64" t="str">
        <f ca="1">IF($A62="","",Job_Master!F62)</f>
        <v/>
      </c>
      <c r="I62" s="64" t="str">
        <f ca="1">IF($A62="","",Job_Master!J62)</f>
        <v/>
      </c>
      <c r="J62" s="66" t="str">
        <f t="shared" ca="1" si="2"/>
        <v/>
      </c>
      <c r="K62" t="str">
        <f t="shared" ca="1" si="3"/>
        <v>⚪</v>
      </c>
      <c r="L62" t="str">
        <f ca="1">IF($A62="","",IF(QC_Plan!M62&lt;&gt;"","QC",IF(FID_Plan!M62&lt;&gt;"","FID",IF(VENT_Plan!M62&lt;&gt;"","VENT",IF(ENG_Plan!M62&lt;&gt;"","ENG",IF(EDM_Plan!M62&lt;&gt;"","EDM",IF(CARVING_Plan!M62&lt;&gt;"","CARVING",IF(SPM_Plan!M62&lt;&gt;"","SPM","VTL"))))))))</f>
        <v/>
      </c>
    </row>
    <row r="63" spans="1:12" ht="15" customHeight="1" x14ac:dyDescent="0.3">
      <c r="A63" t="str">
        <f ca="1">IF(OR(Job_Master!E63="",Job_Master!F63=""),"",IF(AND(Job_Master!E63&lt;=$E$2,Job_Master!F63&gt;=$B$2),Job_Master!A63,""))</f>
        <v/>
      </c>
      <c r="B63" t="str">
        <f ca="1">IF($A63="","",Job_Master!B63)</f>
        <v/>
      </c>
      <c r="C63" t="str">
        <f ca="1">IF($A63="","",Job_Master!C63)</f>
        <v/>
      </c>
      <c r="D63" t="str">
        <f ca="1">IF($A63="","",Job_Master!G63)</f>
        <v/>
      </c>
      <c r="E63" t="str">
        <f ca="1">IF($A63="","",Job_Master!K63)</f>
        <v/>
      </c>
      <c r="F63" t="str">
        <f ca="1">IF($A63="","",Job_Master!I63)</f>
        <v/>
      </c>
      <c r="G63" s="64" t="str">
        <f ca="1">IF($A63="","",Job_Master!E63)</f>
        <v/>
      </c>
      <c r="H63" s="64" t="str">
        <f ca="1">IF($A63="","",Job_Master!F63)</f>
        <v/>
      </c>
      <c r="I63" s="64" t="str">
        <f ca="1">IF($A63="","",Job_Master!J63)</f>
        <v/>
      </c>
      <c r="J63" s="66" t="str">
        <f t="shared" ca="1" si="2"/>
        <v/>
      </c>
      <c r="K63" t="str">
        <f t="shared" ca="1" si="3"/>
        <v>⚪</v>
      </c>
      <c r="L63" t="str">
        <f ca="1">IF($A63="","",IF(QC_Plan!M63&lt;&gt;"","QC",IF(FID_Plan!M63&lt;&gt;"","FID",IF(VENT_Plan!M63&lt;&gt;"","VENT",IF(ENG_Plan!M63&lt;&gt;"","ENG",IF(EDM_Plan!M63&lt;&gt;"","EDM",IF(CARVING_Plan!M63&lt;&gt;"","CARVING",IF(SPM_Plan!M63&lt;&gt;"","SPM","VTL"))))))))</f>
        <v/>
      </c>
    </row>
    <row r="64" spans="1:12" ht="15" customHeight="1" x14ac:dyDescent="0.3">
      <c r="A64" t="str">
        <f ca="1">IF(OR(Job_Master!E64="",Job_Master!F64=""),"",IF(AND(Job_Master!E64&lt;=$E$2,Job_Master!F64&gt;=$B$2),Job_Master!A64,""))</f>
        <v/>
      </c>
      <c r="B64" t="str">
        <f ca="1">IF($A64="","",Job_Master!B64)</f>
        <v/>
      </c>
      <c r="C64" t="str">
        <f ca="1">IF($A64="","",Job_Master!C64)</f>
        <v/>
      </c>
      <c r="D64" t="str">
        <f ca="1">IF($A64="","",Job_Master!G64)</f>
        <v/>
      </c>
      <c r="E64" t="str">
        <f ca="1">IF($A64="","",Job_Master!K64)</f>
        <v/>
      </c>
      <c r="F64" t="str">
        <f ca="1">IF($A64="","",Job_Master!I64)</f>
        <v/>
      </c>
      <c r="G64" s="64" t="str">
        <f ca="1">IF($A64="","",Job_Master!E64)</f>
        <v/>
      </c>
      <c r="H64" s="64" t="str">
        <f ca="1">IF($A64="","",Job_Master!F64)</f>
        <v/>
      </c>
      <c r="I64" s="64" t="str">
        <f ca="1">IF($A64="","",Job_Master!J64)</f>
        <v/>
      </c>
      <c r="J64" s="66" t="str">
        <f t="shared" ca="1" si="2"/>
        <v/>
      </c>
      <c r="K64" t="str">
        <f t="shared" ca="1" si="3"/>
        <v>⚪</v>
      </c>
      <c r="L64" t="str">
        <f ca="1">IF($A64="","",IF(QC_Plan!M64&lt;&gt;"","QC",IF(FID_Plan!M64&lt;&gt;"","FID",IF(VENT_Plan!M64&lt;&gt;"","VENT",IF(ENG_Plan!M64&lt;&gt;"","ENG",IF(EDM_Plan!M64&lt;&gt;"","EDM",IF(CARVING_Plan!M64&lt;&gt;"","CARVING",IF(SPM_Plan!M64&lt;&gt;"","SPM","VTL"))))))))</f>
        <v/>
      </c>
    </row>
    <row r="65" spans="1:12" ht="15" customHeight="1" x14ac:dyDescent="0.3">
      <c r="A65" t="str">
        <f ca="1">IF(OR(Job_Master!E65="",Job_Master!F65=""),"",IF(AND(Job_Master!E65&lt;=$E$2,Job_Master!F65&gt;=$B$2),Job_Master!A65,""))</f>
        <v/>
      </c>
      <c r="B65" t="str">
        <f ca="1">IF($A65="","",Job_Master!B65)</f>
        <v/>
      </c>
      <c r="C65" t="str">
        <f ca="1">IF($A65="","",Job_Master!C65)</f>
        <v/>
      </c>
      <c r="D65" t="str">
        <f ca="1">IF($A65="","",Job_Master!G65)</f>
        <v/>
      </c>
      <c r="E65" t="str">
        <f ca="1">IF($A65="","",Job_Master!K65)</f>
        <v/>
      </c>
      <c r="F65" t="str">
        <f ca="1">IF($A65="","",Job_Master!I65)</f>
        <v/>
      </c>
      <c r="G65" s="64" t="str">
        <f ca="1">IF($A65="","",Job_Master!E65)</f>
        <v/>
      </c>
      <c r="H65" s="64" t="str">
        <f ca="1">IF($A65="","",Job_Master!F65)</f>
        <v/>
      </c>
      <c r="I65" s="64" t="str">
        <f ca="1">IF($A65="","",Job_Master!J65)</f>
        <v/>
      </c>
      <c r="J65" s="66" t="str">
        <f t="shared" ca="1" si="2"/>
        <v/>
      </c>
      <c r="K65" t="str">
        <f t="shared" ca="1" si="3"/>
        <v>⚪</v>
      </c>
      <c r="L65" t="str">
        <f ca="1">IF($A65="","",IF(QC_Plan!M65&lt;&gt;"","QC",IF(FID_Plan!M65&lt;&gt;"","FID",IF(VENT_Plan!M65&lt;&gt;"","VENT",IF(ENG_Plan!M65&lt;&gt;"","ENG",IF(EDM_Plan!M65&lt;&gt;"","EDM",IF(CARVING_Plan!M65&lt;&gt;"","CARVING",IF(SPM_Plan!M65&lt;&gt;"","SPM","VTL"))))))))</f>
        <v/>
      </c>
    </row>
    <row r="66" spans="1:12" ht="15" customHeight="1" x14ac:dyDescent="0.3">
      <c r="A66" t="str">
        <f ca="1">IF(OR(Job_Master!E66="",Job_Master!F66=""),"",IF(AND(Job_Master!E66&lt;=$E$2,Job_Master!F66&gt;=$B$2),Job_Master!A66,""))</f>
        <v/>
      </c>
      <c r="B66" t="str">
        <f ca="1">IF($A66="","",Job_Master!B66)</f>
        <v/>
      </c>
      <c r="C66" t="str">
        <f ca="1">IF($A66="","",Job_Master!C66)</f>
        <v/>
      </c>
      <c r="D66" t="str">
        <f ca="1">IF($A66="","",Job_Master!G66)</f>
        <v/>
      </c>
      <c r="E66" t="str">
        <f ca="1">IF($A66="","",Job_Master!K66)</f>
        <v/>
      </c>
      <c r="F66" t="str">
        <f ca="1">IF($A66="","",Job_Master!I66)</f>
        <v/>
      </c>
      <c r="G66" s="64" t="str">
        <f ca="1">IF($A66="","",Job_Master!E66)</f>
        <v/>
      </c>
      <c r="H66" s="64" t="str">
        <f ca="1">IF($A66="","",Job_Master!F66)</f>
        <v/>
      </c>
      <c r="I66" s="64" t="str">
        <f ca="1">IF($A66="","",Job_Master!J66)</f>
        <v/>
      </c>
      <c r="J66" s="66" t="str">
        <f t="shared" ca="1" si="2"/>
        <v/>
      </c>
      <c r="K66" t="str">
        <f t="shared" ca="1" si="3"/>
        <v>⚪</v>
      </c>
      <c r="L66" t="str">
        <f ca="1">IF($A66="","",IF(QC_Plan!M66&lt;&gt;"","QC",IF(FID_Plan!M66&lt;&gt;"","FID",IF(VENT_Plan!M66&lt;&gt;"","VENT",IF(ENG_Plan!M66&lt;&gt;"","ENG",IF(EDM_Plan!M66&lt;&gt;"","EDM",IF(CARVING_Plan!M66&lt;&gt;"","CARVING",IF(SPM_Plan!M66&lt;&gt;"","SPM","VTL"))))))))</f>
        <v/>
      </c>
    </row>
    <row r="67" spans="1:12" ht="15" customHeight="1" x14ac:dyDescent="0.3">
      <c r="A67" t="str">
        <f ca="1">IF(OR(Job_Master!E67="",Job_Master!F67=""),"",IF(AND(Job_Master!E67&lt;=$E$2,Job_Master!F67&gt;=$B$2),Job_Master!A67,""))</f>
        <v/>
      </c>
      <c r="B67" t="str">
        <f ca="1">IF($A67="","",Job_Master!B67)</f>
        <v/>
      </c>
      <c r="C67" t="str">
        <f ca="1">IF($A67="","",Job_Master!C67)</f>
        <v/>
      </c>
      <c r="D67" t="str">
        <f ca="1">IF($A67="","",Job_Master!G67)</f>
        <v/>
      </c>
      <c r="E67" t="str">
        <f ca="1">IF($A67="","",Job_Master!K67)</f>
        <v/>
      </c>
      <c r="F67" t="str">
        <f ca="1">IF($A67="","",Job_Master!I67)</f>
        <v/>
      </c>
      <c r="G67" s="64" t="str">
        <f ca="1">IF($A67="","",Job_Master!E67)</f>
        <v/>
      </c>
      <c r="H67" s="64" t="str">
        <f ca="1">IF($A67="","",Job_Master!F67)</f>
        <v/>
      </c>
      <c r="I67" s="64" t="str">
        <f ca="1">IF($A67="","",Job_Master!J67)</f>
        <v/>
      </c>
      <c r="J67" s="66" t="str">
        <f t="shared" ca="1" si="2"/>
        <v/>
      </c>
      <c r="K67" t="str">
        <f t="shared" ca="1" si="3"/>
        <v>⚪</v>
      </c>
      <c r="L67" t="str">
        <f ca="1">IF($A67="","",IF(QC_Plan!M67&lt;&gt;"","QC",IF(FID_Plan!M67&lt;&gt;"","FID",IF(VENT_Plan!M67&lt;&gt;"","VENT",IF(ENG_Plan!M67&lt;&gt;"","ENG",IF(EDM_Plan!M67&lt;&gt;"","EDM",IF(CARVING_Plan!M67&lt;&gt;"","CARVING",IF(SPM_Plan!M67&lt;&gt;"","SPM","VTL"))))))))</f>
        <v/>
      </c>
    </row>
    <row r="68" spans="1:12" ht="15" customHeight="1" x14ac:dyDescent="0.3">
      <c r="A68" t="str">
        <f ca="1">IF(OR(Job_Master!E68="",Job_Master!F68=""),"",IF(AND(Job_Master!E68&lt;=$E$2,Job_Master!F68&gt;=$B$2),Job_Master!A68,""))</f>
        <v/>
      </c>
      <c r="B68" t="str">
        <f ca="1">IF($A68="","",Job_Master!B68)</f>
        <v/>
      </c>
      <c r="C68" t="str">
        <f ca="1">IF($A68="","",Job_Master!C68)</f>
        <v/>
      </c>
      <c r="D68" t="str">
        <f ca="1">IF($A68="","",Job_Master!G68)</f>
        <v/>
      </c>
      <c r="E68" t="str">
        <f ca="1">IF($A68="","",Job_Master!K68)</f>
        <v/>
      </c>
      <c r="F68" t="str">
        <f ca="1">IF($A68="","",Job_Master!I68)</f>
        <v/>
      </c>
      <c r="G68" s="64" t="str">
        <f ca="1">IF($A68="","",Job_Master!E68)</f>
        <v/>
      </c>
      <c r="H68" s="64" t="str">
        <f ca="1">IF($A68="","",Job_Master!F68)</f>
        <v/>
      </c>
      <c r="I68" s="64" t="str">
        <f ca="1">IF($A68="","",Job_Master!J68)</f>
        <v/>
      </c>
      <c r="J68" s="66" t="str">
        <f t="shared" ref="J68:J73" ca="1" si="4">IF(OR($A68="",$H68="",$I68=""),"",$I68-$H68)</f>
        <v/>
      </c>
      <c r="K68" t="str">
        <f t="shared" ref="K68:K73" ca="1" si="5">IF($A68="","⚪",IF($J68&lt;0,"🔴",IF($J68&lt;7,"🟡","🟢")))</f>
        <v>⚪</v>
      </c>
      <c r="L68" t="str">
        <f ca="1">IF($A68="","",IF(QC_Plan!M68&lt;&gt;"","QC",IF(FID_Plan!M68&lt;&gt;"","FID",IF(VENT_Plan!M68&lt;&gt;"","VENT",IF(ENG_Plan!M68&lt;&gt;"","ENG",IF(EDM_Plan!M68&lt;&gt;"","EDM",IF(CARVING_Plan!M68&lt;&gt;"","CARVING",IF(SPM_Plan!M68&lt;&gt;"","SPM","VTL"))))))))</f>
        <v/>
      </c>
    </row>
    <row r="69" spans="1:12" ht="15" customHeight="1" x14ac:dyDescent="0.3">
      <c r="A69" t="str">
        <f ca="1">IF(OR(Job_Master!E69="",Job_Master!F69=""),"",IF(AND(Job_Master!E69&lt;=$E$2,Job_Master!F69&gt;=$B$2),Job_Master!A69,""))</f>
        <v/>
      </c>
      <c r="B69" t="str">
        <f ca="1">IF($A69="","",Job_Master!B69)</f>
        <v/>
      </c>
      <c r="C69" t="str">
        <f ca="1">IF($A69="","",Job_Master!C69)</f>
        <v/>
      </c>
      <c r="D69" t="str">
        <f ca="1">IF($A69="","",Job_Master!G69)</f>
        <v/>
      </c>
      <c r="E69" t="str">
        <f ca="1">IF($A69="","",Job_Master!K69)</f>
        <v/>
      </c>
      <c r="F69" t="str">
        <f ca="1">IF($A69="","",Job_Master!I69)</f>
        <v/>
      </c>
      <c r="G69" s="64" t="str">
        <f ca="1">IF($A69="","",Job_Master!E69)</f>
        <v/>
      </c>
      <c r="H69" s="64" t="str">
        <f ca="1">IF($A69="","",Job_Master!F69)</f>
        <v/>
      </c>
      <c r="I69" s="64" t="str">
        <f ca="1">IF($A69="","",Job_Master!J69)</f>
        <v/>
      </c>
      <c r="J69" s="66" t="str">
        <f t="shared" ca="1" si="4"/>
        <v/>
      </c>
      <c r="K69" t="str">
        <f t="shared" ca="1" si="5"/>
        <v>⚪</v>
      </c>
      <c r="L69" t="str">
        <f ca="1">IF($A69="","",IF(QC_Plan!M69&lt;&gt;"","QC",IF(FID_Plan!M69&lt;&gt;"","FID",IF(VENT_Plan!M69&lt;&gt;"","VENT",IF(ENG_Plan!M69&lt;&gt;"","ENG",IF(EDM_Plan!M69&lt;&gt;"","EDM",IF(CARVING_Plan!M69&lt;&gt;"","CARVING",IF(SPM_Plan!M69&lt;&gt;"","SPM","VTL"))))))))</f>
        <v/>
      </c>
    </row>
    <row r="70" spans="1:12" ht="15" customHeight="1" x14ac:dyDescent="0.3">
      <c r="A70" t="str">
        <f ca="1">IF(OR(Job_Master!E70="",Job_Master!F70=""),"",IF(AND(Job_Master!E70&lt;=$E$2,Job_Master!F70&gt;=$B$2),Job_Master!A70,""))</f>
        <v/>
      </c>
      <c r="B70" t="str">
        <f ca="1">IF($A70="","",Job_Master!B70)</f>
        <v/>
      </c>
      <c r="C70" t="str">
        <f ca="1">IF($A70="","",Job_Master!C70)</f>
        <v/>
      </c>
      <c r="D70" t="str">
        <f ca="1">IF($A70="","",Job_Master!G70)</f>
        <v/>
      </c>
      <c r="E70" t="str">
        <f ca="1">IF($A70="","",Job_Master!K70)</f>
        <v/>
      </c>
      <c r="F70" t="str">
        <f ca="1">IF($A70="","",Job_Master!I70)</f>
        <v/>
      </c>
      <c r="G70" s="64" t="str">
        <f ca="1">IF($A70="","",Job_Master!E70)</f>
        <v/>
      </c>
      <c r="H70" s="64" t="str">
        <f ca="1">IF($A70="","",Job_Master!F70)</f>
        <v/>
      </c>
      <c r="I70" s="64" t="str">
        <f ca="1">IF($A70="","",Job_Master!J70)</f>
        <v/>
      </c>
      <c r="J70" s="66" t="str">
        <f t="shared" ca="1" si="4"/>
        <v/>
      </c>
      <c r="K70" t="str">
        <f t="shared" ca="1" si="5"/>
        <v>⚪</v>
      </c>
      <c r="L70" t="str">
        <f ca="1">IF($A70="","",IF(QC_Plan!M70&lt;&gt;"","QC",IF(FID_Plan!M70&lt;&gt;"","FID",IF(VENT_Plan!M70&lt;&gt;"","VENT",IF(ENG_Plan!M70&lt;&gt;"","ENG",IF(EDM_Plan!M70&lt;&gt;"","EDM",IF(CARVING_Plan!M70&lt;&gt;"","CARVING",IF(SPM_Plan!M70&lt;&gt;"","SPM","VTL"))))))))</f>
        <v/>
      </c>
    </row>
    <row r="71" spans="1:12" ht="15" customHeight="1" x14ac:dyDescent="0.3">
      <c r="A71" t="str">
        <f ca="1">IF(OR(Job_Master!E71="",Job_Master!F71=""),"",IF(AND(Job_Master!E71&lt;=$E$2,Job_Master!F71&gt;=$B$2),Job_Master!A71,""))</f>
        <v/>
      </c>
      <c r="B71" t="str">
        <f ca="1">IF($A71="","",Job_Master!B71)</f>
        <v/>
      </c>
      <c r="C71" t="str">
        <f ca="1">IF($A71="","",Job_Master!C71)</f>
        <v/>
      </c>
      <c r="D71" t="str">
        <f ca="1">IF($A71="","",Job_Master!G71)</f>
        <v/>
      </c>
      <c r="E71" t="str">
        <f ca="1">IF($A71="","",Job_Master!K71)</f>
        <v/>
      </c>
      <c r="F71" t="str">
        <f ca="1">IF($A71="","",Job_Master!I71)</f>
        <v/>
      </c>
      <c r="G71" s="64" t="str">
        <f ca="1">IF($A71="","",Job_Master!E71)</f>
        <v/>
      </c>
      <c r="H71" s="64" t="str">
        <f ca="1">IF($A71="","",Job_Master!F71)</f>
        <v/>
      </c>
      <c r="I71" s="64" t="str">
        <f ca="1">IF($A71="","",Job_Master!J71)</f>
        <v/>
      </c>
      <c r="J71" s="66" t="str">
        <f t="shared" ca="1" si="4"/>
        <v/>
      </c>
      <c r="K71" t="str">
        <f t="shared" ca="1" si="5"/>
        <v>⚪</v>
      </c>
      <c r="L71" t="str">
        <f ca="1">IF($A71="","",IF(QC_Plan!M71&lt;&gt;"","QC",IF(FID_Plan!M71&lt;&gt;"","FID",IF(VENT_Plan!M71&lt;&gt;"","VENT",IF(ENG_Plan!M71&lt;&gt;"","ENG",IF(EDM_Plan!M71&lt;&gt;"","EDM",IF(CARVING_Plan!M71&lt;&gt;"","CARVING",IF(SPM_Plan!M71&lt;&gt;"","SPM","VTL"))))))))</f>
        <v/>
      </c>
    </row>
    <row r="72" spans="1:12" ht="15" customHeight="1" x14ac:dyDescent="0.3">
      <c r="A72" t="str">
        <f ca="1">IF(OR(Job_Master!E72="",Job_Master!F72=""),"",IF(AND(Job_Master!E72&lt;=$E$2,Job_Master!F72&gt;=$B$2),Job_Master!A72,""))</f>
        <v/>
      </c>
      <c r="B72" t="str">
        <f ca="1">IF($A72="","",Job_Master!B72)</f>
        <v/>
      </c>
      <c r="C72" t="str">
        <f ca="1">IF($A72="","",Job_Master!C72)</f>
        <v/>
      </c>
      <c r="D72" t="str">
        <f ca="1">IF($A72="","",Job_Master!G72)</f>
        <v/>
      </c>
      <c r="E72" t="str">
        <f ca="1">IF($A72="","",Job_Master!K72)</f>
        <v/>
      </c>
      <c r="F72" t="str">
        <f ca="1">IF($A72="","",Job_Master!I72)</f>
        <v/>
      </c>
      <c r="G72" s="64" t="str">
        <f ca="1">IF($A72="","",Job_Master!E72)</f>
        <v/>
      </c>
      <c r="H72" s="64" t="str">
        <f ca="1">IF($A72="","",Job_Master!F72)</f>
        <v/>
      </c>
      <c r="I72" s="64" t="str">
        <f ca="1">IF($A72="","",Job_Master!J72)</f>
        <v/>
      </c>
      <c r="J72" s="66" t="str">
        <f t="shared" ca="1" si="4"/>
        <v/>
      </c>
      <c r="K72" t="str">
        <f t="shared" ca="1" si="5"/>
        <v>⚪</v>
      </c>
      <c r="L72" t="str">
        <f ca="1">IF($A72="","",IF(QC_Plan!M72&lt;&gt;"","QC",IF(FID_Plan!M72&lt;&gt;"","FID",IF(VENT_Plan!M72&lt;&gt;"","VENT",IF(ENG_Plan!M72&lt;&gt;"","ENG",IF(EDM_Plan!M72&lt;&gt;"","EDM",IF(CARVING_Plan!M72&lt;&gt;"","CARVING",IF(SPM_Plan!M72&lt;&gt;"","SPM","VTL"))))))))</f>
        <v/>
      </c>
    </row>
    <row r="73" spans="1:12" ht="15" customHeight="1" x14ac:dyDescent="0.3">
      <c r="A73" t="str">
        <f ca="1">IF(OR(Job_Master!E73="",Job_Master!F73=""),"",IF(AND(Job_Master!E73&lt;=$E$2,Job_Master!F73&gt;=$B$2),Job_Master!A73,""))</f>
        <v/>
      </c>
      <c r="B73" t="str">
        <f ca="1">IF($A73="","",Job_Master!B73)</f>
        <v/>
      </c>
      <c r="C73" t="str">
        <f ca="1">IF($A73="","",Job_Master!C73)</f>
        <v/>
      </c>
      <c r="D73" t="str">
        <f ca="1">IF($A73="","",Job_Master!G73)</f>
        <v/>
      </c>
      <c r="E73" t="str">
        <f ca="1">IF($A73="","",Job_Master!K73)</f>
        <v/>
      </c>
      <c r="F73" t="str">
        <f ca="1">IF($A73="","",Job_Master!I73)</f>
        <v/>
      </c>
      <c r="G73" s="64" t="str">
        <f ca="1">IF($A73="","",Job_Master!E73)</f>
        <v/>
      </c>
      <c r="H73" s="64" t="str">
        <f ca="1">IF($A73="","",Job_Master!F73)</f>
        <v/>
      </c>
      <c r="I73" s="64" t="str">
        <f ca="1">IF($A73="","",Job_Master!J73)</f>
        <v/>
      </c>
      <c r="J73" s="66" t="str">
        <f t="shared" ca="1" si="4"/>
        <v/>
      </c>
      <c r="K73" t="str">
        <f t="shared" ca="1" si="5"/>
        <v>⚪</v>
      </c>
      <c r="L73" t="str">
        <f ca="1">IF($A73="","",IF(QC_Plan!M73&lt;&gt;"","QC",IF(FID_Plan!M73&lt;&gt;"","FID",IF(VENT_Plan!M73&lt;&gt;"","VENT",IF(ENG_Plan!M73&lt;&gt;"","ENG",IF(EDM_Plan!M73&lt;&gt;"","EDM",IF(CARVING_Plan!M73&lt;&gt;"","CARVING",IF(SPM_Plan!M73&lt;&gt;"","SPM","VTL"))))))))</f>
        <v/>
      </c>
    </row>
  </sheetData>
  <mergeCells count="1">
    <mergeCell ref="A1:M1"/>
  </mergeCells>
  <conditionalFormatting sqref="D4:D74">
    <cfRule type="expression" dxfId="18" priority="2">
      <formula>$D4="High"</formula>
    </cfRule>
    <cfRule type="expression" dxfId="17" priority="3">
      <formula>$D4="Medium"</formula>
    </cfRule>
    <cfRule type="expression" dxfId="16" priority="4">
      <formula>$D4="Low"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J74"/>
  <sheetViews>
    <sheetView zoomScale="115" zoomScaleNormal="115" workbookViewId="0">
      <selection activeCell="I3" sqref="I3"/>
    </sheetView>
  </sheetViews>
  <sheetFormatPr defaultColWidth="8.6640625" defaultRowHeight="14.4" x14ac:dyDescent="0.3"/>
  <cols>
    <col min="1" max="1" width="12" customWidth="1"/>
    <col min="2" max="2" width="7" customWidth="1"/>
    <col min="3" max="3" width="8" customWidth="1"/>
    <col min="4" max="4" width="10" customWidth="1"/>
    <col min="5" max="5" width="12" customWidth="1"/>
    <col min="6" max="6" width="10" customWidth="1"/>
    <col min="7" max="7" width="12" customWidth="1"/>
    <col min="8" max="9" width="14" customWidth="1"/>
    <col min="10" max="10" width="20" customWidth="1"/>
  </cols>
  <sheetData>
    <row r="1" spans="1:10" ht="25.5" customHeight="1" x14ac:dyDescent="0.3">
      <c r="A1" s="135" t="s">
        <v>330</v>
      </c>
      <c r="B1" s="126"/>
      <c r="C1" s="126"/>
      <c r="D1" s="126"/>
      <c r="E1" s="126"/>
      <c r="F1" s="126"/>
      <c r="G1" s="126"/>
      <c r="H1" s="126"/>
      <c r="I1" s="126"/>
      <c r="J1" s="126"/>
    </row>
    <row r="2" spans="1:10" ht="23.25" customHeight="1" x14ac:dyDescent="0.3">
      <c r="A2" s="72" t="s">
        <v>2</v>
      </c>
      <c r="B2" s="72" t="s">
        <v>3</v>
      </c>
      <c r="C2" s="72" t="s">
        <v>4</v>
      </c>
      <c r="D2" s="72" t="s">
        <v>5</v>
      </c>
      <c r="E2" s="73" t="s">
        <v>331</v>
      </c>
      <c r="F2" s="74" t="s">
        <v>332</v>
      </c>
      <c r="G2" s="74" t="s">
        <v>333</v>
      </c>
      <c r="H2" s="75" t="s">
        <v>334</v>
      </c>
      <c r="I2" s="75" t="s">
        <v>10</v>
      </c>
      <c r="J2" s="76" t="s">
        <v>300</v>
      </c>
    </row>
    <row r="3" spans="1:10" ht="15" customHeight="1" x14ac:dyDescent="0.3">
      <c r="A3" t="str">
        <f>Job_Master!A4</f>
        <v>BJ-104</v>
      </c>
      <c r="B3">
        <f>Job_Master!B4</f>
        <v>28</v>
      </c>
      <c r="C3" t="str">
        <f>Job_Master!C4</f>
        <v>2P</v>
      </c>
      <c r="D3">
        <f>Job_Master!D4</f>
        <v>2</v>
      </c>
      <c r="E3" t="s">
        <v>335</v>
      </c>
      <c r="F3">
        <v>22</v>
      </c>
      <c r="G3">
        <f>Job_Master!D4</f>
        <v>2</v>
      </c>
      <c r="H3">
        <f t="shared" ref="H3:H34" si="0">F3-G3</f>
        <v>20</v>
      </c>
      <c r="I3" t="str">
        <f t="shared" ref="I3:I34" si="1">IF(F3&lt;=0,"🔴 Out of Stock",IF(F3&lt;G3,"🟡 Low Stock","🟢 OK"))</f>
        <v>🟢 OK</v>
      </c>
    </row>
    <row r="4" spans="1:10" ht="15" customHeight="1" x14ac:dyDescent="0.3">
      <c r="A4" t="str">
        <f>Job_Master!A5</f>
        <v>BJ-101</v>
      </c>
      <c r="B4">
        <f>Job_Master!B5</f>
        <v>42</v>
      </c>
      <c r="C4" t="str">
        <f>Job_Master!C5</f>
        <v>SOL</v>
      </c>
      <c r="D4">
        <f>Job_Master!D5</f>
        <v>4</v>
      </c>
      <c r="E4" t="s">
        <v>335</v>
      </c>
      <c r="F4">
        <v>2</v>
      </c>
      <c r="G4">
        <f>Job_Master!D5</f>
        <v>4</v>
      </c>
      <c r="H4">
        <f t="shared" si="0"/>
        <v>-2</v>
      </c>
      <c r="I4" t="str">
        <f t="shared" si="1"/>
        <v>🟡 Low Stock</v>
      </c>
    </row>
    <row r="5" spans="1:10" ht="15" customHeight="1" x14ac:dyDescent="0.3">
      <c r="A5" t="str">
        <f>Job_Master!A6</f>
        <v>BJ-105</v>
      </c>
      <c r="B5">
        <f>Job_Master!B6</f>
        <v>28</v>
      </c>
      <c r="C5" t="str">
        <f>Job_Master!C6</f>
        <v>RW</v>
      </c>
      <c r="D5">
        <f>Job_Master!D6</f>
        <v>2</v>
      </c>
      <c r="E5" t="s">
        <v>336</v>
      </c>
      <c r="F5">
        <v>10</v>
      </c>
      <c r="G5">
        <f>Job_Master!D6</f>
        <v>2</v>
      </c>
      <c r="H5">
        <f t="shared" si="0"/>
        <v>8</v>
      </c>
      <c r="I5" t="str">
        <f t="shared" si="1"/>
        <v>🟢 OK</v>
      </c>
    </row>
    <row r="6" spans="1:10" ht="15" customHeight="1" x14ac:dyDescent="0.3">
      <c r="A6" t="str">
        <f>Job_Master!A7</f>
        <v>BJ-100</v>
      </c>
      <c r="B6">
        <f>Job_Master!B7</f>
        <v>25</v>
      </c>
      <c r="C6" t="str">
        <f>Job_Master!C7</f>
        <v>SEG</v>
      </c>
      <c r="D6">
        <f>Job_Master!D7</f>
        <v>6</v>
      </c>
      <c r="E6" t="s">
        <v>336</v>
      </c>
      <c r="F6">
        <v>9</v>
      </c>
      <c r="G6">
        <f>Job_Master!D7</f>
        <v>6</v>
      </c>
      <c r="H6">
        <f t="shared" si="0"/>
        <v>3</v>
      </c>
      <c r="I6" t="str">
        <f t="shared" si="1"/>
        <v>🟢 OK</v>
      </c>
    </row>
    <row r="7" spans="1:10" ht="15" customHeight="1" x14ac:dyDescent="0.3">
      <c r="A7" t="str">
        <f>Job_Master!A8</f>
        <v>BJ-102</v>
      </c>
      <c r="B7">
        <f>Job_Master!B8</f>
        <v>34</v>
      </c>
      <c r="C7" t="str">
        <f>Job_Master!C8</f>
        <v>SEG</v>
      </c>
      <c r="D7">
        <f>Job_Master!D8</f>
        <v>6</v>
      </c>
      <c r="E7" t="s">
        <v>335</v>
      </c>
      <c r="F7">
        <v>25</v>
      </c>
      <c r="G7">
        <f>Job_Master!D8</f>
        <v>6</v>
      </c>
      <c r="H7">
        <f t="shared" si="0"/>
        <v>19</v>
      </c>
      <c r="I7" t="str">
        <f t="shared" si="1"/>
        <v>🟢 OK</v>
      </c>
    </row>
    <row r="8" spans="1:10" ht="15" customHeight="1" x14ac:dyDescent="0.3">
      <c r="A8" t="str">
        <f>Job_Master!A9</f>
        <v>BJ-103</v>
      </c>
      <c r="B8">
        <f>Job_Master!B9</f>
        <v>20</v>
      </c>
      <c r="C8" t="str">
        <f>Job_Master!C9</f>
        <v>RW</v>
      </c>
      <c r="D8">
        <f>Job_Master!D9</f>
        <v>2</v>
      </c>
      <c r="E8" t="s">
        <v>337</v>
      </c>
      <c r="F8">
        <v>23</v>
      </c>
      <c r="G8">
        <f>Job_Master!D9</f>
        <v>2</v>
      </c>
      <c r="H8">
        <f t="shared" si="0"/>
        <v>21</v>
      </c>
      <c r="I8" t="str">
        <f t="shared" si="1"/>
        <v>🟢 OK</v>
      </c>
    </row>
    <row r="9" spans="1:10" ht="15" customHeight="1" x14ac:dyDescent="0.3">
      <c r="A9" t="str">
        <f>Job_Master!A10</f>
        <v>BJ-108</v>
      </c>
      <c r="B9">
        <f>Job_Master!B10</f>
        <v>70</v>
      </c>
      <c r="C9" t="str">
        <f>Job_Master!C10</f>
        <v>RW</v>
      </c>
      <c r="D9">
        <f>Job_Master!D10</f>
        <v>2</v>
      </c>
      <c r="E9" t="s">
        <v>338</v>
      </c>
      <c r="F9">
        <v>19</v>
      </c>
      <c r="G9">
        <f>Job_Master!D10</f>
        <v>2</v>
      </c>
      <c r="H9">
        <f t="shared" si="0"/>
        <v>17</v>
      </c>
      <c r="I9" t="str">
        <f t="shared" si="1"/>
        <v>🟢 OK</v>
      </c>
    </row>
    <row r="10" spans="1:10" ht="15" customHeight="1" x14ac:dyDescent="0.3">
      <c r="A10" t="str">
        <f>Job_Master!A11</f>
        <v>BJ-106</v>
      </c>
      <c r="B10">
        <f>Job_Master!B11</f>
        <v>15</v>
      </c>
      <c r="C10" t="str">
        <f>Job_Master!C11</f>
        <v>RW</v>
      </c>
      <c r="D10">
        <f>Job_Master!D11</f>
        <v>2</v>
      </c>
      <c r="E10" t="s">
        <v>339</v>
      </c>
      <c r="F10">
        <v>20</v>
      </c>
      <c r="G10">
        <f>Job_Master!D11</f>
        <v>2</v>
      </c>
      <c r="H10">
        <f t="shared" si="0"/>
        <v>18</v>
      </c>
      <c r="I10" t="str">
        <f t="shared" si="1"/>
        <v>🟢 OK</v>
      </c>
    </row>
    <row r="11" spans="1:10" ht="15" customHeight="1" x14ac:dyDescent="0.3">
      <c r="A11" t="str">
        <f>Job_Master!A12</f>
        <v>BJ-109</v>
      </c>
      <c r="B11">
        <f>Job_Master!B12</f>
        <v>30</v>
      </c>
      <c r="C11" t="str">
        <f>Job_Master!C12</f>
        <v>RW</v>
      </c>
      <c r="D11">
        <f>Job_Master!D12</f>
        <v>2</v>
      </c>
      <c r="E11" t="s">
        <v>336</v>
      </c>
      <c r="F11">
        <v>3</v>
      </c>
      <c r="G11">
        <f>Job_Master!D12</f>
        <v>2</v>
      </c>
      <c r="H11">
        <f t="shared" si="0"/>
        <v>1</v>
      </c>
      <c r="I11" t="str">
        <f t="shared" si="1"/>
        <v>🟢 OK</v>
      </c>
    </row>
    <row r="12" spans="1:10" ht="15" customHeight="1" x14ac:dyDescent="0.3">
      <c r="A12" t="str">
        <f>Job_Master!A13</f>
        <v>BJ-110</v>
      </c>
      <c r="B12">
        <f>Job_Master!B13</f>
        <v>17</v>
      </c>
      <c r="C12" t="str">
        <f>Job_Master!C13</f>
        <v>2P</v>
      </c>
      <c r="D12">
        <f>Job_Master!D13</f>
        <v>2</v>
      </c>
      <c r="E12" t="s">
        <v>337</v>
      </c>
      <c r="F12">
        <v>4</v>
      </c>
      <c r="G12">
        <f>Job_Master!D13</f>
        <v>2</v>
      </c>
      <c r="H12">
        <f t="shared" si="0"/>
        <v>2</v>
      </c>
      <c r="I12" t="str">
        <f t="shared" si="1"/>
        <v>🟢 OK</v>
      </c>
    </row>
    <row r="13" spans="1:10" ht="15" customHeight="1" x14ac:dyDescent="0.3">
      <c r="A13" t="str">
        <f>Job_Master!A14</f>
        <v>BJ-111</v>
      </c>
      <c r="B13">
        <f>Job_Master!B14</f>
        <v>25</v>
      </c>
      <c r="C13" t="str">
        <f>Job_Master!C14</f>
        <v>RW</v>
      </c>
      <c r="D13">
        <f>Job_Master!D14</f>
        <v>2</v>
      </c>
      <c r="E13" t="s">
        <v>336</v>
      </c>
      <c r="F13">
        <v>9</v>
      </c>
      <c r="G13">
        <f>Job_Master!D14</f>
        <v>2</v>
      </c>
      <c r="H13">
        <f t="shared" si="0"/>
        <v>7</v>
      </c>
      <c r="I13" t="str">
        <f t="shared" si="1"/>
        <v>🟢 OK</v>
      </c>
    </row>
    <row r="14" spans="1:10" ht="15" customHeight="1" x14ac:dyDescent="0.3">
      <c r="A14" t="str">
        <f>Job_Master!A15</f>
        <v>BJ-107</v>
      </c>
      <c r="B14">
        <f>Job_Master!B15</f>
        <v>20</v>
      </c>
      <c r="C14" t="str">
        <f>Job_Master!C15</f>
        <v>SEG</v>
      </c>
      <c r="D14">
        <f>Job_Master!D15</f>
        <v>6</v>
      </c>
      <c r="E14" t="s">
        <v>337</v>
      </c>
      <c r="F14">
        <v>21</v>
      </c>
      <c r="G14">
        <f>Job_Master!D15</f>
        <v>6</v>
      </c>
      <c r="H14">
        <f t="shared" si="0"/>
        <v>15</v>
      </c>
      <c r="I14" t="str">
        <f t="shared" si="1"/>
        <v>🟢 OK</v>
      </c>
    </row>
    <row r="15" spans="1:10" ht="15" customHeight="1" x14ac:dyDescent="0.3">
      <c r="A15" t="str">
        <f>Job_Master!A16</f>
        <v>BJ-112</v>
      </c>
      <c r="B15">
        <f>Job_Master!B16</f>
        <v>17</v>
      </c>
      <c r="C15" t="str">
        <f>Job_Master!C16</f>
        <v>2P</v>
      </c>
      <c r="D15">
        <f>Job_Master!D16</f>
        <v>2</v>
      </c>
      <c r="E15" t="s">
        <v>337</v>
      </c>
      <c r="F15">
        <v>19</v>
      </c>
      <c r="G15">
        <f>Job_Master!D16</f>
        <v>2</v>
      </c>
      <c r="H15">
        <f t="shared" si="0"/>
        <v>17</v>
      </c>
      <c r="I15" t="str">
        <f t="shared" si="1"/>
        <v>🟢 OK</v>
      </c>
    </row>
    <row r="16" spans="1:10" ht="15" customHeight="1" x14ac:dyDescent="0.3">
      <c r="A16" t="str">
        <f>Job_Master!A17</f>
        <v>BJ-114</v>
      </c>
      <c r="B16">
        <f>Job_Master!B17</f>
        <v>50</v>
      </c>
      <c r="C16" t="str">
        <f>Job_Master!C17</f>
        <v>SEG</v>
      </c>
      <c r="D16">
        <f>Job_Master!D17</f>
        <v>6</v>
      </c>
      <c r="E16" t="s">
        <v>335</v>
      </c>
      <c r="F16">
        <v>24</v>
      </c>
      <c r="G16">
        <f>Job_Master!D17</f>
        <v>6</v>
      </c>
      <c r="H16">
        <f t="shared" si="0"/>
        <v>18</v>
      </c>
      <c r="I16" t="str">
        <f t="shared" si="1"/>
        <v>🟢 OK</v>
      </c>
    </row>
    <row r="17" spans="1:9" ht="15" customHeight="1" x14ac:dyDescent="0.3">
      <c r="A17" t="str">
        <f>Job_Master!A18</f>
        <v>BJ-115</v>
      </c>
      <c r="B17">
        <f>Job_Master!B18</f>
        <v>46</v>
      </c>
      <c r="C17" t="str">
        <f>Job_Master!C18</f>
        <v>2P</v>
      </c>
      <c r="D17">
        <f>Job_Master!D18</f>
        <v>2</v>
      </c>
      <c r="E17" t="s">
        <v>335</v>
      </c>
      <c r="F17">
        <v>24</v>
      </c>
      <c r="G17">
        <f>Job_Master!D18</f>
        <v>2</v>
      </c>
      <c r="H17">
        <f t="shared" si="0"/>
        <v>22</v>
      </c>
      <c r="I17" t="str">
        <f t="shared" si="1"/>
        <v>🟢 OK</v>
      </c>
    </row>
    <row r="18" spans="1:9" ht="15" customHeight="1" x14ac:dyDescent="0.3">
      <c r="A18" t="str">
        <f>Job_Master!A19</f>
        <v>BJ-116</v>
      </c>
      <c r="B18">
        <f>Job_Master!B19</f>
        <v>54</v>
      </c>
      <c r="C18" t="str">
        <f>Job_Master!C19</f>
        <v>2P</v>
      </c>
      <c r="D18">
        <f>Job_Master!D19</f>
        <v>2</v>
      </c>
      <c r="E18" t="s">
        <v>338</v>
      </c>
      <c r="F18">
        <v>15</v>
      </c>
      <c r="G18">
        <f>Job_Master!D19</f>
        <v>2</v>
      </c>
      <c r="H18">
        <f t="shared" si="0"/>
        <v>13</v>
      </c>
      <c r="I18" t="str">
        <f t="shared" si="1"/>
        <v>🟢 OK</v>
      </c>
    </row>
    <row r="19" spans="1:9" ht="15" customHeight="1" x14ac:dyDescent="0.3">
      <c r="A19" t="str">
        <f>Job_Master!A20</f>
        <v>BJ-118</v>
      </c>
      <c r="B19">
        <f>Job_Master!B20</f>
        <v>28</v>
      </c>
      <c r="C19" t="str">
        <f>Job_Master!C20</f>
        <v>SOL</v>
      </c>
      <c r="D19">
        <f>Job_Master!D20</f>
        <v>4</v>
      </c>
      <c r="E19" t="s">
        <v>336</v>
      </c>
      <c r="F19">
        <v>16</v>
      </c>
      <c r="G19">
        <f>Job_Master!D20</f>
        <v>4</v>
      </c>
      <c r="H19">
        <f t="shared" si="0"/>
        <v>12</v>
      </c>
      <c r="I19" t="str">
        <f t="shared" si="1"/>
        <v>🟢 OK</v>
      </c>
    </row>
    <row r="20" spans="1:9" ht="15" customHeight="1" x14ac:dyDescent="0.3">
      <c r="A20" t="str">
        <f>Job_Master!A21</f>
        <v>BJ-119</v>
      </c>
      <c r="B20">
        <f>Job_Master!B21</f>
        <v>63</v>
      </c>
      <c r="C20" t="str">
        <f>Job_Master!C21</f>
        <v>SOL</v>
      </c>
      <c r="D20">
        <f>Job_Master!D21</f>
        <v>4</v>
      </c>
      <c r="E20" t="s">
        <v>338</v>
      </c>
      <c r="F20">
        <v>10</v>
      </c>
      <c r="G20">
        <f>Job_Master!D21</f>
        <v>4</v>
      </c>
      <c r="H20">
        <f t="shared" si="0"/>
        <v>6</v>
      </c>
      <c r="I20" t="str">
        <f t="shared" si="1"/>
        <v>🟢 OK</v>
      </c>
    </row>
    <row r="21" spans="1:9" ht="15" customHeight="1" x14ac:dyDescent="0.3">
      <c r="A21" t="str">
        <f>Job_Master!A22</f>
        <v>BJ-120</v>
      </c>
      <c r="B21">
        <f>Job_Master!B22</f>
        <v>46</v>
      </c>
      <c r="C21" t="str">
        <f>Job_Master!C22</f>
        <v>2P</v>
      </c>
      <c r="D21">
        <f>Job_Master!D22</f>
        <v>2</v>
      </c>
      <c r="E21" t="s">
        <v>335</v>
      </c>
      <c r="F21">
        <v>7</v>
      </c>
      <c r="G21">
        <f>Job_Master!D22</f>
        <v>2</v>
      </c>
      <c r="H21">
        <f t="shared" si="0"/>
        <v>5</v>
      </c>
      <c r="I21" t="str">
        <f t="shared" si="1"/>
        <v>🟢 OK</v>
      </c>
    </row>
    <row r="22" spans="1:9" ht="15" customHeight="1" x14ac:dyDescent="0.3">
      <c r="A22" t="str">
        <f>Job_Master!A23</f>
        <v>BJ-113</v>
      </c>
      <c r="B22">
        <f>Job_Master!B23</f>
        <v>9</v>
      </c>
      <c r="C22" t="str">
        <f>Job_Master!C23</f>
        <v>SEG</v>
      </c>
      <c r="D22">
        <f>Job_Master!D23</f>
        <v>6</v>
      </c>
      <c r="E22" t="s">
        <v>339</v>
      </c>
      <c r="F22">
        <v>15</v>
      </c>
      <c r="G22">
        <f>Job_Master!D23</f>
        <v>6</v>
      </c>
      <c r="H22">
        <f t="shared" si="0"/>
        <v>9</v>
      </c>
      <c r="I22" t="str">
        <f t="shared" si="1"/>
        <v>🟢 OK</v>
      </c>
    </row>
    <row r="23" spans="1:9" ht="15" customHeight="1" x14ac:dyDescent="0.3">
      <c r="A23" t="str">
        <f>Job_Master!A24</f>
        <v>BJ-121</v>
      </c>
      <c r="B23">
        <f>Job_Master!B24</f>
        <v>57</v>
      </c>
      <c r="C23" t="str">
        <f>Job_Master!C24</f>
        <v>RW</v>
      </c>
      <c r="D23">
        <f>Job_Master!D24</f>
        <v>2</v>
      </c>
      <c r="E23" t="s">
        <v>338</v>
      </c>
      <c r="F23">
        <v>10</v>
      </c>
      <c r="G23">
        <f>Job_Master!D24</f>
        <v>2</v>
      </c>
      <c r="H23">
        <f t="shared" si="0"/>
        <v>8</v>
      </c>
      <c r="I23" t="str">
        <f t="shared" si="1"/>
        <v>🟢 OK</v>
      </c>
    </row>
    <row r="24" spans="1:9" ht="15" customHeight="1" x14ac:dyDescent="0.3">
      <c r="A24" t="str">
        <f>Job_Master!A25</f>
        <v>BJ-123</v>
      </c>
      <c r="B24">
        <f>Job_Master!B25</f>
        <v>46</v>
      </c>
      <c r="C24" t="str">
        <f>Job_Master!C25</f>
        <v>RW</v>
      </c>
      <c r="D24">
        <f>Job_Master!D25</f>
        <v>2</v>
      </c>
      <c r="E24" t="s">
        <v>335</v>
      </c>
      <c r="F24">
        <v>8</v>
      </c>
      <c r="G24">
        <f>Job_Master!D25</f>
        <v>2</v>
      </c>
      <c r="H24">
        <f t="shared" si="0"/>
        <v>6</v>
      </c>
      <c r="I24" t="str">
        <f t="shared" si="1"/>
        <v>🟢 OK</v>
      </c>
    </row>
    <row r="25" spans="1:9" ht="15" customHeight="1" x14ac:dyDescent="0.3">
      <c r="A25" t="str">
        <f>Job_Master!A26</f>
        <v>BJ-117</v>
      </c>
      <c r="B25">
        <f>Job_Master!B26</f>
        <v>15</v>
      </c>
      <c r="C25" t="str">
        <f>Job_Master!C26</f>
        <v>RW</v>
      </c>
      <c r="D25">
        <f>Job_Master!D26</f>
        <v>2</v>
      </c>
      <c r="E25" t="s">
        <v>339</v>
      </c>
      <c r="F25">
        <v>5</v>
      </c>
      <c r="G25">
        <f>Job_Master!D26</f>
        <v>2</v>
      </c>
      <c r="H25">
        <f t="shared" si="0"/>
        <v>3</v>
      </c>
      <c r="I25" t="str">
        <f t="shared" si="1"/>
        <v>🟢 OK</v>
      </c>
    </row>
    <row r="26" spans="1:9" ht="15" customHeight="1" x14ac:dyDescent="0.3">
      <c r="A26" t="str">
        <f>Job_Master!A27</f>
        <v>BJ-122</v>
      </c>
      <c r="B26">
        <f>Job_Master!B27</f>
        <v>54</v>
      </c>
      <c r="C26" t="str">
        <f>Job_Master!C27</f>
        <v>SOL</v>
      </c>
      <c r="D26">
        <f>Job_Master!D27</f>
        <v>4</v>
      </c>
      <c r="E26" t="s">
        <v>338</v>
      </c>
      <c r="F26">
        <v>14</v>
      </c>
      <c r="G26">
        <f>Job_Master!D27</f>
        <v>4</v>
      </c>
      <c r="H26">
        <f t="shared" si="0"/>
        <v>10</v>
      </c>
      <c r="I26" t="str">
        <f t="shared" si="1"/>
        <v>🟢 OK</v>
      </c>
    </row>
    <row r="27" spans="1:9" ht="15" customHeight="1" x14ac:dyDescent="0.3">
      <c r="A27" t="str">
        <f>Job_Master!A28</f>
        <v>BJ-124</v>
      </c>
      <c r="B27">
        <f>Job_Master!B28</f>
        <v>42</v>
      </c>
      <c r="C27" t="str">
        <f>Job_Master!C28</f>
        <v>2P</v>
      </c>
      <c r="D27">
        <f>Job_Master!D28</f>
        <v>2</v>
      </c>
      <c r="E27" t="s">
        <v>335</v>
      </c>
      <c r="F27">
        <v>13</v>
      </c>
      <c r="G27">
        <f>Job_Master!D28</f>
        <v>2</v>
      </c>
      <c r="H27">
        <f t="shared" si="0"/>
        <v>11</v>
      </c>
      <c r="I27" t="str">
        <f t="shared" si="1"/>
        <v>🟢 OK</v>
      </c>
    </row>
    <row r="28" spans="1:9" ht="15" customHeight="1" x14ac:dyDescent="0.3">
      <c r="A28" t="str">
        <f>Job_Master!A29</f>
        <v>BJ-126</v>
      </c>
      <c r="B28">
        <f>Job_Master!B29</f>
        <v>42</v>
      </c>
      <c r="C28" t="str">
        <f>Job_Master!C29</f>
        <v>2P</v>
      </c>
      <c r="D28">
        <f>Job_Master!D29</f>
        <v>2</v>
      </c>
      <c r="E28" t="s">
        <v>335</v>
      </c>
      <c r="F28">
        <v>21</v>
      </c>
      <c r="G28">
        <f>Job_Master!D29</f>
        <v>2</v>
      </c>
      <c r="H28">
        <f t="shared" si="0"/>
        <v>19</v>
      </c>
      <c r="I28" t="str">
        <f t="shared" si="1"/>
        <v>🟢 OK</v>
      </c>
    </row>
    <row r="29" spans="1:9" ht="15" customHeight="1" x14ac:dyDescent="0.3">
      <c r="A29" t="str">
        <f>Job_Master!A30</f>
        <v>BJ-127</v>
      </c>
      <c r="B29">
        <f>Job_Master!B30</f>
        <v>15</v>
      </c>
      <c r="C29" t="str">
        <f>Job_Master!C30</f>
        <v>RW</v>
      </c>
      <c r="D29">
        <f>Job_Master!D30</f>
        <v>2</v>
      </c>
      <c r="E29" t="s">
        <v>339</v>
      </c>
      <c r="F29">
        <v>3</v>
      </c>
      <c r="G29">
        <f>Job_Master!D30</f>
        <v>2</v>
      </c>
      <c r="H29">
        <f t="shared" si="0"/>
        <v>1</v>
      </c>
      <c r="I29" t="str">
        <f t="shared" si="1"/>
        <v>🟢 OK</v>
      </c>
    </row>
    <row r="30" spans="1:9" ht="15" customHeight="1" x14ac:dyDescent="0.3">
      <c r="A30" t="str">
        <f>Job_Master!A31</f>
        <v>BJ-128</v>
      </c>
      <c r="B30">
        <f>Job_Master!B31</f>
        <v>46</v>
      </c>
      <c r="C30" t="str">
        <f>Job_Master!C31</f>
        <v>2P</v>
      </c>
      <c r="D30">
        <f>Job_Master!D31</f>
        <v>2</v>
      </c>
      <c r="E30" t="s">
        <v>335</v>
      </c>
      <c r="F30">
        <v>16</v>
      </c>
      <c r="G30">
        <f>Job_Master!D31</f>
        <v>2</v>
      </c>
      <c r="H30">
        <f t="shared" si="0"/>
        <v>14</v>
      </c>
      <c r="I30" t="str">
        <f t="shared" si="1"/>
        <v>🟢 OK</v>
      </c>
    </row>
    <row r="31" spans="1:9" ht="15" customHeight="1" x14ac:dyDescent="0.3">
      <c r="A31" t="str">
        <f>Job_Master!A32</f>
        <v>BJ-125</v>
      </c>
      <c r="B31">
        <f>Job_Master!B32</f>
        <v>25</v>
      </c>
      <c r="C31" t="str">
        <f>Job_Master!C32</f>
        <v>SEG</v>
      </c>
      <c r="D31">
        <f>Job_Master!D32</f>
        <v>6</v>
      </c>
      <c r="E31" t="s">
        <v>336</v>
      </c>
      <c r="F31">
        <v>5</v>
      </c>
      <c r="G31">
        <f>Job_Master!D32</f>
        <v>6</v>
      </c>
      <c r="H31">
        <f t="shared" si="0"/>
        <v>-1</v>
      </c>
      <c r="I31" t="str">
        <f t="shared" si="1"/>
        <v>🟡 Low Stock</v>
      </c>
    </row>
    <row r="32" spans="1:9" ht="15" customHeight="1" x14ac:dyDescent="0.3">
      <c r="A32" t="str">
        <f>Job_Master!A33</f>
        <v>BJ-129</v>
      </c>
      <c r="B32">
        <f>Job_Master!B33</f>
        <v>9</v>
      </c>
      <c r="C32" t="str">
        <f>Job_Master!C33</f>
        <v>RW</v>
      </c>
      <c r="D32">
        <f>Job_Master!D33</f>
        <v>2</v>
      </c>
      <c r="E32" t="s">
        <v>339</v>
      </c>
      <c r="F32">
        <v>4</v>
      </c>
      <c r="G32">
        <f>Job_Master!D33</f>
        <v>2</v>
      </c>
      <c r="H32">
        <f t="shared" si="0"/>
        <v>2</v>
      </c>
      <c r="I32" t="str">
        <f t="shared" si="1"/>
        <v>🟢 OK</v>
      </c>
    </row>
    <row r="33" spans="1:9" ht="15" customHeight="1" x14ac:dyDescent="0.3">
      <c r="A33" t="str">
        <f>Job_Master!A34</f>
        <v>BJ-130</v>
      </c>
      <c r="B33">
        <f>Job_Master!B34</f>
        <v>57</v>
      </c>
      <c r="C33" t="str">
        <f>Job_Master!C34</f>
        <v>RW</v>
      </c>
      <c r="D33">
        <f>Job_Master!D34</f>
        <v>2</v>
      </c>
      <c r="E33" t="s">
        <v>338</v>
      </c>
      <c r="F33">
        <v>11</v>
      </c>
      <c r="G33">
        <f>Job_Master!D34</f>
        <v>2</v>
      </c>
      <c r="H33">
        <f t="shared" si="0"/>
        <v>9</v>
      </c>
      <c r="I33" t="str">
        <f t="shared" si="1"/>
        <v>🟢 OK</v>
      </c>
    </row>
    <row r="34" spans="1:9" ht="15" customHeight="1" x14ac:dyDescent="0.3">
      <c r="A34" t="str">
        <f>Job_Master!A35</f>
        <v>BJ-133</v>
      </c>
      <c r="B34">
        <f>Job_Master!B35</f>
        <v>25</v>
      </c>
      <c r="C34" t="str">
        <f>Job_Master!C35</f>
        <v>RW</v>
      </c>
      <c r="D34">
        <f>Job_Master!D35</f>
        <v>2</v>
      </c>
      <c r="E34" t="s">
        <v>336</v>
      </c>
      <c r="F34">
        <v>21</v>
      </c>
      <c r="G34">
        <f>Job_Master!D35</f>
        <v>2</v>
      </c>
      <c r="H34">
        <f t="shared" si="0"/>
        <v>19</v>
      </c>
      <c r="I34" t="str">
        <f t="shared" si="1"/>
        <v>🟢 OK</v>
      </c>
    </row>
    <row r="35" spans="1:9" ht="15" customHeight="1" x14ac:dyDescent="0.3">
      <c r="A35" t="str">
        <f>Job_Master!A36</f>
        <v>BJ-131</v>
      </c>
      <c r="B35">
        <f>Job_Master!B36</f>
        <v>70</v>
      </c>
      <c r="C35" t="str">
        <f>Job_Master!C36</f>
        <v>2P</v>
      </c>
      <c r="D35">
        <f>Job_Master!D36</f>
        <v>2</v>
      </c>
      <c r="E35" t="s">
        <v>338</v>
      </c>
      <c r="F35">
        <v>20</v>
      </c>
      <c r="G35">
        <f>Job_Master!D36</f>
        <v>2</v>
      </c>
      <c r="H35">
        <f t="shared" ref="H35:H66" si="2">F35-G35</f>
        <v>18</v>
      </c>
      <c r="I35" t="str">
        <f t="shared" ref="I35:I66" si="3">IF(F35&lt;=0,"🔴 Out of Stock",IF(F35&lt;G35,"🟡 Low Stock","🟢 OK"))</f>
        <v>🟢 OK</v>
      </c>
    </row>
    <row r="36" spans="1:9" ht="15" customHeight="1" x14ac:dyDescent="0.3">
      <c r="A36" t="str">
        <f>Job_Master!A37</f>
        <v>BJ-134</v>
      </c>
      <c r="B36">
        <f>Job_Master!B37</f>
        <v>15</v>
      </c>
      <c r="C36" t="str">
        <f>Job_Master!C37</f>
        <v>RW</v>
      </c>
      <c r="D36">
        <f>Job_Master!D37</f>
        <v>2</v>
      </c>
      <c r="E36" t="s">
        <v>339</v>
      </c>
      <c r="F36">
        <v>24</v>
      </c>
      <c r="G36">
        <f>Job_Master!D37</f>
        <v>2</v>
      </c>
      <c r="H36">
        <f t="shared" si="2"/>
        <v>22</v>
      </c>
      <c r="I36" t="str">
        <f t="shared" si="3"/>
        <v>🟢 OK</v>
      </c>
    </row>
    <row r="37" spans="1:9" ht="15" customHeight="1" x14ac:dyDescent="0.3">
      <c r="A37" t="str">
        <f>Job_Master!A38</f>
        <v>BJ-135</v>
      </c>
      <c r="B37">
        <f>Job_Master!B38</f>
        <v>28</v>
      </c>
      <c r="C37" t="str">
        <f>Job_Master!C38</f>
        <v>2P</v>
      </c>
      <c r="D37">
        <f>Job_Master!D38</f>
        <v>2</v>
      </c>
      <c r="E37" t="s">
        <v>336</v>
      </c>
      <c r="F37">
        <v>3</v>
      </c>
      <c r="G37">
        <f>Job_Master!D38</f>
        <v>2</v>
      </c>
      <c r="H37">
        <f t="shared" si="2"/>
        <v>1</v>
      </c>
      <c r="I37" t="str">
        <f t="shared" si="3"/>
        <v>🟢 OK</v>
      </c>
    </row>
    <row r="38" spans="1:9" ht="15" customHeight="1" x14ac:dyDescent="0.3">
      <c r="A38" t="str">
        <f>Job_Master!A39</f>
        <v>BJ-132</v>
      </c>
      <c r="B38">
        <f>Job_Master!B39</f>
        <v>57</v>
      </c>
      <c r="C38" t="str">
        <f>Job_Master!C39</f>
        <v>SOL</v>
      </c>
      <c r="D38">
        <f>Job_Master!D39</f>
        <v>4</v>
      </c>
      <c r="E38" t="s">
        <v>338</v>
      </c>
      <c r="F38">
        <v>9</v>
      </c>
      <c r="G38">
        <f>Job_Master!D39</f>
        <v>4</v>
      </c>
      <c r="H38">
        <f t="shared" si="2"/>
        <v>5</v>
      </c>
      <c r="I38" t="str">
        <f t="shared" si="3"/>
        <v>🟢 OK</v>
      </c>
    </row>
    <row r="39" spans="1:9" ht="15" customHeight="1" x14ac:dyDescent="0.3">
      <c r="A39" t="str">
        <f>Job_Master!A40</f>
        <v>BJ-136</v>
      </c>
      <c r="B39">
        <f>Job_Master!B40</f>
        <v>20</v>
      </c>
      <c r="C39" t="str">
        <f>Job_Master!C40</f>
        <v>RW</v>
      </c>
      <c r="D39">
        <f>Job_Master!D40</f>
        <v>2</v>
      </c>
      <c r="E39" t="s">
        <v>337</v>
      </c>
      <c r="F39">
        <v>4</v>
      </c>
      <c r="G39">
        <f>Job_Master!D40</f>
        <v>2</v>
      </c>
      <c r="H39">
        <f t="shared" si="2"/>
        <v>2</v>
      </c>
      <c r="I39" t="str">
        <f t="shared" si="3"/>
        <v>🟢 OK</v>
      </c>
    </row>
    <row r="40" spans="1:9" ht="15" customHeight="1" x14ac:dyDescent="0.3">
      <c r="A40" t="str">
        <f>Job_Master!A41</f>
        <v>BJ-137</v>
      </c>
      <c r="B40">
        <f>Job_Master!B41</f>
        <v>34</v>
      </c>
      <c r="C40" t="str">
        <f>Job_Master!C41</f>
        <v>RW</v>
      </c>
      <c r="D40">
        <f>Job_Master!D41</f>
        <v>2</v>
      </c>
      <c r="E40" t="s">
        <v>335</v>
      </c>
      <c r="F40">
        <v>5</v>
      </c>
      <c r="G40">
        <f>Job_Master!D41</f>
        <v>2</v>
      </c>
      <c r="H40">
        <f t="shared" si="2"/>
        <v>3</v>
      </c>
      <c r="I40" t="str">
        <f t="shared" si="3"/>
        <v>🟢 OK</v>
      </c>
    </row>
    <row r="41" spans="1:9" ht="15" customHeight="1" x14ac:dyDescent="0.3">
      <c r="A41" t="str">
        <f>Job_Master!A42</f>
        <v>BJ-140</v>
      </c>
      <c r="B41">
        <f>Job_Master!B42</f>
        <v>54</v>
      </c>
      <c r="C41" t="str">
        <f>Job_Master!C42</f>
        <v>RW</v>
      </c>
      <c r="D41">
        <f>Job_Master!D42</f>
        <v>2</v>
      </c>
      <c r="E41" t="s">
        <v>338</v>
      </c>
      <c r="F41">
        <v>10</v>
      </c>
      <c r="G41">
        <f>Job_Master!D42</f>
        <v>2</v>
      </c>
      <c r="H41">
        <f t="shared" si="2"/>
        <v>8</v>
      </c>
      <c r="I41" t="str">
        <f t="shared" si="3"/>
        <v>🟢 OK</v>
      </c>
    </row>
    <row r="42" spans="1:9" ht="15" customHeight="1" x14ac:dyDescent="0.3">
      <c r="A42" t="str">
        <f>Job_Master!A43</f>
        <v>BJ-138</v>
      </c>
      <c r="B42">
        <f>Job_Master!B43</f>
        <v>9</v>
      </c>
      <c r="C42" t="str">
        <f>Job_Master!C43</f>
        <v>RW</v>
      </c>
      <c r="D42">
        <f>Job_Master!D43</f>
        <v>2</v>
      </c>
      <c r="E42" t="s">
        <v>339</v>
      </c>
      <c r="F42">
        <v>22</v>
      </c>
      <c r="G42">
        <f>Job_Master!D43</f>
        <v>2</v>
      </c>
      <c r="H42">
        <f t="shared" si="2"/>
        <v>20</v>
      </c>
      <c r="I42" t="str">
        <f t="shared" si="3"/>
        <v>🟢 OK</v>
      </c>
    </row>
    <row r="43" spans="1:9" ht="15" customHeight="1" x14ac:dyDescent="0.3">
      <c r="A43" t="str">
        <f>Job_Master!A44</f>
        <v>BJ-144</v>
      </c>
      <c r="B43">
        <f>Job_Master!B44</f>
        <v>63</v>
      </c>
      <c r="C43" t="str">
        <f>Job_Master!C44</f>
        <v>RW</v>
      </c>
      <c r="D43">
        <f>Job_Master!D44</f>
        <v>2</v>
      </c>
      <c r="E43" t="s">
        <v>338</v>
      </c>
      <c r="F43">
        <v>7</v>
      </c>
      <c r="G43">
        <f>Job_Master!D44</f>
        <v>2</v>
      </c>
      <c r="H43">
        <f t="shared" si="2"/>
        <v>5</v>
      </c>
      <c r="I43" t="str">
        <f t="shared" si="3"/>
        <v>🟢 OK</v>
      </c>
    </row>
    <row r="44" spans="1:9" ht="15" customHeight="1" x14ac:dyDescent="0.3">
      <c r="A44" t="str">
        <f>Job_Master!A45</f>
        <v>BJ-146</v>
      </c>
      <c r="B44">
        <f>Job_Master!B45</f>
        <v>20</v>
      </c>
      <c r="C44" t="str">
        <f>Job_Master!C45</f>
        <v>RW</v>
      </c>
      <c r="D44">
        <f>Job_Master!D45</f>
        <v>2</v>
      </c>
      <c r="E44" t="s">
        <v>337</v>
      </c>
      <c r="F44">
        <v>13</v>
      </c>
      <c r="G44">
        <f>Job_Master!D45</f>
        <v>2</v>
      </c>
      <c r="H44">
        <f t="shared" si="2"/>
        <v>11</v>
      </c>
      <c r="I44" t="str">
        <f t="shared" si="3"/>
        <v>🟢 OK</v>
      </c>
    </row>
    <row r="45" spans="1:9" ht="15" customHeight="1" x14ac:dyDescent="0.3">
      <c r="A45" t="str">
        <f>Job_Master!A46</f>
        <v>BJ-139</v>
      </c>
      <c r="B45">
        <f>Job_Master!B46</f>
        <v>15</v>
      </c>
      <c r="C45" t="str">
        <f>Job_Master!C46</f>
        <v>RW</v>
      </c>
      <c r="D45">
        <f>Job_Master!D46</f>
        <v>2</v>
      </c>
      <c r="E45" t="s">
        <v>339</v>
      </c>
      <c r="F45">
        <v>23</v>
      </c>
      <c r="G45">
        <f>Job_Master!D46</f>
        <v>2</v>
      </c>
      <c r="H45">
        <f t="shared" si="2"/>
        <v>21</v>
      </c>
      <c r="I45" t="str">
        <f t="shared" si="3"/>
        <v>🟢 OK</v>
      </c>
    </row>
    <row r="46" spans="1:9" ht="15" customHeight="1" x14ac:dyDescent="0.3">
      <c r="A46" t="str">
        <f>Job_Master!A47</f>
        <v>BJ-141</v>
      </c>
      <c r="B46">
        <f>Job_Master!B47</f>
        <v>50</v>
      </c>
      <c r="C46" t="str">
        <f>Job_Master!C47</f>
        <v>SOL</v>
      </c>
      <c r="D46">
        <f>Job_Master!D47</f>
        <v>4</v>
      </c>
      <c r="E46" t="s">
        <v>335</v>
      </c>
      <c r="F46">
        <v>24</v>
      </c>
      <c r="G46">
        <f>Job_Master!D47</f>
        <v>4</v>
      </c>
      <c r="H46">
        <f t="shared" si="2"/>
        <v>20</v>
      </c>
      <c r="I46" t="str">
        <f t="shared" si="3"/>
        <v>🟢 OK</v>
      </c>
    </row>
    <row r="47" spans="1:9" ht="15" customHeight="1" x14ac:dyDescent="0.3">
      <c r="A47" t="str">
        <f>Job_Master!A48</f>
        <v>BJ-142</v>
      </c>
      <c r="B47">
        <f>Job_Master!B48</f>
        <v>9</v>
      </c>
      <c r="C47" t="str">
        <f>Job_Master!C48</f>
        <v>RW</v>
      </c>
      <c r="D47">
        <f>Job_Master!D48</f>
        <v>2</v>
      </c>
      <c r="E47" t="s">
        <v>339</v>
      </c>
      <c r="F47">
        <v>22</v>
      </c>
      <c r="G47">
        <f>Job_Master!D48</f>
        <v>2</v>
      </c>
      <c r="H47">
        <f t="shared" si="2"/>
        <v>20</v>
      </c>
      <c r="I47" t="str">
        <f t="shared" si="3"/>
        <v>🟢 OK</v>
      </c>
    </row>
    <row r="48" spans="1:9" ht="15" customHeight="1" x14ac:dyDescent="0.3">
      <c r="A48" t="str">
        <f>Job_Master!A49</f>
        <v>BJ-147</v>
      </c>
      <c r="B48">
        <f>Job_Master!B49</f>
        <v>34</v>
      </c>
      <c r="C48" t="str">
        <f>Job_Master!C49</f>
        <v>SOL</v>
      </c>
      <c r="D48">
        <f>Job_Master!D49</f>
        <v>4</v>
      </c>
      <c r="E48" t="s">
        <v>335</v>
      </c>
      <c r="F48">
        <v>21</v>
      </c>
      <c r="G48">
        <f>Job_Master!D49</f>
        <v>4</v>
      </c>
      <c r="H48">
        <f t="shared" si="2"/>
        <v>17</v>
      </c>
      <c r="I48" t="str">
        <f t="shared" si="3"/>
        <v>🟢 OK</v>
      </c>
    </row>
    <row r="49" spans="1:9" ht="15" customHeight="1" x14ac:dyDescent="0.3">
      <c r="A49" t="str">
        <f>Job_Master!A50</f>
        <v>BJ-150</v>
      </c>
      <c r="B49">
        <f>Job_Master!B50</f>
        <v>34</v>
      </c>
      <c r="C49" t="str">
        <f>Job_Master!C50</f>
        <v>SOL</v>
      </c>
      <c r="D49">
        <f>Job_Master!D50</f>
        <v>4</v>
      </c>
      <c r="E49" t="s">
        <v>335</v>
      </c>
      <c r="F49">
        <v>7</v>
      </c>
      <c r="G49">
        <f>Job_Master!D50</f>
        <v>4</v>
      </c>
      <c r="H49">
        <f t="shared" si="2"/>
        <v>3</v>
      </c>
      <c r="I49" t="str">
        <f t="shared" si="3"/>
        <v>🟢 OK</v>
      </c>
    </row>
    <row r="50" spans="1:9" ht="15" customHeight="1" x14ac:dyDescent="0.3">
      <c r="A50" t="str">
        <f>Job_Master!A51</f>
        <v>BJ-151</v>
      </c>
      <c r="B50">
        <f>Job_Master!B51</f>
        <v>25</v>
      </c>
      <c r="C50" t="str">
        <f>Job_Master!C51</f>
        <v>SOL</v>
      </c>
      <c r="D50">
        <f>Job_Master!D51</f>
        <v>4</v>
      </c>
      <c r="E50" t="s">
        <v>336</v>
      </c>
      <c r="F50">
        <v>25</v>
      </c>
      <c r="G50">
        <f>Job_Master!D51</f>
        <v>4</v>
      </c>
      <c r="H50">
        <f t="shared" si="2"/>
        <v>21</v>
      </c>
      <c r="I50" t="str">
        <f t="shared" si="3"/>
        <v>🟢 OK</v>
      </c>
    </row>
    <row r="51" spans="1:9" ht="15" customHeight="1" x14ac:dyDescent="0.3">
      <c r="A51" t="str">
        <f>Job_Master!A52</f>
        <v>BJ-152</v>
      </c>
      <c r="B51">
        <f>Job_Master!B52</f>
        <v>34</v>
      </c>
      <c r="C51" t="str">
        <f>Job_Master!C52</f>
        <v>2P</v>
      </c>
      <c r="D51">
        <f>Job_Master!D52</f>
        <v>2</v>
      </c>
      <c r="E51" t="s">
        <v>335</v>
      </c>
      <c r="F51">
        <v>7</v>
      </c>
      <c r="G51">
        <f>Job_Master!D52</f>
        <v>2</v>
      </c>
      <c r="H51">
        <f t="shared" si="2"/>
        <v>5</v>
      </c>
      <c r="I51" t="str">
        <f t="shared" si="3"/>
        <v>🟢 OK</v>
      </c>
    </row>
    <row r="52" spans="1:9" ht="15" customHeight="1" x14ac:dyDescent="0.3">
      <c r="A52" t="str">
        <f>Job_Master!A53</f>
        <v>BJ-143</v>
      </c>
      <c r="B52">
        <f>Job_Master!B53</f>
        <v>17</v>
      </c>
      <c r="C52" t="str">
        <f>Job_Master!C53</f>
        <v>SOL</v>
      </c>
      <c r="D52">
        <f>Job_Master!D53</f>
        <v>4</v>
      </c>
      <c r="E52" t="s">
        <v>337</v>
      </c>
      <c r="F52">
        <v>14</v>
      </c>
      <c r="G52">
        <f>Job_Master!D53</f>
        <v>4</v>
      </c>
      <c r="H52">
        <f t="shared" si="2"/>
        <v>10</v>
      </c>
      <c r="I52" t="str">
        <f t="shared" si="3"/>
        <v>🟢 OK</v>
      </c>
    </row>
    <row r="53" spans="1:9" ht="15" customHeight="1" x14ac:dyDescent="0.3">
      <c r="A53" t="str">
        <f>Job_Master!A54</f>
        <v>BJ-154</v>
      </c>
      <c r="B53">
        <f>Job_Master!B54</f>
        <v>25</v>
      </c>
      <c r="C53" t="str">
        <f>Job_Master!C54</f>
        <v>RW</v>
      </c>
      <c r="D53">
        <f>Job_Master!D54</f>
        <v>2</v>
      </c>
      <c r="E53" t="s">
        <v>336</v>
      </c>
      <c r="F53">
        <v>22</v>
      </c>
      <c r="G53">
        <f>Job_Master!D54</f>
        <v>2</v>
      </c>
      <c r="H53">
        <f t="shared" si="2"/>
        <v>20</v>
      </c>
      <c r="I53" t="str">
        <f t="shared" si="3"/>
        <v>🟢 OK</v>
      </c>
    </row>
    <row r="54" spans="1:9" ht="15" customHeight="1" x14ac:dyDescent="0.3">
      <c r="A54" t="str">
        <f>Job_Master!A55</f>
        <v>BJ-156</v>
      </c>
      <c r="B54">
        <f>Job_Master!B55</f>
        <v>25</v>
      </c>
      <c r="C54" t="str">
        <f>Job_Master!C55</f>
        <v>2P</v>
      </c>
      <c r="D54">
        <f>Job_Master!D55</f>
        <v>2</v>
      </c>
      <c r="E54" t="s">
        <v>336</v>
      </c>
      <c r="F54">
        <v>19</v>
      </c>
      <c r="G54">
        <f>Job_Master!D55</f>
        <v>2</v>
      </c>
      <c r="H54">
        <f t="shared" si="2"/>
        <v>17</v>
      </c>
      <c r="I54" t="str">
        <f t="shared" si="3"/>
        <v>🟢 OK</v>
      </c>
    </row>
    <row r="55" spans="1:9" ht="15" customHeight="1" x14ac:dyDescent="0.3">
      <c r="A55" t="str">
        <f>Job_Master!A56</f>
        <v>BJ-145</v>
      </c>
      <c r="B55">
        <f>Job_Master!B56</f>
        <v>15</v>
      </c>
      <c r="C55" t="str">
        <f>Job_Master!C56</f>
        <v>2P</v>
      </c>
      <c r="D55">
        <f>Job_Master!D56</f>
        <v>2</v>
      </c>
      <c r="E55" t="s">
        <v>339</v>
      </c>
      <c r="F55">
        <v>23</v>
      </c>
      <c r="G55">
        <f>Job_Master!D56</f>
        <v>2</v>
      </c>
      <c r="H55">
        <f t="shared" si="2"/>
        <v>21</v>
      </c>
      <c r="I55" t="str">
        <f t="shared" si="3"/>
        <v>🟢 OK</v>
      </c>
    </row>
    <row r="56" spans="1:9" ht="15" customHeight="1" x14ac:dyDescent="0.3">
      <c r="A56" t="str">
        <f>Job_Master!A57</f>
        <v>BJ-153</v>
      </c>
      <c r="B56">
        <f>Job_Master!B57</f>
        <v>34</v>
      </c>
      <c r="C56" t="str">
        <f>Job_Master!C57</f>
        <v>SEG</v>
      </c>
      <c r="D56">
        <f>Job_Master!D57</f>
        <v>6</v>
      </c>
      <c r="E56" t="s">
        <v>335</v>
      </c>
      <c r="F56">
        <v>3</v>
      </c>
      <c r="G56">
        <f>Job_Master!D57</f>
        <v>6</v>
      </c>
      <c r="H56">
        <f t="shared" si="2"/>
        <v>-3</v>
      </c>
      <c r="I56" t="str">
        <f t="shared" si="3"/>
        <v>🟡 Low Stock</v>
      </c>
    </row>
    <row r="57" spans="1:9" ht="15" customHeight="1" x14ac:dyDescent="0.3">
      <c r="A57" t="str">
        <f>Job_Master!A58</f>
        <v>BJ-160</v>
      </c>
      <c r="B57">
        <f>Job_Master!B58</f>
        <v>34</v>
      </c>
      <c r="C57" t="str">
        <f>Job_Master!C58</f>
        <v>2P</v>
      </c>
      <c r="D57">
        <f>Job_Master!D58</f>
        <v>2</v>
      </c>
      <c r="E57" t="s">
        <v>335</v>
      </c>
      <c r="F57">
        <v>3</v>
      </c>
      <c r="G57">
        <f>Job_Master!D58</f>
        <v>2</v>
      </c>
      <c r="H57">
        <f t="shared" si="2"/>
        <v>1</v>
      </c>
      <c r="I57" t="str">
        <f t="shared" si="3"/>
        <v>🟢 OK</v>
      </c>
    </row>
    <row r="58" spans="1:9" ht="15" customHeight="1" x14ac:dyDescent="0.3">
      <c r="A58" t="str">
        <f>Job_Master!A59</f>
        <v>BJ-158</v>
      </c>
      <c r="B58">
        <f>Job_Master!B59</f>
        <v>54</v>
      </c>
      <c r="C58" t="str">
        <f>Job_Master!C59</f>
        <v>2P</v>
      </c>
      <c r="D58">
        <f>Job_Master!D59</f>
        <v>2</v>
      </c>
      <c r="E58" t="s">
        <v>338</v>
      </c>
      <c r="F58">
        <v>14</v>
      </c>
      <c r="G58">
        <f>Job_Master!D59</f>
        <v>2</v>
      </c>
      <c r="H58">
        <f t="shared" si="2"/>
        <v>12</v>
      </c>
      <c r="I58" t="str">
        <f t="shared" si="3"/>
        <v>🟢 OK</v>
      </c>
    </row>
    <row r="59" spans="1:9" ht="15" customHeight="1" x14ac:dyDescent="0.3">
      <c r="A59" t="str">
        <f>Job_Master!A60</f>
        <v>BJ-157</v>
      </c>
      <c r="B59">
        <f>Job_Master!B60</f>
        <v>50</v>
      </c>
      <c r="C59" t="str">
        <f>Job_Master!C60</f>
        <v>SEG</v>
      </c>
      <c r="D59">
        <f>Job_Master!D60</f>
        <v>6</v>
      </c>
      <c r="E59" t="s">
        <v>335</v>
      </c>
      <c r="F59">
        <v>4</v>
      </c>
      <c r="G59">
        <f>Job_Master!D60</f>
        <v>6</v>
      </c>
      <c r="H59">
        <f t="shared" si="2"/>
        <v>-2</v>
      </c>
      <c r="I59" t="str">
        <f t="shared" si="3"/>
        <v>🟡 Low Stock</v>
      </c>
    </row>
    <row r="60" spans="1:9" ht="15" customHeight="1" x14ac:dyDescent="0.3">
      <c r="A60" t="str">
        <f>Job_Master!A61</f>
        <v>BJ-159</v>
      </c>
      <c r="B60">
        <f>Job_Master!B61</f>
        <v>54</v>
      </c>
      <c r="C60" t="str">
        <f>Job_Master!C61</f>
        <v>RW</v>
      </c>
      <c r="D60">
        <f>Job_Master!D61</f>
        <v>2</v>
      </c>
      <c r="E60" t="s">
        <v>338</v>
      </c>
      <c r="F60">
        <v>20</v>
      </c>
      <c r="G60">
        <f>Job_Master!D61</f>
        <v>2</v>
      </c>
      <c r="H60">
        <f t="shared" si="2"/>
        <v>18</v>
      </c>
      <c r="I60" t="str">
        <f t="shared" si="3"/>
        <v>🟢 OK</v>
      </c>
    </row>
    <row r="61" spans="1:9" ht="15" customHeight="1" x14ac:dyDescent="0.3">
      <c r="A61" t="str">
        <f>Job_Master!A62</f>
        <v>BJ-148</v>
      </c>
      <c r="B61">
        <f>Job_Master!B62</f>
        <v>9</v>
      </c>
      <c r="C61" t="str">
        <f>Job_Master!C62</f>
        <v>SEG</v>
      </c>
      <c r="D61">
        <f>Job_Master!D62</f>
        <v>6</v>
      </c>
      <c r="E61" t="s">
        <v>339</v>
      </c>
      <c r="F61">
        <v>12</v>
      </c>
      <c r="G61">
        <f>Job_Master!D62</f>
        <v>6</v>
      </c>
      <c r="H61">
        <f t="shared" si="2"/>
        <v>6</v>
      </c>
      <c r="I61" t="str">
        <f t="shared" si="3"/>
        <v>🟢 OK</v>
      </c>
    </row>
    <row r="62" spans="1:9" ht="15" customHeight="1" x14ac:dyDescent="0.3">
      <c r="A62" t="str">
        <f>Job_Master!A63</f>
        <v>BJ-161</v>
      </c>
      <c r="B62">
        <f>Job_Master!B63</f>
        <v>30</v>
      </c>
      <c r="C62" t="str">
        <f>Job_Master!C63</f>
        <v>SEG</v>
      </c>
      <c r="D62">
        <f>Job_Master!D63</f>
        <v>6</v>
      </c>
      <c r="E62" t="s">
        <v>336</v>
      </c>
      <c r="F62">
        <v>22</v>
      </c>
      <c r="G62">
        <f>Job_Master!D63</f>
        <v>6</v>
      </c>
      <c r="H62">
        <f t="shared" si="2"/>
        <v>16</v>
      </c>
      <c r="I62" t="str">
        <f t="shared" si="3"/>
        <v>🟢 OK</v>
      </c>
    </row>
    <row r="63" spans="1:9" ht="15" customHeight="1" x14ac:dyDescent="0.3">
      <c r="A63" t="str">
        <f>Job_Master!A64</f>
        <v>BJ-149</v>
      </c>
      <c r="B63">
        <f>Job_Master!B64</f>
        <v>9</v>
      </c>
      <c r="C63" t="str">
        <f>Job_Master!C64</f>
        <v>2P</v>
      </c>
      <c r="D63">
        <f>Job_Master!D64</f>
        <v>2</v>
      </c>
      <c r="E63" t="s">
        <v>339</v>
      </c>
      <c r="F63">
        <v>14</v>
      </c>
      <c r="G63">
        <f>Job_Master!D64</f>
        <v>2</v>
      </c>
      <c r="H63">
        <f t="shared" si="2"/>
        <v>12</v>
      </c>
      <c r="I63" t="str">
        <f t="shared" si="3"/>
        <v>🟢 OK</v>
      </c>
    </row>
    <row r="64" spans="1:9" ht="15" customHeight="1" x14ac:dyDescent="0.3">
      <c r="A64" t="str">
        <f>Job_Master!A65</f>
        <v>BJ-163</v>
      </c>
      <c r="B64">
        <f>Job_Master!B65</f>
        <v>70</v>
      </c>
      <c r="C64" t="str">
        <f>Job_Master!C65</f>
        <v>SOL</v>
      </c>
      <c r="D64">
        <f>Job_Master!D65</f>
        <v>4</v>
      </c>
      <c r="E64" t="s">
        <v>338</v>
      </c>
      <c r="F64">
        <v>16</v>
      </c>
      <c r="G64">
        <f>Job_Master!D65</f>
        <v>4</v>
      </c>
      <c r="H64">
        <f t="shared" si="2"/>
        <v>12</v>
      </c>
      <c r="I64" t="str">
        <f t="shared" si="3"/>
        <v>🟢 OK</v>
      </c>
    </row>
    <row r="65" spans="1:9" ht="15" customHeight="1" x14ac:dyDescent="0.3">
      <c r="A65" t="str">
        <f>Job_Master!A66</f>
        <v>BJ-164</v>
      </c>
      <c r="B65">
        <f>Job_Master!B66</f>
        <v>42</v>
      </c>
      <c r="C65" t="str">
        <f>Job_Master!C66</f>
        <v>SOL</v>
      </c>
      <c r="D65">
        <f>Job_Master!D66</f>
        <v>4</v>
      </c>
      <c r="E65" t="s">
        <v>335</v>
      </c>
      <c r="F65">
        <v>10</v>
      </c>
      <c r="G65">
        <f>Job_Master!D66</f>
        <v>4</v>
      </c>
      <c r="H65">
        <f t="shared" si="2"/>
        <v>6</v>
      </c>
      <c r="I65" t="str">
        <f t="shared" si="3"/>
        <v>🟢 OK</v>
      </c>
    </row>
    <row r="66" spans="1:9" ht="15" customHeight="1" x14ac:dyDescent="0.3">
      <c r="A66" t="str">
        <f>Job_Master!A67</f>
        <v>BJ-168</v>
      </c>
      <c r="B66">
        <f>Job_Master!B67</f>
        <v>20</v>
      </c>
      <c r="C66" t="str">
        <f>Job_Master!C67</f>
        <v>2P</v>
      </c>
      <c r="D66">
        <f>Job_Master!D67</f>
        <v>2</v>
      </c>
      <c r="E66" t="s">
        <v>337</v>
      </c>
      <c r="F66">
        <v>9</v>
      </c>
      <c r="G66">
        <f>Job_Master!D67</f>
        <v>2</v>
      </c>
      <c r="H66">
        <f t="shared" si="2"/>
        <v>7</v>
      </c>
      <c r="I66" t="str">
        <f t="shared" si="3"/>
        <v>🟢 OK</v>
      </c>
    </row>
    <row r="67" spans="1:9" ht="15" customHeight="1" x14ac:dyDescent="0.3">
      <c r="A67" t="str">
        <f>Job_Master!A68</f>
        <v>BJ-155</v>
      </c>
      <c r="B67">
        <f>Job_Master!B68</f>
        <v>17</v>
      </c>
      <c r="C67" t="str">
        <f>Job_Master!C68</f>
        <v>RW</v>
      </c>
      <c r="D67">
        <f>Job_Master!D68</f>
        <v>2</v>
      </c>
      <c r="E67" t="s">
        <v>337</v>
      </c>
      <c r="F67">
        <v>19</v>
      </c>
      <c r="G67">
        <f>Job_Master!D68</f>
        <v>2</v>
      </c>
      <c r="H67">
        <f t="shared" ref="H67:H98" si="4">F67-G67</f>
        <v>17</v>
      </c>
      <c r="I67" t="str">
        <f t="shared" ref="I67:I72" si="5">IF(F67&lt;=0,"🔴 Out of Stock",IF(F67&lt;G67,"🟡 Low Stock","🟢 OK"))</f>
        <v>🟢 OK</v>
      </c>
    </row>
    <row r="68" spans="1:9" ht="15" customHeight="1" x14ac:dyDescent="0.3">
      <c r="A68" t="str">
        <f>Job_Master!A69</f>
        <v>BJ-167</v>
      </c>
      <c r="B68">
        <f>Job_Master!B69</f>
        <v>54</v>
      </c>
      <c r="C68" t="str">
        <f>Job_Master!C69</f>
        <v>2P</v>
      </c>
      <c r="D68">
        <f>Job_Master!D69</f>
        <v>2</v>
      </c>
      <c r="E68" t="s">
        <v>338</v>
      </c>
      <c r="F68">
        <v>10</v>
      </c>
      <c r="G68">
        <f>Job_Master!D69</f>
        <v>2</v>
      </c>
      <c r="H68">
        <f t="shared" si="4"/>
        <v>8</v>
      </c>
      <c r="I68" t="str">
        <f t="shared" si="5"/>
        <v>🟢 OK</v>
      </c>
    </row>
    <row r="69" spans="1:9" ht="15" customHeight="1" x14ac:dyDescent="0.3">
      <c r="A69" t="str">
        <f>Job_Master!A70</f>
        <v>BJ-166</v>
      </c>
      <c r="B69">
        <f>Job_Master!B70</f>
        <v>50</v>
      </c>
      <c r="C69" t="str">
        <f>Job_Master!C70</f>
        <v>SOL</v>
      </c>
      <c r="D69">
        <f>Job_Master!D70</f>
        <v>4</v>
      </c>
      <c r="E69" t="s">
        <v>335</v>
      </c>
      <c r="F69">
        <v>20</v>
      </c>
      <c r="G69">
        <f>Job_Master!D70</f>
        <v>4</v>
      </c>
      <c r="H69">
        <f t="shared" si="4"/>
        <v>16</v>
      </c>
      <c r="I69" t="str">
        <f t="shared" si="5"/>
        <v>🟢 OK</v>
      </c>
    </row>
    <row r="70" spans="1:9" ht="15" customHeight="1" x14ac:dyDescent="0.3">
      <c r="A70" t="str">
        <f>Job_Master!A71</f>
        <v>BJ-162</v>
      </c>
      <c r="B70">
        <f>Job_Master!B71</f>
        <v>17</v>
      </c>
      <c r="C70" t="str">
        <f>Job_Master!C71</f>
        <v>SOL</v>
      </c>
      <c r="D70">
        <f>Job_Master!D71</f>
        <v>4</v>
      </c>
      <c r="E70" t="s">
        <v>337</v>
      </c>
      <c r="F70">
        <v>20</v>
      </c>
      <c r="G70">
        <f>Job_Master!D71</f>
        <v>4</v>
      </c>
      <c r="H70">
        <f t="shared" si="4"/>
        <v>16</v>
      </c>
      <c r="I70" t="str">
        <f t="shared" si="5"/>
        <v>🟢 OK</v>
      </c>
    </row>
    <row r="71" spans="1:9" ht="15" customHeight="1" x14ac:dyDescent="0.3">
      <c r="A71" t="str">
        <f>Job_Master!A72</f>
        <v>BJ-165</v>
      </c>
      <c r="B71">
        <f>Job_Master!B72</f>
        <v>17</v>
      </c>
      <c r="C71" t="str">
        <f>Job_Master!C72</f>
        <v>2P</v>
      </c>
      <c r="D71">
        <f>Job_Master!D72</f>
        <v>2</v>
      </c>
      <c r="E71" t="s">
        <v>337</v>
      </c>
      <c r="F71">
        <v>13</v>
      </c>
      <c r="G71">
        <f>Job_Master!D72</f>
        <v>2</v>
      </c>
      <c r="H71">
        <f t="shared" si="4"/>
        <v>11</v>
      </c>
      <c r="I71" t="str">
        <f t="shared" si="5"/>
        <v>🟢 OK</v>
      </c>
    </row>
    <row r="72" spans="1:9" ht="15" customHeight="1" x14ac:dyDescent="0.3">
      <c r="A72" t="str">
        <f>Job_Master!A73</f>
        <v>BJ-169</v>
      </c>
      <c r="B72">
        <f>Job_Master!B73</f>
        <v>17</v>
      </c>
      <c r="C72" t="str">
        <f>Job_Master!C73</f>
        <v>SEG</v>
      </c>
      <c r="D72">
        <f>Job_Master!D73</f>
        <v>6</v>
      </c>
      <c r="E72" t="s">
        <v>337</v>
      </c>
      <c r="F72">
        <v>6</v>
      </c>
      <c r="G72">
        <f>Job_Master!D73</f>
        <v>6</v>
      </c>
      <c r="H72">
        <f t="shared" si="4"/>
        <v>0</v>
      </c>
      <c r="I72" t="str">
        <f t="shared" si="5"/>
        <v>🟢 OK</v>
      </c>
    </row>
    <row r="74" spans="1:9" ht="15" customHeight="1" x14ac:dyDescent="0.3">
      <c r="A74" s="1" t="s">
        <v>340</v>
      </c>
    </row>
  </sheetData>
  <mergeCells count="1">
    <mergeCell ref="A1:J1"/>
  </mergeCells>
  <conditionalFormatting sqref="H3:H72">
    <cfRule type="expression" dxfId="15" priority="5">
      <formula>$H3&lt;0</formula>
    </cfRule>
  </conditionalFormatting>
  <conditionalFormatting sqref="I3:I72">
    <cfRule type="containsText" dxfId="14" priority="2" operator="containsText" text="Out of Stock">
      <formula>NOT(ISERROR(SEARCH("Out of Stock",I3)))</formula>
    </cfRule>
    <cfRule type="containsText" dxfId="13" priority="3" operator="containsText" text="Low Stock">
      <formula>NOT(ISERROR(SEARCH("Low Stock",I3)))</formula>
    </cfRule>
    <cfRule type="containsText" dxfId="12" priority="4" operator="containsText" text="OK">
      <formula>NOT(ISERROR(SEARCH("OK",I3)))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Q12"/>
  <sheetViews>
    <sheetView zoomScaleNormal="100" workbookViewId="0">
      <selection sqref="A1:L1"/>
    </sheetView>
  </sheetViews>
  <sheetFormatPr defaultColWidth="8.6640625" defaultRowHeight="14.4" x14ac:dyDescent="0.3"/>
  <cols>
    <col min="1" max="1" width="10" customWidth="1"/>
    <col min="2" max="2" width="18" customWidth="1"/>
    <col min="3" max="3" width="16" customWidth="1"/>
    <col min="4" max="5" width="12" customWidth="1"/>
    <col min="6" max="7" width="10" customWidth="1"/>
    <col min="8" max="14" width="7" customWidth="1"/>
    <col min="15" max="17" width="16" customWidth="1"/>
  </cols>
  <sheetData>
    <row r="1" spans="1:17" ht="25.5" customHeight="1" x14ac:dyDescent="0.3">
      <c r="A1" s="137" t="s">
        <v>341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</row>
    <row r="2" spans="1:17" ht="15" customHeight="1" x14ac:dyDescent="0.3">
      <c r="A2" s="136" t="s">
        <v>342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</row>
    <row r="3" spans="1:17" ht="15" customHeight="1" x14ac:dyDescent="0.3">
      <c r="A3" s="77" t="s">
        <v>98</v>
      </c>
      <c r="B3" s="77" t="s">
        <v>99</v>
      </c>
      <c r="C3" s="77" t="s">
        <v>343</v>
      </c>
      <c r="D3" s="74" t="s">
        <v>344</v>
      </c>
      <c r="E3" s="74" t="s">
        <v>345</v>
      </c>
      <c r="F3" s="74" t="s">
        <v>103</v>
      </c>
      <c r="G3" s="74" t="s">
        <v>104</v>
      </c>
      <c r="H3" s="72" t="s">
        <v>346</v>
      </c>
      <c r="I3" s="72" t="s">
        <v>347</v>
      </c>
      <c r="J3" s="72" t="s">
        <v>348</v>
      </c>
      <c r="K3" s="72" t="s">
        <v>349</v>
      </c>
      <c r="L3" s="72" t="s">
        <v>350</v>
      </c>
      <c r="M3" s="73" t="s">
        <v>351</v>
      </c>
      <c r="N3" s="73" t="s">
        <v>352</v>
      </c>
      <c r="O3" s="75" t="s">
        <v>353</v>
      </c>
      <c r="P3" s="75" t="s">
        <v>354</v>
      </c>
      <c r="Q3" s="75" t="s">
        <v>355</v>
      </c>
    </row>
    <row r="4" spans="1:17" ht="15" customHeight="1" x14ac:dyDescent="0.3">
      <c r="A4" s="78" t="str">
        <f>Settings!A4</f>
        <v>Shift A</v>
      </c>
      <c r="B4" s="78" t="str">
        <f>Settings!B4</f>
        <v>Gen</v>
      </c>
      <c r="C4" s="78" t="str">
        <f>Settings!E4</f>
        <v>07:00 – 15:00</v>
      </c>
      <c r="D4" s="78">
        <f>Settings!H4</f>
        <v>8</v>
      </c>
      <c r="E4" s="78">
        <f>Settings!I4</f>
        <v>7.2</v>
      </c>
      <c r="F4" s="78">
        <f>Settings!F4</f>
        <v>0</v>
      </c>
      <c r="G4" s="78">
        <f>Settings!G4</f>
        <v>0</v>
      </c>
      <c r="H4" s="79" t="s">
        <v>356</v>
      </c>
      <c r="I4" s="79" t="s">
        <v>356</v>
      </c>
      <c r="J4" s="79" t="s">
        <v>356</v>
      </c>
      <c r="K4" s="79" t="s">
        <v>356</v>
      </c>
      <c r="L4" s="79" t="s">
        <v>356</v>
      </c>
      <c r="M4" s="80" t="s">
        <v>357</v>
      </c>
      <c r="N4" s="80" t="s">
        <v>357</v>
      </c>
      <c r="O4" s="81">
        <f>Settings!F4*Settings!I4*5</f>
        <v>0</v>
      </c>
      <c r="P4" s="81">
        <f>Settings!G4*Settings!I4*5</f>
        <v>0</v>
      </c>
      <c r="Q4" s="81">
        <f>O4+P4</f>
        <v>0</v>
      </c>
    </row>
    <row r="5" spans="1:17" ht="15" customHeight="1" x14ac:dyDescent="0.3">
      <c r="A5" s="78" t="str">
        <f>Settings!A5</f>
        <v>Shift B</v>
      </c>
      <c r="B5" s="78" t="str">
        <f>Settings!B5</f>
        <v>Gen</v>
      </c>
      <c r="C5" s="78" t="str">
        <f>Settings!E5</f>
        <v>15:00 – 23:00</v>
      </c>
      <c r="D5" s="78">
        <f>Settings!H5</f>
        <v>8</v>
      </c>
      <c r="E5" s="78">
        <f>Settings!I5</f>
        <v>7.2</v>
      </c>
      <c r="F5" s="78">
        <f>Settings!F5</f>
        <v>0</v>
      </c>
      <c r="G5" s="78">
        <f>Settings!G5</f>
        <v>0</v>
      </c>
      <c r="H5" s="82" t="s">
        <v>358</v>
      </c>
      <c r="I5" s="82" t="s">
        <v>358</v>
      </c>
      <c r="J5" s="82" t="s">
        <v>358</v>
      </c>
      <c r="K5" s="82" t="s">
        <v>358</v>
      </c>
      <c r="L5" s="82" t="s">
        <v>358</v>
      </c>
      <c r="M5" s="80" t="s">
        <v>357</v>
      </c>
      <c r="N5" s="80" t="s">
        <v>357</v>
      </c>
      <c r="O5" s="81">
        <f>Settings!F5*Settings!I5*5</f>
        <v>0</v>
      </c>
      <c r="P5" s="81">
        <f>Settings!G5*Settings!I5*5</f>
        <v>0</v>
      </c>
      <c r="Q5" s="81">
        <f>O5+P5</f>
        <v>0</v>
      </c>
    </row>
    <row r="6" spans="1:17" ht="15" customHeight="1" x14ac:dyDescent="0.3">
      <c r="A6" s="78" t="str">
        <f>Settings!A6</f>
        <v>Shift C</v>
      </c>
      <c r="B6" s="78" t="str">
        <f>Settings!B6</f>
        <v>Gen</v>
      </c>
      <c r="C6" s="78" t="str">
        <f>Settings!E6</f>
        <v>23:00 – 07:00</v>
      </c>
      <c r="D6" s="78">
        <f>Settings!H6</f>
        <v>8</v>
      </c>
      <c r="E6" s="78">
        <f>Settings!I6</f>
        <v>7.2</v>
      </c>
      <c r="F6" s="78">
        <f>Settings!F6</f>
        <v>0</v>
      </c>
      <c r="G6" s="78">
        <f>Settings!G6</f>
        <v>0</v>
      </c>
      <c r="H6" s="83" t="s">
        <v>359</v>
      </c>
      <c r="I6" s="83" t="s">
        <v>359</v>
      </c>
      <c r="J6" s="83" t="s">
        <v>359</v>
      </c>
      <c r="K6" s="83" t="s">
        <v>359</v>
      </c>
      <c r="L6" s="83" t="s">
        <v>359</v>
      </c>
      <c r="M6" s="80" t="s">
        <v>357</v>
      </c>
      <c r="N6" s="80" t="s">
        <v>357</v>
      </c>
      <c r="O6" s="81">
        <f>Settings!F6*Settings!I6*5</f>
        <v>0</v>
      </c>
      <c r="P6" s="81">
        <f>Settings!G6*Settings!I6*5</f>
        <v>0</v>
      </c>
      <c r="Q6" s="81">
        <f>O6+P6</f>
        <v>0</v>
      </c>
    </row>
    <row r="7" spans="1:17" ht="15" customHeight="1" x14ac:dyDescent="0.3">
      <c r="A7" s="78" t="str">
        <f>Settings!A7</f>
        <v>Shift S1</v>
      </c>
      <c r="B7" s="78" t="str">
        <f>Settings!B7</f>
        <v>Cont</v>
      </c>
      <c r="C7" s="78" t="str">
        <f>Settings!E7</f>
        <v>08:00 – 20:00</v>
      </c>
      <c r="D7" s="78">
        <f>Settings!H7</f>
        <v>12</v>
      </c>
      <c r="E7" s="78">
        <f>Settings!I7</f>
        <v>11.2</v>
      </c>
      <c r="F7" s="78">
        <f>Settings!F7</f>
        <v>0</v>
      </c>
      <c r="G7" s="78">
        <f>Settings!G7</f>
        <v>0</v>
      </c>
      <c r="H7" s="84" t="s">
        <v>360</v>
      </c>
      <c r="I7" s="84" t="s">
        <v>360</v>
      </c>
      <c r="J7" s="84" t="s">
        <v>360</v>
      </c>
      <c r="K7" s="84" t="s">
        <v>360</v>
      </c>
      <c r="L7" s="84" t="s">
        <v>360</v>
      </c>
      <c r="M7" s="84" t="s">
        <v>360</v>
      </c>
      <c r="N7" s="80" t="s">
        <v>357</v>
      </c>
      <c r="O7" s="81">
        <f>Settings!F7*Settings!I7*6</f>
        <v>0</v>
      </c>
      <c r="P7" s="81">
        <f>Settings!G7*Settings!I7*6</f>
        <v>0</v>
      </c>
      <c r="Q7" s="81">
        <f>O7+P7</f>
        <v>0</v>
      </c>
    </row>
    <row r="8" spans="1:17" ht="15" customHeight="1" x14ac:dyDescent="0.3">
      <c r="A8" s="78" t="str">
        <f>Settings!A8</f>
        <v>Shift S2</v>
      </c>
      <c r="B8" s="78" t="str">
        <f>Settings!B8</f>
        <v>Cont</v>
      </c>
      <c r="C8" s="78" t="str">
        <f>Settings!E8</f>
        <v>20:00 – 08:00</v>
      </c>
      <c r="D8" s="78">
        <f>Settings!H8</f>
        <v>12</v>
      </c>
      <c r="E8" s="78">
        <f>Settings!I8</f>
        <v>11.2</v>
      </c>
      <c r="F8" s="78">
        <f>Settings!F8</f>
        <v>0</v>
      </c>
      <c r="G8" s="78">
        <f>Settings!G8</f>
        <v>0</v>
      </c>
      <c r="H8" s="85" t="s">
        <v>361</v>
      </c>
      <c r="I8" s="85" t="s">
        <v>361</v>
      </c>
      <c r="J8" s="85" t="s">
        <v>361</v>
      </c>
      <c r="K8" s="85" t="s">
        <v>361</v>
      </c>
      <c r="L8" s="85" t="s">
        <v>361</v>
      </c>
      <c r="M8" s="85" t="s">
        <v>361</v>
      </c>
      <c r="N8" s="80" t="s">
        <v>357</v>
      </c>
      <c r="O8" s="81">
        <f>Settings!F8*Settings!I8*6</f>
        <v>0</v>
      </c>
      <c r="P8" s="81">
        <f>Settings!G8*Settings!I8*6</f>
        <v>0</v>
      </c>
      <c r="Q8" s="81">
        <f>O8+P8</f>
        <v>0</v>
      </c>
    </row>
    <row r="10" spans="1:17" ht="15" customHeight="1" x14ac:dyDescent="0.3">
      <c r="A10" s="16" t="s">
        <v>362</v>
      </c>
      <c r="O10" s="86">
        <f>SUM(O4:O8)</f>
        <v>0</v>
      </c>
      <c r="P10" s="86">
        <f>SUM(P4:P8)</f>
        <v>0</v>
      </c>
      <c r="Q10" s="86">
        <f>SUM(Q4:Q8)</f>
        <v>0</v>
      </c>
    </row>
    <row r="12" spans="1:17" ht="15" customHeight="1" x14ac:dyDescent="0.3">
      <c r="A12" s="45" t="s">
        <v>363</v>
      </c>
      <c r="B12" s="87" t="s">
        <v>107</v>
      </c>
      <c r="C12" s="88" t="s">
        <v>110</v>
      </c>
      <c r="D12" s="89" t="s">
        <v>113</v>
      </c>
      <c r="E12" s="90" t="s">
        <v>115</v>
      </c>
      <c r="F12" s="91" t="s">
        <v>117</v>
      </c>
      <c r="G12" s="92" t="s">
        <v>357</v>
      </c>
    </row>
  </sheetData>
  <mergeCells count="2">
    <mergeCell ref="A2:L2"/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K88"/>
  <sheetViews>
    <sheetView zoomScaleNormal="100" workbookViewId="0">
      <selection activeCell="J3" sqref="J3"/>
    </sheetView>
  </sheetViews>
  <sheetFormatPr defaultColWidth="8.6640625" defaultRowHeight="14.4" x14ac:dyDescent="0.3"/>
  <cols>
    <col min="1" max="1" width="14" customWidth="1"/>
    <col min="2" max="2" width="10" customWidth="1"/>
    <col min="3" max="4" width="14" customWidth="1"/>
    <col min="5" max="5" width="16" customWidth="1"/>
    <col min="6" max="7" width="14" customWidth="1"/>
    <col min="8" max="8" width="18" customWidth="1"/>
    <col min="9" max="9" width="22" customWidth="1"/>
    <col min="10" max="10" width="10" customWidth="1"/>
    <col min="11" max="11" width="20" customWidth="1"/>
  </cols>
  <sheetData>
    <row r="1" spans="1:11" ht="25.5" customHeight="1" x14ac:dyDescent="0.3">
      <c r="A1" s="138" t="s">
        <v>364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</row>
    <row r="2" spans="1:11" ht="23.25" customHeight="1" x14ac:dyDescent="0.3">
      <c r="A2" s="72" t="s">
        <v>123</v>
      </c>
      <c r="B2" s="72" t="s">
        <v>122</v>
      </c>
      <c r="C2" s="73" t="s">
        <v>124</v>
      </c>
      <c r="D2" s="73" t="s">
        <v>365</v>
      </c>
      <c r="E2" s="73" t="s">
        <v>366</v>
      </c>
      <c r="F2" s="75" t="s">
        <v>367</v>
      </c>
      <c r="G2" s="75" t="s">
        <v>368</v>
      </c>
      <c r="H2" s="75" t="s">
        <v>369</v>
      </c>
      <c r="I2" s="74" t="s">
        <v>370</v>
      </c>
      <c r="J2" s="74" t="s">
        <v>10</v>
      </c>
      <c r="K2" s="76" t="s">
        <v>300</v>
      </c>
    </row>
    <row r="3" spans="1:11" ht="15" customHeight="1" x14ac:dyDescent="0.3">
      <c r="A3" t="str">
        <f>Machine_List!B4</f>
        <v>VTL-MC-01</v>
      </c>
      <c r="B3" t="str">
        <f>Machine_List!A4</f>
        <v>VTL</v>
      </c>
      <c r="C3" s="67">
        <f>Machine_List!C4</f>
        <v>46133</v>
      </c>
      <c r="D3">
        <f>Machine_List!D4</f>
        <v>6</v>
      </c>
      <c r="E3">
        <f>Machine_List!E4</f>
        <v>4</v>
      </c>
      <c r="F3" s="67"/>
    </row>
    <row r="4" spans="1:11" ht="15" customHeight="1" x14ac:dyDescent="0.3">
      <c r="A4" t="str">
        <f>Machine_List!B5</f>
        <v>VTL-MC-02</v>
      </c>
      <c r="B4" t="str">
        <f>Machine_List!A5</f>
        <v>VTL</v>
      </c>
      <c r="C4" s="67">
        <f>Machine_List!C5</f>
        <v>46521</v>
      </c>
      <c r="D4">
        <f>Machine_List!D5</f>
        <v>6</v>
      </c>
      <c r="E4">
        <f>Machine_List!E5</f>
        <v>4</v>
      </c>
      <c r="F4" s="67"/>
    </row>
    <row r="5" spans="1:11" ht="15" customHeight="1" x14ac:dyDescent="0.3">
      <c r="A5" t="str">
        <f>Machine_List!B6</f>
        <v>VTL-MC-03</v>
      </c>
      <c r="B5" t="str">
        <f>Machine_List!A6</f>
        <v>VTL</v>
      </c>
      <c r="C5" s="67">
        <f>Machine_List!C6</f>
        <v>46174</v>
      </c>
      <c r="D5">
        <f>Machine_List!D6</f>
        <v>6</v>
      </c>
      <c r="E5">
        <f>Machine_List!E6</f>
        <v>4</v>
      </c>
      <c r="F5" s="67"/>
    </row>
    <row r="6" spans="1:11" ht="15" customHeight="1" x14ac:dyDescent="0.3">
      <c r="A6" t="str">
        <f>Machine_List!B7</f>
        <v>VTL-MC-04</v>
      </c>
      <c r="B6" t="str">
        <f>Machine_List!A7</f>
        <v>VTL</v>
      </c>
      <c r="C6" s="67">
        <f>Machine_List!C7</f>
        <v>46517</v>
      </c>
      <c r="D6">
        <f>Machine_List!D7</f>
        <v>6</v>
      </c>
      <c r="E6">
        <f>Machine_List!E7</f>
        <v>4</v>
      </c>
      <c r="F6" s="67"/>
    </row>
    <row r="7" spans="1:11" ht="15" customHeight="1" x14ac:dyDescent="0.3">
      <c r="A7" t="str">
        <f>Machine_List!B8</f>
        <v>SPM-MC-01</v>
      </c>
      <c r="B7" t="str">
        <f>Machine_List!A8</f>
        <v>SPM</v>
      </c>
      <c r="C7" s="67">
        <f>Machine_List!C8</f>
        <v>46285</v>
      </c>
      <c r="D7">
        <f>Machine_List!D8</f>
        <v>6</v>
      </c>
      <c r="E7">
        <f>Machine_List!E8</f>
        <v>4</v>
      </c>
      <c r="F7" s="67"/>
    </row>
    <row r="8" spans="1:11" ht="15" customHeight="1" x14ac:dyDescent="0.3">
      <c r="A8" t="str">
        <f>Machine_List!B9</f>
        <v>SPM-MC-02</v>
      </c>
      <c r="B8" t="str">
        <f>Machine_List!A9</f>
        <v>SPM</v>
      </c>
      <c r="C8" s="67">
        <f>Machine_List!C9</f>
        <v>46459</v>
      </c>
      <c r="D8">
        <f>Machine_List!D9</f>
        <v>6</v>
      </c>
      <c r="E8">
        <f>Machine_List!E9</f>
        <v>4</v>
      </c>
      <c r="F8" s="67"/>
    </row>
    <row r="9" spans="1:11" ht="15" customHeight="1" x14ac:dyDescent="0.3">
      <c r="A9" t="str">
        <f>Machine_List!B10</f>
        <v>SPM-MC-03</v>
      </c>
      <c r="B9" t="str">
        <f>Machine_List!A10</f>
        <v>SPM</v>
      </c>
      <c r="C9" s="67">
        <f>Machine_List!C10</f>
        <v>46104</v>
      </c>
      <c r="D9">
        <f>Machine_List!D10</f>
        <v>6</v>
      </c>
      <c r="E9">
        <f>Machine_List!E10</f>
        <v>4</v>
      </c>
      <c r="F9" s="67"/>
    </row>
    <row r="10" spans="1:11" ht="15" customHeight="1" x14ac:dyDescent="0.3">
      <c r="A10" t="str">
        <f>Machine_List!B11</f>
        <v>SPM-MC-04</v>
      </c>
      <c r="B10" t="str">
        <f>Machine_List!A11</f>
        <v>SPM</v>
      </c>
      <c r="C10" s="67">
        <f>Machine_List!C11</f>
        <v>46197</v>
      </c>
      <c r="D10">
        <f>Machine_List!D11</f>
        <v>6</v>
      </c>
      <c r="E10">
        <f>Machine_List!E11</f>
        <v>4</v>
      </c>
      <c r="F10" s="67"/>
    </row>
    <row r="11" spans="1:11" ht="15" customHeight="1" x14ac:dyDescent="0.3">
      <c r="A11" t="str">
        <f>Machine_List!B12</f>
        <v>SPM-MC-05</v>
      </c>
      <c r="B11" t="str">
        <f>Machine_List!A12</f>
        <v>SPM</v>
      </c>
      <c r="C11" s="67">
        <f>Machine_List!C12</f>
        <v>46271</v>
      </c>
      <c r="D11">
        <f>Machine_List!D12</f>
        <v>6</v>
      </c>
      <c r="E11">
        <f>Machine_List!E12</f>
        <v>4</v>
      </c>
      <c r="F11" s="67"/>
    </row>
    <row r="12" spans="1:11" ht="15" customHeight="1" x14ac:dyDescent="0.3">
      <c r="A12" t="str">
        <f>Machine_List!B13</f>
        <v>SPM-MC-06</v>
      </c>
      <c r="B12" t="str">
        <f>Machine_List!A13</f>
        <v>SPM</v>
      </c>
      <c r="C12" s="67">
        <f>Machine_List!C13</f>
        <v>46176</v>
      </c>
      <c r="D12">
        <f>Machine_List!D13</f>
        <v>6</v>
      </c>
      <c r="E12">
        <f>Machine_List!E13</f>
        <v>4</v>
      </c>
      <c r="F12" s="67"/>
    </row>
    <row r="13" spans="1:11" ht="15" customHeight="1" x14ac:dyDescent="0.3">
      <c r="A13" t="str">
        <f>Machine_List!B14</f>
        <v>CARVING-MC-01</v>
      </c>
      <c r="B13" t="str">
        <f>Machine_List!A14</f>
        <v>CARVING</v>
      </c>
      <c r="C13" s="67">
        <f>Machine_List!C14</f>
        <v>46418</v>
      </c>
      <c r="D13">
        <f>Machine_List!D14</f>
        <v>6</v>
      </c>
      <c r="E13">
        <f>Machine_List!E14</f>
        <v>4</v>
      </c>
      <c r="F13" s="67"/>
    </row>
    <row r="14" spans="1:11" ht="15" customHeight="1" x14ac:dyDescent="0.3">
      <c r="A14" t="str">
        <f>Machine_List!B15</f>
        <v>CARVING-MC-02</v>
      </c>
      <c r="B14" t="str">
        <f>Machine_List!A15</f>
        <v>CARVING</v>
      </c>
      <c r="C14" s="67">
        <f>Machine_List!C15</f>
        <v>46282</v>
      </c>
      <c r="D14">
        <f>Machine_List!D15</f>
        <v>6</v>
      </c>
      <c r="E14">
        <f>Machine_List!E15</f>
        <v>4</v>
      </c>
      <c r="F14" s="67"/>
    </row>
    <row r="15" spans="1:11" ht="15" customHeight="1" x14ac:dyDescent="0.3">
      <c r="A15" t="str">
        <f>Machine_List!B16</f>
        <v>CARVING-MC-03</v>
      </c>
      <c r="B15" t="str">
        <f>Machine_List!A16</f>
        <v>CARVING</v>
      </c>
      <c r="C15" s="67">
        <f>Machine_List!C16</f>
        <v>46296</v>
      </c>
      <c r="D15">
        <f>Machine_List!D16</f>
        <v>6</v>
      </c>
      <c r="E15">
        <f>Machine_List!E16</f>
        <v>4</v>
      </c>
      <c r="F15" s="67"/>
    </row>
    <row r="16" spans="1:11" ht="15" customHeight="1" x14ac:dyDescent="0.3">
      <c r="A16" t="str">
        <f>Machine_List!B17</f>
        <v>CARVING-MC-04</v>
      </c>
      <c r="B16" t="str">
        <f>Machine_List!A17</f>
        <v>CARVING</v>
      </c>
      <c r="C16" s="67">
        <f>Machine_List!C17</f>
        <v>46237</v>
      </c>
      <c r="D16">
        <f>Machine_List!D17</f>
        <v>6</v>
      </c>
      <c r="E16">
        <f>Machine_List!E17</f>
        <v>4</v>
      </c>
      <c r="F16" s="67"/>
    </row>
    <row r="17" spans="1:6" ht="15" customHeight="1" x14ac:dyDescent="0.3">
      <c r="A17" t="str">
        <f>Machine_List!B18</f>
        <v>CARVING-MC-05</v>
      </c>
      <c r="B17" t="str">
        <f>Machine_List!A18</f>
        <v>CARVING</v>
      </c>
      <c r="C17" s="67">
        <f>Machine_List!C18</f>
        <v>46238</v>
      </c>
      <c r="D17">
        <f>Machine_List!D18</f>
        <v>6</v>
      </c>
      <c r="E17">
        <f>Machine_List!E18</f>
        <v>4</v>
      </c>
      <c r="F17" s="67"/>
    </row>
    <row r="18" spans="1:6" ht="15" customHeight="1" x14ac:dyDescent="0.3">
      <c r="A18" t="str">
        <f>Machine_List!B19</f>
        <v>CARVING-MC-06</v>
      </c>
      <c r="B18" t="str">
        <f>Machine_List!A19</f>
        <v>CARVING</v>
      </c>
      <c r="C18" s="67">
        <f>Machine_List!C19</f>
        <v>46397</v>
      </c>
      <c r="D18">
        <f>Machine_List!D19</f>
        <v>6</v>
      </c>
      <c r="E18">
        <f>Machine_List!E19</f>
        <v>4</v>
      </c>
      <c r="F18" s="67"/>
    </row>
    <row r="19" spans="1:6" ht="15" customHeight="1" x14ac:dyDescent="0.3">
      <c r="A19" t="str">
        <f>Machine_List!B20</f>
        <v>EDM-MC-01</v>
      </c>
      <c r="B19" t="str">
        <f>Machine_List!A20</f>
        <v>EDM</v>
      </c>
      <c r="C19" s="67">
        <f>Machine_List!C20</f>
        <v>46092</v>
      </c>
      <c r="D19">
        <f>Machine_List!D20</f>
        <v>6</v>
      </c>
      <c r="E19">
        <f>Machine_List!E20</f>
        <v>4</v>
      </c>
      <c r="F19" s="67"/>
    </row>
    <row r="20" spans="1:6" ht="15" customHeight="1" x14ac:dyDescent="0.3">
      <c r="A20" t="str">
        <f>Machine_List!B21</f>
        <v>EDM-MC-02</v>
      </c>
      <c r="B20" t="str">
        <f>Machine_List!A21</f>
        <v>EDM</v>
      </c>
      <c r="C20" s="67">
        <f>Machine_List!C21</f>
        <v>46160</v>
      </c>
      <c r="D20">
        <f>Machine_List!D21</f>
        <v>6</v>
      </c>
      <c r="E20">
        <f>Machine_List!E21</f>
        <v>4</v>
      </c>
      <c r="F20" s="67"/>
    </row>
    <row r="21" spans="1:6" ht="15" customHeight="1" x14ac:dyDescent="0.3">
      <c r="A21" t="str">
        <f>Machine_List!B22</f>
        <v>EDM-MC-03</v>
      </c>
      <c r="B21" t="str">
        <f>Machine_List!A22</f>
        <v>EDM</v>
      </c>
      <c r="C21" s="67">
        <f>Machine_List!C22</f>
        <v>46057</v>
      </c>
      <c r="D21">
        <f>Machine_List!D22</f>
        <v>6</v>
      </c>
      <c r="E21">
        <f>Machine_List!E22</f>
        <v>4</v>
      </c>
      <c r="F21" s="67"/>
    </row>
    <row r="22" spans="1:6" ht="15" customHeight="1" x14ac:dyDescent="0.3">
      <c r="A22" t="str">
        <f>Machine_List!B23</f>
        <v>EDM-MC-04</v>
      </c>
      <c r="B22" t="str">
        <f>Machine_List!A23</f>
        <v>EDM</v>
      </c>
      <c r="C22" s="67">
        <f>Machine_List!C23</f>
        <v>46111</v>
      </c>
      <c r="D22">
        <f>Machine_List!D23</f>
        <v>6</v>
      </c>
      <c r="E22">
        <f>Machine_List!E23</f>
        <v>4</v>
      </c>
      <c r="F22" s="67"/>
    </row>
    <row r="23" spans="1:6" ht="15" customHeight="1" x14ac:dyDescent="0.3">
      <c r="A23" t="str">
        <f>Machine_List!B24</f>
        <v>EDM-MC-05</v>
      </c>
      <c r="B23" t="str">
        <f>Machine_List!A24</f>
        <v>EDM</v>
      </c>
      <c r="C23" s="67">
        <f>Machine_List!C24</f>
        <v>46225</v>
      </c>
      <c r="D23">
        <f>Machine_List!D24</f>
        <v>6</v>
      </c>
      <c r="E23">
        <f>Machine_List!E24</f>
        <v>4</v>
      </c>
      <c r="F23" s="67"/>
    </row>
    <row r="24" spans="1:6" ht="15" customHeight="1" x14ac:dyDescent="0.3">
      <c r="A24" t="str">
        <f>Machine_List!B25</f>
        <v>EDM-MC-06</v>
      </c>
      <c r="B24" t="str">
        <f>Machine_List!A25</f>
        <v>EDM</v>
      </c>
      <c r="C24" s="67">
        <f>Machine_List!C25</f>
        <v>46330</v>
      </c>
      <c r="D24">
        <f>Machine_List!D25</f>
        <v>6</v>
      </c>
      <c r="E24">
        <f>Machine_List!E25</f>
        <v>4</v>
      </c>
      <c r="F24" s="67"/>
    </row>
    <row r="25" spans="1:6" ht="15" customHeight="1" x14ac:dyDescent="0.3">
      <c r="A25" t="str">
        <f>Machine_List!B26</f>
        <v>EDM-MC-07</v>
      </c>
      <c r="B25" t="str">
        <f>Machine_List!A26</f>
        <v>EDM</v>
      </c>
      <c r="C25" s="67">
        <f>Machine_List!C26</f>
        <v>46208</v>
      </c>
      <c r="D25">
        <f>Machine_List!D26</f>
        <v>6</v>
      </c>
      <c r="E25">
        <f>Machine_List!E26</f>
        <v>4</v>
      </c>
      <c r="F25" s="67"/>
    </row>
    <row r="26" spans="1:6" ht="15" customHeight="1" x14ac:dyDescent="0.3">
      <c r="A26" t="str">
        <f>Machine_List!B27</f>
        <v>EDM-MC-08</v>
      </c>
      <c r="B26" t="str">
        <f>Machine_List!A27</f>
        <v>EDM</v>
      </c>
      <c r="C26" s="67">
        <f>Machine_List!C27</f>
        <v>46291</v>
      </c>
      <c r="D26">
        <f>Machine_List!D27</f>
        <v>6</v>
      </c>
      <c r="E26">
        <f>Machine_List!E27</f>
        <v>4</v>
      </c>
      <c r="F26" s="67"/>
    </row>
    <row r="27" spans="1:6" ht="15" customHeight="1" x14ac:dyDescent="0.3">
      <c r="A27" t="str">
        <f>Machine_List!B28</f>
        <v>EDM-MC-09</v>
      </c>
      <c r="B27" t="str">
        <f>Machine_List!A28</f>
        <v>EDM</v>
      </c>
      <c r="C27" s="67">
        <f>Machine_List!C28</f>
        <v>46237</v>
      </c>
      <c r="D27">
        <f>Machine_List!D28</f>
        <v>6</v>
      </c>
      <c r="E27">
        <f>Machine_List!E28</f>
        <v>4</v>
      </c>
      <c r="F27" s="67"/>
    </row>
    <row r="28" spans="1:6" ht="15" customHeight="1" x14ac:dyDescent="0.3">
      <c r="A28" t="str">
        <f>Machine_List!B29</f>
        <v>EDM-MC-10</v>
      </c>
      <c r="B28" t="str">
        <f>Machine_List!A29</f>
        <v>EDM</v>
      </c>
      <c r="C28" s="67">
        <f>Machine_List!C29</f>
        <v>46503</v>
      </c>
      <c r="D28">
        <f>Machine_List!D29</f>
        <v>6</v>
      </c>
      <c r="E28">
        <f>Machine_List!E29</f>
        <v>4</v>
      </c>
      <c r="F28" s="67"/>
    </row>
    <row r="29" spans="1:6" ht="15" customHeight="1" x14ac:dyDescent="0.3">
      <c r="A29" t="str">
        <f>Machine_List!B30</f>
        <v>EDM-MC-11</v>
      </c>
      <c r="B29" t="str">
        <f>Machine_List!A30</f>
        <v>EDM</v>
      </c>
      <c r="C29" s="67">
        <f>Machine_List!C30</f>
        <v>46098</v>
      </c>
      <c r="D29">
        <f>Machine_List!D30</f>
        <v>6</v>
      </c>
      <c r="E29">
        <f>Machine_List!E30</f>
        <v>4</v>
      </c>
      <c r="F29" s="67"/>
    </row>
    <row r="30" spans="1:6" ht="15" customHeight="1" x14ac:dyDescent="0.3">
      <c r="A30" t="str">
        <f>Machine_List!B31</f>
        <v>EDM-MC-12</v>
      </c>
      <c r="B30" t="str">
        <f>Machine_List!A31</f>
        <v>EDM</v>
      </c>
      <c r="C30" s="67">
        <f>Machine_List!C31</f>
        <v>46337</v>
      </c>
      <c r="D30">
        <f>Machine_List!D31</f>
        <v>6</v>
      </c>
      <c r="E30">
        <f>Machine_List!E31</f>
        <v>4</v>
      </c>
      <c r="F30" s="67"/>
    </row>
    <row r="31" spans="1:6" ht="15" customHeight="1" x14ac:dyDescent="0.3">
      <c r="A31" t="str">
        <f>Machine_List!B32</f>
        <v>EDM-MC-13</v>
      </c>
      <c r="B31" t="str">
        <f>Machine_List!A32</f>
        <v>EDM</v>
      </c>
      <c r="C31" s="67">
        <f>Machine_List!C32</f>
        <v>46212</v>
      </c>
      <c r="D31">
        <f>Machine_List!D32</f>
        <v>6</v>
      </c>
      <c r="E31">
        <f>Machine_List!E32</f>
        <v>4</v>
      </c>
      <c r="F31" s="67"/>
    </row>
    <row r="32" spans="1:6" ht="15" customHeight="1" x14ac:dyDescent="0.3">
      <c r="A32" t="str">
        <f>Machine_List!B33</f>
        <v>EDM-MC-14</v>
      </c>
      <c r="B32" t="str">
        <f>Machine_List!A33</f>
        <v>EDM</v>
      </c>
      <c r="C32" s="67">
        <f>Machine_List!C33</f>
        <v>46447</v>
      </c>
      <c r="D32">
        <f>Machine_List!D33</f>
        <v>6</v>
      </c>
      <c r="E32">
        <f>Machine_List!E33</f>
        <v>4</v>
      </c>
      <c r="F32" s="67"/>
    </row>
    <row r="33" spans="1:6" ht="15" customHeight="1" x14ac:dyDescent="0.3">
      <c r="A33" t="str">
        <f>Machine_List!B34</f>
        <v>EDM-MC-15</v>
      </c>
      <c r="B33" t="str">
        <f>Machine_List!A34</f>
        <v>EDM</v>
      </c>
      <c r="C33" s="67">
        <f>Machine_List!C34</f>
        <v>46357</v>
      </c>
      <c r="D33">
        <f>Machine_List!D34</f>
        <v>6</v>
      </c>
      <c r="E33">
        <f>Machine_List!E34</f>
        <v>4</v>
      </c>
      <c r="F33" s="67"/>
    </row>
    <row r="34" spans="1:6" ht="15" customHeight="1" x14ac:dyDescent="0.3">
      <c r="A34" t="str">
        <f>Machine_List!B35</f>
        <v>EDM-MC-16</v>
      </c>
      <c r="B34" t="str">
        <f>Machine_List!A35</f>
        <v>EDM</v>
      </c>
      <c r="C34" s="67">
        <f>Machine_List!C35</f>
        <v>46105</v>
      </c>
      <c r="D34">
        <f>Machine_List!D35</f>
        <v>6</v>
      </c>
      <c r="E34">
        <f>Machine_List!E35</f>
        <v>4</v>
      </c>
      <c r="F34" s="67"/>
    </row>
    <row r="35" spans="1:6" ht="15" customHeight="1" x14ac:dyDescent="0.3">
      <c r="A35" t="str">
        <f>Machine_List!B36</f>
        <v>EDM-MC-17</v>
      </c>
      <c r="B35" t="str">
        <f>Machine_List!A36</f>
        <v>EDM</v>
      </c>
      <c r="C35" s="67">
        <f>Machine_List!C36</f>
        <v>46504</v>
      </c>
      <c r="D35">
        <f>Machine_List!D36</f>
        <v>6</v>
      </c>
      <c r="E35">
        <f>Machine_List!E36</f>
        <v>4</v>
      </c>
      <c r="F35" s="67"/>
    </row>
    <row r="36" spans="1:6" ht="15" customHeight="1" x14ac:dyDescent="0.3">
      <c r="A36" t="str">
        <f>Machine_List!B37</f>
        <v>EDM-MC-18</v>
      </c>
      <c r="B36" t="str">
        <f>Machine_List!A37</f>
        <v>EDM</v>
      </c>
      <c r="C36" s="67">
        <f>Machine_List!C37</f>
        <v>46225</v>
      </c>
      <c r="D36">
        <f>Machine_List!D37</f>
        <v>6</v>
      </c>
      <c r="E36">
        <f>Machine_List!E37</f>
        <v>4</v>
      </c>
      <c r="F36" s="67"/>
    </row>
    <row r="37" spans="1:6" ht="15" customHeight="1" x14ac:dyDescent="0.3">
      <c r="A37" t="str">
        <f>Machine_List!B38</f>
        <v>EDM-MC-19</v>
      </c>
      <c r="B37" t="str">
        <f>Machine_List!A38</f>
        <v>EDM</v>
      </c>
      <c r="C37" s="67">
        <f>Machine_List!C38</f>
        <v>46263</v>
      </c>
      <c r="D37">
        <f>Machine_List!D38</f>
        <v>6</v>
      </c>
      <c r="E37">
        <f>Machine_List!E38</f>
        <v>4</v>
      </c>
      <c r="F37" s="67"/>
    </row>
    <row r="38" spans="1:6" ht="15" customHeight="1" x14ac:dyDescent="0.3">
      <c r="A38" t="str">
        <f>Machine_List!B39</f>
        <v>EDM-MC-20</v>
      </c>
      <c r="B38" t="str">
        <f>Machine_List!A39</f>
        <v>EDM</v>
      </c>
      <c r="C38" s="67">
        <f>Machine_List!C39</f>
        <v>46040</v>
      </c>
      <c r="D38">
        <f>Machine_List!D39</f>
        <v>6</v>
      </c>
      <c r="E38">
        <f>Machine_List!E39</f>
        <v>4</v>
      </c>
      <c r="F38" s="67"/>
    </row>
    <row r="39" spans="1:6" ht="15" customHeight="1" x14ac:dyDescent="0.3">
      <c r="A39" t="str">
        <f>Machine_List!B40</f>
        <v>EDM-MC-21</v>
      </c>
      <c r="B39" t="str">
        <f>Machine_List!A40</f>
        <v>EDM</v>
      </c>
      <c r="C39" s="67">
        <f>Machine_List!C40</f>
        <v>46476</v>
      </c>
      <c r="D39">
        <f>Machine_List!D40</f>
        <v>6</v>
      </c>
      <c r="E39">
        <f>Machine_List!E40</f>
        <v>4</v>
      </c>
      <c r="F39" s="67"/>
    </row>
    <row r="40" spans="1:6" ht="15" customHeight="1" x14ac:dyDescent="0.3">
      <c r="A40" t="str">
        <f>Machine_List!B41</f>
        <v>EDM-MC-22</v>
      </c>
      <c r="B40" t="str">
        <f>Machine_List!A41</f>
        <v>EDM</v>
      </c>
      <c r="C40" s="67">
        <f>Machine_List!C41</f>
        <v>46239</v>
      </c>
      <c r="D40">
        <f>Machine_List!D41</f>
        <v>6</v>
      </c>
      <c r="E40">
        <f>Machine_List!E41</f>
        <v>4</v>
      </c>
      <c r="F40" s="67"/>
    </row>
    <row r="41" spans="1:6" ht="15" customHeight="1" x14ac:dyDescent="0.3">
      <c r="A41" t="str">
        <f>Machine_List!B42</f>
        <v>EDM-MC-23</v>
      </c>
      <c r="B41" t="str">
        <f>Machine_List!A42</f>
        <v>EDM</v>
      </c>
      <c r="C41" s="67">
        <f>Machine_List!C42</f>
        <v>46324</v>
      </c>
      <c r="D41">
        <f>Machine_List!D42</f>
        <v>6</v>
      </c>
      <c r="E41">
        <f>Machine_List!E42</f>
        <v>4</v>
      </c>
      <c r="F41" s="67"/>
    </row>
    <row r="42" spans="1:6" ht="15" customHeight="1" x14ac:dyDescent="0.3">
      <c r="A42" t="str">
        <f>Machine_List!B43</f>
        <v>EDM-MC-24</v>
      </c>
      <c r="B42" t="str">
        <f>Machine_List!A43</f>
        <v>EDM</v>
      </c>
      <c r="C42" s="67">
        <f>Machine_List!C43</f>
        <v>46097</v>
      </c>
      <c r="D42">
        <f>Machine_List!D43</f>
        <v>6</v>
      </c>
      <c r="E42">
        <f>Machine_List!E43</f>
        <v>4</v>
      </c>
      <c r="F42" s="67"/>
    </row>
    <row r="43" spans="1:6" ht="15" customHeight="1" x14ac:dyDescent="0.3">
      <c r="A43" t="str">
        <f>Machine_List!B44</f>
        <v>EDM-MC-25</v>
      </c>
      <c r="B43" t="str">
        <f>Machine_List!A44</f>
        <v>EDM</v>
      </c>
      <c r="C43" s="67">
        <f>Machine_List!C44</f>
        <v>46098</v>
      </c>
      <c r="D43">
        <f>Machine_List!D44</f>
        <v>6</v>
      </c>
      <c r="E43">
        <f>Machine_List!E44</f>
        <v>4</v>
      </c>
      <c r="F43" s="67"/>
    </row>
    <row r="44" spans="1:6" ht="15" customHeight="1" x14ac:dyDescent="0.3">
      <c r="A44" t="str">
        <f>Machine_List!B45</f>
        <v>EDM-MC-26</v>
      </c>
      <c r="B44" t="str">
        <f>Machine_List!A45</f>
        <v>EDM</v>
      </c>
      <c r="C44" s="67">
        <f>Machine_List!C45</f>
        <v>46202</v>
      </c>
      <c r="D44">
        <f>Machine_List!D45</f>
        <v>6</v>
      </c>
      <c r="E44">
        <f>Machine_List!E45</f>
        <v>4</v>
      </c>
      <c r="F44" s="67"/>
    </row>
    <row r="45" spans="1:6" ht="15" customHeight="1" x14ac:dyDescent="0.3">
      <c r="A45" t="str">
        <f>Machine_List!B46</f>
        <v>EDM-MC-27</v>
      </c>
      <c r="B45" t="str">
        <f>Machine_List!A46</f>
        <v>EDM</v>
      </c>
      <c r="C45" s="67">
        <f>Machine_List!C46</f>
        <v>46188</v>
      </c>
      <c r="D45">
        <f>Machine_List!D46</f>
        <v>6</v>
      </c>
      <c r="E45">
        <f>Machine_List!E46</f>
        <v>4</v>
      </c>
      <c r="F45" s="67"/>
    </row>
    <row r="46" spans="1:6" ht="15" customHeight="1" x14ac:dyDescent="0.3">
      <c r="A46" t="str">
        <f>Machine_List!B47</f>
        <v>EDM-MC-28</v>
      </c>
      <c r="B46" t="str">
        <f>Machine_List!A47</f>
        <v>EDM</v>
      </c>
      <c r="C46" s="67">
        <f>Machine_List!C47</f>
        <v>46182</v>
      </c>
      <c r="D46">
        <f>Machine_List!D47</f>
        <v>6</v>
      </c>
      <c r="E46">
        <f>Machine_List!E47</f>
        <v>4</v>
      </c>
      <c r="F46" s="67"/>
    </row>
    <row r="47" spans="1:6" ht="15" customHeight="1" x14ac:dyDescent="0.3">
      <c r="A47" t="str">
        <f>Machine_List!B48</f>
        <v>EDM-MC-29</v>
      </c>
      <c r="B47" t="str">
        <f>Machine_List!A48</f>
        <v>EDM</v>
      </c>
      <c r="C47" s="67">
        <f>Machine_List!C48</f>
        <v>46493</v>
      </c>
      <c r="D47">
        <f>Machine_List!D48</f>
        <v>6</v>
      </c>
      <c r="E47">
        <f>Machine_List!E48</f>
        <v>4</v>
      </c>
      <c r="F47" s="67"/>
    </row>
    <row r="48" spans="1:6" ht="15" customHeight="1" x14ac:dyDescent="0.3">
      <c r="A48" t="str">
        <f>Machine_List!B49</f>
        <v>EDM-MC-30</v>
      </c>
      <c r="B48" t="str">
        <f>Machine_List!A49</f>
        <v>EDM</v>
      </c>
      <c r="C48" s="67">
        <f>Machine_List!C49</f>
        <v>46106</v>
      </c>
      <c r="D48">
        <f>Machine_List!D49</f>
        <v>6</v>
      </c>
      <c r="E48">
        <f>Machine_List!E49</f>
        <v>4</v>
      </c>
      <c r="F48" s="67"/>
    </row>
    <row r="49" spans="1:6" ht="15" customHeight="1" x14ac:dyDescent="0.3">
      <c r="A49" t="str">
        <f>Machine_List!B50</f>
        <v>ENG-MC-01</v>
      </c>
      <c r="B49" t="str">
        <f>Machine_List!A50</f>
        <v>ENG</v>
      </c>
      <c r="C49" s="67">
        <f>Machine_List!C50</f>
        <v>46090</v>
      </c>
      <c r="D49">
        <f>Machine_List!D50</f>
        <v>6</v>
      </c>
      <c r="E49">
        <f>Machine_List!E50</f>
        <v>4</v>
      </c>
      <c r="F49" s="67"/>
    </row>
    <row r="50" spans="1:6" ht="15" customHeight="1" x14ac:dyDescent="0.3">
      <c r="A50" t="str">
        <f>Machine_List!B51</f>
        <v>ENG-MC-02</v>
      </c>
      <c r="B50" t="str">
        <f>Machine_List!A51</f>
        <v>ENG</v>
      </c>
      <c r="C50" s="67">
        <f>Machine_List!C51</f>
        <v>46230</v>
      </c>
      <c r="D50">
        <f>Machine_List!D51</f>
        <v>6</v>
      </c>
      <c r="E50">
        <f>Machine_List!E51</f>
        <v>4</v>
      </c>
      <c r="F50" s="67"/>
    </row>
    <row r="51" spans="1:6" ht="15" customHeight="1" x14ac:dyDescent="0.3">
      <c r="A51" t="str">
        <f>Machine_List!B52</f>
        <v>ENG-MC-03</v>
      </c>
      <c r="B51" t="str">
        <f>Machine_List!A52</f>
        <v>ENG</v>
      </c>
      <c r="C51" s="67">
        <f>Machine_List!C52</f>
        <v>46433</v>
      </c>
      <c r="D51">
        <f>Machine_List!D52</f>
        <v>6</v>
      </c>
      <c r="E51">
        <f>Machine_List!E52</f>
        <v>4</v>
      </c>
      <c r="F51" s="67"/>
    </row>
    <row r="52" spans="1:6" ht="15" customHeight="1" x14ac:dyDescent="0.3">
      <c r="A52" t="str">
        <f>Machine_List!B53</f>
        <v>ENG-MC-04</v>
      </c>
      <c r="B52" t="str">
        <f>Machine_List!A53</f>
        <v>ENG</v>
      </c>
      <c r="C52" s="67">
        <f>Machine_List!C53</f>
        <v>46450</v>
      </c>
      <c r="D52">
        <f>Machine_List!D53</f>
        <v>6</v>
      </c>
      <c r="E52">
        <f>Machine_List!E53</f>
        <v>4</v>
      </c>
      <c r="F52" s="67"/>
    </row>
    <row r="53" spans="1:6" ht="15" customHeight="1" x14ac:dyDescent="0.3">
      <c r="A53" t="str">
        <f>Machine_List!B54</f>
        <v>ENG-MC-05</v>
      </c>
      <c r="B53" t="str">
        <f>Machine_List!A54</f>
        <v>ENG</v>
      </c>
      <c r="C53" s="67">
        <f>Machine_List!C54</f>
        <v>46049</v>
      </c>
      <c r="D53">
        <f>Machine_List!D54</f>
        <v>6</v>
      </c>
      <c r="E53">
        <f>Machine_List!E54</f>
        <v>4</v>
      </c>
      <c r="F53" s="67"/>
    </row>
    <row r="54" spans="1:6" ht="15" customHeight="1" x14ac:dyDescent="0.3">
      <c r="A54" t="str">
        <f>Machine_List!B55</f>
        <v>ENG-MC-06</v>
      </c>
      <c r="B54" t="str">
        <f>Machine_List!A55</f>
        <v>ENG</v>
      </c>
      <c r="C54" s="67">
        <f>Machine_List!C55</f>
        <v>46074</v>
      </c>
      <c r="D54">
        <f>Machine_List!D55</f>
        <v>6</v>
      </c>
      <c r="E54">
        <f>Machine_List!E55</f>
        <v>4</v>
      </c>
      <c r="F54" s="67"/>
    </row>
    <row r="55" spans="1:6" ht="15" customHeight="1" x14ac:dyDescent="0.3">
      <c r="A55" t="str">
        <f>Machine_List!B56</f>
        <v>ENG-MC-07</v>
      </c>
      <c r="B55" t="str">
        <f>Machine_List!A56</f>
        <v>ENG</v>
      </c>
      <c r="C55" s="67">
        <f>Machine_List!C56</f>
        <v>46272</v>
      </c>
      <c r="D55">
        <f>Machine_List!D56</f>
        <v>6</v>
      </c>
      <c r="E55">
        <f>Machine_List!E56</f>
        <v>4</v>
      </c>
      <c r="F55" s="67"/>
    </row>
    <row r="56" spans="1:6" ht="15" customHeight="1" x14ac:dyDescent="0.3">
      <c r="A56" t="str">
        <f>Machine_List!B57</f>
        <v>ENG-MC-08</v>
      </c>
      <c r="B56" t="str">
        <f>Machine_List!A57</f>
        <v>ENG</v>
      </c>
      <c r="C56" s="67">
        <f>Machine_List!C57</f>
        <v>46383</v>
      </c>
      <c r="D56">
        <f>Machine_List!D57</f>
        <v>6</v>
      </c>
      <c r="E56">
        <f>Machine_List!E57</f>
        <v>4</v>
      </c>
      <c r="F56" s="67"/>
    </row>
    <row r="57" spans="1:6" ht="15" customHeight="1" x14ac:dyDescent="0.3">
      <c r="A57" t="str">
        <f>Machine_List!B58</f>
        <v>ENG-MC-09</v>
      </c>
      <c r="B57" t="str">
        <f>Machine_List!A58</f>
        <v>ENG</v>
      </c>
      <c r="C57" s="67">
        <f>Machine_List!C58</f>
        <v>46471</v>
      </c>
      <c r="D57">
        <f>Machine_List!D58</f>
        <v>6</v>
      </c>
      <c r="E57">
        <f>Machine_List!E58</f>
        <v>4</v>
      </c>
      <c r="F57" s="67"/>
    </row>
    <row r="58" spans="1:6" ht="15" customHeight="1" x14ac:dyDescent="0.3">
      <c r="A58" t="str">
        <f>Machine_List!B59</f>
        <v>ENG-MC-10</v>
      </c>
      <c r="B58" t="str">
        <f>Machine_List!A59</f>
        <v>ENG</v>
      </c>
      <c r="C58" s="67">
        <f>Machine_List!C59</f>
        <v>46377</v>
      </c>
      <c r="D58">
        <f>Machine_List!D59</f>
        <v>6</v>
      </c>
      <c r="E58">
        <f>Machine_List!E59</f>
        <v>4</v>
      </c>
      <c r="F58" s="67"/>
    </row>
    <row r="59" spans="1:6" ht="15" customHeight="1" x14ac:dyDescent="0.3">
      <c r="A59" t="str">
        <f>Machine_List!B60</f>
        <v>ENG-MC-11</v>
      </c>
      <c r="B59" t="str">
        <f>Machine_List!A60</f>
        <v>ENG</v>
      </c>
      <c r="C59" s="67">
        <f>Machine_List!C60</f>
        <v>46517</v>
      </c>
      <c r="D59">
        <f>Machine_List!D60</f>
        <v>6</v>
      </c>
      <c r="E59">
        <f>Machine_List!E60</f>
        <v>4</v>
      </c>
      <c r="F59" s="67"/>
    </row>
    <row r="60" spans="1:6" ht="15" customHeight="1" x14ac:dyDescent="0.3">
      <c r="A60" t="str">
        <f>Machine_List!B61</f>
        <v>ENG-MC-12</v>
      </c>
      <c r="B60" t="str">
        <f>Machine_List!A61</f>
        <v>ENG</v>
      </c>
      <c r="C60" s="67">
        <f>Machine_List!C61</f>
        <v>46454</v>
      </c>
      <c r="D60">
        <f>Machine_List!D61</f>
        <v>6</v>
      </c>
      <c r="E60">
        <f>Machine_List!E61</f>
        <v>4</v>
      </c>
      <c r="F60" s="67"/>
    </row>
    <row r="61" spans="1:6" ht="15" customHeight="1" x14ac:dyDescent="0.3">
      <c r="A61" t="str">
        <f>Machine_List!B62</f>
        <v>ENG-MC-13</v>
      </c>
      <c r="B61" t="str">
        <f>Machine_List!A62</f>
        <v>ENG</v>
      </c>
      <c r="C61" s="67">
        <f>Machine_List!C62</f>
        <v>46371</v>
      </c>
      <c r="D61">
        <f>Machine_List!D62</f>
        <v>6</v>
      </c>
      <c r="E61">
        <f>Machine_List!E62</f>
        <v>4</v>
      </c>
      <c r="F61" s="67"/>
    </row>
    <row r="62" spans="1:6" ht="15" customHeight="1" x14ac:dyDescent="0.3">
      <c r="A62" t="str">
        <f>Machine_List!B63</f>
        <v>ENG-MC-14</v>
      </c>
      <c r="B62" t="str">
        <f>Machine_List!A63</f>
        <v>ENG</v>
      </c>
      <c r="C62" s="67">
        <f>Machine_List!C63</f>
        <v>46219</v>
      </c>
      <c r="D62">
        <f>Machine_List!D63</f>
        <v>6</v>
      </c>
      <c r="E62">
        <f>Machine_List!E63</f>
        <v>4</v>
      </c>
      <c r="F62" s="67"/>
    </row>
    <row r="63" spans="1:6" ht="15" customHeight="1" x14ac:dyDescent="0.3">
      <c r="A63" t="str">
        <f>Machine_List!B64</f>
        <v>VENT-MC-01</v>
      </c>
      <c r="B63" t="str">
        <f>Machine_List!A64</f>
        <v>VENT</v>
      </c>
      <c r="C63" s="67">
        <f>Machine_List!C64</f>
        <v>46230</v>
      </c>
      <c r="D63">
        <f>Machine_List!D64</f>
        <v>6</v>
      </c>
      <c r="E63">
        <f>Machine_List!E64</f>
        <v>4</v>
      </c>
      <c r="F63" s="67"/>
    </row>
    <row r="64" spans="1:6" ht="15" customHeight="1" x14ac:dyDescent="0.3">
      <c r="A64" t="str">
        <f>Machine_List!B65</f>
        <v>VENT-MC-02</v>
      </c>
      <c r="B64" t="str">
        <f>Machine_List!A65</f>
        <v>VENT</v>
      </c>
      <c r="C64" s="67">
        <f>Machine_List!C65</f>
        <v>46191</v>
      </c>
      <c r="D64">
        <f>Machine_List!D65</f>
        <v>6</v>
      </c>
      <c r="E64">
        <f>Machine_List!E65</f>
        <v>4</v>
      </c>
      <c r="F64" s="67"/>
    </row>
    <row r="65" spans="1:6" ht="15" customHeight="1" x14ac:dyDescent="0.3">
      <c r="A65" t="str">
        <f>Machine_List!B66</f>
        <v>VENT-MC-03</v>
      </c>
      <c r="B65" t="str">
        <f>Machine_List!A66</f>
        <v>VENT</v>
      </c>
      <c r="C65" s="67">
        <f>Machine_List!C66</f>
        <v>46054</v>
      </c>
      <c r="D65">
        <f>Machine_List!D66</f>
        <v>6</v>
      </c>
      <c r="E65">
        <f>Machine_List!E66</f>
        <v>4</v>
      </c>
      <c r="F65" s="67"/>
    </row>
    <row r="66" spans="1:6" ht="15" customHeight="1" x14ac:dyDescent="0.3">
      <c r="A66" t="str">
        <f>Machine_List!B67</f>
        <v>VENT-MC-04</v>
      </c>
      <c r="B66" t="str">
        <f>Machine_List!A67</f>
        <v>VENT</v>
      </c>
      <c r="C66" s="67">
        <f>Machine_List!C67</f>
        <v>46255</v>
      </c>
      <c r="D66">
        <f>Machine_List!D67</f>
        <v>6</v>
      </c>
      <c r="E66">
        <f>Machine_List!E67</f>
        <v>4</v>
      </c>
      <c r="F66" s="67"/>
    </row>
    <row r="67" spans="1:6" ht="15" customHeight="1" x14ac:dyDescent="0.3">
      <c r="A67" t="str">
        <f>Machine_List!B68</f>
        <v>VENT-MC-05</v>
      </c>
      <c r="B67" t="str">
        <f>Machine_List!A68</f>
        <v>VENT</v>
      </c>
      <c r="C67" s="67">
        <f>Machine_List!C68</f>
        <v>46394</v>
      </c>
      <c r="D67">
        <f>Machine_List!D68</f>
        <v>6</v>
      </c>
      <c r="E67">
        <f>Machine_List!E68</f>
        <v>4</v>
      </c>
      <c r="F67" s="67"/>
    </row>
    <row r="68" spans="1:6" ht="15" customHeight="1" x14ac:dyDescent="0.3">
      <c r="A68" t="str">
        <f>Machine_List!B69</f>
        <v>VENT-MC-06</v>
      </c>
      <c r="B68" t="str">
        <f>Machine_List!A69</f>
        <v>VENT</v>
      </c>
      <c r="C68" s="67">
        <f>Machine_List!C69</f>
        <v>46347</v>
      </c>
      <c r="D68">
        <f>Machine_List!D69</f>
        <v>6</v>
      </c>
      <c r="E68">
        <f>Machine_List!E69</f>
        <v>4</v>
      </c>
      <c r="F68" s="67"/>
    </row>
    <row r="69" spans="1:6" ht="15" customHeight="1" x14ac:dyDescent="0.3">
      <c r="A69" t="str">
        <f>Machine_List!B70</f>
        <v>VENT-MC-07</v>
      </c>
      <c r="B69" t="str">
        <f>Machine_List!A70</f>
        <v>VENT</v>
      </c>
      <c r="C69" s="67">
        <f>Machine_List!C70</f>
        <v>46234</v>
      </c>
      <c r="D69">
        <f>Machine_List!D70</f>
        <v>6</v>
      </c>
      <c r="E69">
        <f>Machine_List!E70</f>
        <v>4</v>
      </c>
      <c r="F69" s="67"/>
    </row>
    <row r="70" spans="1:6" ht="15" customHeight="1" x14ac:dyDescent="0.3">
      <c r="A70" t="str">
        <f>Machine_List!B71</f>
        <v>VENT-MC-08</v>
      </c>
      <c r="B70" t="str">
        <f>Machine_List!A71</f>
        <v>VENT</v>
      </c>
      <c r="C70" s="67">
        <f>Machine_List!C71</f>
        <v>46138</v>
      </c>
      <c r="D70">
        <f>Machine_List!D71</f>
        <v>6</v>
      </c>
      <c r="E70">
        <f>Machine_List!E71</f>
        <v>4</v>
      </c>
      <c r="F70" s="67"/>
    </row>
    <row r="71" spans="1:6" ht="15" customHeight="1" x14ac:dyDescent="0.3">
      <c r="A71" t="str">
        <f>Machine_List!B72</f>
        <v>FID-MC-01</v>
      </c>
      <c r="B71" t="str">
        <f>Machine_List!A72</f>
        <v>FID</v>
      </c>
      <c r="C71" s="67">
        <f>Machine_List!C72</f>
        <v>46106</v>
      </c>
      <c r="D71">
        <f>Machine_List!D72</f>
        <v>6</v>
      </c>
      <c r="E71">
        <f>Machine_List!E72</f>
        <v>4</v>
      </c>
      <c r="F71" s="67"/>
    </row>
    <row r="72" spans="1:6" ht="15" customHeight="1" x14ac:dyDescent="0.3">
      <c r="A72" t="str">
        <f>Machine_List!B73</f>
        <v>FID-MC-02</v>
      </c>
      <c r="B72" t="str">
        <f>Machine_List!A73</f>
        <v>FID</v>
      </c>
      <c r="C72" s="67">
        <f>Machine_List!C73</f>
        <v>46142</v>
      </c>
      <c r="D72">
        <f>Machine_List!D73</f>
        <v>6</v>
      </c>
      <c r="E72">
        <f>Machine_List!E73</f>
        <v>4</v>
      </c>
      <c r="F72" s="67"/>
    </row>
    <row r="73" spans="1:6" ht="15" customHeight="1" x14ac:dyDescent="0.3">
      <c r="A73" t="str">
        <f>Machine_List!B74</f>
        <v>FID-MC-03</v>
      </c>
      <c r="B73" t="str">
        <f>Machine_List!A74</f>
        <v>FID</v>
      </c>
      <c r="C73" s="67">
        <f>Machine_List!C74</f>
        <v>46483</v>
      </c>
      <c r="D73">
        <f>Machine_List!D74</f>
        <v>6</v>
      </c>
      <c r="E73">
        <f>Machine_List!E74</f>
        <v>4</v>
      </c>
      <c r="F73" s="67"/>
    </row>
    <row r="74" spans="1:6" ht="15" customHeight="1" x14ac:dyDescent="0.3">
      <c r="A74" t="str">
        <f>Machine_List!B75</f>
        <v>FID-MC-04</v>
      </c>
      <c r="B74" t="str">
        <f>Machine_List!A75</f>
        <v>FID</v>
      </c>
      <c r="C74" s="67">
        <f>Machine_List!C75</f>
        <v>46318</v>
      </c>
      <c r="D74">
        <f>Machine_List!D75</f>
        <v>6</v>
      </c>
      <c r="E74">
        <f>Machine_List!E75</f>
        <v>4</v>
      </c>
      <c r="F74" s="67"/>
    </row>
    <row r="75" spans="1:6" ht="15" customHeight="1" x14ac:dyDescent="0.3">
      <c r="A75" t="str">
        <f>Machine_List!B76</f>
        <v>FID-MC-05</v>
      </c>
      <c r="B75" t="str">
        <f>Machine_List!A76</f>
        <v>FID</v>
      </c>
      <c r="C75" s="67">
        <f>Machine_List!C76</f>
        <v>46431</v>
      </c>
      <c r="D75">
        <f>Machine_List!D76</f>
        <v>6</v>
      </c>
      <c r="E75">
        <f>Machine_List!E76</f>
        <v>4</v>
      </c>
      <c r="F75" s="67"/>
    </row>
    <row r="76" spans="1:6" ht="15" customHeight="1" x14ac:dyDescent="0.3">
      <c r="A76" t="str">
        <f>Machine_List!B77</f>
        <v>FID-MC-06</v>
      </c>
      <c r="B76" t="str">
        <f>Machine_List!A77</f>
        <v>FID</v>
      </c>
      <c r="C76" s="67">
        <f>Machine_List!C77</f>
        <v>46088</v>
      </c>
      <c r="D76">
        <f>Machine_List!D77</f>
        <v>6</v>
      </c>
      <c r="E76">
        <f>Machine_List!E77</f>
        <v>4</v>
      </c>
      <c r="F76" s="67"/>
    </row>
    <row r="77" spans="1:6" ht="15" customHeight="1" x14ac:dyDescent="0.3">
      <c r="A77" t="str">
        <f>Machine_List!B78</f>
        <v>FID-MC-07</v>
      </c>
      <c r="B77" t="str">
        <f>Machine_List!A78</f>
        <v>FID</v>
      </c>
      <c r="C77" s="67">
        <f>Machine_List!C78</f>
        <v>46402</v>
      </c>
      <c r="D77">
        <f>Machine_List!D78</f>
        <v>6</v>
      </c>
      <c r="E77">
        <f>Machine_List!E78</f>
        <v>4</v>
      </c>
      <c r="F77" s="67"/>
    </row>
    <row r="78" spans="1:6" ht="15" customHeight="1" x14ac:dyDescent="0.3">
      <c r="A78" t="str">
        <f>Machine_List!B79</f>
        <v>FID-MC-08</v>
      </c>
      <c r="B78" t="str">
        <f>Machine_List!A79</f>
        <v>FID</v>
      </c>
      <c r="C78" s="67">
        <f>Machine_List!C79</f>
        <v>46328</v>
      </c>
      <c r="D78">
        <f>Machine_List!D79</f>
        <v>6</v>
      </c>
      <c r="E78">
        <f>Machine_List!E79</f>
        <v>4</v>
      </c>
      <c r="F78" s="67"/>
    </row>
    <row r="79" spans="1:6" ht="15" customHeight="1" x14ac:dyDescent="0.3">
      <c r="A79" t="str">
        <f>Machine_List!B80</f>
        <v>FID-MC-09</v>
      </c>
      <c r="B79" t="str">
        <f>Machine_List!A80</f>
        <v>FID</v>
      </c>
      <c r="C79" s="67">
        <f>Machine_List!C80</f>
        <v>46165</v>
      </c>
      <c r="D79">
        <f>Machine_List!D80</f>
        <v>6</v>
      </c>
      <c r="E79">
        <f>Machine_List!E80</f>
        <v>4</v>
      </c>
      <c r="F79" s="67"/>
    </row>
    <row r="80" spans="1:6" ht="15" customHeight="1" x14ac:dyDescent="0.3">
      <c r="A80" t="str">
        <f>Machine_List!B81</f>
        <v>FID-MC-10</v>
      </c>
      <c r="B80" t="str">
        <f>Machine_List!A81</f>
        <v>FID</v>
      </c>
      <c r="C80" s="67">
        <f>Machine_List!C81</f>
        <v>46483</v>
      </c>
      <c r="D80">
        <f>Machine_List!D81</f>
        <v>6</v>
      </c>
      <c r="E80">
        <f>Machine_List!E81</f>
        <v>4</v>
      </c>
      <c r="F80" s="67"/>
    </row>
    <row r="81" spans="1:8" ht="15" customHeight="1" x14ac:dyDescent="0.3">
      <c r="A81" t="str">
        <f>Machine_List!B82</f>
        <v>QC-MC-01</v>
      </c>
      <c r="B81" t="str">
        <f>Machine_List!A82</f>
        <v>QC</v>
      </c>
      <c r="C81" s="67">
        <f>Machine_List!C82</f>
        <v>46518</v>
      </c>
      <c r="D81">
        <f>Machine_List!D82</f>
        <v>6</v>
      </c>
      <c r="E81">
        <f>Machine_List!E82</f>
        <v>4</v>
      </c>
      <c r="F81" s="67"/>
    </row>
    <row r="82" spans="1:8" ht="15" customHeight="1" x14ac:dyDescent="0.3">
      <c r="A82" t="str">
        <f>Machine_List!B83</f>
        <v>QC-MC-02</v>
      </c>
      <c r="B82" t="str">
        <f>Machine_List!A83</f>
        <v>QC</v>
      </c>
      <c r="C82" s="67">
        <f>Machine_List!C83</f>
        <v>46115</v>
      </c>
      <c r="D82">
        <f>Machine_List!D83</f>
        <v>6</v>
      </c>
      <c r="E82">
        <f>Machine_List!E83</f>
        <v>4</v>
      </c>
      <c r="F82" s="67"/>
    </row>
    <row r="83" spans="1:8" ht="15" customHeight="1" x14ac:dyDescent="0.3">
      <c r="A83" t="str">
        <f>Machine_List!B84</f>
        <v>QC-MC-03</v>
      </c>
      <c r="B83" t="str">
        <f>Machine_List!A84</f>
        <v>QC</v>
      </c>
      <c r="C83" s="67">
        <f>Machine_List!C84</f>
        <v>46172</v>
      </c>
      <c r="D83">
        <f>Machine_List!D84</f>
        <v>6</v>
      </c>
      <c r="E83">
        <f>Machine_List!E84</f>
        <v>4</v>
      </c>
      <c r="F83" s="67"/>
    </row>
    <row r="84" spans="1:8" ht="15" customHeight="1" x14ac:dyDescent="0.3">
      <c r="A84" t="str">
        <f>Machine_List!B85</f>
        <v>QC-MC-04</v>
      </c>
      <c r="B84" t="str">
        <f>Machine_List!A85</f>
        <v>QC</v>
      </c>
      <c r="C84" s="67">
        <f>Machine_List!C85</f>
        <v>46195</v>
      </c>
      <c r="D84">
        <f>Machine_List!D85</f>
        <v>6</v>
      </c>
      <c r="E84">
        <f>Machine_List!E85</f>
        <v>4</v>
      </c>
      <c r="F84" s="67"/>
    </row>
    <row r="85" spans="1:8" ht="15" customHeight="1" x14ac:dyDescent="0.3">
      <c r="A85" t="str">
        <f>Machine_List!B86</f>
        <v>QC-MC-05</v>
      </c>
      <c r="B85" t="str">
        <f>Machine_List!A86</f>
        <v>QC</v>
      </c>
      <c r="C85" s="67">
        <f>Machine_List!C86</f>
        <v>46373</v>
      </c>
      <c r="D85">
        <f>Machine_List!D86</f>
        <v>6</v>
      </c>
      <c r="E85">
        <f>Machine_List!E86</f>
        <v>4</v>
      </c>
      <c r="F85" s="67"/>
    </row>
    <row r="88" spans="1:8" ht="15" customHeight="1" x14ac:dyDescent="0.3">
      <c r="A88" s="16" t="s">
        <v>371</v>
      </c>
      <c r="B88" s="16">
        <v>83</v>
      </c>
      <c r="D88" s="16" t="s">
        <v>372</v>
      </c>
      <c r="E88" s="86">
        <f>SUM(D3:D85)</f>
        <v>498</v>
      </c>
      <c r="G88" s="16" t="s">
        <v>373</v>
      </c>
      <c r="H88" s="16">
        <f>COUNTIF(J3:J85,"Open")</f>
        <v>0</v>
      </c>
    </row>
  </sheetData>
  <mergeCells count="1">
    <mergeCell ref="A1:K1"/>
  </mergeCells>
  <conditionalFormatting sqref="C3:C85">
    <cfRule type="expression" dxfId="11" priority="5">
      <formula>AND(ISNUMBER(C3),C3&lt;=TODAY()+30,C3&gt;=TODAY())</formula>
    </cfRule>
  </conditionalFormatting>
  <conditionalFormatting sqref="J3:J136">
    <cfRule type="containsText" dxfId="10" priority="2" operator="containsText" text="Open">
      <formula>NOT(ISERROR(SEARCH("Open",J3)))</formula>
    </cfRule>
    <cfRule type="containsText" dxfId="9" priority="3" operator="containsText" text="Closed">
      <formula>NOT(ISERROR(SEARCH("Closed",J3)))</formula>
    </cfRule>
    <cfRule type="containsText" dxfId="8" priority="4" operator="containsText" text="Pending">
      <formula>NOT(ISERROR(SEARCH("Pending",J3)))</formula>
    </cfRule>
  </conditionalFormatting>
  <dataValidations disablePrompts="1" count="2">
    <dataValidation type="list" sqref="H3:H136" xr:uid="{00000000-0002-0000-1B00-000000000000}">
      <formula1>"Mechanical,Electrical,Tooling,Maintenance,Power Failure,Operator Issue,Coolant Issue"</formula1>
      <formula2>0</formula2>
    </dataValidation>
    <dataValidation type="list" sqref="J3:J136" xr:uid="{00000000-0002-0000-1B00-000001000000}">
      <formula1>"Open,Closed,Pending"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L18"/>
  <sheetViews>
    <sheetView zoomScaleNormal="100" workbookViewId="0"/>
  </sheetViews>
  <sheetFormatPr defaultColWidth="8.6640625" defaultRowHeight="14.4" x14ac:dyDescent="0.3"/>
  <cols>
    <col min="1" max="100" width="13" customWidth="1"/>
  </cols>
  <sheetData>
    <row r="1" spans="1:12" ht="15" customHeight="1" x14ac:dyDescent="0.3">
      <c r="A1" s="93" t="s">
        <v>374</v>
      </c>
    </row>
    <row r="2" spans="1:12" ht="15" customHeight="1" x14ac:dyDescent="0.3">
      <c r="A2" s="16" t="s">
        <v>290</v>
      </c>
      <c r="B2">
        <v>1</v>
      </c>
    </row>
    <row r="3" spans="1:12" ht="15" customHeight="1" x14ac:dyDescent="0.3">
      <c r="A3" s="94" t="s">
        <v>3</v>
      </c>
      <c r="B3" s="94" t="s">
        <v>131</v>
      </c>
      <c r="C3" s="94" t="s">
        <v>138</v>
      </c>
      <c r="D3" s="94" t="s">
        <v>145</v>
      </c>
      <c r="E3" s="94" t="s">
        <v>152</v>
      </c>
      <c r="F3" s="94" t="s">
        <v>183</v>
      </c>
      <c r="G3" s="94" t="s">
        <v>198</v>
      </c>
      <c r="H3" s="94" t="s">
        <v>208</v>
      </c>
      <c r="I3" s="94" t="s">
        <v>219</v>
      </c>
      <c r="J3" s="94" t="s">
        <v>291</v>
      </c>
      <c r="K3" s="94" t="s">
        <v>292</v>
      </c>
      <c r="L3" s="16"/>
    </row>
    <row r="4" spans="1:12" ht="15" customHeight="1" x14ac:dyDescent="0.3">
      <c r="A4" s="10">
        <v>9</v>
      </c>
      <c r="B4" s="10">
        <v>8</v>
      </c>
      <c r="C4" s="10">
        <v>6</v>
      </c>
      <c r="D4" s="10">
        <v>14</v>
      </c>
      <c r="E4" s="10">
        <v>5</v>
      </c>
      <c r="F4" s="10">
        <v>2</v>
      </c>
      <c r="G4" s="10">
        <v>2</v>
      </c>
      <c r="H4" s="10">
        <v>8</v>
      </c>
      <c r="I4" s="10">
        <v>4</v>
      </c>
      <c r="J4">
        <f>OPR_2P!J4</f>
        <v>100</v>
      </c>
      <c r="K4">
        <f>OPR_2P!K4</f>
        <v>600</v>
      </c>
    </row>
    <row r="5" spans="1:12" ht="15" customHeight="1" x14ac:dyDescent="0.3">
      <c r="A5" s="10">
        <v>15</v>
      </c>
      <c r="B5" s="10">
        <v>6</v>
      </c>
      <c r="C5" s="10">
        <v>8</v>
      </c>
      <c r="D5" s="10">
        <v>10</v>
      </c>
      <c r="E5" s="10">
        <v>16</v>
      </c>
      <c r="F5" s="10">
        <v>6</v>
      </c>
      <c r="G5" s="10">
        <v>6</v>
      </c>
      <c r="H5" s="10">
        <v>12</v>
      </c>
      <c r="I5" s="10">
        <v>5</v>
      </c>
      <c r="J5">
        <f>OPR_2P!J5</f>
        <v>300</v>
      </c>
      <c r="K5">
        <f>OPR_2P!K5</f>
        <v>800</v>
      </c>
    </row>
    <row r="6" spans="1:12" ht="15" customHeight="1" x14ac:dyDescent="0.3">
      <c r="A6" s="10">
        <v>17</v>
      </c>
      <c r="B6" s="10">
        <v>9</v>
      </c>
      <c r="C6" s="10">
        <v>16</v>
      </c>
      <c r="D6" s="10">
        <v>20</v>
      </c>
      <c r="E6" s="10">
        <v>8</v>
      </c>
      <c r="F6" s="10">
        <v>8</v>
      </c>
      <c r="G6" s="10">
        <v>6</v>
      </c>
      <c r="H6" s="10">
        <v>7</v>
      </c>
      <c r="I6" s="10">
        <v>5</v>
      </c>
      <c r="J6">
        <f>OPR_2P!J6</f>
        <v>500</v>
      </c>
      <c r="K6">
        <f>OPR_2P!K6</f>
        <v>1000</v>
      </c>
    </row>
    <row r="7" spans="1:12" ht="15" customHeight="1" x14ac:dyDescent="0.3">
      <c r="A7" s="10">
        <v>20</v>
      </c>
      <c r="B7" s="10">
        <v>10</v>
      </c>
      <c r="C7" s="10">
        <v>7</v>
      </c>
      <c r="D7" s="10">
        <v>13</v>
      </c>
      <c r="E7" s="10">
        <v>21</v>
      </c>
      <c r="F7" s="10">
        <v>8</v>
      </c>
      <c r="G7" s="10">
        <v>12</v>
      </c>
      <c r="H7" s="10">
        <v>21</v>
      </c>
      <c r="I7" s="10">
        <v>4</v>
      </c>
      <c r="J7">
        <f>OPR_2P!J7</f>
        <v>700</v>
      </c>
      <c r="K7">
        <f>OPR_2P!K7</f>
        <v>1200</v>
      </c>
    </row>
    <row r="8" spans="1:12" ht="15" customHeight="1" x14ac:dyDescent="0.3">
      <c r="A8" s="10">
        <v>25</v>
      </c>
      <c r="B8" s="10">
        <v>9</v>
      </c>
      <c r="C8" s="10">
        <v>13</v>
      </c>
      <c r="D8" s="10">
        <v>11</v>
      </c>
      <c r="E8" s="10">
        <v>15</v>
      </c>
      <c r="F8" s="10">
        <v>16</v>
      </c>
      <c r="G8" s="10">
        <v>14</v>
      </c>
      <c r="H8" s="10">
        <v>22</v>
      </c>
      <c r="I8" s="10">
        <v>7</v>
      </c>
      <c r="J8">
        <f>OPR_2P!J8</f>
        <v>900</v>
      </c>
      <c r="K8">
        <f>OPR_2P!K8</f>
        <v>1400</v>
      </c>
    </row>
    <row r="9" spans="1:12" ht="15" customHeight="1" x14ac:dyDescent="0.3">
      <c r="A9" s="10">
        <v>28</v>
      </c>
      <c r="B9" s="10">
        <v>6</v>
      </c>
      <c r="C9" s="10">
        <v>24</v>
      </c>
      <c r="D9" s="10">
        <v>34</v>
      </c>
      <c r="E9" s="10">
        <v>21</v>
      </c>
      <c r="F9" s="10">
        <v>14</v>
      </c>
      <c r="G9" s="10">
        <v>12</v>
      </c>
      <c r="H9" s="10">
        <v>24</v>
      </c>
      <c r="I9" s="10">
        <v>7</v>
      </c>
      <c r="J9">
        <f>OPR_2P!J9</f>
        <v>1100</v>
      </c>
      <c r="K9">
        <f>OPR_2P!K9</f>
        <v>1600</v>
      </c>
    </row>
    <row r="10" spans="1:12" ht="15" customHeight="1" x14ac:dyDescent="0.3">
      <c r="A10" s="10">
        <v>30</v>
      </c>
      <c r="B10" s="10">
        <v>8</v>
      </c>
      <c r="C10" s="10">
        <v>25</v>
      </c>
      <c r="D10" s="10">
        <v>17</v>
      </c>
      <c r="E10" s="10">
        <v>22</v>
      </c>
      <c r="F10" s="10">
        <v>7</v>
      </c>
      <c r="G10" s="10">
        <v>9</v>
      </c>
      <c r="H10" s="10">
        <v>14</v>
      </c>
      <c r="I10" s="10">
        <v>7</v>
      </c>
      <c r="J10">
        <f>OPR_2P!J10</f>
        <v>1300</v>
      </c>
      <c r="K10">
        <f>OPR_2P!K10</f>
        <v>1800</v>
      </c>
    </row>
    <row r="11" spans="1:12" ht="15" customHeight="1" x14ac:dyDescent="0.3">
      <c r="A11" s="10">
        <v>34</v>
      </c>
      <c r="B11" s="10">
        <v>11</v>
      </c>
      <c r="C11" s="10">
        <v>11</v>
      </c>
      <c r="D11" s="10">
        <v>18</v>
      </c>
      <c r="E11" s="10">
        <v>14</v>
      </c>
      <c r="F11" s="10">
        <v>15</v>
      </c>
      <c r="G11" s="10">
        <v>15</v>
      </c>
      <c r="H11" s="10">
        <v>13</v>
      </c>
      <c r="I11" s="10">
        <v>7</v>
      </c>
      <c r="J11">
        <f>OPR_2P!J11</f>
        <v>1500</v>
      </c>
      <c r="K11">
        <f>OPR_2P!K11</f>
        <v>2000</v>
      </c>
    </row>
    <row r="12" spans="1:12" ht="15" customHeight="1" x14ac:dyDescent="0.3">
      <c r="A12" s="10">
        <v>42</v>
      </c>
      <c r="B12" s="10">
        <v>13</v>
      </c>
      <c r="C12" s="10">
        <v>23</v>
      </c>
      <c r="D12" s="10">
        <v>39</v>
      </c>
      <c r="E12" s="10">
        <v>19</v>
      </c>
      <c r="F12" s="10">
        <v>15</v>
      </c>
      <c r="G12" s="10">
        <v>14</v>
      </c>
      <c r="H12" s="10">
        <v>29</v>
      </c>
      <c r="I12" s="10">
        <v>5</v>
      </c>
      <c r="J12">
        <f>OPR_2P!J12</f>
        <v>1700</v>
      </c>
      <c r="K12">
        <f>OPR_2P!K12</f>
        <v>2200</v>
      </c>
    </row>
    <row r="13" spans="1:12" ht="15" customHeight="1" x14ac:dyDescent="0.3">
      <c r="A13" s="10">
        <v>46</v>
      </c>
      <c r="B13" s="10">
        <v>23</v>
      </c>
      <c r="C13" s="10">
        <v>28</v>
      </c>
      <c r="D13" s="10">
        <v>41</v>
      </c>
      <c r="E13" s="10">
        <v>25</v>
      </c>
      <c r="F13" s="10">
        <v>19</v>
      </c>
      <c r="G13" s="10">
        <v>15</v>
      </c>
      <c r="H13" s="10">
        <v>33</v>
      </c>
      <c r="I13" s="10">
        <v>11</v>
      </c>
      <c r="J13">
        <f>OPR_2P!J13</f>
        <v>1900</v>
      </c>
      <c r="K13">
        <f>OPR_2P!K13</f>
        <v>2400</v>
      </c>
    </row>
    <row r="14" spans="1:12" ht="15" customHeight="1" x14ac:dyDescent="0.3">
      <c r="A14" s="10">
        <v>50</v>
      </c>
      <c r="B14" s="10">
        <v>16</v>
      </c>
      <c r="C14" s="10">
        <v>27</v>
      </c>
      <c r="D14" s="10">
        <v>40</v>
      </c>
      <c r="E14" s="10">
        <v>37</v>
      </c>
      <c r="F14" s="10">
        <v>24</v>
      </c>
      <c r="G14" s="10">
        <v>21</v>
      </c>
      <c r="H14" s="10">
        <v>29</v>
      </c>
      <c r="I14" s="10">
        <v>13</v>
      </c>
      <c r="J14">
        <f>OPR_2P!J14</f>
        <v>2100</v>
      </c>
      <c r="K14">
        <f>OPR_2P!K14</f>
        <v>2600</v>
      </c>
    </row>
    <row r="15" spans="1:12" ht="15" customHeight="1" x14ac:dyDescent="0.3">
      <c r="A15" s="10">
        <v>54</v>
      </c>
      <c r="B15" s="10">
        <v>12</v>
      </c>
      <c r="C15" s="10">
        <v>37</v>
      </c>
      <c r="D15" s="10">
        <v>41</v>
      </c>
      <c r="E15" s="10">
        <v>30</v>
      </c>
      <c r="F15" s="10">
        <v>18</v>
      </c>
      <c r="G15" s="10">
        <v>24</v>
      </c>
      <c r="H15" s="10">
        <v>28</v>
      </c>
      <c r="I15" s="10">
        <v>6</v>
      </c>
      <c r="J15">
        <f>OPR_2P!J15</f>
        <v>2300</v>
      </c>
      <c r="K15">
        <f>OPR_2P!K15</f>
        <v>2800</v>
      </c>
    </row>
    <row r="16" spans="1:12" ht="15" customHeight="1" x14ac:dyDescent="0.3">
      <c r="A16" s="10">
        <v>57</v>
      </c>
      <c r="B16" s="10">
        <v>13</v>
      </c>
      <c r="C16" s="10">
        <v>28</v>
      </c>
      <c r="D16" s="10">
        <v>38</v>
      </c>
      <c r="E16" s="10">
        <v>34</v>
      </c>
      <c r="F16" s="10">
        <v>26</v>
      </c>
      <c r="G16" s="10">
        <v>21</v>
      </c>
      <c r="H16" s="10">
        <v>20</v>
      </c>
      <c r="I16" s="10">
        <v>14</v>
      </c>
      <c r="J16">
        <f>OPR_2P!J16</f>
        <v>2500</v>
      </c>
      <c r="K16">
        <f>OPR_2P!K16</f>
        <v>3000</v>
      </c>
    </row>
    <row r="17" spans="1:11" ht="15" customHeight="1" x14ac:dyDescent="0.3">
      <c r="A17" s="10">
        <v>63</v>
      </c>
      <c r="B17" s="10">
        <v>14</v>
      </c>
      <c r="C17" s="10">
        <v>42</v>
      </c>
      <c r="D17" s="10">
        <v>45</v>
      </c>
      <c r="E17" s="10">
        <v>23</v>
      </c>
      <c r="F17" s="10">
        <v>14</v>
      </c>
      <c r="G17" s="10">
        <v>24</v>
      </c>
      <c r="H17" s="10">
        <v>36</v>
      </c>
      <c r="I17" s="10">
        <v>10</v>
      </c>
      <c r="J17">
        <f>OPR_2P!J17</f>
        <v>2700</v>
      </c>
      <c r="K17">
        <f>OPR_2P!K17</f>
        <v>3200</v>
      </c>
    </row>
    <row r="18" spans="1:11" ht="15" customHeight="1" x14ac:dyDescent="0.3">
      <c r="A18" s="10">
        <v>70</v>
      </c>
      <c r="B18" s="10">
        <v>22</v>
      </c>
      <c r="C18" s="10">
        <v>45</v>
      </c>
      <c r="D18" s="10">
        <v>30</v>
      </c>
      <c r="E18" s="10">
        <v>35</v>
      </c>
      <c r="F18" s="10">
        <v>30</v>
      </c>
      <c r="G18" s="10">
        <v>19</v>
      </c>
      <c r="H18" s="10">
        <v>42</v>
      </c>
      <c r="I18" s="10">
        <v>14</v>
      </c>
      <c r="J18">
        <f>OPR_2P!J18</f>
        <v>2900</v>
      </c>
      <c r="K18">
        <f>OPR_2P!K18</f>
        <v>3400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L18"/>
  <sheetViews>
    <sheetView zoomScaleNormal="100" workbookViewId="0"/>
  </sheetViews>
  <sheetFormatPr defaultColWidth="8.6640625" defaultRowHeight="14.4" x14ac:dyDescent="0.3"/>
  <cols>
    <col min="1" max="100" width="13" customWidth="1"/>
  </cols>
  <sheetData>
    <row r="1" spans="1:12" ht="15" customHeight="1" x14ac:dyDescent="0.3">
      <c r="A1" s="93" t="s">
        <v>375</v>
      </c>
    </row>
    <row r="2" spans="1:12" ht="15" customHeight="1" x14ac:dyDescent="0.3">
      <c r="A2" s="16" t="s">
        <v>290</v>
      </c>
      <c r="B2">
        <v>2</v>
      </c>
    </row>
    <row r="3" spans="1:12" ht="15" customHeight="1" x14ac:dyDescent="0.3">
      <c r="A3" s="94" t="s">
        <v>3</v>
      </c>
      <c r="B3" s="94" t="s">
        <v>131</v>
      </c>
      <c r="C3" s="94" t="s">
        <v>138</v>
      </c>
      <c r="D3" s="94" t="s">
        <v>145</v>
      </c>
      <c r="E3" s="94" t="s">
        <v>152</v>
      </c>
      <c r="F3" s="94" t="s">
        <v>183</v>
      </c>
      <c r="G3" s="94" t="s">
        <v>198</v>
      </c>
      <c r="H3" s="94" t="s">
        <v>208</v>
      </c>
      <c r="I3" s="94" t="s">
        <v>219</v>
      </c>
      <c r="J3" s="94" t="s">
        <v>291</v>
      </c>
      <c r="K3" s="94" t="s">
        <v>292</v>
      </c>
      <c r="L3" s="16"/>
    </row>
    <row r="4" spans="1:12" ht="15" customHeight="1" x14ac:dyDescent="0.3">
      <c r="A4" s="10">
        <v>9</v>
      </c>
      <c r="B4" s="10">
        <v>2</v>
      </c>
      <c r="C4" s="10">
        <v>14</v>
      </c>
      <c r="D4" s="10">
        <v>8</v>
      </c>
      <c r="E4" s="10">
        <v>14</v>
      </c>
      <c r="F4" s="10">
        <v>9</v>
      </c>
      <c r="G4" s="10">
        <v>6</v>
      </c>
      <c r="H4" s="10">
        <v>13</v>
      </c>
      <c r="I4" s="10">
        <v>3</v>
      </c>
      <c r="J4">
        <f>OPR_2P!J4</f>
        <v>100</v>
      </c>
      <c r="K4">
        <f>OPR_2P!K4</f>
        <v>600</v>
      </c>
    </row>
    <row r="5" spans="1:12" ht="15" customHeight="1" x14ac:dyDescent="0.3">
      <c r="A5" s="10">
        <v>15</v>
      </c>
      <c r="B5" s="10">
        <v>5</v>
      </c>
      <c r="C5" s="10">
        <v>16</v>
      </c>
      <c r="D5" s="10">
        <v>16</v>
      </c>
      <c r="E5" s="10">
        <v>13</v>
      </c>
      <c r="F5" s="10">
        <v>11</v>
      </c>
      <c r="G5" s="10">
        <v>7</v>
      </c>
      <c r="H5" s="10">
        <v>9</v>
      </c>
      <c r="I5" s="10">
        <v>2</v>
      </c>
      <c r="J5">
        <f>OPR_2P!J5</f>
        <v>300</v>
      </c>
      <c r="K5">
        <f>OPR_2P!K5</f>
        <v>800</v>
      </c>
    </row>
    <row r="6" spans="1:12" ht="15" customHeight="1" x14ac:dyDescent="0.3">
      <c r="A6" s="10">
        <v>17</v>
      </c>
      <c r="B6" s="10">
        <v>4</v>
      </c>
      <c r="C6" s="10">
        <v>19</v>
      </c>
      <c r="D6" s="10">
        <v>17</v>
      </c>
      <c r="E6" s="10">
        <v>8</v>
      </c>
      <c r="F6" s="10">
        <v>7</v>
      </c>
      <c r="G6" s="10">
        <v>10</v>
      </c>
      <c r="H6" s="10">
        <v>15</v>
      </c>
      <c r="I6" s="10">
        <v>3</v>
      </c>
      <c r="J6">
        <f>OPR_2P!J6</f>
        <v>500</v>
      </c>
      <c r="K6">
        <f>OPR_2P!K6</f>
        <v>1000</v>
      </c>
    </row>
    <row r="7" spans="1:12" ht="15" customHeight="1" x14ac:dyDescent="0.3">
      <c r="A7" s="10">
        <v>20</v>
      </c>
      <c r="B7" s="10">
        <v>12</v>
      </c>
      <c r="C7" s="10">
        <v>15</v>
      </c>
      <c r="D7" s="10">
        <v>21</v>
      </c>
      <c r="E7" s="10">
        <v>16</v>
      </c>
      <c r="F7" s="10">
        <v>11</v>
      </c>
      <c r="G7" s="10">
        <v>8</v>
      </c>
      <c r="H7" s="10">
        <v>17</v>
      </c>
      <c r="I7" s="10">
        <v>3</v>
      </c>
      <c r="J7">
        <f>OPR_2P!J7</f>
        <v>700</v>
      </c>
      <c r="K7">
        <f>OPR_2P!K7</f>
        <v>1200</v>
      </c>
    </row>
    <row r="8" spans="1:12" ht="15" customHeight="1" x14ac:dyDescent="0.3">
      <c r="A8" s="10">
        <v>25</v>
      </c>
      <c r="B8" s="10">
        <v>10</v>
      </c>
      <c r="C8" s="10">
        <v>19</v>
      </c>
      <c r="D8" s="10">
        <v>21</v>
      </c>
      <c r="E8" s="10">
        <v>20</v>
      </c>
      <c r="F8" s="10">
        <v>11</v>
      </c>
      <c r="G8" s="10">
        <v>11</v>
      </c>
      <c r="H8" s="10">
        <v>22</v>
      </c>
      <c r="I8" s="10">
        <v>6</v>
      </c>
      <c r="J8">
        <f>OPR_2P!J8</f>
        <v>900</v>
      </c>
      <c r="K8">
        <f>OPR_2P!K8</f>
        <v>1400</v>
      </c>
    </row>
    <row r="9" spans="1:12" ht="15" customHeight="1" x14ac:dyDescent="0.3">
      <c r="A9" s="10">
        <v>28</v>
      </c>
      <c r="B9" s="10">
        <v>17</v>
      </c>
      <c r="C9" s="10">
        <v>21</v>
      </c>
      <c r="D9" s="10">
        <v>29</v>
      </c>
      <c r="E9" s="10">
        <v>19</v>
      </c>
      <c r="F9" s="10">
        <v>15</v>
      </c>
      <c r="G9" s="10">
        <v>12</v>
      </c>
      <c r="H9" s="10">
        <v>14</v>
      </c>
      <c r="I9" s="10">
        <v>5</v>
      </c>
      <c r="J9">
        <f>OPR_2P!J9</f>
        <v>1100</v>
      </c>
      <c r="K9">
        <f>OPR_2P!K9</f>
        <v>1600</v>
      </c>
    </row>
    <row r="10" spans="1:12" ht="15" customHeight="1" x14ac:dyDescent="0.3">
      <c r="A10" s="10">
        <v>30</v>
      </c>
      <c r="B10" s="10">
        <v>10</v>
      </c>
      <c r="C10" s="10">
        <v>21</v>
      </c>
      <c r="D10" s="10">
        <v>18</v>
      </c>
      <c r="E10" s="10">
        <v>19</v>
      </c>
      <c r="F10" s="10">
        <v>14</v>
      </c>
      <c r="G10" s="10">
        <v>12</v>
      </c>
      <c r="H10" s="10">
        <v>23</v>
      </c>
      <c r="I10" s="10">
        <v>8</v>
      </c>
      <c r="J10">
        <f>OPR_2P!J10</f>
        <v>1300</v>
      </c>
      <c r="K10">
        <f>OPR_2P!K10</f>
        <v>1800</v>
      </c>
    </row>
    <row r="11" spans="1:12" ht="15" customHeight="1" x14ac:dyDescent="0.3">
      <c r="A11" s="10">
        <v>34</v>
      </c>
      <c r="B11" s="10">
        <v>18</v>
      </c>
      <c r="C11" s="10">
        <v>29</v>
      </c>
      <c r="D11" s="10">
        <v>27</v>
      </c>
      <c r="E11" s="10">
        <v>17</v>
      </c>
      <c r="F11" s="10">
        <v>7</v>
      </c>
      <c r="G11" s="10">
        <v>12</v>
      </c>
      <c r="H11" s="10">
        <v>15</v>
      </c>
      <c r="I11" s="10">
        <v>4</v>
      </c>
      <c r="J11">
        <f>OPR_2P!J11</f>
        <v>1500</v>
      </c>
      <c r="K11">
        <f>OPR_2P!K11</f>
        <v>2000</v>
      </c>
    </row>
    <row r="12" spans="1:12" ht="15" customHeight="1" x14ac:dyDescent="0.3">
      <c r="A12" s="10">
        <v>42</v>
      </c>
      <c r="B12" s="10">
        <v>11</v>
      </c>
      <c r="C12" s="10">
        <v>16</v>
      </c>
      <c r="D12" s="10">
        <v>43</v>
      </c>
      <c r="E12" s="10">
        <v>34</v>
      </c>
      <c r="F12" s="10">
        <v>16</v>
      </c>
      <c r="G12" s="10">
        <v>15</v>
      </c>
      <c r="H12" s="10">
        <v>34</v>
      </c>
      <c r="I12" s="10">
        <v>7</v>
      </c>
      <c r="J12">
        <f>OPR_2P!J12</f>
        <v>1700</v>
      </c>
      <c r="K12">
        <f>OPR_2P!K12</f>
        <v>2200</v>
      </c>
    </row>
    <row r="13" spans="1:12" ht="15" customHeight="1" x14ac:dyDescent="0.3">
      <c r="A13" s="10">
        <v>46</v>
      </c>
      <c r="B13" s="10">
        <v>13</v>
      </c>
      <c r="C13" s="10">
        <v>24</v>
      </c>
      <c r="D13" s="10">
        <v>33</v>
      </c>
      <c r="E13" s="10">
        <v>18</v>
      </c>
      <c r="F13" s="10">
        <v>17</v>
      </c>
      <c r="G13" s="10">
        <v>20</v>
      </c>
      <c r="H13" s="10">
        <v>21</v>
      </c>
      <c r="I13" s="10">
        <v>8</v>
      </c>
      <c r="J13">
        <f>OPR_2P!J13</f>
        <v>1900</v>
      </c>
      <c r="K13">
        <f>OPR_2P!K13</f>
        <v>2400</v>
      </c>
    </row>
    <row r="14" spans="1:12" ht="15" customHeight="1" x14ac:dyDescent="0.3">
      <c r="A14" s="10">
        <v>50</v>
      </c>
      <c r="B14" s="10">
        <v>16</v>
      </c>
      <c r="C14" s="10">
        <v>37</v>
      </c>
      <c r="D14" s="10">
        <v>40</v>
      </c>
      <c r="E14" s="10">
        <v>21</v>
      </c>
      <c r="F14" s="10">
        <v>21</v>
      </c>
      <c r="G14" s="10">
        <v>12</v>
      </c>
      <c r="H14" s="10">
        <v>19</v>
      </c>
      <c r="I14" s="10">
        <v>10</v>
      </c>
      <c r="J14">
        <f>OPR_2P!J14</f>
        <v>2100</v>
      </c>
      <c r="K14">
        <f>OPR_2P!K14</f>
        <v>2600</v>
      </c>
    </row>
    <row r="15" spans="1:12" ht="15" customHeight="1" x14ac:dyDescent="0.3">
      <c r="A15" s="10">
        <v>54</v>
      </c>
      <c r="B15" s="10">
        <v>16</v>
      </c>
      <c r="C15" s="10">
        <v>19</v>
      </c>
      <c r="D15" s="10">
        <v>36</v>
      </c>
      <c r="E15" s="10">
        <v>27</v>
      </c>
      <c r="F15" s="10">
        <v>24</v>
      </c>
      <c r="G15" s="10">
        <v>19</v>
      </c>
      <c r="H15" s="10">
        <v>26</v>
      </c>
      <c r="I15" s="10">
        <v>9</v>
      </c>
      <c r="J15">
        <f>OPR_2P!J15</f>
        <v>2300</v>
      </c>
      <c r="K15">
        <f>OPR_2P!K15</f>
        <v>2800</v>
      </c>
    </row>
    <row r="16" spans="1:12" ht="15" customHeight="1" x14ac:dyDescent="0.3">
      <c r="A16" s="10">
        <v>57</v>
      </c>
      <c r="B16" s="10">
        <v>24</v>
      </c>
      <c r="C16" s="10">
        <v>30</v>
      </c>
      <c r="D16" s="10">
        <v>49</v>
      </c>
      <c r="E16" s="10">
        <v>18</v>
      </c>
      <c r="F16" s="10">
        <v>21</v>
      </c>
      <c r="G16" s="10">
        <v>28</v>
      </c>
      <c r="H16" s="10">
        <v>25</v>
      </c>
      <c r="I16" s="10">
        <v>8</v>
      </c>
      <c r="J16">
        <f>OPR_2P!J16</f>
        <v>2500</v>
      </c>
      <c r="K16">
        <f>OPR_2P!K16</f>
        <v>3000</v>
      </c>
    </row>
    <row r="17" spans="1:11" ht="15" customHeight="1" x14ac:dyDescent="0.3">
      <c r="A17" s="10">
        <v>63</v>
      </c>
      <c r="B17" s="10">
        <v>15</v>
      </c>
      <c r="C17" s="10">
        <v>31</v>
      </c>
      <c r="D17" s="10">
        <v>29</v>
      </c>
      <c r="E17" s="10">
        <v>40</v>
      </c>
      <c r="F17" s="10">
        <v>15</v>
      </c>
      <c r="G17" s="10">
        <v>17</v>
      </c>
      <c r="H17" s="10">
        <v>29</v>
      </c>
      <c r="I17" s="10">
        <v>7</v>
      </c>
      <c r="J17">
        <f>OPR_2P!J17</f>
        <v>2700</v>
      </c>
      <c r="K17">
        <f>OPR_2P!K17</f>
        <v>3200</v>
      </c>
    </row>
    <row r="18" spans="1:11" ht="15" customHeight="1" x14ac:dyDescent="0.3">
      <c r="A18" s="10">
        <v>70</v>
      </c>
      <c r="B18" s="10">
        <v>21</v>
      </c>
      <c r="C18" s="10">
        <v>38</v>
      </c>
      <c r="D18" s="10">
        <v>49</v>
      </c>
      <c r="E18" s="10">
        <v>35</v>
      </c>
      <c r="F18" s="10">
        <v>29</v>
      </c>
      <c r="G18" s="10">
        <v>29</v>
      </c>
      <c r="H18" s="10">
        <v>46</v>
      </c>
      <c r="I18" s="10">
        <v>14</v>
      </c>
      <c r="J18">
        <f>OPR_2P!J18</f>
        <v>2900</v>
      </c>
      <c r="K18">
        <f>OPR_2P!K18</f>
        <v>3400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L18"/>
  <sheetViews>
    <sheetView zoomScaleNormal="100" workbookViewId="0"/>
  </sheetViews>
  <sheetFormatPr defaultColWidth="8.6640625" defaultRowHeight="14.4" x14ac:dyDescent="0.3"/>
  <cols>
    <col min="1" max="100" width="13" customWidth="1"/>
  </cols>
  <sheetData>
    <row r="1" spans="1:12" ht="15" customHeight="1" x14ac:dyDescent="0.3">
      <c r="A1" s="93" t="s">
        <v>376</v>
      </c>
    </row>
    <row r="2" spans="1:12" ht="15" customHeight="1" x14ac:dyDescent="0.3">
      <c r="A2" s="16" t="s">
        <v>290</v>
      </c>
      <c r="B2">
        <v>2</v>
      </c>
    </row>
    <row r="3" spans="1:12" ht="15" customHeight="1" x14ac:dyDescent="0.3">
      <c r="A3" s="94" t="s">
        <v>3</v>
      </c>
      <c r="B3" s="94" t="s">
        <v>131</v>
      </c>
      <c r="C3" s="94" t="s">
        <v>138</v>
      </c>
      <c r="D3" s="94" t="s">
        <v>145</v>
      </c>
      <c r="E3" s="94" t="s">
        <v>152</v>
      </c>
      <c r="F3" s="94" t="s">
        <v>183</v>
      </c>
      <c r="G3" s="94" t="s">
        <v>198</v>
      </c>
      <c r="H3" s="94" t="s">
        <v>208</v>
      </c>
      <c r="I3" s="94" t="s">
        <v>219</v>
      </c>
      <c r="J3" s="94" t="s">
        <v>291</v>
      </c>
      <c r="K3" s="94" t="s">
        <v>292</v>
      </c>
      <c r="L3" s="16"/>
    </row>
    <row r="4" spans="1:12" ht="15" customHeight="1" x14ac:dyDescent="0.3">
      <c r="A4" s="10">
        <v>9</v>
      </c>
      <c r="B4" s="10">
        <v>3</v>
      </c>
      <c r="C4" s="10">
        <v>6</v>
      </c>
      <c r="D4" s="10">
        <v>7</v>
      </c>
      <c r="E4" s="10">
        <v>9</v>
      </c>
      <c r="F4" s="10">
        <v>6</v>
      </c>
      <c r="G4" s="10">
        <v>5</v>
      </c>
      <c r="H4" s="10">
        <v>7</v>
      </c>
      <c r="I4" s="10">
        <v>4</v>
      </c>
      <c r="J4">
        <f>OPR_2P!J4</f>
        <v>100</v>
      </c>
      <c r="K4">
        <f>OPR_2P!K4</f>
        <v>600</v>
      </c>
    </row>
    <row r="5" spans="1:12" ht="15" customHeight="1" x14ac:dyDescent="0.3">
      <c r="A5" s="10">
        <v>15</v>
      </c>
      <c r="B5" s="10">
        <v>8</v>
      </c>
      <c r="C5" s="10">
        <v>9</v>
      </c>
      <c r="D5" s="10">
        <v>17</v>
      </c>
      <c r="E5" s="10">
        <v>18</v>
      </c>
      <c r="F5" s="10">
        <v>5</v>
      </c>
      <c r="G5" s="10">
        <v>6</v>
      </c>
      <c r="H5" s="10">
        <v>10</v>
      </c>
      <c r="I5" s="10">
        <v>6</v>
      </c>
      <c r="J5">
        <f>OPR_2P!J5</f>
        <v>300</v>
      </c>
      <c r="K5">
        <f>OPR_2P!K5</f>
        <v>800</v>
      </c>
    </row>
    <row r="6" spans="1:12" ht="15" customHeight="1" x14ac:dyDescent="0.3">
      <c r="A6" s="10">
        <v>17</v>
      </c>
      <c r="B6" s="10">
        <v>11</v>
      </c>
      <c r="C6" s="10">
        <v>15</v>
      </c>
      <c r="D6" s="10">
        <v>13</v>
      </c>
      <c r="E6" s="10">
        <v>15</v>
      </c>
      <c r="F6" s="10">
        <v>9</v>
      </c>
      <c r="G6" s="10">
        <v>8</v>
      </c>
      <c r="H6" s="10">
        <v>7</v>
      </c>
      <c r="I6" s="10">
        <v>4</v>
      </c>
      <c r="J6">
        <f>OPR_2P!J6</f>
        <v>500</v>
      </c>
      <c r="K6">
        <f>OPR_2P!K6</f>
        <v>1000</v>
      </c>
    </row>
    <row r="7" spans="1:12" ht="15" customHeight="1" x14ac:dyDescent="0.3">
      <c r="A7" s="10">
        <v>20</v>
      </c>
      <c r="B7" s="10">
        <v>8</v>
      </c>
      <c r="C7" s="10">
        <v>15</v>
      </c>
      <c r="D7" s="10">
        <v>28</v>
      </c>
      <c r="E7" s="10">
        <v>9</v>
      </c>
      <c r="F7" s="10">
        <v>11</v>
      </c>
      <c r="G7" s="10">
        <v>5</v>
      </c>
      <c r="H7" s="10">
        <v>13</v>
      </c>
      <c r="I7" s="10">
        <v>4</v>
      </c>
      <c r="J7">
        <f>OPR_2P!J7</f>
        <v>700</v>
      </c>
      <c r="K7">
        <f>OPR_2P!K7</f>
        <v>1200</v>
      </c>
    </row>
    <row r="8" spans="1:12" ht="15" customHeight="1" x14ac:dyDescent="0.3">
      <c r="A8" s="10">
        <v>25</v>
      </c>
      <c r="B8" s="10">
        <v>12</v>
      </c>
      <c r="C8" s="10">
        <v>11</v>
      </c>
      <c r="D8" s="10">
        <v>20</v>
      </c>
      <c r="E8" s="10">
        <v>8</v>
      </c>
      <c r="F8" s="10">
        <v>13</v>
      </c>
      <c r="G8" s="10">
        <v>15</v>
      </c>
      <c r="H8" s="10">
        <v>17</v>
      </c>
      <c r="I8" s="10">
        <v>8</v>
      </c>
      <c r="J8">
        <f>OPR_2P!J8</f>
        <v>900</v>
      </c>
      <c r="K8">
        <f>OPR_2P!K8</f>
        <v>1400</v>
      </c>
    </row>
    <row r="9" spans="1:12" ht="15" customHeight="1" x14ac:dyDescent="0.3">
      <c r="A9" s="10">
        <v>28</v>
      </c>
      <c r="B9" s="10">
        <v>10</v>
      </c>
      <c r="C9" s="10">
        <v>17</v>
      </c>
      <c r="D9" s="10">
        <v>23</v>
      </c>
      <c r="E9" s="10">
        <v>9</v>
      </c>
      <c r="F9" s="10">
        <v>17</v>
      </c>
      <c r="G9" s="10">
        <v>13</v>
      </c>
      <c r="H9" s="10">
        <v>15</v>
      </c>
      <c r="I9" s="10">
        <v>5</v>
      </c>
      <c r="J9">
        <f>OPR_2P!J9</f>
        <v>1100</v>
      </c>
      <c r="K9">
        <f>OPR_2P!K9</f>
        <v>1600</v>
      </c>
    </row>
    <row r="10" spans="1:12" ht="15" customHeight="1" x14ac:dyDescent="0.3">
      <c r="A10" s="10">
        <v>30</v>
      </c>
      <c r="B10" s="10">
        <v>7</v>
      </c>
      <c r="C10" s="10">
        <v>21</v>
      </c>
      <c r="D10" s="10">
        <v>23</v>
      </c>
      <c r="E10" s="10">
        <v>19</v>
      </c>
      <c r="F10" s="10">
        <v>16</v>
      </c>
      <c r="G10" s="10">
        <v>14</v>
      </c>
      <c r="H10" s="10">
        <v>27</v>
      </c>
      <c r="I10" s="10">
        <v>8</v>
      </c>
      <c r="J10">
        <f>OPR_2P!J10</f>
        <v>1300</v>
      </c>
      <c r="K10">
        <f>OPR_2P!K10</f>
        <v>1800</v>
      </c>
    </row>
    <row r="11" spans="1:12" ht="15" customHeight="1" x14ac:dyDescent="0.3">
      <c r="A11" s="10">
        <v>34</v>
      </c>
      <c r="B11" s="10">
        <v>12</v>
      </c>
      <c r="C11" s="10">
        <v>20</v>
      </c>
      <c r="D11" s="10">
        <v>14</v>
      </c>
      <c r="E11" s="10">
        <v>21</v>
      </c>
      <c r="F11" s="10">
        <v>12</v>
      </c>
      <c r="G11" s="10">
        <v>14</v>
      </c>
      <c r="H11" s="10">
        <v>22</v>
      </c>
      <c r="I11" s="10">
        <v>8</v>
      </c>
      <c r="J11">
        <f>OPR_2P!J11</f>
        <v>1500</v>
      </c>
      <c r="K11">
        <f>OPR_2P!K11</f>
        <v>2000</v>
      </c>
    </row>
    <row r="12" spans="1:12" ht="15" customHeight="1" x14ac:dyDescent="0.3">
      <c r="A12" s="10">
        <v>42</v>
      </c>
      <c r="B12" s="10">
        <v>17</v>
      </c>
      <c r="C12" s="10">
        <v>33</v>
      </c>
      <c r="D12" s="10">
        <v>43</v>
      </c>
      <c r="E12" s="10">
        <v>30</v>
      </c>
      <c r="F12" s="10">
        <v>11</v>
      </c>
      <c r="G12" s="10">
        <v>20</v>
      </c>
      <c r="H12" s="10">
        <v>34</v>
      </c>
      <c r="I12" s="10">
        <v>10</v>
      </c>
      <c r="J12">
        <f>OPR_2P!J12</f>
        <v>1700</v>
      </c>
      <c r="K12">
        <f>OPR_2P!K12</f>
        <v>2200</v>
      </c>
    </row>
    <row r="13" spans="1:12" ht="15" customHeight="1" x14ac:dyDescent="0.3">
      <c r="A13" s="10">
        <v>46</v>
      </c>
      <c r="B13" s="10">
        <v>13</v>
      </c>
      <c r="C13" s="10">
        <v>22</v>
      </c>
      <c r="D13" s="10">
        <v>20</v>
      </c>
      <c r="E13" s="10">
        <v>16</v>
      </c>
      <c r="F13" s="10">
        <v>14</v>
      </c>
      <c r="G13" s="10">
        <v>20</v>
      </c>
      <c r="H13" s="10">
        <v>28</v>
      </c>
      <c r="I13" s="10">
        <v>5</v>
      </c>
      <c r="J13">
        <f>OPR_2P!J13</f>
        <v>1900</v>
      </c>
      <c r="K13">
        <f>OPR_2P!K13</f>
        <v>2400</v>
      </c>
    </row>
    <row r="14" spans="1:12" ht="15" customHeight="1" x14ac:dyDescent="0.3">
      <c r="A14" s="10">
        <v>50</v>
      </c>
      <c r="B14" s="10">
        <v>23</v>
      </c>
      <c r="C14" s="10">
        <v>33</v>
      </c>
      <c r="D14" s="10">
        <v>29</v>
      </c>
      <c r="E14" s="10">
        <v>20</v>
      </c>
      <c r="F14" s="10">
        <v>14</v>
      </c>
      <c r="G14" s="10">
        <v>20</v>
      </c>
      <c r="H14" s="10">
        <v>29</v>
      </c>
      <c r="I14" s="10">
        <v>11</v>
      </c>
      <c r="J14">
        <f>OPR_2P!J14</f>
        <v>2100</v>
      </c>
      <c r="K14">
        <f>OPR_2P!K14</f>
        <v>2600</v>
      </c>
    </row>
    <row r="15" spans="1:12" ht="15" customHeight="1" x14ac:dyDescent="0.3">
      <c r="A15" s="10">
        <v>54</v>
      </c>
      <c r="B15" s="10">
        <v>16</v>
      </c>
      <c r="C15" s="10">
        <v>40</v>
      </c>
      <c r="D15" s="10">
        <v>53</v>
      </c>
      <c r="E15" s="10">
        <v>24</v>
      </c>
      <c r="F15" s="10">
        <v>19</v>
      </c>
      <c r="G15" s="10">
        <v>21</v>
      </c>
      <c r="H15" s="10">
        <v>24</v>
      </c>
      <c r="I15" s="10">
        <v>13</v>
      </c>
      <c r="J15">
        <f>OPR_2P!J15</f>
        <v>2300</v>
      </c>
      <c r="K15">
        <f>OPR_2P!K15</f>
        <v>2800</v>
      </c>
    </row>
    <row r="16" spans="1:12" ht="15" customHeight="1" x14ac:dyDescent="0.3">
      <c r="A16" s="10">
        <v>57</v>
      </c>
      <c r="B16" s="10">
        <v>19</v>
      </c>
      <c r="C16" s="10">
        <v>18</v>
      </c>
      <c r="D16" s="10">
        <v>54</v>
      </c>
      <c r="E16" s="10">
        <v>26</v>
      </c>
      <c r="F16" s="10">
        <v>20</v>
      </c>
      <c r="G16" s="10">
        <v>23</v>
      </c>
      <c r="H16" s="10">
        <v>26</v>
      </c>
      <c r="I16" s="10">
        <v>7</v>
      </c>
      <c r="J16">
        <f>OPR_2P!J16</f>
        <v>2500</v>
      </c>
      <c r="K16">
        <f>OPR_2P!K16</f>
        <v>3000</v>
      </c>
    </row>
    <row r="17" spans="1:11" ht="15" customHeight="1" x14ac:dyDescent="0.3">
      <c r="A17" s="10">
        <v>63</v>
      </c>
      <c r="B17" s="10">
        <v>31</v>
      </c>
      <c r="C17" s="10">
        <v>25</v>
      </c>
      <c r="D17" s="10">
        <v>31</v>
      </c>
      <c r="E17" s="10">
        <v>24</v>
      </c>
      <c r="F17" s="10">
        <v>23</v>
      </c>
      <c r="G17" s="10">
        <v>24</v>
      </c>
      <c r="H17" s="10">
        <v>38</v>
      </c>
      <c r="I17" s="10">
        <v>12</v>
      </c>
      <c r="J17">
        <f>OPR_2P!J17</f>
        <v>2700</v>
      </c>
      <c r="K17">
        <f>OPR_2P!K17</f>
        <v>3200</v>
      </c>
    </row>
    <row r="18" spans="1:11" ht="15" customHeight="1" x14ac:dyDescent="0.3">
      <c r="A18" s="10">
        <v>70</v>
      </c>
      <c r="B18" s="10">
        <v>30</v>
      </c>
      <c r="C18" s="10">
        <v>33</v>
      </c>
      <c r="D18" s="10">
        <v>54</v>
      </c>
      <c r="E18" s="10">
        <v>25</v>
      </c>
      <c r="F18" s="10">
        <v>31</v>
      </c>
      <c r="G18" s="10">
        <v>17</v>
      </c>
      <c r="H18" s="10">
        <v>42</v>
      </c>
      <c r="I18" s="10">
        <v>17</v>
      </c>
      <c r="J18">
        <f>OPR_2P!J18</f>
        <v>2900</v>
      </c>
      <c r="K18">
        <f>OPR_2P!K18</f>
        <v>3400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L18"/>
  <sheetViews>
    <sheetView zoomScaleNormal="100" workbookViewId="0"/>
  </sheetViews>
  <sheetFormatPr defaultColWidth="8.6640625" defaultRowHeight="14.4" x14ac:dyDescent="0.3"/>
  <cols>
    <col min="1" max="100" width="13" customWidth="1"/>
  </cols>
  <sheetData>
    <row r="1" spans="1:12" ht="15" customHeight="1" x14ac:dyDescent="0.3">
      <c r="A1" s="93" t="s">
        <v>377</v>
      </c>
    </row>
    <row r="2" spans="1:12" ht="15" customHeight="1" x14ac:dyDescent="0.3">
      <c r="A2" s="16" t="s">
        <v>290</v>
      </c>
      <c r="B2">
        <v>3</v>
      </c>
    </row>
    <row r="3" spans="1:12" ht="15" customHeight="1" x14ac:dyDescent="0.3">
      <c r="A3" s="94" t="s">
        <v>3</v>
      </c>
      <c r="B3" s="94" t="s">
        <v>131</v>
      </c>
      <c r="C3" s="94" t="s">
        <v>138</v>
      </c>
      <c r="D3" s="94" t="s">
        <v>145</v>
      </c>
      <c r="E3" s="94" t="s">
        <v>152</v>
      </c>
      <c r="F3" s="94" t="s">
        <v>183</v>
      </c>
      <c r="G3" s="94" t="s">
        <v>198</v>
      </c>
      <c r="H3" s="94" t="s">
        <v>208</v>
      </c>
      <c r="I3" s="94" t="s">
        <v>219</v>
      </c>
      <c r="J3" s="94" t="s">
        <v>291</v>
      </c>
      <c r="K3" s="94" t="s">
        <v>292</v>
      </c>
      <c r="L3" s="16"/>
    </row>
    <row r="4" spans="1:12" ht="15" customHeight="1" x14ac:dyDescent="0.3">
      <c r="A4" s="10">
        <v>9</v>
      </c>
      <c r="B4" s="10">
        <v>5</v>
      </c>
      <c r="C4" s="10">
        <v>5</v>
      </c>
      <c r="D4" s="10">
        <v>11</v>
      </c>
      <c r="E4" s="10">
        <v>10</v>
      </c>
      <c r="F4" s="10">
        <v>9</v>
      </c>
      <c r="G4" s="10">
        <v>9</v>
      </c>
      <c r="H4" s="10">
        <v>6</v>
      </c>
      <c r="I4" s="10">
        <v>4</v>
      </c>
      <c r="J4">
        <f>OPR_2P!J4</f>
        <v>100</v>
      </c>
      <c r="K4">
        <f>OPR_2P!K4</f>
        <v>600</v>
      </c>
    </row>
    <row r="5" spans="1:12" ht="15" customHeight="1" x14ac:dyDescent="0.3">
      <c r="A5" s="10">
        <v>15</v>
      </c>
      <c r="B5" s="10">
        <v>4</v>
      </c>
      <c r="C5" s="10">
        <v>6</v>
      </c>
      <c r="D5" s="10">
        <v>7</v>
      </c>
      <c r="E5" s="10">
        <v>12</v>
      </c>
      <c r="F5" s="10">
        <v>10</v>
      </c>
      <c r="G5" s="10">
        <v>6</v>
      </c>
      <c r="H5" s="10">
        <v>15</v>
      </c>
      <c r="I5" s="10">
        <v>5</v>
      </c>
      <c r="J5">
        <f>OPR_2P!J5</f>
        <v>300</v>
      </c>
      <c r="K5">
        <f>OPR_2P!K5</f>
        <v>800</v>
      </c>
    </row>
    <row r="6" spans="1:12" ht="15" customHeight="1" x14ac:dyDescent="0.3">
      <c r="A6" s="10">
        <v>17</v>
      </c>
      <c r="B6" s="10">
        <v>7</v>
      </c>
      <c r="C6" s="10">
        <v>18</v>
      </c>
      <c r="D6" s="10">
        <v>14</v>
      </c>
      <c r="E6" s="10">
        <v>7</v>
      </c>
      <c r="F6" s="10">
        <v>8</v>
      </c>
      <c r="G6" s="10">
        <v>7</v>
      </c>
      <c r="H6" s="10">
        <v>19</v>
      </c>
      <c r="I6" s="10">
        <v>6</v>
      </c>
      <c r="J6">
        <f>OPR_2P!J6</f>
        <v>500</v>
      </c>
      <c r="K6">
        <f>OPR_2P!K6</f>
        <v>1000</v>
      </c>
    </row>
    <row r="7" spans="1:12" ht="15" customHeight="1" x14ac:dyDescent="0.3">
      <c r="A7" s="10">
        <v>20</v>
      </c>
      <c r="B7" s="10">
        <v>7</v>
      </c>
      <c r="C7" s="10">
        <v>18</v>
      </c>
      <c r="D7" s="10">
        <v>14</v>
      </c>
      <c r="E7" s="10">
        <v>17</v>
      </c>
      <c r="F7" s="10">
        <v>11</v>
      </c>
      <c r="G7" s="10">
        <v>10</v>
      </c>
      <c r="H7" s="10">
        <v>18</v>
      </c>
      <c r="I7" s="10">
        <v>6</v>
      </c>
      <c r="J7">
        <f>OPR_2P!J7</f>
        <v>700</v>
      </c>
      <c r="K7">
        <f>OPR_2P!K7</f>
        <v>1200</v>
      </c>
    </row>
    <row r="8" spans="1:12" ht="15" customHeight="1" x14ac:dyDescent="0.3">
      <c r="A8" s="10">
        <v>25</v>
      </c>
      <c r="B8" s="10">
        <v>15</v>
      </c>
      <c r="C8" s="10">
        <v>18</v>
      </c>
      <c r="D8" s="10">
        <v>11</v>
      </c>
      <c r="E8" s="10">
        <v>14</v>
      </c>
      <c r="F8" s="10">
        <v>12</v>
      </c>
      <c r="G8" s="10">
        <v>13</v>
      </c>
      <c r="H8" s="10">
        <v>23</v>
      </c>
      <c r="I8" s="10">
        <v>7</v>
      </c>
      <c r="J8">
        <f>OPR_2P!J8</f>
        <v>900</v>
      </c>
      <c r="K8">
        <f>OPR_2P!K8</f>
        <v>1400</v>
      </c>
    </row>
    <row r="9" spans="1:12" ht="15" customHeight="1" x14ac:dyDescent="0.3">
      <c r="A9" s="10">
        <v>28</v>
      </c>
      <c r="B9" s="10">
        <v>11</v>
      </c>
      <c r="C9" s="10">
        <v>21</v>
      </c>
      <c r="D9" s="10">
        <v>26</v>
      </c>
      <c r="E9" s="10">
        <v>16</v>
      </c>
      <c r="F9" s="10">
        <v>6</v>
      </c>
      <c r="G9" s="10">
        <v>6</v>
      </c>
      <c r="H9" s="10">
        <v>25</v>
      </c>
      <c r="I9" s="10">
        <v>6</v>
      </c>
      <c r="J9">
        <f>OPR_2P!J9</f>
        <v>1100</v>
      </c>
      <c r="K9">
        <f>OPR_2P!K9</f>
        <v>1600</v>
      </c>
    </row>
    <row r="10" spans="1:12" ht="15" customHeight="1" x14ac:dyDescent="0.3">
      <c r="A10" s="10">
        <v>30</v>
      </c>
      <c r="B10" s="10">
        <v>9</v>
      </c>
      <c r="C10" s="10">
        <v>18</v>
      </c>
      <c r="D10" s="10">
        <v>25</v>
      </c>
      <c r="E10" s="10">
        <v>20</v>
      </c>
      <c r="F10" s="10">
        <v>7</v>
      </c>
      <c r="G10" s="10">
        <v>14</v>
      </c>
      <c r="H10" s="10">
        <v>16</v>
      </c>
      <c r="I10" s="10">
        <v>9</v>
      </c>
      <c r="J10">
        <f>OPR_2P!J10</f>
        <v>1300</v>
      </c>
      <c r="K10">
        <f>OPR_2P!K10</f>
        <v>1800</v>
      </c>
    </row>
    <row r="11" spans="1:12" ht="15" customHeight="1" x14ac:dyDescent="0.3">
      <c r="A11" s="10">
        <v>34</v>
      </c>
      <c r="B11" s="10">
        <v>11</v>
      </c>
      <c r="C11" s="10">
        <v>24</v>
      </c>
      <c r="D11" s="10">
        <v>31</v>
      </c>
      <c r="E11" s="10">
        <v>19</v>
      </c>
      <c r="F11" s="10">
        <v>14</v>
      </c>
      <c r="G11" s="10">
        <v>11</v>
      </c>
      <c r="H11" s="10">
        <v>12</v>
      </c>
      <c r="I11" s="10">
        <v>6</v>
      </c>
      <c r="J11">
        <f>OPR_2P!J11</f>
        <v>1500</v>
      </c>
      <c r="K11">
        <f>OPR_2P!K11</f>
        <v>2000</v>
      </c>
    </row>
    <row r="12" spans="1:12" ht="15" customHeight="1" x14ac:dyDescent="0.3">
      <c r="A12" s="10">
        <v>42</v>
      </c>
      <c r="B12" s="10">
        <v>18</v>
      </c>
      <c r="C12" s="10">
        <v>17</v>
      </c>
      <c r="D12" s="10">
        <v>36</v>
      </c>
      <c r="E12" s="10">
        <v>26</v>
      </c>
      <c r="F12" s="10">
        <v>11</v>
      </c>
      <c r="G12" s="10">
        <v>16</v>
      </c>
      <c r="H12" s="10">
        <v>32</v>
      </c>
      <c r="I12" s="10">
        <v>9</v>
      </c>
      <c r="J12">
        <f>OPR_2P!J12</f>
        <v>1700</v>
      </c>
      <c r="K12">
        <f>OPR_2P!K12</f>
        <v>2200</v>
      </c>
    </row>
    <row r="13" spans="1:12" ht="15" customHeight="1" x14ac:dyDescent="0.3">
      <c r="A13" s="10">
        <v>46</v>
      </c>
      <c r="B13" s="10">
        <v>16</v>
      </c>
      <c r="C13" s="10">
        <v>26</v>
      </c>
      <c r="D13" s="10">
        <v>43</v>
      </c>
      <c r="E13" s="10">
        <v>22</v>
      </c>
      <c r="F13" s="10">
        <v>24</v>
      </c>
      <c r="G13" s="10">
        <v>12</v>
      </c>
      <c r="H13" s="10">
        <v>33</v>
      </c>
      <c r="I13" s="10">
        <v>9</v>
      </c>
      <c r="J13">
        <f>OPR_2P!J13</f>
        <v>1900</v>
      </c>
      <c r="K13">
        <f>OPR_2P!K13</f>
        <v>2400</v>
      </c>
    </row>
    <row r="14" spans="1:12" ht="15" customHeight="1" x14ac:dyDescent="0.3">
      <c r="A14" s="10">
        <v>50</v>
      </c>
      <c r="B14" s="10">
        <v>12</v>
      </c>
      <c r="C14" s="10">
        <v>20</v>
      </c>
      <c r="D14" s="10">
        <v>36</v>
      </c>
      <c r="E14" s="10">
        <v>28</v>
      </c>
      <c r="F14" s="10">
        <v>12</v>
      </c>
      <c r="G14" s="10">
        <v>20</v>
      </c>
      <c r="H14" s="10">
        <v>28</v>
      </c>
      <c r="I14" s="10">
        <v>8</v>
      </c>
      <c r="J14">
        <f>OPR_2P!J14</f>
        <v>2100</v>
      </c>
      <c r="K14">
        <f>OPR_2P!K14</f>
        <v>2600</v>
      </c>
    </row>
    <row r="15" spans="1:12" ht="15" customHeight="1" x14ac:dyDescent="0.3">
      <c r="A15" s="10">
        <v>54</v>
      </c>
      <c r="B15" s="10">
        <v>17</v>
      </c>
      <c r="C15" s="10">
        <v>37</v>
      </c>
      <c r="D15" s="10">
        <v>37</v>
      </c>
      <c r="E15" s="10">
        <v>18</v>
      </c>
      <c r="F15" s="10">
        <v>20</v>
      </c>
      <c r="G15" s="10">
        <v>22</v>
      </c>
      <c r="H15" s="10">
        <v>25</v>
      </c>
      <c r="I15" s="10">
        <v>6</v>
      </c>
      <c r="J15">
        <f>OPR_2P!J15</f>
        <v>2300</v>
      </c>
      <c r="K15">
        <f>OPR_2P!K15</f>
        <v>2800</v>
      </c>
    </row>
    <row r="16" spans="1:12" ht="15" customHeight="1" x14ac:dyDescent="0.3">
      <c r="A16" s="10">
        <v>57</v>
      </c>
      <c r="B16" s="10">
        <v>19</v>
      </c>
      <c r="C16" s="10">
        <v>32</v>
      </c>
      <c r="D16" s="10">
        <v>24</v>
      </c>
      <c r="E16" s="10">
        <v>42</v>
      </c>
      <c r="F16" s="10">
        <v>19</v>
      </c>
      <c r="G16" s="10">
        <v>17</v>
      </c>
      <c r="H16" s="10">
        <v>34</v>
      </c>
      <c r="I16" s="10">
        <v>11</v>
      </c>
      <c r="J16">
        <f>OPR_2P!J16</f>
        <v>2500</v>
      </c>
      <c r="K16">
        <f>OPR_2P!K16</f>
        <v>3000</v>
      </c>
    </row>
    <row r="17" spans="1:11" ht="15" customHeight="1" x14ac:dyDescent="0.3">
      <c r="A17" s="10">
        <v>63</v>
      </c>
      <c r="B17" s="10">
        <v>18</v>
      </c>
      <c r="C17" s="10">
        <v>24</v>
      </c>
      <c r="D17" s="10">
        <v>41</v>
      </c>
      <c r="E17" s="10">
        <v>22</v>
      </c>
      <c r="F17" s="10">
        <v>16</v>
      </c>
      <c r="G17" s="10">
        <v>13</v>
      </c>
      <c r="H17" s="10">
        <v>36</v>
      </c>
      <c r="I17" s="10">
        <v>12</v>
      </c>
      <c r="J17">
        <f>OPR_2P!J17</f>
        <v>2700</v>
      </c>
      <c r="K17">
        <f>OPR_2P!K17</f>
        <v>3200</v>
      </c>
    </row>
    <row r="18" spans="1:11" ht="15" customHeight="1" x14ac:dyDescent="0.3">
      <c r="A18" s="10">
        <v>70</v>
      </c>
      <c r="B18" s="10">
        <v>25</v>
      </c>
      <c r="C18" s="10">
        <v>26</v>
      </c>
      <c r="D18" s="10">
        <v>43</v>
      </c>
      <c r="E18" s="10">
        <v>22</v>
      </c>
      <c r="F18" s="10">
        <v>28</v>
      </c>
      <c r="G18" s="10">
        <v>19</v>
      </c>
      <c r="H18" s="10">
        <v>23</v>
      </c>
      <c r="I18" s="10">
        <v>14</v>
      </c>
      <c r="J18">
        <f>OPR_2P!J18</f>
        <v>2900</v>
      </c>
      <c r="K18">
        <f>OPR_2P!K18</f>
        <v>3400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L18"/>
  <sheetViews>
    <sheetView zoomScaleNormal="100" workbookViewId="0"/>
  </sheetViews>
  <sheetFormatPr defaultColWidth="8.6640625" defaultRowHeight="14.4" x14ac:dyDescent="0.3"/>
  <cols>
    <col min="1" max="100" width="13" customWidth="1"/>
  </cols>
  <sheetData>
    <row r="1" spans="1:12" ht="15" customHeight="1" x14ac:dyDescent="0.3">
      <c r="A1" s="93" t="s">
        <v>378</v>
      </c>
    </row>
    <row r="2" spans="1:12" ht="15" customHeight="1" x14ac:dyDescent="0.3">
      <c r="A2" s="16" t="s">
        <v>290</v>
      </c>
      <c r="B2">
        <v>4</v>
      </c>
    </row>
    <row r="3" spans="1:12" ht="15" customHeight="1" x14ac:dyDescent="0.3">
      <c r="A3" s="94" t="s">
        <v>3</v>
      </c>
      <c r="B3" s="94" t="s">
        <v>131</v>
      </c>
      <c r="C3" s="94" t="s">
        <v>138</v>
      </c>
      <c r="D3" s="94" t="s">
        <v>145</v>
      </c>
      <c r="E3" s="94" t="s">
        <v>152</v>
      </c>
      <c r="F3" s="94" t="s">
        <v>183</v>
      </c>
      <c r="G3" s="94" t="s">
        <v>198</v>
      </c>
      <c r="H3" s="94" t="s">
        <v>208</v>
      </c>
      <c r="I3" s="94" t="s">
        <v>219</v>
      </c>
      <c r="J3" s="94" t="s">
        <v>291</v>
      </c>
      <c r="K3" s="94" t="s">
        <v>292</v>
      </c>
      <c r="L3" s="16"/>
    </row>
    <row r="4" spans="1:12" ht="15" customHeight="1" x14ac:dyDescent="0.3">
      <c r="A4" s="10">
        <v>9</v>
      </c>
      <c r="B4" s="10">
        <v>5</v>
      </c>
      <c r="C4" s="10">
        <v>13</v>
      </c>
      <c r="D4" s="10">
        <v>6</v>
      </c>
      <c r="E4" s="10">
        <v>9</v>
      </c>
      <c r="F4" s="10">
        <v>2</v>
      </c>
      <c r="G4" s="10">
        <v>7</v>
      </c>
      <c r="H4" s="10">
        <v>13</v>
      </c>
      <c r="I4" s="10">
        <v>3</v>
      </c>
      <c r="J4">
        <f>OPR_2P!J4</f>
        <v>100</v>
      </c>
      <c r="K4">
        <f>OPR_2P!K4</f>
        <v>600</v>
      </c>
    </row>
    <row r="5" spans="1:12" ht="15" customHeight="1" x14ac:dyDescent="0.3">
      <c r="A5" s="10">
        <v>15</v>
      </c>
      <c r="B5" s="10">
        <v>12</v>
      </c>
      <c r="C5" s="10">
        <v>7</v>
      </c>
      <c r="D5" s="10">
        <v>22</v>
      </c>
      <c r="E5" s="10">
        <v>5</v>
      </c>
      <c r="F5" s="10">
        <v>11</v>
      </c>
      <c r="G5" s="10">
        <v>12</v>
      </c>
      <c r="H5" s="10">
        <v>13</v>
      </c>
      <c r="I5" s="10">
        <v>3</v>
      </c>
      <c r="J5">
        <f>OPR_2P!J5</f>
        <v>300</v>
      </c>
      <c r="K5">
        <f>OPR_2P!K5</f>
        <v>800</v>
      </c>
    </row>
    <row r="6" spans="1:12" ht="15" customHeight="1" x14ac:dyDescent="0.3">
      <c r="A6" s="10">
        <v>17</v>
      </c>
      <c r="B6" s="10">
        <v>4</v>
      </c>
      <c r="C6" s="10">
        <v>19</v>
      </c>
      <c r="D6" s="10">
        <v>15</v>
      </c>
      <c r="E6" s="10">
        <v>17</v>
      </c>
      <c r="F6" s="10">
        <v>5</v>
      </c>
      <c r="G6" s="10">
        <v>11</v>
      </c>
      <c r="H6" s="10">
        <v>6</v>
      </c>
      <c r="I6" s="10">
        <v>4</v>
      </c>
      <c r="J6">
        <f>OPR_2P!J6</f>
        <v>500</v>
      </c>
      <c r="K6">
        <f>OPR_2P!K6</f>
        <v>1000</v>
      </c>
    </row>
    <row r="7" spans="1:12" ht="15" customHeight="1" x14ac:dyDescent="0.3">
      <c r="A7" s="10">
        <v>20</v>
      </c>
      <c r="B7" s="10">
        <v>12</v>
      </c>
      <c r="C7" s="10">
        <v>19</v>
      </c>
      <c r="D7" s="10">
        <v>23</v>
      </c>
      <c r="E7" s="10">
        <v>8</v>
      </c>
      <c r="F7" s="10">
        <v>8</v>
      </c>
      <c r="G7" s="10">
        <v>13</v>
      </c>
      <c r="H7" s="10">
        <v>16</v>
      </c>
      <c r="I7" s="10">
        <v>3</v>
      </c>
      <c r="J7">
        <f>OPR_2P!J7</f>
        <v>700</v>
      </c>
      <c r="K7">
        <f>OPR_2P!K7</f>
        <v>1200</v>
      </c>
    </row>
    <row r="8" spans="1:12" ht="15" customHeight="1" x14ac:dyDescent="0.3">
      <c r="A8" s="10">
        <v>25</v>
      </c>
      <c r="B8" s="10">
        <v>7</v>
      </c>
      <c r="C8" s="10">
        <v>17</v>
      </c>
      <c r="D8" s="10">
        <v>28</v>
      </c>
      <c r="E8" s="10">
        <v>13</v>
      </c>
      <c r="F8" s="10">
        <v>11</v>
      </c>
      <c r="G8" s="10">
        <v>13</v>
      </c>
      <c r="H8" s="10">
        <v>18</v>
      </c>
      <c r="I8" s="10">
        <v>7</v>
      </c>
      <c r="J8">
        <f>OPR_2P!J8</f>
        <v>900</v>
      </c>
      <c r="K8">
        <f>OPR_2P!K8</f>
        <v>1400</v>
      </c>
    </row>
    <row r="9" spans="1:12" ht="15" customHeight="1" x14ac:dyDescent="0.3">
      <c r="A9" s="10">
        <v>28</v>
      </c>
      <c r="B9" s="10">
        <v>11</v>
      </c>
      <c r="C9" s="10">
        <v>11</v>
      </c>
      <c r="D9" s="10">
        <v>25</v>
      </c>
      <c r="E9" s="10">
        <v>11</v>
      </c>
      <c r="F9" s="10">
        <v>16</v>
      </c>
      <c r="G9" s="10">
        <v>12</v>
      </c>
      <c r="H9" s="10">
        <v>22</v>
      </c>
      <c r="I9" s="10">
        <v>6</v>
      </c>
      <c r="J9">
        <f>OPR_2P!J9</f>
        <v>1100</v>
      </c>
      <c r="K9">
        <f>OPR_2P!K9</f>
        <v>1600</v>
      </c>
    </row>
    <row r="10" spans="1:12" ht="15" customHeight="1" x14ac:dyDescent="0.3">
      <c r="A10" s="10">
        <v>30</v>
      </c>
      <c r="B10" s="10">
        <v>18</v>
      </c>
      <c r="C10" s="10">
        <v>14</v>
      </c>
      <c r="D10" s="10">
        <v>35</v>
      </c>
      <c r="E10" s="10">
        <v>13</v>
      </c>
      <c r="F10" s="10">
        <v>17</v>
      </c>
      <c r="G10" s="10">
        <v>11</v>
      </c>
      <c r="H10" s="10">
        <v>24</v>
      </c>
      <c r="I10" s="10">
        <v>9</v>
      </c>
      <c r="J10">
        <f>OPR_2P!J10</f>
        <v>1300</v>
      </c>
      <c r="K10">
        <f>OPR_2P!K10</f>
        <v>1800</v>
      </c>
    </row>
    <row r="11" spans="1:12" ht="15" customHeight="1" x14ac:dyDescent="0.3">
      <c r="A11" s="10">
        <v>34</v>
      </c>
      <c r="B11" s="10">
        <v>13</v>
      </c>
      <c r="C11" s="10">
        <v>13</v>
      </c>
      <c r="D11" s="10">
        <v>30</v>
      </c>
      <c r="E11" s="10">
        <v>18</v>
      </c>
      <c r="F11" s="10">
        <v>14</v>
      </c>
      <c r="G11" s="10">
        <v>12</v>
      </c>
      <c r="H11" s="10">
        <v>28</v>
      </c>
      <c r="I11" s="10">
        <v>6</v>
      </c>
      <c r="J11">
        <f>OPR_2P!J11</f>
        <v>1500</v>
      </c>
      <c r="K11">
        <f>OPR_2P!K11</f>
        <v>2000</v>
      </c>
    </row>
    <row r="12" spans="1:12" ht="15" customHeight="1" x14ac:dyDescent="0.3">
      <c r="A12" s="10">
        <v>42</v>
      </c>
      <c r="B12" s="10">
        <v>22</v>
      </c>
      <c r="C12" s="10">
        <v>14</v>
      </c>
      <c r="D12" s="10">
        <v>33</v>
      </c>
      <c r="E12" s="10">
        <v>20</v>
      </c>
      <c r="F12" s="10">
        <v>17</v>
      </c>
      <c r="G12" s="10">
        <v>10</v>
      </c>
      <c r="H12" s="10">
        <v>27</v>
      </c>
      <c r="I12" s="10">
        <v>9</v>
      </c>
      <c r="J12">
        <f>OPR_2P!J12</f>
        <v>1700</v>
      </c>
      <c r="K12">
        <f>OPR_2P!K12</f>
        <v>2200</v>
      </c>
    </row>
    <row r="13" spans="1:12" ht="15" customHeight="1" x14ac:dyDescent="0.3">
      <c r="A13" s="10">
        <v>46</v>
      </c>
      <c r="B13" s="10">
        <v>11</v>
      </c>
      <c r="C13" s="10">
        <v>30</v>
      </c>
      <c r="D13" s="10">
        <v>29</v>
      </c>
      <c r="E13" s="10">
        <v>32</v>
      </c>
      <c r="F13" s="10">
        <v>15</v>
      </c>
      <c r="G13" s="10">
        <v>17</v>
      </c>
      <c r="H13" s="10">
        <v>18</v>
      </c>
      <c r="I13" s="10">
        <v>5</v>
      </c>
      <c r="J13">
        <f>OPR_2P!J13</f>
        <v>1900</v>
      </c>
      <c r="K13">
        <f>OPR_2P!K13</f>
        <v>2400</v>
      </c>
    </row>
    <row r="14" spans="1:12" ht="15" customHeight="1" x14ac:dyDescent="0.3">
      <c r="A14" s="10">
        <v>50</v>
      </c>
      <c r="B14" s="10">
        <v>17</v>
      </c>
      <c r="C14" s="10">
        <v>19</v>
      </c>
      <c r="D14" s="10">
        <v>21</v>
      </c>
      <c r="E14" s="10">
        <v>32</v>
      </c>
      <c r="F14" s="10">
        <v>22</v>
      </c>
      <c r="G14" s="10">
        <v>14</v>
      </c>
      <c r="H14" s="10">
        <v>20</v>
      </c>
      <c r="I14" s="10">
        <v>8</v>
      </c>
      <c r="J14">
        <f>OPR_2P!J14</f>
        <v>2100</v>
      </c>
      <c r="K14">
        <f>OPR_2P!K14</f>
        <v>2600</v>
      </c>
    </row>
    <row r="15" spans="1:12" ht="15" customHeight="1" x14ac:dyDescent="0.3">
      <c r="A15" s="10">
        <v>54</v>
      </c>
      <c r="B15" s="10">
        <v>18</v>
      </c>
      <c r="C15" s="10">
        <v>35</v>
      </c>
      <c r="D15" s="10">
        <v>38</v>
      </c>
      <c r="E15" s="10">
        <v>23</v>
      </c>
      <c r="F15" s="10">
        <v>22</v>
      </c>
      <c r="G15" s="10">
        <v>20</v>
      </c>
      <c r="H15" s="10">
        <v>31</v>
      </c>
      <c r="I15" s="10">
        <v>13</v>
      </c>
      <c r="J15">
        <f>OPR_2P!J15</f>
        <v>2300</v>
      </c>
      <c r="K15">
        <f>OPR_2P!K15</f>
        <v>2800</v>
      </c>
    </row>
    <row r="16" spans="1:12" ht="15" customHeight="1" x14ac:dyDescent="0.3">
      <c r="A16" s="10">
        <v>57</v>
      </c>
      <c r="B16" s="10">
        <v>21</v>
      </c>
      <c r="C16" s="10">
        <v>38</v>
      </c>
      <c r="D16" s="10">
        <v>28</v>
      </c>
      <c r="E16" s="10">
        <v>43</v>
      </c>
      <c r="F16" s="10">
        <v>26</v>
      </c>
      <c r="G16" s="10">
        <v>25</v>
      </c>
      <c r="H16" s="10">
        <v>33</v>
      </c>
      <c r="I16" s="10">
        <v>7</v>
      </c>
      <c r="J16">
        <f>OPR_2P!J16</f>
        <v>2500</v>
      </c>
      <c r="K16">
        <f>OPR_2P!K16</f>
        <v>3000</v>
      </c>
    </row>
    <row r="17" spans="1:11" ht="15" customHeight="1" x14ac:dyDescent="0.3">
      <c r="A17" s="10">
        <v>63</v>
      </c>
      <c r="B17" s="10">
        <v>21</v>
      </c>
      <c r="C17" s="10">
        <v>23</v>
      </c>
      <c r="D17" s="10">
        <v>55</v>
      </c>
      <c r="E17" s="10">
        <v>37</v>
      </c>
      <c r="F17" s="10">
        <v>16</v>
      </c>
      <c r="G17" s="10">
        <v>28</v>
      </c>
      <c r="H17" s="10">
        <v>29</v>
      </c>
      <c r="I17" s="10">
        <v>11</v>
      </c>
      <c r="J17">
        <f>OPR_2P!J17</f>
        <v>2700</v>
      </c>
      <c r="K17">
        <f>OPR_2P!K17</f>
        <v>3200</v>
      </c>
    </row>
    <row r="18" spans="1:11" ht="15" customHeight="1" x14ac:dyDescent="0.3">
      <c r="A18" s="10">
        <v>70</v>
      </c>
      <c r="B18" s="10">
        <v>34</v>
      </c>
      <c r="C18" s="10">
        <v>46</v>
      </c>
      <c r="D18" s="10">
        <v>50</v>
      </c>
      <c r="E18" s="10">
        <v>41</v>
      </c>
      <c r="F18" s="10">
        <v>29</v>
      </c>
      <c r="G18" s="10">
        <v>17</v>
      </c>
      <c r="H18" s="10">
        <v>49</v>
      </c>
      <c r="I18" s="10">
        <v>17</v>
      </c>
      <c r="J18">
        <f>OPR_2P!J18</f>
        <v>2900</v>
      </c>
      <c r="K18">
        <f>OPR_2P!K18</f>
        <v>3400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L18"/>
  <sheetViews>
    <sheetView zoomScaleNormal="100" workbookViewId="0"/>
  </sheetViews>
  <sheetFormatPr defaultColWidth="8.6640625" defaultRowHeight="14.4" x14ac:dyDescent="0.3"/>
  <cols>
    <col min="1" max="100" width="13" customWidth="1"/>
  </cols>
  <sheetData>
    <row r="1" spans="1:12" ht="15" customHeight="1" x14ac:dyDescent="0.3">
      <c r="A1" s="93" t="s">
        <v>379</v>
      </c>
    </row>
    <row r="2" spans="1:12" ht="15" customHeight="1" x14ac:dyDescent="0.3">
      <c r="A2" s="16" t="s">
        <v>290</v>
      </c>
      <c r="B2">
        <v>1</v>
      </c>
    </row>
    <row r="3" spans="1:12" ht="15" customHeight="1" x14ac:dyDescent="0.3">
      <c r="A3" s="94" t="s">
        <v>3</v>
      </c>
      <c r="B3" s="94" t="s">
        <v>131</v>
      </c>
      <c r="C3" s="94" t="s">
        <v>138</v>
      </c>
      <c r="D3" s="94" t="s">
        <v>145</v>
      </c>
      <c r="E3" s="94" t="s">
        <v>152</v>
      </c>
      <c r="F3" s="94" t="s">
        <v>183</v>
      </c>
      <c r="G3" s="94" t="s">
        <v>198</v>
      </c>
      <c r="H3" s="94" t="s">
        <v>208</v>
      </c>
      <c r="I3" s="94" t="s">
        <v>219</v>
      </c>
      <c r="J3" s="94" t="s">
        <v>291</v>
      </c>
      <c r="K3" s="94" t="s">
        <v>292</v>
      </c>
      <c r="L3" s="16"/>
    </row>
    <row r="4" spans="1:12" ht="15" customHeight="1" x14ac:dyDescent="0.3">
      <c r="A4" s="10">
        <v>9</v>
      </c>
      <c r="B4" s="10">
        <v>2</v>
      </c>
      <c r="C4" s="10">
        <v>7</v>
      </c>
      <c r="D4" s="10">
        <v>11</v>
      </c>
      <c r="E4" s="10">
        <v>10</v>
      </c>
      <c r="F4" s="10">
        <v>9</v>
      </c>
      <c r="G4" s="10">
        <v>9</v>
      </c>
      <c r="H4" s="10">
        <v>8</v>
      </c>
      <c r="I4" s="10">
        <v>4</v>
      </c>
      <c r="J4">
        <f>OPR_2P!J4</f>
        <v>100</v>
      </c>
      <c r="K4">
        <f>OPR_2P!K4</f>
        <v>600</v>
      </c>
    </row>
    <row r="5" spans="1:12" ht="15" customHeight="1" x14ac:dyDescent="0.3">
      <c r="A5" s="10">
        <v>15</v>
      </c>
      <c r="B5" s="10">
        <v>12</v>
      </c>
      <c r="C5" s="10">
        <v>7</v>
      </c>
      <c r="D5" s="10">
        <v>24</v>
      </c>
      <c r="E5" s="10">
        <v>9</v>
      </c>
      <c r="F5" s="10">
        <v>10</v>
      </c>
      <c r="G5" s="10">
        <v>12</v>
      </c>
      <c r="H5" s="10">
        <v>13</v>
      </c>
      <c r="I5" s="10">
        <v>4</v>
      </c>
      <c r="J5">
        <f>OPR_2P!J5</f>
        <v>300</v>
      </c>
      <c r="K5">
        <f>OPR_2P!K5</f>
        <v>800</v>
      </c>
    </row>
    <row r="6" spans="1:12" ht="15" customHeight="1" x14ac:dyDescent="0.3">
      <c r="A6" s="10">
        <v>17</v>
      </c>
      <c r="B6" s="10">
        <v>8</v>
      </c>
      <c r="C6" s="10">
        <v>18</v>
      </c>
      <c r="D6" s="10">
        <v>25</v>
      </c>
      <c r="E6" s="10">
        <v>6</v>
      </c>
      <c r="F6" s="10">
        <v>10</v>
      </c>
      <c r="G6" s="10">
        <v>5</v>
      </c>
      <c r="H6" s="10">
        <v>16</v>
      </c>
      <c r="I6" s="10">
        <v>2</v>
      </c>
      <c r="J6">
        <f>OPR_2P!J6</f>
        <v>500</v>
      </c>
      <c r="K6">
        <f>OPR_2P!K6</f>
        <v>1000</v>
      </c>
    </row>
    <row r="7" spans="1:12" ht="15" customHeight="1" x14ac:dyDescent="0.3">
      <c r="A7" s="10">
        <v>20</v>
      </c>
      <c r="B7" s="10">
        <v>8</v>
      </c>
      <c r="C7" s="10">
        <v>12</v>
      </c>
      <c r="D7" s="10">
        <v>23</v>
      </c>
      <c r="E7" s="10">
        <v>13</v>
      </c>
      <c r="F7" s="10">
        <v>14</v>
      </c>
      <c r="G7" s="10">
        <v>13</v>
      </c>
      <c r="H7" s="10">
        <v>17</v>
      </c>
      <c r="I7" s="10">
        <v>5</v>
      </c>
      <c r="J7">
        <f>OPR_2P!J7</f>
        <v>700</v>
      </c>
      <c r="K7">
        <f>OPR_2P!K7</f>
        <v>1200</v>
      </c>
    </row>
    <row r="8" spans="1:12" ht="15" customHeight="1" x14ac:dyDescent="0.3">
      <c r="A8" s="10">
        <v>25</v>
      </c>
      <c r="B8" s="10">
        <v>14</v>
      </c>
      <c r="C8" s="10">
        <v>21</v>
      </c>
      <c r="D8" s="10">
        <v>25</v>
      </c>
      <c r="E8" s="10">
        <v>21</v>
      </c>
      <c r="F8" s="10">
        <v>11</v>
      </c>
      <c r="G8" s="10">
        <v>13</v>
      </c>
      <c r="H8" s="10">
        <v>24</v>
      </c>
      <c r="I8" s="10">
        <v>5</v>
      </c>
      <c r="J8">
        <f>OPR_2P!J8</f>
        <v>900</v>
      </c>
      <c r="K8">
        <f>OPR_2P!K8</f>
        <v>1400</v>
      </c>
    </row>
    <row r="9" spans="1:12" ht="15" customHeight="1" x14ac:dyDescent="0.3">
      <c r="A9" s="10">
        <v>28</v>
      </c>
      <c r="B9" s="10">
        <v>10</v>
      </c>
      <c r="C9" s="10">
        <v>12</v>
      </c>
      <c r="D9" s="10">
        <v>29</v>
      </c>
      <c r="E9" s="10">
        <v>22</v>
      </c>
      <c r="F9" s="10">
        <v>15</v>
      </c>
      <c r="G9" s="10">
        <v>17</v>
      </c>
      <c r="H9" s="10">
        <v>21</v>
      </c>
      <c r="I9" s="10">
        <v>3</v>
      </c>
      <c r="J9">
        <f>OPR_2P!J9</f>
        <v>1100</v>
      </c>
      <c r="K9">
        <f>OPR_2P!K9</f>
        <v>1600</v>
      </c>
    </row>
    <row r="10" spans="1:12" ht="15" customHeight="1" x14ac:dyDescent="0.3">
      <c r="A10" s="10">
        <v>30</v>
      </c>
      <c r="B10" s="10">
        <v>16</v>
      </c>
      <c r="C10" s="10">
        <v>23</v>
      </c>
      <c r="D10" s="10">
        <v>27</v>
      </c>
      <c r="E10" s="10">
        <v>24</v>
      </c>
      <c r="F10" s="10">
        <v>8</v>
      </c>
      <c r="G10" s="10">
        <v>14</v>
      </c>
      <c r="H10" s="10">
        <v>24</v>
      </c>
      <c r="I10" s="10">
        <v>8</v>
      </c>
      <c r="J10">
        <f>OPR_2P!J10</f>
        <v>1300</v>
      </c>
      <c r="K10">
        <f>OPR_2P!K10</f>
        <v>1800</v>
      </c>
    </row>
    <row r="11" spans="1:12" ht="15" customHeight="1" x14ac:dyDescent="0.3">
      <c r="A11" s="10">
        <v>34</v>
      </c>
      <c r="B11" s="10">
        <v>18</v>
      </c>
      <c r="C11" s="10">
        <v>13</v>
      </c>
      <c r="D11" s="10">
        <v>18</v>
      </c>
      <c r="E11" s="10">
        <v>22</v>
      </c>
      <c r="F11" s="10">
        <v>17</v>
      </c>
      <c r="G11" s="10">
        <v>19</v>
      </c>
      <c r="H11" s="10">
        <v>22</v>
      </c>
      <c r="I11" s="10">
        <v>4</v>
      </c>
      <c r="J11">
        <f>OPR_2P!J11</f>
        <v>1500</v>
      </c>
      <c r="K11">
        <f>OPR_2P!K11</f>
        <v>2000</v>
      </c>
    </row>
    <row r="12" spans="1:12" ht="15" customHeight="1" x14ac:dyDescent="0.3">
      <c r="A12" s="10">
        <v>42</v>
      </c>
      <c r="B12" s="10">
        <v>17</v>
      </c>
      <c r="C12" s="10">
        <v>29</v>
      </c>
      <c r="D12" s="10">
        <v>24</v>
      </c>
      <c r="E12" s="10">
        <v>24</v>
      </c>
      <c r="F12" s="10">
        <v>22</v>
      </c>
      <c r="G12" s="10">
        <v>9</v>
      </c>
      <c r="H12" s="10">
        <v>19</v>
      </c>
      <c r="I12" s="10">
        <v>11</v>
      </c>
      <c r="J12">
        <f>OPR_2P!J12</f>
        <v>1700</v>
      </c>
      <c r="K12">
        <f>OPR_2P!K12</f>
        <v>2200</v>
      </c>
    </row>
    <row r="13" spans="1:12" ht="15" customHeight="1" x14ac:dyDescent="0.3">
      <c r="A13" s="10">
        <v>46</v>
      </c>
      <c r="B13" s="10">
        <v>22</v>
      </c>
      <c r="C13" s="10">
        <v>25</v>
      </c>
      <c r="D13" s="10">
        <v>38</v>
      </c>
      <c r="E13" s="10">
        <v>21</v>
      </c>
      <c r="F13" s="10">
        <v>10</v>
      </c>
      <c r="G13" s="10">
        <v>12</v>
      </c>
      <c r="H13" s="10">
        <v>30</v>
      </c>
      <c r="I13" s="10">
        <v>8</v>
      </c>
      <c r="J13">
        <f>OPR_2P!J13</f>
        <v>1900</v>
      </c>
      <c r="K13">
        <f>OPR_2P!K13</f>
        <v>2400</v>
      </c>
    </row>
    <row r="14" spans="1:12" ht="15" customHeight="1" x14ac:dyDescent="0.3">
      <c r="A14" s="10">
        <v>50</v>
      </c>
      <c r="B14" s="10">
        <v>22</v>
      </c>
      <c r="C14" s="10">
        <v>25</v>
      </c>
      <c r="D14" s="10">
        <v>21</v>
      </c>
      <c r="E14" s="10">
        <v>24</v>
      </c>
      <c r="F14" s="10">
        <v>21</v>
      </c>
      <c r="G14" s="10">
        <v>18</v>
      </c>
      <c r="H14" s="10">
        <v>20</v>
      </c>
      <c r="I14" s="10">
        <v>6</v>
      </c>
      <c r="J14">
        <f>OPR_2P!J14</f>
        <v>2100</v>
      </c>
      <c r="K14">
        <f>OPR_2P!K14</f>
        <v>2600</v>
      </c>
    </row>
    <row r="15" spans="1:12" ht="15" customHeight="1" x14ac:dyDescent="0.3">
      <c r="A15" s="10">
        <v>54</v>
      </c>
      <c r="B15" s="10">
        <v>18</v>
      </c>
      <c r="C15" s="10">
        <v>36</v>
      </c>
      <c r="D15" s="10">
        <v>24</v>
      </c>
      <c r="E15" s="10">
        <v>33</v>
      </c>
      <c r="F15" s="10">
        <v>12</v>
      </c>
      <c r="G15" s="10">
        <v>16</v>
      </c>
      <c r="H15" s="10">
        <v>36</v>
      </c>
      <c r="I15" s="10">
        <v>10</v>
      </c>
      <c r="J15">
        <f>OPR_2P!J15</f>
        <v>2300</v>
      </c>
      <c r="K15">
        <f>OPR_2P!K15</f>
        <v>2800</v>
      </c>
    </row>
    <row r="16" spans="1:12" ht="15" customHeight="1" x14ac:dyDescent="0.3">
      <c r="A16" s="10">
        <v>57</v>
      </c>
      <c r="B16" s="10">
        <v>20</v>
      </c>
      <c r="C16" s="10">
        <v>29</v>
      </c>
      <c r="D16" s="10">
        <v>46</v>
      </c>
      <c r="E16" s="10">
        <v>39</v>
      </c>
      <c r="F16" s="10">
        <v>24</v>
      </c>
      <c r="G16" s="10">
        <v>20</v>
      </c>
      <c r="H16" s="10">
        <v>22</v>
      </c>
      <c r="I16" s="10">
        <v>10</v>
      </c>
      <c r="J16">
        <f>OPR_2P!J16</f>
        <v>2500</v>
      </c>
      <c r="K16">
        <f>OPR_2P!K16</f>
        <v>3000</v>
      </c>
    </row>
    <row r="17" spans="1:11" ht="15" customHeight="1" x14ac:dyDescent="0.3">
      <c r="A17" s="10">
        <v>63</v>
      </c>
      <c r="B17" s="10">
        <v>25</v>
      </c>
      <c r="C17" s="10">
        <v>20</v>
      </c>
      <c r="D17" s="10">
        <v>53</v>
      </c>
      <c r="E17" s="10">
        <v>31</v>
      </c>
      <c r="F17" s="10">
        <v>25</v>
      </c>
      <c r="G17" s="10">
        <v>16</v>
      </c>
      <c r="H17" s="10">
        <v>22</v>
      </c>
      <c r="I17" s="10">
        <v>11</v>
      </c>
      <c r="J17">
        <f>OPR_2P!J17</f>
        <v>2700</v>
      </c>
      <c r="K17">
        <f>OPR_2P!K17</f>
        <v>3200</v>
      </c>
    </row>
    <row r="18" spans="1:11" ht="15" customHeight="1" x14ac:dyDescent="0.3">
      <c r="A18" s="10">
        <v>70</v>
      </c>
      <c r="B18" s="10">
        <v>31</v>
      </c>
      <c r="C18" s="10">
        <v>43</v>
      </c>
      <c r="D18" s="10">
        <v>65</v>
      </c>
      <c r="E18" s="10">
        <v>23</v>
      </c>
      <c r="F18" s="10">
        <v>22</v>
      </c>
      <c r="G18" s="10">
        <v>17</v>
      </c>
      <c r="H18" s="10">
        <v>22</v>
      </c>
      <c r="I18" s="10">
        <v>17</v>
      </c>
      <c r="J18">
        <f>OPR_2P!J18</f>
        <v>2900</v>
      </c>
      <c r="K18">
        <f>OPR_2P!K18</f>
        <v>3400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L18"/>
  <sheetViews>
    <sheetView zoomScaleNormal="100" workbookViewId="0"/>
  </sheetViews>
  <sheetFormatPr defaultColWidth="8.6640625" defaultRowHeight="14.4" x14ac:dyDescent="0.3"/>
  <cols>
    <col min="1" max="100" width="13" customWidth="1"/>
  </cols>
  <sheetData>
    <row r="1" spans="1:12" ht="15" customHeight="1" x14ac:dyDescent="0.3">
      <c r="A1" s="93" t="s">
        <v>380</v>
      </c>
    </row>
    <row r="2" spans="1:12" ht="15" customHeight="1" x14ac:dyDescent="0.3">
      <c r="A2" s="16" t="s">
        <v>290</v>
      </c>
      <c r="B2">
        <v>2</v>
      </c>
    </row>
    <row r="3" spans="1:12" ht="15" customHeight="1" x14ac:dyDescent="0.3">
      <c r="A3" s="94" t="s">
        <v>3</v>
      </c>
      <c r="B3" s="94" t="s">
        <v>131</v>
      </c>
      <c r="C3" s="94" t="s">
        <v>138</v>
      </c>
      <c r="D3" s="94" t="s">
        <v>145</v>
      </c>
      <c r="E3" s="94" t="s">
        <v>152</v>
      </c>
      <c r="F3" s="94" t="s">
        <v>183</v>
      </c>
      <c r="G3" s="94" t="s">
        <v>198</v>
      </c>
      <c r="H3" s="94" t="s">
        <v>208</v>
      </c>
      <c r="I3" s="94" t="s">
        <v>219</v>
      </c>
      <c r="J3" s="94" t="s">
        <v>291</v>
      </c>
      <c r="K3" s="94" t="s">
        <v>292</v>
      </c>
      <c r="L3" s="16"/>
    </row>
    <row r="4" spans="1:12" ht="15" customHeight="1" x14ac:dyDescent="0.3">
      <c r="A4" s="10">
        <v>9</v>
      </c>
      <c r="B4" s="10">
        <v>5</v>
      </c>
      <c r="C4" s="10">
        <v>13</v>
      </c>
      <c r="D4" s="10">
        <v>14</v>
      </c>
      <c r="E4" s="10">
        <v>9</v>
      </c>
      <c r="F4" s="10">
        <v>4</v>
      </c>
      <c r="G4" s="10">
        <v>6</v>
      </c>
      <c r="H4" s="10">
        <v>8</v>
      </c>
      <c r="I4" s="10">
        <v>2</v>
      </c>
      <c r="J4">
        <f>OPR_2P!J4</f>
        <v>100</v>
      </c>
      <c r="K4">
        <f>OPR_2P!K4</f>
        <v>600</v>
      </c>
    </row>
    <row r="5" spans="1:12" ht="15" customHeight="1" x14ac:dyDescent="0.3">
      <c r="A5" s="10">
        <v>15</v>
      </c>
      <c r="B5" s="10">
        <v>6</v>
      </c>
      <c r="C5" s="10">
        <v>12</v>
      </c>
      <c r="D5" s="10">
        <v>11</v>
      </c>
      <c r="E5" s="10">
        <v>12</v>
      </c>
      <c r="F5" s="10">
        <v>12</v>
      </c>
      <c r="G5" s="10">
        <v>10</v>
      </c>
      <c r="H5" s="10">
        <v>12</v>
      </c>
      <c r="I5" s="10">
        <v>6</v>
      </c>
      <c r="J5">
        <f>OPR_2P!J5</f>
        <v>300</v>
      </c>
      <c r="K5">
        <f>OPR_2P!K5</f>
        <v>800</v>
      </c>
    </row>
    <row r="6" spans="1:12" ht="15" customHeight="1" x14ac:dyDescent="0.3">
      <c r="A6" s="10">
        <v>17</v>
      </c>
      <c r="B6" s="10">
        <v>10</v>
      </c>
      <c r="C6" s="10">
        <v>12</v>
      </c>
      <c r="D6" s="10">
        <v>17</v>
      </c>
      <c r="E6" s="10">
        <v>11</v>
      </c>
      <c r="F6" s="10">
        <v>4</v>
      </c>
      <c r="G6" s="10">
        <v>4</v>
      </c>
      <c r="H6" s="10">
        <v>17</v>
      </c>
      <c r="I6" s="10">
        <v>3</v>
      </c>
      <c r="J6">
        <f>OPR_2P!J6</f>
        <v>500</v>
      </c>
      <c r="K6">
        <f>OPR_2P!K6</f>
        <v>1000</v>
      </c>
    </row>
    <row r="7" spans="1:12" ht="15" customHeight="1" x14ac:dyDescent="0.3">
      <c r="A7" s="10">
        <v>20</v>
      </c>
      <c r="B7" s="10">
        <v>14</v>
      </c>
      <c r="C7" s="10">
        <v>15</v>
      </c>
      <c r="D7" s="10">
        <v>24</v>
      </c>
      <c r="E7" s="10">
        <v>18</v>
      </c>
      <c r="F7" s="10">
        <v>5</v>
      </c>
      <c r="G7" s="10">
        <v>14</v>
      </c>
      <c r="H7" s="10">
        <v>7</v>
      </c>
      <c r="I7" s="10">
        <v>7</v>
      </c>
      <c r="J7">
        <f>OPR_2P!J7</f>
        <v>700</v>
      </c>
      <c r="K7">
        <f>OPR_2P!K7</f>
        <v>1200</v>
      </c>
    </row>
    <row r="8" spans="1:12" ht="15" customHeight="1" x14ac:dyDescent="0.3">
      <c r="A8" s="10">
        <v>25</v>
      </c>
      <c r="B8" s="10">
        <v>7</v>
      </c>
      <c r="C8" s="10">
        <v>13</v>
      </c>
      <c r="D8" s="10">
        <v>13</v>
      </c>
      <c r="E8" s="10">
        <v>15</v>
      </c>
      <c r="F8" s="10">
        <v>13</v>
      </c>
      <c r="G8" s="10">
        <v>16</v>
      </c>
      <c r="H8" s="10">
        <v>19</v>
      </c>
      <c r="I8" s="10">
        <v>7</v>
      </c>
      <c r="J8">
        <f>OPR_2P!J8</f>
        <v>900</v>
      </c>
      <c r="K8">
        <f>OPR_2P!K8</f>
        <v>1400</v>
      </c>
    </row>
    <row r="9" spans="1:12" ht="15" customHeight="1" x14ac:dyDescent="0.3">
      <c r="A9" s="10">
        <v>28</v>
      </c>
      <c r="B9" s="10">
        <v>12</v>
      </c>
      <c r="C9" s="10">
        <v>20</v>
      </c>
      <c r="D9" s="10">
        <v>28</v>
      </c>
      <c r="E9" s="10">
        <v>22</v>
      </c>
      <c r="F9" s="10">
        <v>14</v>
      </c>
      <c r="G9" s="10">
        <v>17</v>
      </c>
      <c r="H9" s="10">
        <v>13</v>
      </c>
      <c r="I9" s="10">
        <v>6</v>
      </c>
      <c r="J9">
        <f>OPR_2P!J9</f>
        <v>1100</v>
      </c>
      <c r="K9">
        <f>OPR_2P!K9</f>
        <v>1600</v>
      </c>
    </row>
    <row r="10" spans="1:12" ht="15" customHeight="1" x14ac:dyDescent="0.3">
      <c r="A10" s="10">
        <v>30</v>
      </c>
      <c r="B10" s="10">
        <v>10</v>
      </c>
      <c r="C10" s="10">
        <v>27</v>
      </c>
      <c r="D10" s="10">
        <v>23</v>
      </c>
      <c r="E10" s="10">
        <v>18</v>
      </c>
      <c r="F10" s="10">
        <v>8</v>
      </c>
      <c r="G10" s="10">
        <v>17</v>
      </c>
      <c r="H10" s="10">
        <v>23</v>
      </c>
      <c r="I10" s="10">
        <v>8</v>
      </c>
      <c r="J10">
        <f>OPR_2P!J10</f>
        <v>1300</v>
      </c>
      <c r="K10">
        <f>OPR_2P!K10</f>
        <v>1800</v>
      </c>
    </row>
    <row r="11" spans="1:12" ht="15" customHeight="1" x14ac:dyDescent="0.3">
      <c r="A11" s="10">
        <v>34</v>
      </c>
      <c r="B11" s="10">
        <v>19</v>
      </c>
      <c r="C11" s="10">
        <v>19</v>
      </c>
      <c r="D11" s="10">
        <v>39</v>
      </c>
      <c r="E11" s="10">
        <v>22</v>
      </c>
      <c r="F11" s="10">
        <v>9</v>
      </c>
      <c r="G11" s="10">
        <v>19</v>
      </c>
      <c r="H11" s="10">
        <v>13</v>
      </c>
      <c r="I11" s="10">
        <v>6</v>
      </c>
      <c r="J11">
        <f>OPR_2P!J11</f>
        <v>1500</v>
      </c>
      <c r="K11">
        <f>OPR_2P!K11</f>
        <v>2000</v>
      </c>
    </row>
    <row r="12" spans="1:12" ht="15" customHeight="1" x14ac:dyDescent="0.3">
      <c r="A12" s="10">
        <v>42</v>
      </c>
      <c r="B12" s="10">
        <v>21</v>
      </c>
      <c r="C12" s="10">
        <v>26</v>
      </c>
      <c r="D12" s="10">
        <v>29</v>
      </c>
      <c r="E12" s="10">
        <v>20</v>
      </c>
      <c r="F12" s="10">
        <v>20</v>
      </c>
      <c r="G12" s="10">
        <v>18</v>
      </c>
      <c r="H12" s="10">
        <v>17</v>
      </c>
      <c r="I12" s="10">
        <v>10</v>
      </c>
      <c r="J12">
        <f>OPR_2P!J12</f>
        <v>1700</v>
      </c>
      <c r="K12">
        <f>OPR_2P!K12</f>
        <v>2200</v>
      </c>
    </row>
    <row r="13" spans="1:12" ht="15" customHeight="1" x14ac:dyDescent="0.3">
      <c r="A13" s="10">
        <v>46</v>
      </c>
      <c r="B13" s="10">
        <v>10</v>
      </c>
      <c r="C13" s="10">
        <v>21</v>
      </c>
      <c r="D13" s="10">
        <v>19</v>
      </c>
      <c r="E13" s="10">
        <v>23</v>
      </c>
      <c r="F13" s="10">
        <v>24</v>
      </c>
      <c r="G13" s="10">
        <v>17</v>
      </c>
      <c r="H13" s="10">
        <v>32</v>
      </c>
      <c r="I13" s="10">
        <v>8</v>
      </c>
      <c r="J13">
        <f>OPR_2P!J13</f>
        <v>1900</v>
      </c>
      <c r="K13">
        <f>OPR_2P!K13</f>
        <v>2400</v>
      </c>
    </row>
    <row r="14" spans="1:12" ht="15" customHeight="1" x14ac:dyDescent="0.3">
      <c r="A14" s="10">
        <v>50</v>
      </c>
      <c r="B14" s="10">
        <v>15</v>
      </c>
      <c r="C14" s="10">
        <v>38</v>
      </c>
      <c r="D14" s="10">
        <v>40</v>
      </c>
      <c r="E14" s="10">
        <v>29</v>
      </c>
      <c r="F14" s="10">
        <v>24</v>
      </c>
      <c r="G14" s="10">
        <v>15</v>
      </c>
      <c r="H14" s="10">
        <v>27</v>
      </c>
      <c r="I14" s="10">
        <v>13</v>
      </c>
      <c r="J14">
        <f>OPR_2P!J14</f>
        <v>2100</v>
      </c>
      <c r="K14">
        <f>OPR_2P!K14</f>
        <v>2600</v>
      </c>
    </row>
    <row r="15" spans="1:12" ht="15" customHeight="1" x14ac:dyDescent="0.3">
      <c r="A15" s="10">
        <v>54</v>
      </c>
      <c r="B15" s="10">
        <v>15</v>
      </c>
      <c r="C15" s="10">
        <v>29</v>
      </c>
      <c r="D15" s="10">
        <v>31</v>
      </c>
      <c r="E15" s="10">
        <v>25</v>
      </c>
      <c r="F15" s="10">
        <v>16</v>
      </c>
      <c r="G15" s="10">
        <v>24</v>
      </c>
      <c r="H15" s="10">
        <v>18</v>
      </c>
      <c r="I15" s="10">
        <v>7</v>
      </c>
      <c r="J15">
        <f>OPR_2P!J15</f>
        <v>2300</v>
      </c>
      <c r="K15">
        <f>OPR_2P!K15</f>
        <v>2800</v>
      </c>
    </row>
    <row r="16" spans="1:12" ht="15" customHeight="1" x14ac:dyDescent="0.3">
      <c r="A16" s="10">
        <v>57</v>
      </c>
      <c r="B16" s="10">
        <v>14</v>
      </c>
      <c r="C16" s="10">
        <v>22</v>
      </c>
      <c r="D16" s="10">
        <v>56</v>
      </c>
      <c r="E16" s="10">
        <v>41</v>
      </c>
      <c r="F16" s="10">
        <v>23</v>
      </c>
      <c r="G16" s="10">
        <v>13</v>
      </c>
      <c r="H16" s="10">
        <v>28</v>
      </c>
      <c r="I16" s="10">
        <v>9</v>
      </c>
      <c r="J16">
        <f>OPR_2P!J16</f>
        <v>2500</v>
      </c>
      <c r="K16">
        <f>OPR_2P!K16</f>
        <v>3000</v>
      </c>
    </row>
    <row r="17" spans="1:11" ht="15" customHeight="1" x14ac:dyDescent="0.3">
      <c r="A17" s="10">
        <v>63</v>
      </c>
      <c r="B17" s="10">
        <v>29</v>
      </c>
      <c r="C17" s="10">
        <v>43</v>
      </c>
      <c r="D17" s="10">
        <v>55</v>
      </c>
      <c r="E17" s="10">
        <v>40</v>
      </c>
      <c r="F17" s="10">
        <v>22</v>
      </c>
      <c r="G17" s="10">
        <v>29</v>
      </c>
      <c r="H17" s="10">
        <v>31</v>
      </c>
      <c r="I17" s="10">
        <v>13</v>
      </c>
      <c r="J17">
        <f>OPR_2P!J17</f>
        <v>2700</v>
      </c>
      <c r="K17">
        <f>OPR_2P!K17</f>
        <v>3200</v>
      </c>
    </row>
    <row r="18" spans="1:11" ht="15" customHeight="1" x14ac:dyDescent="0.3">
      <c r="A18" s="10">
        <v>70</v>
      </c>
      <c r="B18" s="10">
        <v>15</v>
      </c>
      <c r="C18" s="10">
        <v>34</v>
      </c>
      <c r="D18" s="10">
        <v>66</v>
      </c>
      <c r="E18" s="10">
        <v>37</v>
      </c>
      <c r="F18" s="10">
        <v>15</v>
      </c>
      <c r="G18" s="10">
        <v>16</v>
      </c>
      <c r="H18" s="10">
        <v>28</v>
      </c>
      <c r="I18" s="10">
        <v>12</v>
      </c>
      <c r="J18">
        <f>OPR_2P!J18</f>
        <v>2900</v>
      </c>
      <c r="K18">
        <f>OPR_2P!K18</f>
        <v>3400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BR1000"/>
  <sheetViews>
    <sheetView zoomScale="110" zoomScaleNormal="11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AD14" sqref="AD14"/>
    </sheetView>
  </sheetViews>
  <sheetFormatPr defaultColWidth="8.6640625" defaultRowHeight="14.4" x14ac:dyDescent="0.3"/>
  <cols>
    <col min="1" max="1" width="6.44140625" bestFit="1" customWidth="1"/>
    <col min="2" max="2" width="4.44140625" bestFit="1" customWidth="1"/>
    <col min="3" max="3" width="5.33203125" bestFit="1" customWidth="1"/>
    <col min="4" max="4" width="10.6640625" bestFit="1" customWidth="1"/>
    <col min="5" max="6" width="15.33203125" bestFit="1" customWidth="1"/>
    <col min="7" max="7" width="7.88671875" bestFit="1" customWidth="1"/>
    <col min="8" max="8" width="10.33203125" bestFit="1" customWidth="1"/>
    <col min="9" max="9" width="8.88671875" bestFit="1" customWidth="1"/>
    <col min="10" max="10" width="19" bestFit="1" customWidth="1"/>
    <col min="11" max="11" width="10.21875" bestFit="1" customWidth="1"/>
    <col min="12" max="70" width="3" customWidth="1"/>
  </cols>
  <sheetData>
    <row r="1" spans="1:70" ht="27.75" customHeight="1" x14ac:dyDescent="0.3">
      <c r="A1" s="139" t="s">
        <v>381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</row>
    <row r="2" spans="1:70" ht="15" customHeight="1" x14ac:dyDescent="0.3">
      <c r="J2" s="28" t="s">
        <v>1</v>
      </c>
    </row>
    <row r="3" spans="1:70" ht="39.75" customHeight="1" x14ac:dyDescent="0.3">
      <c r="A3" s="95" t="s">
        <v>2</v>
      </c>
      <c r="B3" s="95" t="s">
        <v>3</v>
      </c>
      <c r="C3" s="96" t="s">
        <v>4</v>
      </c>
      <c r="D3" s="72" t="s">
        <v>5</v>
      </c>
      <c r="E3" s="74" t="s">
        <v>6</v>
      </c>
      <c r="F3" s="74" t="s">
        <v>7</v>
      </c>
      <c r="G3" s="75" t="s">
        <v>8</v>
      </c>
      <c r="H3" s="76" t="s">
        <v>9</v>
      </c>
      <c r="I3" s="74" t="s">
        <v>10</v>
      </c>
      <c r="J3" s="97" t="s">
        <v>11</v>
      </c>
      <c r="K3" s="98" t="s">
        <v>12</v>
      </c>
      <c r="L3" s="99">
        <v>46113</v>
      </c>
      <c r="M3" s="99">
        <v>46114</v>
      </c>
      <c r="N3" s="99">
        <v>46115</v>
      </c>
      <c r="O3" s="99">
        <v>46116</v>
      </c>
      <c r="P3" s="99">
        <v>46118</v>
      </c>
      <c r="Q3" s="99">
        <v>46119</v>
      </c>
      <c r="R3" s="99">
        <v>46120</v>
      </c>
      <c r="S3" s="99">
        <v>46121</v>
      </c>
      <c r="T3" s="99">
        <v>46122</v>
      </c>
      <c r="U3" s="99">
        <v>46123</v>
      </c>
      <c r="V3" s="99">
        <v>46124</v>
      </c>
      <c r="W3" s="99">
        <v>46125</v>
      </c>
      <c r="X3" s="99">
        <v>46126</v>
      </c>
      <c r="Y3" s="99">
        <v>46127</v>
      </c>
      <c r="Z3" s="99">
        <v>46128</v>
      </c>
      <c r="AA3" s="99">
        <v>46129</v>
      </c>
      <c r="AB3" s="99">
        <v>46130</v>
      </c>
      <c r="AC3" s="99">
        <v>46131</v>
      </c>
      <c r="AD3" s="99">
        <v>46132</v>
      </c>
      <c r="AE3" s="99">
        <v>46133</v>
      </c>
      <c r="AF3" s="99">
        <v>46134</v>
      </c>
      <c r="AG3" s="99">
        <v>46135</v>
      </c>
      <c r="AH3" s="99">
        <v>46136</v>
      </c>
      <c r="AI3" s="99">
        <v>46137</v>
      </c>
      <c r="AJ3" s="99">
        <v>46138</v>
      </c>
      <c r="AK3" s="99">
        <v>46139</v>
      </c>
      <c r="AL3" s="99">
        <v>46140</v>
      </c>
      <c r="AM3" s="99">
        <v>46141</v>
      </c>
      <c r="AN3" s="99">
        <v>46142</v>
      </c>
      <c r="AO3" s="99">
        <v>46143</v>
      </c>
      <c r="AP3" s="99">
        <v>46144</v>
      </c>
      <c r="AQ3" s="99">
        <v>46145</v>
      </c>
      <c r="AR3" s="99">
        <v>46146</v>
      </c>
      <c r="AS3" s="99">
        <v>46147</v>
      </c>
      <c r="AT3" s="99">
        <v>46148</v>
      </c>
      <c r="AU3" s="99">
        <v>46149</v>
      </c>
      <c r="AV3" s="99">
        <v>46150</v>
      </c>
      <c r="AW3" s="99">
        <v>46151</v>
      </c>
      <c r="AX3" s="99">
        <v>46152</v>
      </c>
      <c r="AY3" s="99">
        <v>46153</v>
      </c>
      <c r="AZ3" s="99">
        <v>46154</v>
      </c>
      <c r="BA3" s="99">
        <v>46155</v>
      </c>
      <c r="BB3" s="99">
        <v>46156</v>
      </c>
      <c r="BC3" s="99">
        <v>46157</v>
      </c>
      <c r="BD3" s="99">
        <v>46158</v>
      </c>
      <c r="BE3" s="99">
        <v>46159</v>
      </c>
      <c r="BF3" s="99">
        <v>46160</v>
      </c>
      <c r="BG3" s="99">
        <v>46161</v>
      </c>
      <c r="BH3" s="99">
        <v>46162</v>
      </c>
      <c r="BI3" s="99">
        <v>46163</v>
      </c>
      <c r="BJ3" s="99">
        <v>46164</v>
      </c>
      <c r="BK3" s="99">
        <v>46165</v>
      </c>
      <c r="BL3" s="99">
        <v>46166</v>
      </c>
      <c r="BM3" s="99">
        <v>46167</v>
      </c>
      <c r="BN3" s="99">
        <v>46168</v>
      </c>
      <c r="BO3" s="99">
        <v>46169</v>
      </c>
      <c r="BP3" s="99">
        <v>46170</v>
      </c>
      <c r="BQ3" s="99">
        <v>46171</v>
      </c>
      <c r="BR3" s="99">
        <v>46172</v>
      </c>
    </row>
    <row r="4" spans="1:70" ht="15" customHeight="1" x14ac:dyDescent="0.3">
      <c r="A4" t="s">
        <v>382</v>
      </c>
      <c r="B4">
        <v>15</v>
      </c>
      <c r="C4" t="s">
        <v>383</v>
      </c>
      <c r="D4">
        <v>2</v>
      </c>
      <c r="E4" s="62">
        <v>46220.291666666657</v>
      </c>
      <c r="F4" s="62">
        <v>46244.291666666657</v>
      </c>
      <c r="G4" t="s">
        <v>33</v>
      </c>
      <c r="H4" t="str">
        <f t="shared" ref="H4:H35" si="0">IF($A4="","",TEXT($F4,"MMM-YYYY"))</f>
        <v>Aug-2026</v>
      </c>
      <c r="I4" t="s">
        <v>29</v>
      </c>
      <c r="J4" s="67">
        <f t="shared" ref="J4:J35" si="1">IF($A4="","",$F4+30)</f>
        <v>46274.291666666657</v>
      </c>
      <c r="K4" t="s">
        <v>27</v>
      </c>
      <c r="L4" t="str">
        <f t="shared" ref="L4:U13" si="2">IF(AND(L$3&gt;=$E4,L$3&lt;=$F4),1,"")</f>
        <v/>
      </c>
      <c r="M4" t="str">
        <f t="shared" si="2"/>
        <v/>
      </c>
      <c r="N4" t="str">
        <f t="shared" si="2"/>
        <v/>
      </c>
      <c r="O4" t="str">
        <f t="shared" si="2"/>
        <v/>
      </c>
      <c r="P4" t="str">
        <f t="shared" si="2"/>
        <v/>
      </c>
      <c r="Q4" t="str">
        <f t="shared" si="2"/>
        <v/>
      </c>
      <c r="R4" t="str">
        <f t="shared" si="2"/>
        <v/>
      </c>
      <c r="S4" t="str">
        <f t="shared" si="2"/>
        <v/>
      </c>
      <c r="T4" t="str">
        <f t="shared" si="2"/>
        <v/>
      </c>
      <c r="U4" t="str">
        <f t="shared" si="2"/>
        <v/>
      </c>
      <c r="V4" t="str">
        <f t="shared" ref="V4:AE13" si="3">IF(AND(V$3&gt;=$E4,V$3&lt;=$F4),1,"")</f>
        <v/>
      </c>
      <c r="W4" t="str">
        <f t="shared" si="3"/>
        <v/>
      </c>
      <c r="X4" t="str">
        <f t="shared" si="3"/>
        <v/>
      </c>
      <c r="Y4" t="str">
        <f t="shared" si="3"/>
        <v/>
      </c>
      <c r="Z4" t="str">
        <f t="shared" si="3"/>
        <v/>
      </c>
      <c r="AA4" t="str">
        <f t="shared" si="3"/>
        <v/>
      </c>
      <c r="AB4" t="str">
        <f t="shared" si="3"/>
        <v/>
      </c>
      <c r="AC4" t="str">
        <f t="shared" si="3"/>
        <v/>
      </c>
      <c r="AD4" t="str">
        <f t="shared" si="3"/>
        <v/>
      </c>
      <c r="AE4" t="str">
        <f t="shared" si="3"/>
        <v/>
      </c>
      <c r="AF4" t="str">
        <f t="shared" ref="AF4:AO13" si="4">IF(AND(AF$3&gt;=$E4,AF$3&lt;=$F4),1,"")</f>
        <v/>
      </c>
      <c r="AG4" t="str">
        <f t="shared" si="4"/>
        <v/>
      </c>
      <c r="AH4" t="str">
        <f t="shared" si="4"/>
        <v/>
      </c>
      <c r="AI4" t="str">
        <f t="shared" si="4"/>
        <v/>
      </c>
      <c r="AJ4" t="str">
        <f t="shared" si="4"/>
        <v/>
      </c>
      <c r="AK4" t="str">
        <f t="shared" si="4"/>
        <v/>
      </c>
      <c r="AL4" t="str">
        <f t="shared" si="4"/>
        <v/>
      </c>
      <c r="AM4" t="str">
        <f t="shared" si="4"/>
        <v/>
      </c>
      <c r="AN4" t="str">
        <f t="shared" si="4"/>
        <v/>
      </c>
      <c r="AO4" t="str">
        <f t="shared" si="4"/>
        <v/>
      </c>
      <c r="AP4" t="str">
        <f t="shared" ref="AP4:AY13" si="5">IF(AND(AP$3&gt;=$E4,AP$3&lt;=$F4),1,"")</f>
        <v/>
      </c>
      <c r="AQ4" t="str">
        <f t="shared" si="5"/>
        <v/>
      </c>
      <c r="AR4" t="str">
        <f t="shared" si="5"/>
        <v/>
      </c>
      <c r="AS4" t="str">
        <f t="shared" si="5"/>
        <v/>
      </c>
      <c r="AT4" t="str">
        <f t="shared" si="5"/>
        <v/>
      </c>
      <c r="AU4" t="str">
        <f t="shared" si="5"/>
        <v/>
      </c>
      <c r="AV4" t="str">
        <f t="shared" si="5"/>
        <v/>
      </c>
      <c r="AW4" t="str">
        <f t="shared" si="5"/>
        <v/>
      </c>
      <c r="AX4" t="str">
        <f t="shared" si="5"/>
        <v/>
      </c>
      <c r="AY4" t="str">
        <f t="shared" si="5"/>
        <v/>
      </c>
      <c r="AZ4" t="str">
        <f t="shared" ref="AZ4:BI13" si="6">IF(AND(AZ$3&gt;=$E4,AZ$3&lt;=$F4),1,"")</f>
        <v/>
      </c>
      <c r="BA4" t="str">
        <f t="shared" si="6"/>
        <v/>
      </c>
      <c r="BB4" t="str">
        <f t="shared" si="6"/>
        <v/>
      </c>
      <c r="BC4" t="str">
        <f t="shared" si="6"/>
        <v/>
      </c>
      <c r="BD4" t="str">
        <f t="shared" si="6"/>
        <v/>
      </c>
      <c r="BE4" t="str">
        <f t="shared" si="6"/>
        <v/>
      </c>
      <c r="BF4" t="str">
        <f t="shared" si="6"/>
        <v/>
      </c>
      <c r="BG4" t="str">
        <f t="shared" si="6"/>
        <v/>
      </c>
      <c r="BH4" t="str">
        <f t="shared" si="6"/>
        <v/>
      </c>
      <c r="BI4" t="str">
        <f t="shared" si="6"/>
        <v/>
      </c>
      <c r="BJ4" t="str">
        <f t="shared" ref="BJ4:BR13" si="7">IF(AND(BJ$3&gt;=$E4,BJ$3&lt;=$F4),1,"")</f>
        <v/>
      </c>
      <c r="BK4" t="str">
        <f t="shared" si="7"/>
        <v/>
      </c>
      <c r="BL4" t="str">
        <f t="shared" si="7"/>
        <v/>
      </c>
      <c r="BM4" t="str">
        <f t="shared" si="7"/>
        <v/>
      </c>
      <c r="BN4" t="str">
        <f t="shared" si="7"/>
        <v/>
      </c>
      <c r="BO4" t="str">
        <f t="shared" si="7"/>
        <v/>
      </c>
      <c r="BP4" t="str">
        <f t="shared" si="7"/>
        <v/>
      </c>
      <c r="BQ4" t="str">
        <f t="shared" si="7"/>
        <v/>
      </c>
      <c r="BR4" t="str">
        <f t="shared" si="7"/>
        <v/>
      </c>
    </row>
    <row r="5" spans="1:70" ht="15" customHeight="1" x14ac:dyDescent="0.3">
      <c r="A5" t="s">
        <v>384</v>
      </c>
      <c r="B5">
        <v>54</v>
      </c>
      <c r="C5" t="s">
        <v>383</v>
      </c>
      <c r="D5">
        <v>2</v>
      </c>
      <c r="E5" s="62">
        <v>46230.291666666657</v>
      </c>
      <c r="F5" s="62">
        <v>46304.291666666657</v>
      </c>
      <c r="G5" t="s">
        <v>15</v>
      </c>
      <c r="H5" t="str">
        <f t="shared" si="0"/>
        <v>Oct-2026</v>
      </c>
      <c r="I5" t="s">
        <v>16</v>
      </c>
      <c r="J5" s="67">
        <f t="shared" si="1"/>
        <v>46334.291666666657</v>
      </c>
      <c r="K5" t="s">
        <v>27</v>
      </c>
      <c r="L5" t="str">
        <f t="shared" si="2"/>
        <v/>
      </c>
      <c r="M5" t="str">
        <f t="shared" si="2"/>
        <v/>
      </c>
      <c r="N5" t="str">
        <f t="shared" si="2"/>
        <v/>
      </c>
      <c r="O5" t="str">
        <f t="shared" si="2"/>
        <v/>
      </c>
      <c r="P5" t="str">
        <f t="shared" si="2"/>
        <v/>
      </c>
      <c r="Q5" t="str">
        <f t="shared" si="2"/>
        <v/>
      </c>
      <c r="R5" t="str">
        <f t="shared" si="2"/>
        <v/>
      </c>
      <c r="S5" t="str">
        <f t="shared" si="2"/>
        <v/>
      </c>
      <c r="T5" t="str">
        <f t="shared" si="2"/>
        <v/>
      </c>
      <c r="U5" t="str">
        <f t="shared" si="2"/>
        <v/>
      </c>
      <c r="V5" t="str">
        <f t="shared" si="3"/>
        <v/>
      </c>
      <c r="W5" t="str">
        <f t="shared" si="3"/>
        <v/>
      </c>
      <c r="X5" t="str">
        <f t="shared" si="3"/>
        <v/>
      </c>
      <c r="Y5" t="str">
        <f t="shared" si="3"/>
        <v/>
      </c>
      <c r="Z5" t="str">
        <f t="shared" si="3"/>
        <v/>
      </c>
      <c r="AA5" t="str">
        <f t="shared" si="3"/>
        <v/>
      </c>
      <c r="AB5" t="str">
        <f t="shared" si="3"/>
        <v/>
      </c>
      <c r="AC5" t="str">
        <f t="shared" si="3"/>
        <v/>
      </c>
      <c r="AD5" t="str">
        <f t="shared" si="3"/>
        <v/>
      </c>
      <c r="AE5" t="str">
        <f t="shared" si="3"/>
        <v/>
      </c>
      <c r="AF5" t="str">
        <f t="shared" si="4"/>
        <v/>
      </c>
      <c r="AG5" t="str">
        <f t="shared" si="4"/>
        <v/>
      </c>
      <c r="AH5" t="str">
        <f t="shared" si="4"/>
        <v/>
      </c>
      <c r="AI5" t="str">
        <f t="shared" si="4"/>
        <v/>
      </c>
      <c r="AJ5" t="str">
        <f t="shared" si="4"/>
        <v/>
      </c>
      <c r="AK5" t="str">
        <f t="shared" si="4"/>
        <v/>
      </c>
      <c r="AL5" t="str">
        <f t="shared" si="4"/>
        <v/>
      </c>
      <c r="AM5" t="str">
        <f t="shared" si="4"/>
        <v/>
      </c>
      <c r="AN5" t="str">
        <f t="shared" si="4"/>
        <v/>
      </c>
      <c r="AO5" t="str">
        <f t="shared" si="4"/>
        <v/>
      </c>
      <c r="AP5" t="str">
        <f t="shared" si="5"/>
        <v/>
      </c>
      <c r="AQ5" t="str">
        <f t="shared" si="5"/>
        <v/>
      </c>
      <c r="AR5" t="str">
        <f t="shared" si="5"/>
        <v/>
      </c>
      <c r="AS5" t="str">
        <f t="shared" si="5"/>
        <v/>
      </c>
      <c r="AT5" t="str">
        <f t="shared" si="5"/>
        <v/>
      </c>
      <c r="AU5" t="str">
        <f t="shared" si="5"/>
        <v/>
      </c>
      <c r="AV5" t="str">
        <f t="shared" si="5"/>
        <v/>
      </c>
      <c r="AW5" t="str">
        <f t="shared" si="5"/>
        <v/>
      </c>
      <c r="AX5" t="str">
        <f t="shared" si="5"/>
        <v/>
      </c>
      <c r="AY5" t="str">
        <f t="shared" si="5"/>
        <v/>
      </c>
      <c r="AZ5" t="str">
        <f t="shared" si="6"/>
        <v/>
      </c>
      <c r="BA5" t="str">
        <f t="shared" si="6"/>
        <v/>
      </c>
      <c r="BB5" t="str">
        <f t="shared" si="6"/>
        <v/>
      </c>
      <c r="BC5" t="str">
        <f t="shared" si="6"/>
        <v/>
      </c>
      <c r="BD5" t="str">
        <f t="shared" si="6"/>
        <v/>
      </c>
      <c r="BE5" t="str">
        <f t="shared" si="6"/>
        <v/>
      </c>
      <c r="BF5" t="str">
        <f t="shared" si="6"/>
        <v/>
      </c>
      <c r="BG5" t="str">
        <f t="shared" si="6"/>
        <v/>
      </c>
      <c r="BH5" t="str">
        <f t="shared" si="6"/>
        <v/>
      </c>
      <c r="BI5" t="str">
        <f t="shared" si="6"/>
        <v/>
      </c>
      <c r="BJ5" t="str">
        <f t="shared" si="7"/>
        <v/>
      </c>
      <c r="BK5" t="str">
        <f t="shared" si="7"/>
        <v/>
      </c>
      <c r="BL5" t="str">
        <f t="shared" si="7"/>
        <v/>
      </c>
      <c r="BM5" t="str">
        <f t="shared" si="7"/>
        <v/>
      </c>
      <c r="BN5" t="str">
        <f t="shared" si="7"/>
        <v/>
      </c>
      <c r="BO5" t="str">
        <f t="shared" si="7"/>
        <v/>
      </c>
      <c r="BP5" t="str">
        <f t="shared" si="7"/>
        <v/>
      </c>
      <c r="BQ5" t="str">
        <f t="shared" si="7"/>
        <v/>
      </c>
      <c r="BR5" t="str">
        <f t="shared" si="7"/>
        <v/>
      </c>
    </row>
    <row r="6" spans="1:70" ht="15" customHeight="1" x14ac:dyDescent="0.3">
      <c r="A6" t="s">
        <v>385</v>
      </c>
      <c r="B6">
        <v>42</v>
      </c>
      <c r="C6" t="s">
        <v>386</v>
      </c>
      <c r="D6">
        <v>3</v>
      </c>
      <c r="E6" s="62">
        <v>46153.291666666657</v>
      </c>
      <c r="F6" s="62">
        <v>46221.291666666657</v>
      </c>
      <c r="G6" t="s">
        <v>15</v>
      </c>
      <c r="H6" t="str">
        <f t="shared" si="0"/>
        <v>Jul-2026</v>
      </c>
      <c r="I6" t="s">
        <v>29</v>
      </c>
      <c r="J6" s="67">
        <f t="shared" si="1"/>
        <v>46251.291666666657</v>
      </c>
      <c r="K6" t="s">
        <v>31</v>
      </c>
      <c r="L6" t="str">
        <f t="shared" si="2"/>
        <v/>
      </c>
      <c r="M6" t="str">
        <f t="shared" si="2"/>
        <v/>
      </c>
      <c r="N6" t="str">
        <f t="shared" si="2"/>
        <v/>
      </c>
      <c r="O6" t="str">
        <f t="shared" si="2"/>
        <v/>
      </c>
      <c r="P6" t="str">
        <f t="shared" si="2"/>
        <v/>
      </c>
      <c r="Q6" t="str">
        <f t="shared" si="2"/>
        <v/>
      </c>
      <c r="R6" t="str">
        <f t="shared" si="2"/>
        <v/>
      </c>
      <c r="S6" t="str">
        <f t="shared" si="2"/>
        <v/>
      </c>
      <c r="T6" t="str">
        <f t="shared" si="2"/>
        <v/>
      </c>
      <c r="U6" t="str">
        <f t="shared" si="2"/>
        <v/>
      </c>
      <c r="V6" t="str">
        <f t="shared" si="3"/>
        <v/>
      </c>
      <c r="W6" t="str">
        <f t="shared" si="3"/>
        <v/>
      </c>
      <c r="X6" t="str">
        <f t="shared" si="3"/>
        <v/>
      </c>
      <c r="Y6" t="str">
        <f t="shared" si="3"/>
        <v/>
      </c>
      <c r="Z6" t="str">
        <f t="shared" si="3"/>
        <v/>
      </c>
      <c r="AA6" t="str">
        <f t="shared" si="3"/>
        <v/>
      </c>
      <c r="AB6" t="str">
        <f t="shared" si="3"/>
        <v/>
      </c>
      <c r="AC6" t="str">
        <f t="shared" si="3"/>
        <v/>
      </c>
      <c r="AD6" t="str">
        <f t="shared" si="3"/>
        <v/>
      </c>
      <c r="AE6" t="str">
        <f t="shared" si="3"/>
        <v/>
      </c>
      <c r="AF6" t="str">
        <f t="shared" si="4"/>
        <v/>
      </c>
      <c r="AG6" t="str">
        <f t="shared" si="4"/>
        <v/>
      </c>
      <c r="AH6" t="str">
        <f t="shared" si="4"/>
        <v/>
      </c>
      <c r="AI6" t="str">
        <f t="shared" si="4"/>
        <v/>
      </c>
      <c r="AJ6" t="str">
        <f t="shared" si="4"/>
        <v/>
      </c>
      <c r="AK6" t="str">
        <f t="shared" si="4"/>
        <v/>
      </c>
      <c r="AL6" t="str">
        <f t="shared" si="4"/>
        <v/>
      </c>
      <c r="AM6" t="str">
        <f t="shared" si="4"/>
        <v/>
      </c>
      <c r="AN6" t="str">
        <f t="shared" si="4"/>
        <v/>
      </c>
      <c r="AO6" t="str">
        <f t="shared" si="4"/>
        <v/>
      </c>
      <c r="AP6" t="str">
        <f t="shared" si="5"/>
        <v/>
      </c>
      <c r="AQ6" t="str">
        <f t="shared" si="5"/>
        <v/>
      </c>
      <c r="AR6" t="str">
        <f t="shared" si="5"/>
        <v/>
      </c>
      <c r="AS6" t="str">
        <f t="shared" si="5"/>
        <v/>
      </c>
      <c r="AT6" t="str">
        <f t="shared" si="5"/>
        <v/>
      </c>
      <c r="AU6" t="str">
        <f t="shared" si="5"/>
        <v/>
      </c>
      <c r="AV6" t="str">
        <f t="shared" si="5"/>
        <v/>
      </c>
      <c r="AW6" t="str">
        <f t="shared" si="5"/>
        <v/>
      </c>
      <c r="AX6" t="str">
        <f t="shared" si="5"/>
        <v/>
      </c>
      <c r="AY6" t="str">
        <f t="shared" si="5"/>
        <v/>
      </c>
      <c r="AZ6">
        <f t="shared" si="6"/>
        <v>1</v>
      </c>
      <c r="BA6">
        <f t="shared" si="6"/>
        <v>1</v>
      </c>
      <c r="BB6">
        <f t="shared" si="6"/>
        <v>1</v>
      </c>
      <c r="BC6">
        <f t="shared" si="6"/>
        <v>1</v>
      </c>
      <c r="BD6">
        <f t="shared" si="6"/>
        <v>1</v>
      </c>
      <c r="BE6">
        <f t="shared" si="6"/>
        <v>1</v>
      </c>
      <c r="BF6">
        <f t="shared" si="6"/>
        <v>1</v>
      </c>
      <c r="BG6">
        <f t="shared" si="6"/>
        <v>1</v>
      </c>
      <c r="BH6">
        <f t="shared" si="6"/>
        <v>1</v>
      </c>
      <c r="BI6">
        <f t="shared" si="6"/>
        <v>1</v>
      </c>
      <c r="BJ6">
        <f t="shared" si="7"/>
        <v>1</v>
      </c>
      <c r="BK6">
        <f t="shared" si="7"/>
        <v>1</v>
      </c>
      <c r="BL6">
        <f t="shared" si="7"/>
        <v>1</v>
      </c>
      <c r="BM6">
        <f t="shared" si="7"/>
        <v>1</v>
      </c>
      <c r="BN6">
        <f t="shared" si="7"/>
        <v>1</v>
      </c>
      <c r="BO6">
        <f t="shared" si="7"/>
        <v>1</v>
      </c>
      <c r="BP6">
        <f t="shared" si="7"/>
        <v>1</v>
      </c>
      <c r="BQ6">
        <f t="shared" si="7"/>
        <v>1</v>
      </c>
      <c r="BR6">
        <f t="shared" si="7"/>
        <v>1</v>
      </c>
    </row>
    <row r="7" spans="1:70" ht="15" customHeight="1" x14ac:dyDescent="0.3">
      <c r="A7" t="s">
        <v>387</v>
      </c>
      <c r="B7">
        <v>42</v>
      </c>
      <c r="C7" t="s">
        <v>388</v>
      </c>
      <c r="D7">
        <v>2</v>
      </c>
      <c r="E7" s="62">
        <v>46118.291666666657</v>
      </c>
      <c r="F7" s="62">
        <v>46161.291666666657</v>
      </c>
      <c r="G7" t="s">
        <v>26</v>
      </c>
      <c r="H7" t="str">
        <f t="shared" si="0"/>
        <v>May-2026</v>
      </c>
      <c r="I7" t="s">
        <v>16</v>
      </c>
      <c r="J7" s="67">
        <f t="shared" si="1"/>
        <v>46191.291666666657</v>
      </c>
      <c r="K7" t="s">
        <v>27</v>
      </c>
      <c r="L7" t="str">
        <f t="shared" si="2"/>
        <v/>
      </c>
      <c r="M7" t="str">
        <f t="shared" si="2"/>
        <v/>
      </c>
      <c r="N7" t="str">
        <f t="shared" si="2"/>
        <v/>
      </c>
      <c r="O7" t="str">
        <f t="shared" si="2"/>
        <v/>
      </c>
      <c r="P7" t="str">
        <f t="shared" si="2"/>
        <v/>
      </c>
      <c r="Q7">
        <f t="shared" si="2"/>
        <v>1</v>
      </c>
      <c r="R7">
        <f t="shared" si="2"/>
        <v>1</v>
      </c>
      <c r="S7">
        <f t="shared" si="2"/>
        <v>1</v>
      </c>
      <c r="T7">
        <f t="shared" si="2"/>
        <v>1</v>
      </c>
      <c r="U7">
        <f t="shared" si="2"/>
        <v>1</v>
      </c>
      <c r="V7">
        <f t="shared" si="3"/>
        <v>1</v>
      </c>
      <c r="W7">
        <f t="shared" si="3"/>
        <v>1</v>
      </c>
      <c r="X7">
        <f t="shared" si="3"/>
        <v>1</v>
      </c>
      <c r="Y7">
        <f t="shared" si="3"/>
        <v>1</v>
      </c>
      <c r="Z7">
        <f t="shared" si="3"/>
        <v>1</v>
      </c>
      <c r="AA7">
        <f t="shared" si="3"/>
        <v>1</v>
      </c>
      <c r="AB7">
        <f t="shared" si="3"/>
        <v>1</v>
      </c>
      <c r="AC7">
        <f t="shared" si="3"/>
        <v>1</v>
      </c>
      <c r="AD7">
        <f t="shared" si="3"/>
        <v>1</v>
      </c>
      <c r="AE7">
        <f t="shared" si="3"/>
        <v>1</v>
      </c>
      <c r="AF7">
        <f t="shared" si="4"/>
        <v>1</v>
      </c>
      <c r="AG7">
        <f t="shared" si="4"/>
        <v>1</v>
      </c>
      <c r="AH7">
        <f t="shared" si="4"/>
        <v>1</v>
      </c>
      <c r="AI7">
        <f t="shared" si="4"/>
        <v>1</v>
      </c>
      <c r="AJ7">
        <f t="shared" si="4"/>
        <v>1</v>
      </c>
      <c r="AK7">
        <f t="shared" si="4"/>
        <v>1</v>
      </c>
      <c r="AL7">
        <f t="shared" si="4"/>
        <v>1</v>
      </c>
      <c r="AM7">
        <f t="shared" si="4"/>
        <v>1</v>
      </c>
      <c r="AN7">
        <f t="shared" si="4"/>
        <v>1</v>
      </c>
      <c r="AO7">
        <f t="shared" si="4"/>
        <v>1</v>
      </c>
      <c r="AP7">
        <f t="shared" si="5"/>
        <v>1</v>
      </c>
      <c r="AQ7">
        <f t="shared" si="5"/>
        <v>1</v>
      </c>
      <c r="AR7">
        <f t="shared" si="5"/>
        <v>1</v>
      </c>
      <c r="AS7">
        <f t="shared" si="5"/>
        <v>1</v>
      </c>
      <c r="AT7">
        <f t="shared" si="5"/>
        <v>1</v>
      </c>
      <c r="AU7">
        <f t="shared" si="5"/>
        <v>1</v>
      </c>
      <c r="AV7">
        <f t="shared" si="5"/>
        <v>1</v>
      </c>
      <c r="AW7">
        <f t="shared" si="5"/>
        <v>1</v>
      </c>
      <c r="AX7">
        <f t="shared" si="5"/>
        <v>1</v>
      </c>
      <c r="AY7">
        <f t="shared" si="5"/>
        <v>1</v>
      </c>
      <c r="AZ7">
        <f t="shared" si="6"/>
        <v>1</v>
      </c>
      <c r="BA7">
        <f t="shared" si="6"/>
        <v>1</v>
      </c>
      <c r="BB7">
        <f t="shared" si="6"/>
        <v>1</v>
      </c>
      <c r="BC7">
        <f t="shared" si="6"/>
        <v>1</v>
      </c>
      <c r="BD7">
        <f t="shared" si="6"/>
        <v>1</v>
      </c>
      <c r="BE7">
        <f t="shared" si="6"/>
        <v>1</v>
      </c>
      <c r="BF7">
        <f t="shared" si="6"/>
        <v>1</v>
      </c>
      <c r="BG7">
        <f t="shared" si="6"/>
        <v>1</v>
      </c>
      <c r="BH7" t="str">
        <f t="shared" si="6"/>
        <v/>
      </c>
      <c r="BI7" t="str">
        <f t="shared" si="6"/>
        <v/>
      </c>
      <c r="BJ7" t="str">
        <f t="shared" si="7"/>
        <v/>
      </c>
      <c r="BK7" t="str">
        <f t="shared" si="7"/>
        <v/>
      </c>
      <c r="BL7" t="str">
        <f t="shared" si="7"/>
        <v/>
      </c>
      <c r="BM7" t="str">
        <f t="shared" si="7"/>
        <v/>
      </c>
      <c r="BN7" t="str">
        <f t="shared" si="7"/>
        <v/>
      </c>
      <c r="BO7" t="str">
        <f t="shared" si="7"/>
        <v/>
      </c>
      <c r="BP7" t="str">
        <f t="shared" si="7"/>
        <v/>
      </c>
      <c r="BQ7" t="str">
        <f t="shared" si="7"/>
        <v/>
      </c>
      <c r="BR7" t="str">
        <f t="shared" si="7"/>
        <v/>
      </c>
    </row>
    <row r="8" spans="1:70" ht="15" customHeight="1" x14ac:dyDescent="0.3">
      <c r="A8" t="s">
        <v>389</v>
      </c>
      <c r="B8">
        <v>42</v>
      </c>
      <c r="C8" t="s">
        <v>390</v>
      </c>
      <c r="D8">
        <v>1</v>
      </c>
      <c r="E8" s="62">
        <v>46220.291666666657</v>
      </c>
      <c r="F8" s="62">
        <v>46262.291666666657</v>
      </c>
      <c r="G8" t="s">
        <v>33</v>
      </c>
      <c r="H8" t="str">
        <f t="shared" si="0"/>
        <v>Aug-2026</v>
      </c>
      <c r="I8" t="s">
        <v>29</v>
      </c>
      <c r="J8" s="67">
        <f t="shared" si="1"/>
        <v>46292.291666666657</v>
      </c>
      <c r="K8" t="s">
        <v>31</v>
      </c>
      <c r="L8" t="str">
        <f t="shared" si="2"/>
        <v/>
      </c>
      <c r="M8" t="str">
        <f t="shared" si="2"/>
        <v/>
      </c>
      <c r="N8" t="str">
        <f t="shared" si="2"/>
        <v/>
      </c>
      <c r="O8" t="str">
        <f t="shared" si="2"/>
        <v/>
      </c>
      <c r="P8" t="str">
        <f t="shared" si="2"/>
        <v/>
      </c>
      <c r="Q8" t="str">
        <f t="shared" si="2"/>
        <v/>
      </c>
      <c r="R8" t="str">
        <f t="shared" si="2"/>
        <v/>
      </c>
      <c r="S8" t="str">
        <f t="shared" si="2"/>
        <v/>
      </c>
      <c r="T8" t="str">
        <f t="shared" si="2"/>
        <v/>
      </c>
      <c r="U8" t="str">
        <f t="shared" si="2"/>
        <v/>
      </c>
      <c r="V8" t="str">
        <f t="shared" si="3"/>
        <v/>
      </c>
      <c r="W8" t="str">
        <f t="shared" si="3"/>
        <v/>
      </c>
      <c r="X8" t="str">
        <f t="shared" si="3"/>
        <v/>
      </c>
      <c r="Y8" t="str">
        <f t="shared" si="3"/>
        <v/>
      </c>
      <c r="Z8" t="str">
        <f t="shared" si="3"/>
        <v/>
      </c>
      <c r="AA8" t="str">
        <f t="shared" si="3"/>
        <v/>
      </c>
      <c r="AB8" t="str">
        <f t="shared" si="3"/>
        <v/>
      </c>
      <c r="AC8" t="str">
        <f t="shared" si="3"/>
        <v/>
      </c>
      <c r="AD8" t="str">
        <f t="shared" si="3"/>
        <v/>
      </c>
      <c r="AE8" t="str">
        <f t="shared" si="3"/>
        <v/>
      </c>
      <c r="AF8" t="str">
        <f t="shared" si="4"/>
        <v/>
      </c>
      <c r="AG8" t="str">
        <f t="shared" si="4"/>
        <v/>
      </c>
      <c r="AH8" t="str">
        <f t="shared" si="4"/>
        <v/>
      </c>
      <c r="AI8" t="str">
        <f t="shared" si="4"/>
        <v/>
      </c>
      <c r="AJ8" t="str">
        <f t="shared" si="4"/>
        <v/>
      </c>
      <c r="AK8" t="str">
        <f t="shared" si="4"/>
        <v/>
      </c>
      <c r="AL8" t="str">
        <f t="shared" si="4"/>
        <v/>
      </c>
      <c r="AM8" t="str">
        <f t="shared" si="4"/>
        <v/>
      </c>
      <c r="AN8" t="str">
        <f t="shared" si="4"/>
        <v/>
      </c>
      <c r="AO8" t="str">
        <f t="shared" si="4"/>
        <v/>
      </c>
      <c r="AP8" t="str">
        <f t="shared" si="5"/>
        <v/>
      </c>
      <c r="AQ8" t="str">
        <f t="shared" si="5"/>
        <v/>
      </c>
      <c r="AR8" t="str">
        <f t="shared" si="5"/>
        <v/>
      </c>
      <c r="AS8" t="str">
        <f t="shared" si="5"/>
        <v/>
      </c>
      <c r="AT8" t="str">
        <f t="shared" si="5"/>
        <v/>
      </c>
      <c r="AU8" t="str">
        <f t="shared" si="5"/>
        <v/>
      </c>
      <c r="AV8" t="str">
        <f t="shared" si="5"/>
        <v/>
      </c>
      <c r="AW8" t="str">
        <f t="shared" si="5"/>
        <v/>
      </c>
      <c r="AX8" t="str">
        <f t="shared" si="5"/>
        <v/>
      </c>
      <c r="AY8" t="str">
        <f t="shared" si="5"/>
        <v/>
      </c>
      <c r="AZ8" t="str">
        <f t="shared" si="6"/>
        <v/>
      </c>
      <c r="BA8" t="str">
        <f t="shared" si="6"/>
        <v/>
      </c>
      <c r="BB8" t="str">
        <f t="shared" si="6"/>
        <v/>
      </c>
      <c r="BC8" t="str">
        <f t="shared" si="6"/>
        <v/>
      </c>
      <c r="BD8" t="str">
        <f t="shared" si="6"/>
        <v/>
      </c>
      <c r="BE8" t="str">
        <f t="shared" si="6"/>
        <v/>
      </c>
      <c r="BF8" t="str">
        <f t="shared" si="6"/>
        <v/>
      </c>
      <c r="BG8" t="str">
        <f t="shared" si="6"/>
        <v/>
      </c>
      <c r="BH8" t="str">
        <f t="shared" si="6"/>
        <v/>
      </c>
      <c r="BI8" t="str">
        <f t="shared" si="6"/>
        <v/>
      </c>
      <c r="BJ8" t="str">
        <f t="shared" si="7"/>
        <v/>
      </c>
      <c r="BK8" t="str">
        <f t="shared" si="7"/>
        <v/>
      </c>
      <c r="BL8" t="str">
        <f t="shared" si="7"/>
        <v/>
      </c>
      <c r="BM8" t="str">
        <f t="shared" si="7"/>
        <v/>
      </c>
      <c r="BN8" t="str">
        <f t="shared" si="7"/>
        <v/>
      </c>
      <c r="BO8" t="str">
        <f t="shared" si="7"/>
        <v/>
      </c>
      <c r="BP8" t="str">
        <f t="shared" si="7"/>
        <v/>
      </c>
      <c r="BQ8" t="str">
        <f t="shared" si="7"/>
        <v/>
      </c>
      <c r="BR8" t="str">
        <f t="shared" si="7"/>
        <v/>
      </c>
    </row>
    <row r="9" spans="1:70" ht="15" customHeight="1" x14ac:dyDescent="0.3">
      <c r="A9" t="s">
        <v>391</v>
      </c>
      <c r="B9">
        <v>9</v>
      </c>
      <c r="C9" t="s">
        <v>386</v>
      </c>
      <c r="D9">
        <v>3</v>
      </c>
      <c r="E9" s="62">
        <v>46195.291666666657</v>
      </c>
      <c r="F9" s="62">
        <v>46263.291666666657</v>
      </c>
      <c r="G9" t="s">
        <v>33</v>
      </c>
      <c r="H9" t="str">
        <f t="shared" si="0"/>
        <v>Aug-2026</v>
      </c>
      <c r="I9" t="s">
        <v>16</v>
      </c>
      <c r="J9" s="67">
        <f t="shared" si="1"/>
        <v>46293.291666666657</v>
      </c>
      <c r="K9" t="s">
        <v>392</v>
      </c>
      <c r="L9" t="str">
        <f t="shared" si="2"/>
        <v/>
      </c>
      <c r="M9" t="str">
        <f t="shared" si="2"/>
        <v/>
      </c>
      <c r="N9" t="str">
        <f t="shared" si="2"/>
        <v/>
      </c>
      <c r="O9" t="str">
        <f t="shared" si="2"/>
        <v/>
      </c>
      <c r="P9" t="str">
        <f t="shared" si="2"/>
        <v/>
      </c>
      <c r="Q9" t="str">
        <f t="shared" si="2"/>
        <v/>
      </c>
      <c r="R9" t="str">
        <f t="shared" si="2"/>
        <v/>
      </c>
      <c r="S9" t="str">
        <f t="shared" si="2"/>
        <v/>
      </c>
      <c r="T9" t="str">
        <f t="shared" si="2"/>
        <v/>
      </c>
      <c r="U9" t="str">
        <f t="shared" si="2"/>
        <v/>
      </c>
      <c r="V9" t="str">
        <f t="shared" si="3"/>
        <v/>
      </c>
      <c r="W9" t="str">
        <f t="shared" si="3"/>
        <v/>
      </c>
      <c r="X9" t="str">
        <f t="shared" si="3"/>
        <v/>
      </c>
      <c r="Y9" t="str">
        <f t="shared" si="3"/>
        <v/>
      </c>
      <c r="Z9" t="str">
        <f t="shared" si="3"/>
        <v/>
      </c>
      <c r="AA9" t="str">
        <f t="shared" si="3"/>
        <v/>
      </c>
      <c r="AB9" t="str">
        <f t="shared" si="3"/>
        <v/>
      </c>
      <c r="AC9" t="str">
        <f t="shared" si="3"/>
        <v/>
      </c>
      <c r="AD9" t="str">
        <f t="shared" si="3"/>
        <v/>
      </c>
      <c r="AE9" t="str">
        <f t="shared" si="3"/>
        <v/>
      </c>
      <c r="AF9" t="str">
        <f t="shared" si="4"/>
        <v/>
      </c>
      <c r="AG9" t="str">
        <f t="shared" si="4"/>
        <v/>
      </c>
      <c r="AH9" t="str">
        <f t="shared" si="4"/>
        <v/>
      </c>
      <c r="AI9" t="str">
        <f t="shared" si="4"/>
        <v/>
      </c>
      <c r="AJ9" t="str">
        <f t="shared" si="4"/>
        <v/>
      </c>
      <c r="AK9" t="str">
        <f t="shared" si="4"/>
        <v/>
      </c>
      <c r="AL9" t="str">
        <f t="shared" si="4"/>
        <v/>
      </c>
      <c r="AM9" t="str">
        <f t="shared" si="4"/>
        <v/>
      </c>
      <c r="AN9" t="str">
        <f t="shared" si="4"/>
        <v/>
      </c>
      <c r="AO9" t="str">
        <f t="shared" si="4"/>
        <v/>
      </c>
      <c r="AP9" t="str">
        <f t="shared" si="5"/>
        <v/>
      </c>
      <c r="AQ9" t="str">
        <f t="shared" si="5"/>
        <v/>
      </c>
      <c r="AR9" t="str">
        <f t="shared" si="5"/>
        <v/>
      </c>
      <c r="AS9" t="str">
        <f t="shared" si="5"/>
        <v/>
      </c>
      <c r="AT9" t="str">
        <f t="shared" si="5"/>
        <v/>
      </c>
      <c r="AU9" t="str">
        <f t="shared" si="5"/>
        <v/>
      </c>
      <c r="AV9" t="str">
        <f t="shared" si="5"/>
        <v/>
      </c>
      <c r="AW9" t="str">
        <f t="shared" si="5"/>
        <v/>
      </c>
      <c r="AX9" t="str">
        <f t="shared" si="5"/>
        <v/>
      </c>
      <c r="AY9" t="str">
        <f t="shared" si="5"/>
        <v/>
      </c>
      <c r="AZ9" t="str">
        <f t="shared" si="6"/>
        <v/>
      </c>
      <c r="BA9" t="str">
        <f t="shared" si="6"/>
        <v/>
      </c>
      <c r="BB9" t="str">
        <f t="shared" si="6"/>
        <v/>
      </c>
      <c r="BC9" t="str">
        <f t="shared" si="6"/>
        <v/>
      </c>
      <c r="BD9" t="str">
        <f t="shared" si="6"/>
        <v/>
      </c>
      <c r="BE9" t="str">
        <f t="shared" si="6"/>
        <v/>
      </c>
      <c r="BF9" t="str">
        <f t="shared" si="6"/>
        <v/>
      </c>
      <c r="BG9" t="str">
        <f t="shared" si="6"/>
        <v/>
      </c>
      <c r="BH9" t="str">
        <f t="shared" si="6"/>
        <v/>
      </c>
      <c r="BI9" t="str">
        <f t="shared" si="6"/>
        <v/>
      </c>
      <c r="BJ9" t="str">
        <f t="shared" si="7"/>
        <v/>
      </c>
      <c r="BK9" t="str">
        <f t="shared" si="7"/>
        <v/>
      </c>
      <c r="BL9" t="str">
        <f t="shared" si="7"/>
        <v/>
      </c>
      <c r="BM9" t="str">
        <f t="shared" si="7"/>
        <v/>
      </c>
      <c r="BN9" t="str">
        <f t="shared" si="7"/>
        <v/>
      </c>
      <c r="BO9" t="str">
        <f t="shared" si="7"/>
        <v/>
      </c>
      <c r="BP9" t="str">
        <f t="shared" si="7"/>
        <v/>
      </c>
      <c r="BQ9" t="str">
        <f t="shared" si="7"/>
        <v/>
      </c>
      <c r="BR9" t="str">
        <f t="shared" si="7"/>
        <v/>
      </c>
    </row>
    <row r="10" spans="1:70" ht="15" customHeight="1" x14ac:dyDescent="0.3">
      <c r="A10" t="s">
        <v>393</v>
      </c>
      <c r="B10">
        <v>20</v>
      </c>
      <c r="C10" t="s">
        <v>383</v>
      </c>
      <c r="D10">
        <v>2</v>
      </c>
      <c r="E10" s="62">
        <v>46152.291666666657</v>
      </c>
      <c r="F10" s="62">
        <v>46208.291666666657</v>
      </c>
      <c r="G10" t="s">
        <v>33</v>
      </c>
      <c r="H10" t="str">
        <f t="shared" si="0"/>
        <v>Jul-2026</v>
      </c>
      <c r="I10" t="s">
        <v>20</v>
      </c>
      <c r="J10" s="67">
        <f t="shared" si="1"/>
        <v>46238.291666666657</v>
      </c>
      <c r="K10" t="s">
        <v>21</v>
      </c>
      <c r="L10" t="str">
        <f t="shared" si="2"/>
        <v/>
      </c>
      <c r="M10" t="str">
        <f t="shared" si="2"/>
        <v/>
      </c>
      <c r="N10" t="str">
        <f t="shared" si="2"/>
        <v/>
      </c>
      <c r="O10" t="str">
        <f t="shared" si="2"/>
        <v/>
      </c>
      <c r="P10" t="str">
        <f t="shared" si="2"/>
        <v/>
      </c>
      <c r="Q10" t="str">
        <f t="shared" si="2"/>
        <v/>
      </c>
      <c r="R10" t="str">
        <f t="shared" si="2"/>
        <v/>
      </c>
      <c r="S10" t="str">
        <f t="shared" si="2"/>
        <v/>
      </c>
      <c r="T10" t="str">
        <f t="shared" si="2"/>
        <v/>
      </c>
      <c r="U10" t="str">
        <f t="shared" si="2"/>
        <v/>
      </c>
      <c r="V10" t="str">
        <f t="shared" si="3"/>
        <v/>
      </c>
      <c r="W10" t="str">
        <f t="shared" si="3"/>
        <v/>
      </c>
      <c r="X10" t="str">
        <f t="shared" si="3"/>
        <v/>
      </c>
      <c r="Y10" t="str">
        <f t="shared" si="3"/>
        <v/>
      </c>
      <c r="Z10" t="str">
        <f t="shared" si="3"/>
        <v/>
      </c>
      <c r="AA10" t="str">
        <f t="shared" si="3"/>
        <v/>
      </c>
      <c r="AB10" t="str">
        <f t="shared" si="3"/>
        <v/>
      </c>
      <c r="AC10" t="str">
        <f t="shared" si="3"/>
        <v/>
      </c>
      <c r="AD10" t="str">
        <f t="shared" si="3"/>
        <v/>
      </c>
      <c r="AE10" t="str">
        <f t="shared" si="3"/>
        <v/>
      </c>
      <c r="AF10" t="str">
        <f t="shared" si="4"/>
        <v/>
      </c>
      <c r="AG10" t="str">
        <f t="shared" si="4"/>
        <v/>
      </c>
      <c r="AH10" t="str">
        <f t="shared" si="4"/>
        <v/>
      </c>
      <c r="AI10" t="str">
        <f t="shared" si="4"/>
        <v/>
      </c>
      <c r="AJ10" t="str">
        <f t="shared" si="4"/>
        <v/>
      </c>
      <c r="AK10" t="str">
        <f t="shared" si="4"/>
        <v/>
      </c>
      <c r="AL10" t="str">
        <f t="shared" si="4"/>
        <v/>
      </c>
      <c r="AM10" t="str">
        <f t="shared" si="4"/>
        <v/>
      </c>
      <c r="AN10" t="str">
        <f t="shared" si="4"/>
        <v/>
      </c>
      <c r="AO10" t="str">
        <f t="shared" si="4"/>
        <v/>
      </c>
      <c r="AP10" t="str">
        <f t="shared" si="5"/>
        <v/>
      </c>
      <c r="AQ10" t="str">
        <f t="shared" si="5"/>
        <v/>
      </c>
      <c r="AR10" t="str">
        <f t="shared" si="5"/>
        <v/>
      </c>
      <c r="AS10" t="str">
        <f t="shared" si="5"/>
        <v/>
      </c>
      <c r="AT10" t="str">
        <f t="shared" si="5"/>
        <v/>
      </c>
      <c r="AU10" t="str">
        <f t="shared" si="5"/>
        <v/>
      </c>
      <c r="AV10" t="str">
        <f t="shared" si="5"/>
        <v/>
      </c>
      <c r="AW10" t="str">
        <f t="shared" si="5"/>
        <v/>
      </c>
      <c r="AX10" t="str">
        <f t="shared" si="5"/>
        <v/>
      </c>
      <c r="AY10">
        <f t="shared" si="5"/>
        <v>1</v>
      </c>
      <c r="AZ10">
        <f t="shared" si="6"/>
        <v>1</v>
      </c>
      <c r="BA10">
        <f t="shared" si="6"/>
        <v>1</v>
      </c>
      <c r="BB10">
        <f t="shared" si="6"/>
        <v>1</v>
      </c>
      <c r="BC10">
        <f t="shared" si="6"/>
        <v>1</v>
      </c>
      <c r="BD10">
        <f t="shared" si="6"/>
        <v>1</v>
      </c>
      <c r="BE10">
        <f t="shared" si="6"/>
        <v>1</v>
      </c>
      <c r="BF10">
        <f t="shared" si="6"/>
        <v>1</v>
      </c>
      <c r="BG10">
        <f t="shared" si="6"/>
        <v>1</v>
      </c>
      <c r="BH10">
        <f t="shared" si="6"/>
        <v>1</v>
      </c>
      <c r="BI10">
        <f t="shared" si="6"/>
        <v>1</v>
      </c>
      <c r="BJ10">
        <f t="shared" si="7"/>
        <v>1</v>
      </c>
      <c r="BK10">
        <f t="shared" si="7"/>
        <v>1</v>
      </c>
      <c r="BL10">
        <f t="shared" si="7"/>
        <v>1</v>
      </c>
      <c r="BM10">
        <f t="shared" si="7"/>
        <v>1</v>
      </c>
      <c r="BN10">
        <f t="shared" si="7"/>
        <v>1</v>
      </c>
      <c r="BO10">
        <f t="shared" si="7"/>
        <v>1</v>
      </c>
      <c r="BP10">
        <f t="shared" si="7"/>
        <v>1</v>
      </c>
      <c r="BQ10">
        <f t="shared" si="7"/>
        <v>1</v>
      </c>
      <c r="BR10">
        <f t="shared" si="7"/>
        <v>1</v>
      </c>
    </row>
    <row r="11" spans="1:70" ht="15" customHeight="1" x14ac:dyDescent="0.3">
      <c r="A11" t="s">
        <v>394</v>
      </c>
      <c r="B11">
        <v>63</v>
      </c>
      <c r="C11" t="s">
        <v>395</v>
      </c>
      <c r="D11">
        <v>1</v>
      </c>
      <c r="E11" s="62">
        <v>46154.291666666657</v>
      </c>
      <c r="F11" s="62">
        <v>46214.291666666657</v>
      </c>
      <c r="G11" t="s">
        <v>33</v>
      </c>
      <c r="H11" t="str">
        <f t="shared" si="0"/>
        <v>Jul-2026</v>
      </c>
      <c r="I11" t="s">
        <v>20</v>
      </c>
      <c r="J11" s="67">
        <f t="shared" si="1"/>
        <v>46244.291666666657</v>
      </c>
      <c r="K11" t="s">
        <v>27</v>
      </c>
      <c r="L11" t="str">
        <f t="shared" si="2"/>
        <v/>
      </c>
      <c r="M11" t="str">
        <f t="shared" si="2"/>
        <v/>
      </c>
      <c r="N11" t="str">
        <f t="shared" si="2"/>
        <v/>
      </c>
      <c r="O11" t="str">
        <f t="shared" si="2"/>
        <v/>
      </c>
      <c r="P11" t="str">
        <f t="shared" si="2"/>
        <v/>
      </c>
      <c r="Q11" t="str">
        <f t="shared" si="2"/>
        <v/>
      </c>
      <c r="R11" t="str">
        <f t="shared" si="2"/>
        <v/>
      </c>
      <c r="S11" t="str">
        <f t="shared" si="2"/>
        <v/>
      </c>
      <c r="T11" t="str">
        <f t="shared" si="2"/>
        <v/>
      </c>
      <c r="U11" t="str">
        <f t="shared" si="2"/>
        <v/>
      </c>
      <c r="V11" t="str">
        <f t="shared" si="3"/>
        <v/>
      </c>
      <c r="W11" t="str">
        <f t="shared" si="3"/>
        <v/>
      </c>
      <c r="X11" t="str">
        <f t="shared" si="3"/>
        <v/>
      </c>
      <c r="Y11" t="str">
        <f t="shared" si="3"/>
        <v/>
      </c>
      <c r="Z11" t="str">
        <f t="shared" si="3"/>
        <v/>
      </c>
      <c r="AA11" t="str">
        <f t="shared" si="3"/>
        <v/>
      </c>
      <c r="AB11" t="str">
        <f t="shared" si="3"/>
        <v/>
      </c>
      <c r="AC11" t="str">
        <f t="shared" si="3"/>
        <v/>
      </c>
      <c r="AD11" t="str">
        <f t="shared" si="3"/>
        <v/>
      </c>
      <c r="AE11" t="str">
        <f t="shared" si="3"/>
        <v/>
      </c>
      <c r="AF11" t="str">
        <f t="shared" si="4"/>
        <v/>
      </c>
      <c r="AG11" t="str">
        <f t="shared" si="4"/>
        <v/>
      </c>
      <c r="AH11" t="str">
        <f t="shared" si="4"/>
        <v/>
      </c>
      <c r="AI11" t="str">
        <f t="shared" si="4"/>
        <v/>
      </c>
      <c r="AJ11" t="str">
        <f t="shared" si="4"/>
        <v/>
      </c>
      <c r="AK11" t="str">
        <f t="shared" si="4"/>
        <v/>
      </c>
      <c r="AL11" t="str">
        <f t="shared" si="4"/>
        <v/>
      </c>
      <c r="AM11" t="str">
        <f t="shared" si="4"/>
        <v/>
      </c>
      <c r="AN11" t="str">
        <f t="shared" si="4"/>
        <v/>
      </c>
      <c r="AO11" t="str">
        <f t="shared" si="4"/>
        <v/>
      </c>
      <c r="AP11" t="str">
        <f t="shared" si="5"/>
        <v/>
      </c>
      <c r="AQ11" t="str">
        <f t="shared" si="5"/>
        <v/>
      </c>
      <c r="AR11" t="str">
        <f t="shared" si="5"/>
        <v/>
      </c>
      <c r="AS11" t="str">
        <f t="shared" si="5"/>
        <v/>
      </c>
      <c r="AT11" t="str">
        <f t="shared" si="5"/>
        <v/>
      </c>
      <c r="AU11" t="str">
        <f t="shared" si="5"/>
        <v/>
      </c>
      <c r="AV11" t="str">
        <f t="shared" si="5"/>
        <v/>
      </c>
      <c r="AW11" t="str">
        <f t="shared" si="5"/>
        <v/>
      </c>
      <c r="AX11" t="str">
        <f t="shared" si="5"/>
        <v/>
      </c>
      <c r="AY11" t="str">
        <f t="shared" si="5"/>
        <v/>
      </c>
      <c r="AZ11" t="str">
        <f t="shared" si="6"/>
        <v/>
      </c>
      <c r="BA11">
        <f t="shared" si="6"/>
        <v>1</v>
      </c>
      <c r="BB11">
        <f t="shared" si="6"/>
        <v>1</v>
      </c>
      <c r="BC11">
        <f t="shared" si="6"/>
        <v>1</v>
      </c>
      <c r="BD11">
        <f t="shared" si="6"/>
        <v>1</v>
      </c>
      <c r="BE11">
        <f t="shared" si="6"/>
        <v>1</v>
      </c>
      <c r="BF11">
        <f t="shared" si="6"/>
        <v>1</v>
      </c>
      <c r="BG11">
        <f t="shared" si="6"/>
        <v>1</v>
      </c>
      <c r="BH11">
        <f t="shared" si="6"/>
        <v>1</v>
      </c>
      <c r="BI11">
        <f t="shared" si="6"/>
        <v>1</v>
      </c>
      <c r="BJ11">
        <f t="shared" si="7"/>
        <v>1</v>
      </c>
      <c r="BK11">
        <f t="shared" si="7"/>
        <v>1</v>
      </c>
      <c r="BL11">
        <f t="shared" si="7"/>
        <v>1</v>
      </c>
      <c r="BM11">
        <f t="shared" si="7"/>
        <v>1</v>
      </c>
      <c r="BN11">
        <f t="shared" si="7"/>
        <v>1</v>
      </c>
      <c r="BO11">
        <f t="shared" si="7"/>
        <v>1</v>
      </c>
      <c r="BP11">
        <f t="shared" si="7"/>
        <v>1</v>
      </c>
      <c r="BQ11">
        <f t="shared" si="7"/>
        <v>1</v>
      </c>
      <c r="BR11">
        <f t="shared" si="7"/>
        <v>1</v>
      </c>
    </row>
    <row r="12" spans="1:70" ht="15" customHeight="1" x14ac:dyDescent="0.3">
      <c r="A12" t="s">
        <v>396</v>
      </c>
      <c r="B12">
        <v>46</v>
      </c>
      <c r="C12" t="s">
        <v>383</v>
      </c>
      <c r="D12">
        <v>2</v>
      </c>
      <c r="E12" s="62">
        <v>46220.291666666657</v>
      </c>
      <c r="F12" s="62">
        <v>46255.291666666657</v>
      </c>
      <c r="G12" t="s">
        <v>33</v>
      </c>
      <c r="H12" t="str">
        <f t="shared" si="0"/>
        <v>Aug-2026</v>
      </c>
      <c r="I12" t="s">
        <v>20</v>
      </c>
      <c r="J12" s="67">
        <f t="shared" si="1"/>
        <v>46285.291666666657</v>
      </c>
      <c r="K12" t="s">
        <v>21</v>
      </c>
      <c r="L12" t="str">
        <f t="shared" si="2"/>
        <v/>
      </c>
      <c r="M12" t="str">
        <f t="shared" si="2"/>
        <v/>
      </c>
      <c r="N12" t="str">
        <f t="shared" si="2"/>
        <v/>
      </c>
      <c r="O12" t="str">
        <f t="shared" si="2"/>
        <v/>
      </c>
      <c r="P12" t="str">
        <f t="shared" si="2"/>
        <v/>
      </c>
      <c r="Q12" t="str">
        <f t="shared" si="2"/>
        <v/>
      </c>
      <c r="R12" t="str">
        <f t="shared" si="2"/>
        <v/>
      </c>
      <c r="S12" t="str">
        <f t="shared" si="2"/>
        <v/>
      </c>
      <c r="T12" t="str">
        <f t="shared" si="2"/>
        <v/>
      </c>
      <c r="U12" t="str">
        <f t="shared" si="2"/>
        <v/>
      </c>
      <c r="V12" t="str">
        <f t="shared" si="3"/>
        <v/>
      </c>
      <c r="W12" t="str">
        <f t="shared" si="3"/>
        <v/>
      </c>
      <c r="X12" t="str">
        <f t="shared" si="3"/>
        <v/>
      </c>
      <c r="Y12" t="str">
        <f t="shared" si="3"/>
        <v/>
      </c>
      <c r="Z12" t="str">
        <f t="shared" si="3"/>
        <v/>
      </c>
      <c r="AA12" t="str">
        <f t="shared" si="3"/>
        <v/>
      </c>
      <c r="AB12" t="str">
        <f t="shared" si="3"/>
        <v/>
      </c>
      <c r="AC12" t="str">
        <f t="shared" si="3"/>
        <v/>
      </c>
      <c r="AD12" t="str">
        <f t="shared" si="3"/>
        <v/>
      </c>
      <c r="AE12" t="str">
        <f t="shared" si="3"/>
        <v/>
      </c>
      <c r="AF12" t="str">
        <f t="shared" si="4"/>
        <v/>
      </c>
      <c r="AG12" t="str">
        <f t="shared" si="4"/>
        <v/>
      </c>
      <c r="AH12" t="str">
        <f t="shared" si="4"/>
        <v/>
      </c>
      <c r="AI12" t="str">
        <f t="shared" si="4"/>
        <v/>
      </c>
      <c r="AJ12" t="str">
        <f t="shared" si="4"/>
        <v/>
      </c>
      <c r="AK12" t="str">
        <f t="shared" si="4"/>
        <v/>
      </c>
      <c r="AL12" t="str">
        <f t="shared" si="4"/>
        <v/>
      </c>
      <c r="AM12" t="str">
        <f t="shared" si="4"/>
        <v/>
      </c>
      <c r="AN12" t="str">
        <f t="shared" si="4"/>
        <v/>
      </c>
      <c r="AO12" t="str">
        <f t="shared" si="4"/>
        <v/>
      </c>
      <c r="AP12" t="str">
        <f t="shared" si="5"/>
        <v/>
      </c>
      <c r="AQ12" t="str">
        <f t="shared" si="5"/>
        <v/>
      </c>
      <c r="AR12" t="str">
        <f t="shared" si="5"/>
        <v/>
      </c>
      <c r="AS12" t="str">
        <f t="shared" si="5"/>
        <v/>
      </c>
      <c r="AT12" t="str">
        <f t="shared" si="5"/>
        <v/>
      </c>
      <c r="AU12" t="str">
        <f t="shared" si="5"/>
        <v/>
      </c>
      <c r="AV12" t="str">
        <f t="shared" si="5"/>
        <v/>
      </c>
      <c r="AW12" t="str">
        <f t="shared" si="5"/>
        <v/>
      </c>
      <c r="AX12" t="str">
        <f t="shared" si="5"/>
        <v/>
      </c>
      <c r="AY12" t="str">
        <f t="shared" si="5"/>
        <v/>
      </c>
      <c r="AZ12" t="str">
        <f t="shared" si="6"/>
        <v/>
      </c>
      <c r="BA12" t="str">
        <f t="shared" si="6"/>
        <v/>
      </c>
      <c r="BB12" t="str">
        <f t="shared" si="6"/>
        <v/>
      </c>
      <c r="BC12" t="str">
        <f t="shared" si="6"/>
        <v/>
      </c>
      <c r="BD12" t="str">
        <f t="shared" si="6"/>
        <v/>
      </c>
      <c r="BE12" t="str">
        <f t="shared" si="6"/>
        <v/>
      </c>
      <c r="BF12" t="str">
        <f t="shared" si="6"/>
        <v/>
      </c>
      <c r="BG12" t="str">
        <f t="shared" si="6"/>
        <v/>
      </c>
      <c r="BH12" t="str">
        <f t="shared" si="6"/>
        <v/>
      </c>
      <c r="BI12" t="str">
        <f t="shared" si="6"/>
        <v/>
      </c>
      <c r="BJ12" t="str">
        <f t="shared" si="7"/>
        <v/>
      </c>
      <c r="BK12" t="str">
        <f t="shared" si="7"/>
        <v/>
      </c>
      <c r="BL12" t="str">
        <f t="shared" si="7"/>
        <v/>
      </c>
      <c r="BM12" t="str">
        <f t="shared" si="7"/>
        <v/>
      </c>
      <c r="BN12" t="str">
        <f t="shared" si="7"/>
        <v/>
      </c>
      <c r="BO12" t="str">
        <f t="shared" si="7"/>
        <v/>
      </c>
      <c r="BP12" t="str">
        <f t="shared" si="7"/>
        <v/>
      </c>
      <c r="BQ12" t="str">
        <f t="shared" si="7"/>
        <v/>
      </c>
      <c r="BR12" t="str">
        <f t="shared" si="7"/>
        <v/>
      </c>
    </row>
    <row r="13" spans="1:70" ht="15" customHeight="1" x14ac:dyDescent="0.3">
      <c r="A13" t="s">
        <v>397</v>
      </c>
      <c r="B13">
        <v>20</v>
      </c>
      <c r="C13" t="s">
        <v>398</v>
      </c>
      <c r="D13">
        <v>2</v>
      </c>
      <c r="E13" s="62">
        <v>46139.291666666657</v>
      </c>
      <c r="F13" s="62">
        <v>46191.291666666657</v>
      </c>
      <c r="G13" t="s">
        <v>26</v>
      </c>
      <c r="H13" t="str">
        <f t="shared" si="0"/>
        <v>Jun-2026</v>
      </c>
      <c r="I13" t="s">
        <v>16</v>
      </c>
      <c r="J13" s="67">
        <f t="shared" si="1"/>
        <v>46221.291666666657</v>
      </c>
      <c r="K13" t="s">
        <v>31</v>
      </c>
      <c r="L13" t="str">
        <f t="shared" si="2"/>
        <v/>
      </c>
      <c r="M13" t="str">
        <f t="shared" si="2"/>
        <v/>
      </c>
      <c r="N13" t="str">
        <f t="shared" si="2"/>
        <v/>
      </c>
      <c r="O13" t="str">
        <f t="shared" si="2"/>
        <v/>
      </c>
      <c r="P13" t="str">
        <f t="shared" si="2"/>
        <v/>
      </c>
      <c r="Q13" t="str">
        <f t="shared" si="2"/>
        <v/>
      </c>
      <c r="R13" t="str">
        <f t="shared" si="2"/>
        <v/>
      </c>
      <c r="S13" t="str">
        <f t="shared" si="2"/>
        <v/>
      </c>
      <c r="T13" t="str">
        <f t="shared" si="2"/>
        <v/>
      </c>
      <c r="U13" t="str">
        <f t="shared" si="2"/>
        <v/>
      </c>
      <c r="V13" t="str">
        <f t="shared" si="3"/>
        <v/>
      </c>
      <c r="W13" t="str">
        <f t="shared" si="3"/>
        <v/>
      </c>
      <c r="X13" t="str">
        <f t="shared" si="3"/>
        <v/>
      </c>
      <c r="Y13" t="str">
        <f t="shared" si="3"/>
        <v/>
      </c>
      <c r="Z13" t="str">
        <f t="shared" si="3"/>
        <v/>
      </c>
      <c r="AA13" t="str">
        <f t="shared" si="3"/>
        <v/>
      </c>
      <c r="AB13" t="str">
        <f t="shared" si="3"/>
        <v/>
      </c>
      <c r="AC13" t="str">
        <f t="shared" si="3"/>
        <v/>
      </c>
      <c r="AD13" t="str">
        <f t="shared" si="3"/>
        <v/>
      </c>
      <c r="AE13" t="str">
        <f t="shared" si="3"/>
        <v/>
      </c>
      <c r="AF13" t="str">
        <f t="shared" si="4"/>
        <v/>
      </c>
      <c r="AG13" t="str">
        <f t="shared" si="4"/>
        <v/>
      </c>
      <c r="AH13" t="str">
        <f t="shared" si="4"/>
        <v/>
      </c>
      <c r="AI13" t="str">
        <f t="shared" si="4"/>
        <v/>
      </c>
      <c r="AJ13" t="str">
        <f t="shared" si="4"/>
        <v/>
      </c>
      <c r="AK13" t="str">
        <f t="shared" si="4"/>
        <v/>
      </c>
      <c r="AL13">
        <f t="shared" si="4"/>
        <v>1</v>
      </c>
      <c r="AM13">
        <f t="shared" si="4"/>
        <v>1</v>
      </c>
      <c r="AN13">
        <f t="shared" si="4"/>
        <v>1</v>
      </c>
      <c r="AO13">
        <f t="shared" si="4"/>
        <v>1</v>
      </c>
      <c r="AP13">
        <f t="shared" si="5"/>
        <v>1</v>
      </c>
      <c r="AQ13">
        <f t="shared" si="5"/>
        <v>1</v>
      </c>
      <c r="AR13">
        <f t="shared" si="5"/>
        <v>1</v>
      </c>
      <c r="AS13">
        <f t="shared" si="5"/>
        <v>1</v>
      </c>
      <c r="AT13">
        <f t="shared" si="5"/>
        <v>1</v>
      </c>
      <c r="AU13">
        <f t="shared" si="5"/>
        <v>1</v>
      </c>
      <c r="AV13">
        <f t="shared" si="5"/>
        <v>1</v>
      </c>
      <c r="AW13">
        <f t="shared" si="5"/>
        <v>1</v>
      </c>
      <c r="AX13">
        <f t="shared" si="5"/>
        <v>1</v>
      </c>
      <c r="AY13">
        <f t="shared" si="5"/>
        <v>1</v>
      </c>
      <c r="AZ13">
        <f t="shared" si="6"/>
        <v>1</v>
      </c>
      <c r="BA13">
        <f t="shared" si="6"/>
        <v>1</v>
      </c>
      <c r="BB13">
        <f t="shared" si="6"/>
        <v>1</v>
      </c>
      <c r="BC13">
        <f t="shared" si="6"/>
        <v>1</v>
      </c>
      <c r="BD13">
        <f t="shared" si="6"/>
        <v>1</v>
      </c>
      <c r="BE13">
        <f t="shared" si="6"/>
        <v>1</v>
      </c>
      <c r="BF13">
        <f t="shared" si="6"/>
        <v>1</v>
      </c>
      <c r="BG13">
        <f t="shared" si="6"/>
        <v>1</v>
      </c>
      <c r="BH13">
        <f t="shared" si="6"/>
        <v>1</v>
      </c>
      <c r="BI13">
        <f t="shared" si="6"/>
        <v>1</v>
      </c>
      <c r="BJ13">
        <f t="shared" si="7"/>
        <v>1</v>
      </c>
      <c r="BK13">
        <f t="shared" si="7"/>
        <v>1</v>
      </c>
      <c r="BL13">
        <f t="shared" si="7"/>
        <v>1</v>
      </c>
      <c r="BM13">
        <f t="shared" si="7"/>
        <v>1</v>
      </c>
      <c r="BN13">
        <f t="shared" si="7"/>
        <v>1</v>
      </c>
      <c r="BO13">
        <f t="shared" si="7"/>
        <v>1</v>
      </c>
      <c r="BP13">
        <f t="shared" si="7"/>
        <v>1</v>
      </c>
      <c r="BQ13">
        <f t="shared" si="7"/>
        <v>1</v>
      </c>
      <c r="BR13">
        <f t="shared" si="7"/>
        <v>1</v>
      </c>
    </row>
    <row r="14" spans="1:70" ht="15" customHeight="1" x14ac:dyDescent="0.3">
      <c r="A14" t="s">
        <v>399</v>
      </c>
      <c r="B14">
        <v>50</v>
      </c>
      <c r="C14" t="s">
        <v>383</v>
      </c>
      <c r="D14">
        <v>2</v>
      </c>
      <c r="E14" s="62">
        <v>46218.291666666657</v>
      </c>
      <c r="F14" s="62">
        <v>46292.291666666657</v>
      </c>
      <c r="G14" t="s">
        <v>26</v>
      </c>
      <c r="H14" t="str">
        <f t="shared" si="0"/>
        <v>Sep-2026</v>
      </c>
      <c r="I14" t="s">
        <v>29</v>
      </c>
      <c r="J14" s="67">
        <f t="shared" si="1"/>
        <v>46322.291666666657</v>
      </c>
      <c r="K14" t="s">
        <v>31</v>
      </c>
      <c r="L14" t="str">
        <f t="shared" ref="L14:U23" si="8">IF(AND(L$3&gt;=$E14,L$3&lt;=$F14),1,"")</f>
        <v/>
      </c>
      <c r="M14" t="str">
        <f t="shared" si="8"/>
        <v/>
      </c>
      <c r="N14" t="str">
        <f t="shared" si="8"/>
        <v/>
      </c>
      <c r="O14" t="str">
        <f t="shared" si="8"/>
        <v/>
      </c>
      <c r="P14" t="str">
        <f t="shared" si="8"/>
        <v/>
      </c>
      <c r="Q14" t="str">
        <f t="shared" si="8"/>
        <v/>
      </c>
      <c r="R14" t="str">
        <f t="shared" si="8"/>
        <v/>
      </c>
      <c r="S14" t="str">
        <f t="shared" si="8"/>
        <v/>
      </c>
      <c r="T14" t="str">
        <f t="shared" si="8"/>
        <v/>
      </c>
      <c r="U14" t="str">
        <f t="shared" si="8"/>
        <v/>
      </c>
      <c r="V14" t="str">
        <f t="shared" ref="V14:AE23" si="9">IF(AND(V$3&gt;=$E14,V$3&lt;=$F14),1,"")</f>
        <v/>
      </c>
      <c r="W14" t="str">
        <f t="shared" si="9"/>
        <v/>
      </c>
      <c r="X14" t="str">
        <f t="shared" si="9"/>
        <v/>
      </c>
      <c r="Y14" t="str">
        <f t="shared" si="9"/>
        <v/>
      </c>
      <c r="Z14" t="str">
        <f t="shared" si="9"/>
        <v/>
      </c>
      <c r="AA14" t="str">
        <f t="shared" si="9"/>
        <v/>
      </c>
      <c r="AB14" t="str">
        <f t="shared" si="9"/>
        <v/>
      </c>
      <c r="AC14" t="str">
        <f t="shared" si="9"/>
        <v/>
      </c>
      <c r="AD14" t="str">
        <f t="shared" si="9"/>
        <v/>
      </c>
      <c r="AE14" t="str">
        <f t="shared" si="9"/>
        <v/>
      </c>
      <c r="AF14" t="str">
        <f t="shared" ref="AF14:AO23" si="10">IF(AND(AF$3&gt;=$E14,AF$3&lt;=$F14),1,"")</f>
        <v/>
      </c>
      <c r="AG14" t="str">
        <f t="shared" si="10"/>
        <v/>
      </c>
      <c r="AH14" t="str">
        <f t="shared" si="10"/>
        <v/>
      </c>
      <c r="AI14" t="str">
        <f t="shared" si="10"/>
        <v/>
      </c>
      <c r="AJ14" t="str">
        <f t="shared" si="10"/>
        <v/>
      </c>
      <c r="AK14" t="str">
        <f t="shared" si="10"/>
        <v/>
      </c>
      <c r="AL14" t="str">
        <f t="shared" si="10"/>
        <v/>
      </c>
      <c r="AM14" t="str">
        <f t="shared" si="10"/>
        <v/>
      </c>
      <c r="AN14" t="str">
        <f t="shared" si="10"/>
        <v/>
      </c>
      <c r="AO14" t="str">
        <f t="shared" si="10"/>
        <v/>
      </c>
      <c r="AP14" t="str">
        <f t="shared" ref="AP14:AY23" si="11">IF(AND(AP$3&gt;=$E14,AP$3&lt;=$F14),1,"")</f>
        <v/>
      </c>
      <c r="AQ14" t="str">
        <f t="shared" si="11"/>
        <v/>
      </c>
      <c r="AR14" t="str">
        <f t="shared" si="11"/>
        <v/>
      </c>
      <c r="AS14" t="str">
        <f t="shared" si="11"/>
        <v/>
      </c>
      <c r="AT14" t="str">
        <f t="shared" si="11"/>
        <v/>
      </c>
      <c r="AU14" t="str">
        <f t="shared" si="11"/>
        <v/>
      </c>
      <c r="AV14" t="str">
        <f t="shared" si="11"/>
        <v/>
      </c>
      <c r="AW14" t="str">
        <f t="shared" si="11"/>
        <v/>
      </c>
      <c r="AX14" t="str">
        <f t="shared" si="11"/>
        <v/>
      </c>
      <c r="AY14" t="str">
        <f t="shared" si="11"/>
        <v/>
      </c>
      <c r="AZ14" t="str">
        <f t="shared" ref="AZ14:BI23" si="12">IF(AND(AZ$3&gt;=$E14,AZ$3&lt;=$F14),1,"")</f>
        <v/>
      </c>
      <c r="BA14" t="str">
        <f t="shared" si="12"/>
        <v/>
      </c>
      <c r="BB14" t="str">
        <f t="shared" si="12"/>
        <v/>
      </c>
      <c r="BC14" t="str">
        <f t="shared" si="12"/>
        <v/>
      </c>
      <c r="BD14" t="str">
        <f t="shared" si="12"/>
        <v/>
      </c>
      <c r="BE14" t="str">
        <f t="shared" si="12"/>
        <v/>
      </c>
      <c r="BF14" t="str">
        <f t="shared" si="12"/>
        <v/>
      </c>
      <c r="BG14" t="str">
        <f t="shared" si="12"/>
        <v/>
      </c>
      <c r="BH14" t="str">
        <f t="shared" si="12"/>
        <v/>
      </c>
      <c r="BI14" t="str">
        <f t="shared" si="12"/>
        <v/>
      </c>
      <c r="BJ14" t="str">
        <f t="shared" ref="BJ14:BR23" si="13">IF(AND(BJ$3&gt;=$E14,BJ$3&lt;=$F14),1,"")</f>
        <v/>
      </c>
      <c r="BK14" t="str">
        <f t="shared" si="13"/>
        <v/>
      </c>
      <c r="BL14" t="str">
        <f t="shared" si="13"/>
        <v/>
      </c>
      <c r="BM14" t="str">
        <f t="shared" si="13"/>
        <v/>
      </c>
      <c r="BN14" t="str">
        <f t="shared" si="13"/>
        <v/>
      </c>
      <c r="BO14" t="str">
        <f t="shared" si="13"/>
        <v/>
      </c>
      <c r="BP14" t="str">
        <f t="shared" si="13"/>
        <v/>
      </c>
      <c r="BQ14" t="str">
        <f t="shared" si="13"/>
        <v/>
      </c>
      <c r="BR14" t="str">
        <f t="shared" si="13"/>
        <v/>
      </c>
    </row>
    <row r="15" spans="1:70" ht="15" customHeight="1" x14ac:dyDescent="0.3">
      <c r="A15" t="s">
        <v>400</v>
      </c>
      <c r="B15">
        <v>46</v>
      </c>
      <c r="C15" t="s">
        <v>401</v>
      </c>
      <c r="D15">
        <v>4</v>
      </c>
      <c r="E15" s="62">
        <v>46217.291666666657</v>
      </c>
      <c r="F15" s="62">
        <v>46241.291666666657</v>
      </c>
      <c r="G15" t="s">
        <v>26</v>
      </c>
      <c r="H15" t="str">
        <f t="shared" si="0"/>
        <v>Aug-2026</v>
      </c>
      <c r="I15" t="s">
        <v>16</v>
      </c>
      <c r="J15" s="67">
        <f t="shared" si="1"/>
        <v>46271.291666666657</v>
      </c>
      <c r="K15" t="s">
        <v>31</v>
      </c>
      <c r="L15" t="str">
        <f t="shared" si="8"/>
        <v/>
      </c>
      <c r="M15" t="str">
        <f t="shared" si="8"/>
        <v/>
      </c>
      <c r="N15" t="str">
        <f t="shared" si="8"/>
        <v/>
      </c>
      <c r="O15" t="str">
        <f t="shared" si="8"/>
        <v/>
      </c>
      <c r="P15" t="str">
        <f t="shared" si="8"/>
        <v/>
      </c>
      <c r="Q15" t="str">
        <f t="shared" si="8"/>
        <v/>
      </c>
      <c r="R15" t="str">
        <f t="shared" si="8"/>
        <v/>
      </c>
      <c r="S15" t="str">
        <f t="shared" si="8"/>
        <v/>
      </c>
      <c r="T15" t="str">
        <f t="shared" si="8"/>
        <v/>
      </c>
      <c r="U15" t="str">
        <f t="shared" si="8"/>
        <v/>
      </c>
      <c r="V15" t="str">
        <f t="shared" si="9"/>
        <v/>
      </c>
      <c r="W15" t="str">
        <f t="shared" si="9"/>
        <v/>
      </c>
      <c r="X15" t="str">
        <f t="shared" si="9"/>
        <v/>
      </c>
      <c r="Y15" t="str">
        <f t="shared" si="9"/>
        <v/>
      </c>
      <c r="Z15" t="str">
        <f t="shared" si="9"/>
        <v/>
      </c>
      <c r="AA15" t="str">
        <f t="shared" si="9"/>
        <v/>
      </c>
      <c r="AB15" t="str">
        <f t="shared" si="9"/>
        <v/>
      </c>
      <c r="AC15" t="str">
        <f t="shared" si="9"/>
        <v/>
      </c>
      <c r="AD15" t="str">
        <f t="shared" si="9"/>
        <v/>
      </c>
      <c r="AE15" t="str">
        <f t="shared" si="9"/>
        <v/>
      </c>
      <c r="AF15" t="str">
        <f t="shared" si="10"/>
        <v/>
      </c>
      <c r="AG15" t="str">
        <f t="shared" si="10"/>
        <v/>
      </c>
      <c r="AH15" t="str">
        <f t="shared" si="10"/>
        <v/>
      </c>
      <c r="AI15" t="str">
        <f t="shared" si="10"/>
        <v/>
      </c>
      <c r="AJ15" t="str">
        <f t="shared" si="10"/>
        <v/>
      </c>
      <c r="AK15" t="str">
        <f t="shared" si="10"/>
        <v/>
      </c>
      <c r="AL15" t="str">
        <f t="shared" si="10"/>
        <v/>
      </c>
      <c r="AM15" t="str">
        <f t="shared" si="10"/>
        <v/>
      </c>
      <c r="AN15" t="str">
        <f t="shared" si="10"/>
        <v/>
      </c>
      <c r="AO15" t="str">
        <f t="shared" si="10"/>
        <v/>
      </c>
      <c r="AP15" t="str">
        <f t="shared" si="11"/>
        <v/>
      </c>
      <c r="AQ15" t="str">
        <f t="shared" si="11"/>
        <v/>
      </c>
      <c r="AR15" t="str">
        <f t="shared" si="11"/>
        <v/>
      </c>
      <c r="AS15" t="str">
        <f t="shared" si="11"/>
        <v/>
      </c>
      <c r="AT15" t="str">
        <f t="shared" si="11"/>
        <v/>
      </c>
      <c r="AU15" t="str">
        <f t="shared" si="11"/>
        <v/>
      </c>
      <c r="AV15" t="str">
        <f t="shared" si="11"/>
        <v/>
      </c>
      <c r="AW15" t="str">
        <f t="shared" si="11"/>
        <v/>
      </c>
      <c r="AX15" t="str">
        <f t="shared" si="11"/>
        <v/>
      </c>
      <c r="AY15" t="str">
        <f t="shared" si="11"/>
        <v/>
      </c>
      <c r="AZ15" t="str">
        <f t="shared" si="12"/>
        <v/>
      </c>
      <c r="BA15" t="str">
        <f t="shared" si="12"/>
        <v/>
      </c>
      <c r="BB15" t="str">
        <f t="shared" si="12"/>
        <v/>
      </c>
      <c r="BC15" t="str">
        <f t="shared" si="12"/>
        <v/>
      </c>
      <c r="BD15" t="str">
        <f t="shared" si="12"/>
        <v/>
      </c>
      <c r="BE15" t="str">
        <f t="shared" si="12"/>
        <v/>
      </c>
      <c r="BF15" t="str">
        <f t="shared" si="12"/>
        <v/>
      </c>
      <c r="BG15" t="str">
        <f t="shared" si="12"/>
        <v/>
      </c>
      <c r="BH15" t="str">
        <f t="shared" si="12"/>
        <v/>
      </c>
      <c r="BI15" t="str">
        <f t="shared" si="12"/>
        <v/>
      </c>
      <c r="BJ15" t="str">
        <f t="shared" si="13"/>
        <v/>
      </c>
      <c r="BK15" t="str">
        <f t="shared" si="13"/>
        <v/>
      </c>
      <c r="BL15" t="str">
        <f t="shared" si="13"/>
        <v/>
      </c>
      <c r="BM15" t="str">
        <f t="shared" si="13"/>
        <v/>
      </c>
      <c r="BN15" t="str">
        <f t="shared" si="13"/>
        <v/>
      </c>
      <c r="BO15" t="str">
        <f t="shared" si="13"/>
        <v/>
      </c>
      <c r="BP15" t="str">
        <f t="shared" si="13"/>
        <v/>
      </c>
      <c r="BQ15" t="str">
        <f t="shared" si="13"/>
        <v/>
      </c>
      <c r="BR15" t="str">
        <f t="shared" si="13"/>
        <v/>
      </c>
    </row>
    <row r="16" spans="1:70" ht="15" customHeight="1" x14ac:dyDescent="0.3">
      <c r="A16" t="s">
        <v>402</v>
      </c>
      <c r="B16">
        <v>25</v>
      </c>
      <c r="C16" t="s">
        <v>395</v>
      </c>
      <c r="D16">
        <v>1</v>
      </c>
      <c r="E16" s="62">
        <v>46151.291666666657</v>
      </c>
      <c r="F16" s="62">
        <v>46205.291666666657</v>
      </c>
      <c r="G16" t="s">
        <v>26</v>
      </c>
      <c r="H16" t="str">
        <f t="shared" si="0"/>
        <v>Jul-2026</v>
      </c>
      <c r="I16" t="s">
        <v>29</v>
      </c>
      <c r="J16" s="67">
        <f t="shared" si="1"/>
        <v>46235.291666666657</v>
      </c>
      <c r="K16" t="s">
        <v>27</v>
      </c>
      <c r="L16" t="str">
        <f t="shared" si="8"/>
        <v/>
      </c>
      <c r="M16" t="str">
        <f t="shared" si="8"/>
        <v/>
      </c>
      <c r="N16" t="str">
        <f t="shared" si="8"/>
        <v/>
      </c>
      <c r="O16" t="str">
        <f t="shared" si="8"/>
        <v/>
      </c>
      <c r="P16" t="str">
        <f t="shared" si="8"/>
        <v/>
      </c>
      <c r="Q16" t="str">
        <f t="shared" si="8"/>
        <v/>
      </c>
      <c r="R16" t="str">
        <f t="shared" si="8"/>
        <v/>
      </c>
      <c r="S16" t="str">
        <f t="shared" si="8"/>
        <v/>
      </c>
      <c r="T16" t="str">
        <f t="shared" si="8"/>
        <v/>
      </c>
      <c r="U16" t="str">
        <f t="shared" si="8"/>
        <v/>
      </c>
      <c r="V16" t="str">
        <f t="shared" si="9"/>
        <v/>
      </c>
      <c r="W16" t="str">
        <f t="shared" si="9"/>
        <v/>
      </c>
      <c r="X16" t="str">
        <f t="shared" si="9"/>
        <v/>
      </c>
      <c r="Y16" t="str">
        <f t="shared" si="9"/>
        <v/>
      </c>
      <c r="Z16" t="str">
        <f t="shared" si="9"/>
        <v/>
      </c>
      <c r="AA16" t="str">
        <f t="shared" si="9"/>
        <v/>
      </c>
      <c r="AB16" t="str">
        <f t="shared" si="9"/>
        <v/>
      </c>
      <c r="AC16" t="str">
        <f t="shared" si="9"/>
        <v/>
      </c>
      <c r="AD16" t="str">
        <f t="shared" si="9"/>
        <v/>
      </c>
      <c r="AE16" t="str">
        <f t="shared" si="9"/>
        <v/>
      </c>
      <c r="AF16" t="str">
        <f t="shared" si="10"/>
        <v/>
      </c>
      <c r="AG16" t="str">
        <f t="shared" si="10"/>
        <v/>
      </c>
      <c r="AH16" t="str">
        <f t="shared" si="10"/>
        <v/>
      </c>
      <c r="AI16" t="str">
        <f t="shared" si="10"/>
        <v/>
      </c>
      <c r="AJ16" t="str">
        <f t="shared" si="10"/>
        <v/>
      </c>
      <c r="AK16" t="str">
        <f t="shared" si="10"/>
        <v/>
      </c>
      <c r="AL16" t="str">
        <f t="shared" si="10"/>
        <v/>
      </c>
      <c r="AM16" t="str">
        <f t="shared" si="10"/>
        <v/>
      </c>
      <c r="AN16" t="str">
        <f t="shared" si="10"/>
        <v/>
      </c>
      <c r="AO16" t="str">
        <f t="shared" si="10"/>
        <v/>
      </c>
      <c r="AP16" t="str">
        <f t="shared" si="11"/>
        <v/>
      </c>
      <c r="AQ16" t="str">
        <f t="shared" si="11"/>
        <v/>
      </c>
      <c r="AR16" t="str">
        <f t="shared" si="11"/>
        <v/>
      </c>
      <c r="AS16" t="str">
        <f t="shared" si="11"/>
        <v/>
      </c>
      <c r="AT16" t="str">
        <f t="shared" si="11"/>
        <v/>
      </c>
      <c r="AU16" t="str">
        <f t="shared" si="11"/>
        <v/>
      </c>
      <c r="AV16" t="str">
        <f t="shared" si="11"/>
        <v/>
      </c>
      <c r="AW16" t="str">
        <f t="shared" si="11"/>
        <v/>
      </c>
      <c r="AX16">
        <f t="shared" si="11"/>
        <v>1</v>
      </c>
      <c r="AY16">
        <f t="shared" si="11"/>
        <v>1</v>
      </c>
      <c r="AZ16">
        <f t="shared" si="12"/>
        <v>1</v>
      </c>
      <c r="BA16">
        <f t="shared" si="12"/>
        <v>1</v>
      </c>
      <c r="BB16">
        <f t="shared" si="12"/>
        <v>1</v>
      </c>
      <c r="BC16">
        <f t="shared" si="12"/>
        <v>1</v>
      </c>
      <c r="BD16">
        <f t="shared" si="12"/>
        <v>1</v>
      </c>
      <c r="BE16">
        <f t="shared" si="12"/>
        <v>1</v>
      </c>
      <c r="BF16">
        <f t="shared" si="12"/>
        <v>1</v>
      </c>
      <c r="BG16">
        <f t="shared" si="12"/>
        <v>1</v>
      </c>
      <c r="BH16">
        <f t="shared" si="12"/>
        <v>1</v>
      </c>
      <c r="BI16">
        <f t="shared" si="12"/>
        <v>1</v>
      </c>
      <c r="BJ16">
        <f t="shared" si="13"/>
        <v>1</v>
      </c>
      <c r="BK16">
        <f t="shared" si="13"/>
        <v>1</v>
      </c>
      <c r="BL16">
        <f t="shared" si="13"/>
        <v>1</v>
      </c>
      <c r="BM16">
        <f t="shared" si="13"/>
        <v>1</v>
      </c>
      <c r="BN16">
        <f t="shared" si="13"/>
        <v>1</v>
      </c>
      <c r="BO16">
        <f t="shared" si="13"/>
        <v>1</v>
      </c>
      <c r="BP16">
        <f t="shared" si="13"/>
        <v>1</v>
      </c>
      <c r="BQ16">
        <f t="shared" si="13"/>
        <v>1</v>
      </c>
      <c r="BR16">
        <f t="shared" si="13"/>
        <v>1</v>
      </c>
    </row>
    <row r="17" spans="1:70" ht="15" customHeight="1" x14ac:dyDescent="0.3">
      <c r="A17" t="s">
        <v>403</v>
      </c>
      <c r="B17">
        <v>25</v>
      </c>
      <c r="C17" t="s">
        <v>383</v>
      </c>
      <c r="D17">
        <v>2</v>
      </c>
      <c r="E17" s="62">
        <v>46214.291666666657</v>
      </c>
      <c r="F17" s="62">
        <v>46285.291666666657</v>
      </c>
      <c r="G17" t="s">
        <v>33</v>
      </c>
      <c r="H17" t="str">
        <f t="shared" si="0"/>
        <v>Sep-2026</v>
      </c>
      <c r="I17" t="s">
        <v>29</v>
      </c>
      <c r="J17" s="67">
        <f t="shared" si="1"/>
        <v>46315.291666666657</v>
      </c>
      <c r="K17" t="s">
        <v>31</v>
      </c>
      <c r="L17" t="str">
        <f t="shared" si="8"/>
        <v/>
      </c>
      <c r="M17" t="str">
        <f t="shared" si="8"/>
        <v/>
      </c>
      <c r="N17" t="str">
        <f t="shared" si="8"/>
        <v/>
      </c>
      <c r="O17" t="str">
        <f t="shared" si="8"/>
        <v/>
      </c>
      <c r="P17" t="str">
        <f t="shared" si="8"/>
        <v/>
      </c>
      <c r="Q17" t="str">
        <f t="shared" si="8"/>
        <v/>
      </c>
      <c r="R17" t="str">
        <f t="shared" si="8"/>
        <v/>
      </c>
      <c r="S17" t="str">
        <f t="shared" si="8"/>
        <v/>
      </c>
      <c r="T17" t="str">
        <f t="shared" si="8"/>
        <v/>
      </c>
      <c r="U17" t="str">
        <f t="shared" si="8"/>
        <v/>
      </c>
      <c r="V17" t="str">
        <f t="shared" si="9"/>
        <v/>
      </c>
      <c r="W17" t="str">
        <f t="shared" si="9"/>
        <v/>
      </c>
      <c r="X17" t="str">
        <f t="shared" si="9"/>
        <v/>
      </c>
      <c r="Y17" t="str">
        <f t="shared" si="9"/>
        <v/>
      </c>
      <c r="Z17" t="str">
        <f t="shared" si="9"/>
        <v/>
      </c>
      <c r="AA17" t="str">
        <f t="shared" si="9"/>
        <v/>
      </c>
      <c r="AB17" t="str">
        <f t="shared" si="9"/>
        <v/>
      </c>
      <c r="AC17" t="str">
        <f t="shared" si="9"/>
        <v/>
      </c>
      <c r="AD17" t="str">
        <f t="shared" si="9"/>
        <v/>
      </c>
      <c r="AE17" t="str">
        <f t="shared" si="9"/>
        <v/>
      </c>
      <c r="AF17" t="str">
        <f t="shared" si="10"/>
        <v/>
      </c>
      <c r="AG17" t="str">
        <f t="shared" si="10"/>
        <v/>
      </c>
      <c r="AH17" t="str">
        <f t="shared" si="10"/>
        <v/>
      </c>
      <c r="AI17" t="str">
        <f t="shared" si="10"/>
        <v/>
      </c>
      <c r="AJ17" t="str">
        <f t="shared" si="10"/>
        <v/>
      </c>
      <c r="AK17" t="str">
        <f t="shared" si="10"/>
        <v/>
      </c>
      <c r="AL17" t="str">
        <f t="shared" si="10"/>
        <v/>
      </c>
      <c r="AM17" t="str">
        <f t="shared" si="10"/>
        <v/>
      </c>
      <c r="AN17" t="str">
        <f t="shared" si="10"/>
        <v/>
      </c>
      <c r="AO17" t="str">
        <f t="shared" si="10"/>
        <v/>
      </c>
      <c r="AP17" t="str">
        <f t="shared" si="11"/>
        <v/>
      </c>
      <c r="AQ17" t="str">
        <f t="shared" si="11"/>
        <v/>
      </c>
      <c r="AR17" t="str">
        <f t="shared" si="11"/>
        <v/>
      </c>
      <c r="AS17" t="str">
        <f t="shared" si="11"/>
        <v/>
      </c>
      <c r="AT17" t="str">
        <f t="shared" si="11"/>
        <v/>
      </c>
      <c r="AU17" t="str">
        <f t="shared" si="11"/>
        <v/>
      </c>
      <c r="AV17" t="str">
        <f t="shared" si="11"/>
        <v/>
      </c>
      <c r="AW17" t="str">
        <f t="shared" si="11"/>
        <v/>
      </c>
      <c r="AX17" t="str">
        <f t="shared" si="11"/>
        <v/>
      </c>
      <c r="AY17" t="str">
        <f t="shared" si="11"/>
        <v/>
      </c>
      <c r="AZ17" t="str">
        <f t="shared" si="12"/>
        <v/>
      </c>
      <c r="BA17" t="str">
        <f t="shared" si="12"/>
        <v/>
      </c>
      <c r="BB17" t="str">
        <f t="shared" si="12"/>
        <v/>
      </c>
      <c r="BC17" t="str">
        <f t="shared" si="12"/>
        <v/>
      </c>
      <c r="BD17" t="str">
        <f t="shared" si="12"/>
        <v/>
      </c>
      <c r="BE17" t="str">
        <f t="shared" si="12"/>
        <v/>
      </c>
      <c r="BF17" t="str">
        <f t="shared" si="12"/>
        <v/>
      </c>
      <c r="BG17" t="str">
        <f t="shared" si="12"/>
        <v/>
      </c>
      <c r="BH17" t="str">
        <f t="shared" si="12"/>
        <v/>
      </c>
      <c r="BI17" t="str">
        <f t="shared" si="12"/>
        <v/>
      </c>
      <c r="BJ17" t="str">
        <f t="shared" si="13"/>
        <v/>
      </c>
      <c r="BK17" t="str">
        <f t="shared" si="13"/>
        <v/>
      </c>
      <c r="BL17" t="str">
        <f t="shared" si="13"/>
        <v/>
      </c>
      <c r="BM17" t="str">
        <f t="shared" si="13"/>
        <v/>
      </c>
      <c r="BN17" t="str">
        <f t="shared" si="13"/>
        <v/>
      </c>
      <c r="BO17" t="str">
        <f t="shared" si="13"/>
        <v/>
      </c>
      <c r="BP17" t="str">
        <f t="shared" si="13"/>
        <v/>
      </c>
      <c r="BQ17" t="str">
        <f t="shared" si="13"/>
        <v/>
      </c>
      <c r="BR17" t="str">
        <f t="shared" si="13"/>
        <v/>
      </c>
    </row>
    <row r="18" spans="1:70" ht="15" customHeight="1" x14ac:dyDescent="0.3">
      <c r="A18" t="s">
        <v>404</v>
      </c>
      <c r="B18">
        <v>34</v>
      </c>
      <c r="C18" t="s">
        <v>386</v>
      </c>
      <c r="D18">
        <v>3</v>
      </c>
      <c r="E18" s="62">
        <v>46183.291666666657</v>
      </c>
      <c r="F18" s="62">
        <v>46242.291666666657</v>
      </c>
      <c r="G18" t="s">
        <v>33</v>
      </c>
      <c r="H18" t="str">
        <f t="shared" si="0"/>
        <v>Aug-2026</v>
      </c>
      <c r="I18" t="s">
        <v>20</v>
      </c>
      <c r="J18" s="67">
        <f t="shared" si="1"/>
        <v>46272.291666666657</v>
      </c>
      <c r="K18" t="s">
        <v>27</v>
      </c>
      <c r="L18" t="str">
        <f t="shared" si="8"/>
        <v/>
      </c>
      <c r="M18" t="str">
        <f t="shared" si="8"/>
        <v/>
      </c>
      <c r="N18" t="str">
        <f t="shared" si="8"/>
        <v/>
      </c>
      <c r="O18" t="str">
        <f t="shared" si="8"/>
        <v/>
      </c>
      <c r="P18" t="str">
        <f t="shared" si="8"/>
        <v/>
      </c>
      <c r="Q18" t="str">
        <f t="shared" si="8"/>
        <v/>
      </c>
      <c r="R18" t="str">
        <f t="shared" si="8"/>
        <v/>
      </c>
      <c r="S18" t="str">
        <f t="shared" si="8"/>
        <v/>
      </c>
      <c r="T18" t="str">
        <f t="shared" si="8"/>
        <v/>
      </c>
      <c r="U18" t="str">
        <f t="shared" si="8"/>
        <v/>
      </c>
      <c r="V18" t="str">
        <f t="shared" si="9"/>
        <v/>
      </c>
      <c r="W18" t="str">
        <f t="shared" si="9"/>
        <v/>
      </c>
      <c r="X18" t="str">
        <f t="shared" si="9"/>
        <v/>
      </c>
      <c r="Y18" t="str">
        <f t="shared" si="9"/>
        <v/>
      </c>
      <c r="Z18" t="str">
        <f t="shared" si="9"/>
        <v/>
      </c>
      <c r="AA18" t="str">
        <f t="shared" si="9"/>
        <v/>
      </c>
      <c r="AB18" t="str">
        <f t="shared" si="9"/>
        <v/>
      </c>
      <c r="AC18" t="str">
        <f t="shared" si="9"/>
        <v/>
      </c>
      <c r="AD18" t="str">
        <f t="shared" si="9"/>
        <v/>
      </c>
      <c r="AE18" t="str">
        <f t="shared" si="9"/>
        <v/>
      </c>
      <c r="AF18" t="str">
        <f t="shared" si="10"/>
        <v/>
      </c>
      <c r="AG18" t="str">
        <f t="shared" si="10"/>
        <v/>
      </c>
      <c r="AH18" t="str">
        <f t="shared" si="10"/>
        <v/>
      </c>
      <c r="AI18" t="str">
        <f t="shared" si="10"/>
        <v/>
      </c>
      <c r="AJ18" t="str">
        <f t="shared" si="10"/>
        <v/>
      </c>
      <c r="AK18" t="str">
        <f t="shared" si="10"/>
        <v/>
      </c>
      <c r="AL18" t="str">
        <f t="shared" si="10"/>
        <v/>
      </c>
      <c r="AM18" t="str">
        <f t="shared" si="10"/>
        <v/>
      </c>
      <c r="AN18" t="str">
        <f t="shared" si="10"/>
        <v/>
      </c>
      <c r="AO18" t="str">
        <f t="shared" si="10"/>
        <v/>
      </c>
      <c r="AP18" t="str">
        <f t="shared" si="11"/>
        <v/>
      </c>
      <c r="AQ18" t="str">
        <f t="shared" si="11"/>
        <v/>
      </c>
      <c r="AR18" t="str">
        <f t="shared" si="11"/>
        <v/>
      </c>
      <c r="AS18" t="str">
        <f t="shared" si="11"/>
        <v/>
      </c>
      <c r="AT18" t="str">
        <f t="shared" si="11"/>
        <v/>
      </c>
      <c r="AU18" t="str">
        <f t="shared" si="11"/>
        <v/>
      </c>
      <c r="AV18" t="str">
        <f t="shared" si="11"/>
        <v/>
      </c>
      <c r="AW18" t="str">
        <f t="shared" si="11"/>
        <v/>
      </c>
      <c r="AX18" t="str">
        <f t="shared" si="11"/>
        <v/>
      </c>
      <c r="AY18" t="str">
        <f t="shared" si="11"/>
        <v/>
      </c>
      <c r="AZ18" t="str">
        <f t="shared" si="12"/>
        <v/>
      </c>
      <c r="BA18" t="str">
        <f t="shared" si="12"/>
        <v/>
      </c>
      <c r="BB18" t="str">
        <f t="shared" si="12"/>
        <v/>
      </c>
      <c r="BC18" t="str">
        <f t="shared" si="12"/>
        <v/>
      </c>
      <c r="BD18" t="str">
        <f t="shared" si="12"/>
        <v/>
      </c>
      <c r="BE18" t="str">
        <f t="shared" si="12"/>
        <v/>
      </c>
      <c r="BF18" t="str">
        <f t="shared" si="12"/>
        <v/>
      </c>
      <c r="BG18" t="str">
        <f t="shared" si="12"/>
        <v/>
      </c>
      <c r="BH18" t="str">
        <f t="shared" si="12"/>
        <v/>
      </c>
      <c r="BI18" t="str">
        <f t="shared" si="12"/>
        <v/>
      </c>
      <c r="BJ18" t="str">
        <f t="shared" si="13"/>
        <v/>
      </c>
      <c r="BK18" t="str">
        <f t="shared" si="13"/>
        <v/>
      </c>
      <c r="BL18" t="str">
        <f t="shared" si="13"/>
        <v/>
      </c>
      <c r="BM18" t="str">
        <f t="shared" si="13"/>
        <v/>
      </c>
      <c r="BN18" t="str">
        <f t="shared" si="13"/>
        <v/>
      </c>
      <c r="BO18" t="str">
        <f t="shared" si="13"/>
        <v/>
      </c>
      <c r="BP18" t="str">
        <f t="shared" si="13"/>
        <v/>
      </c>
      <c r="BQ18" t="str">
        <f t="shared" si="13"/>
        <v/>
      </c>
      <c r="BR18" t="str">
        <f t="shared" si="13"/>
        <v/>
      </c>
    </row>
    <row r="19" spans="1:70" ht="15" customHeight="1" x14ac:dyDescent="0.3">
      <c r="A19" t="s">
        <v>405</v>
      </c>
      <c r="B19">
        <v>15</v>
      </c>
      <c r="C19" t="s">
        <v>398</v>
      </c>
      <c r="D19">
        <v>2</v>
      </c>
      <c r="E19" s="62">
        <v>46167.291666666657</v>
      </c>
      <c r="F19" s="62">
        <v>46241.291666666657</v>
      </c>
      <c r="G19" t="s">
        <v>33</v>
      </c>
      <c r="H19" t="str">
        <f t="shared" si="0"/>
        <v>Aug-2026</v>
      </c>
      <c r="I19" t="s">
        <v>20</v>
      </c>
      <c r="J19" s="67">
        <f t="shared" si="1"/>
        <v>46271.291666666657</v>
      </c>
      <c r="K19" t="s">
        <v>392</v>
      </c>
      <c r="L19" t="str">
        <f t="shared" si="8"/>
        <v/>
      </c>
      <c r="M19" t="str">
        <f t="shared" si="8"/>
        <v/>
      </c>
      <c r="N19" t="str">
        <f t="shared" si="8"/>
        <v/>
      </c>
      <c r="O19" t="str">
        <f t="shared" si="8"/>
        <v/>
      </c>
      <c r="P19" t="str">
        <f t="shared" si="8"/>
        <v/>
      </c>
      <c r="Q19" t="str">
        <f t="shared" si="8"/>
        <v/>
      </c>
      <c r="R19" t="str">
        <f t="shared" si="8"/>
        <v/>
      </c>
      <c r="S19" t="str">
        <f t="shared" si="8"/>
        <v/>
      </c>
      <c r="T19" t="str">
        <f t="shared" si="8"/>
        <v/>
      </c>
      <c r="U19" t="str">
        <f t="shared" si="8"/>
        <v/>
      </c>
      <c r="V19" t="str">
        <f t="shared" si="9"/>
        <v/>
      </c>
      <c r="W19" t="str">
        <f t="shared" si="9"/>
        <v/>
      </c>
      <c r="X19" t="str">
        <f t="shared" si="9"/>
        <v/>
      </c>
      <c r="Y19" t="str">
        <f t="shared" si="9"/>
        <v/>
      </c>
      <c r="Z19" t="str">
        <f t="shared" si="9"/>
        <v/>
      </c>
      <c r="AA19" t="str">
        <f t="shared" si="9"/>
        <v/>
      </c>
      <c r="AB19" t="str">
        <f t="shared" si="9"/>
        <v/>
      </c>
      <c r="AC19" t="str">
        <f t="shared" si="9"/>
        <v/>
      </c>
      <c r="AD19" t="str">
        <f t="shared" si="9"/>
        <v/>
      </c>
      <c r="AE19" t="str">
        <f t="shared" si="9"/>
        <v/>
      </c>
      <c r="AF19" t="str">
        <f t="shared" si="10"/>
        <v/>
      </c>
      <c r="AG19" t="str">
        <f t="shared" si="10"/>
        <v/>
      </c>
      <c r="AH19" t="str">
        <f t="shared" si="10"/>
        <v/>
      </c>
      <c r="AI19" t="str">
        <f t="shared" si="10"/>
        <v/>
      </c>
      <c r="AJ19" t="str">
        <f t="shared" si="10"/>
        <v/>
      </c>
      <c r="AK19" t="str">
        <f t="shared" si="10"/>
        <v/>
      </c>
      <c r="AL19" t="str">
        <f t="shared" si="10"/>
        <v/>
      </c>
      <c r="AM19" t="str">
        <f t="shared" si="10"/>
        <v/>
      </c>
      <c r="AN19" t="str">
        <f t="shared" si="10"/>
        <v/>
      </c>
      <c r="AO19" t="str">
        <f t="shared" si="10"/>
        <v/>
      </c>
      <c r="AP19" t="str">
        <f t="shared" si="11"/>
        <v/>
      </c>
      <c r="AQ19" t="str">
        <f t="shared" si="11"/>
        <v/>
      </c>
      <c r="AR19" t="str">
        <f t="shared" si="11"/>
        <v/>
      </c>
      <c r="AS19" t="str">
        <f t="shared" si="11"/>
        <v/>
      </c>
      <c r="AT19" t="str">
        <f t="shared" si="11"/>
        <v/>
      </c>
      <c r="AU19" t="str">
        <f t="shared" si="11"/>
        <v/>
      </c>
      <c r="AV19" t="str">
        <f t="shared" si="11"/>
        <v/>
      </c>
      <c r="AW19" t="str">
        <f t="shared" si="11"/>
        <v/>
      </c>
      <c r="AX19" t="str">
        <f t="shared" si="11"/>
        <v/>
      </c>
      <c r="AY19" t="str">
        <f t="shared" si="11"/>
        <v/>
      </c>
      <c r="AZ19" t="str">
        <f t="shared" si="12"/>
        <v/>
      </c>
      <c r="BA19" t="str">
        <f t="shared" si="12"/>
        <v/>
      </c>
      <c r="BB19" t="str">
        <f t="shared" si="12"/>
        <v/>
      </c>
      <c r="BC19" t="str">
        <f t="shared" si="12"/>
        <v/>
      </c>
      <c r="BD19" t="str">
        <f t="shared" si="12"/>
        <v/>
      </c>
      <c r="BE19" t="str">
        <f t="shared" si="12"/>
        <v/>
      </c>
      <c r="BF19" t="str">
        <f t="shared" si="12"/>
        <v/>
      </c>
      <c r="BG19" t="str">
        <f t="shared" si="12"/>
        <v/>
      </c>
      <c r="BH19" t="str">
        <f t="shared" si="12"/>
        <v/>
      </c>
      <c r="BI19" t="str">
        <f t="shared" si="12"/>
        <v/>
      </c>
      <c r="BJ19" t="str">
        <f t="shared" si="13"/>
        <v/>
      </c>
      <c r="BK19" t="str">
        <f t="shared" si="13"/>
        <v/>
      </c>
      <c r="BL19" t="str">
        <f t="shared" si="13"/>
        <v/>
      </c>
      <c r="BM19" t="str">
        <f t="shared" si="13"/>
        <v/>
      </c>
      <c r="BN19">
        <f t="shared" si="13"/>
        <v>1</v>
      </c>
      <c r="BO19">
        <f t="shared" si="13"/>
        <v>1</v>
      </c>
      <c r="BP19">
        <f t="shared" si="13"/>
        <v>1</v>
      </c>
      <c r="BQ19">
        <f t="shared" si="13"/>
        <v>1</v>
      </c>
      <c r="BR19">
        <f t="shared" si="13"/>
        <v>1</v>
      </c>
    </row>
    <row r="20" spans="1:70" ht="15" customHeight="1" x14ac:dyDescent="0.3">
      <c r="A20" t="s">
        <v>406</v>
      </c>
      <c r="B20">
        <v>46</v>
      </c>
      <c r="C20" t="s">
        <v>383</v>
      </c>
      <c r="D20">
        <v>2</v>
      </c>
      <c r="E20" s="62">
        <v>46143.291666666657</v>
      </c>
      <c r="F20" s="62">
        <v>46202.291666666657</v>
      </c>
      <c r="G20" t="s">
        <v>26</v>
      </c>
      <c r="H20" t="str">
        <f t="shared" si="0"/>
        <v>Jun-2026</v>
      </c>
      <c r="I20" t="s">
        <v>20</v>
      </c>
      <c r="J20" s="67">
        <f t="shared" si="1"/>
        <v>46232.291666666657</v>
      </c>
      <c r="K20" t="s">
        <v>17</v>
      </c>
      <c r="L20" t="str">
        <f t="shared" si="8"/>
        <v/>
      </c>
      <c r="M20" t="str">
        <f t="shared" si="8"/>
        <v/>
      </c>
      <c r="N20" t="str">
        <f t="shared" si="8"/>
        <v/>
      </c>
      <c r="O20" t="str">
        <f t="shared" si="8"/>
        <v/>
      </c>
      <c r="P20" t="str">
        <f t="shared" si="8"/>
        <v/>
      </c>
      <c r="Q20" t="str">
        <f t="shared" si="8"/>
        <v/>
      </c>
      <c r="R20" t="str">
        <f t="shared" si="8"/>
        <v/>
      </c>
      <c r="S20" t="str">
        <f t="shared" si="8"/>
        <v/>
      </c>
      <c r="T20" t="str">
        <f t="shared" si="8"/>
        <v/>
      </c>
      <c r="U20" t="str">
        <f t="shared" si="8"/>
        <v/>
      </c>
      <c r="V20" t="str">
        <f t="shared" si="9"/>
        <v/>
      </c>
      <c r="W20" t="str">
        <f t="shared" si="9"/>
        <v/>
      </c>
      <c r="X20" t="str">
        <f t="shared" si="9"/>
        <v/>
      </c>
      <c r="Y20" t="str">
        <f t="shared" si="9"/>
        <v/>
      </c>
      <c r="Z20" t="str">
        <f t="shared" si="9"/>
        <v/>
      </c>
      <c r="AA20" t="str">
        <f t="shared" si="9"/>
        <v/>
      </c>
      <c r="AB20" t="str">
        <f t="shared" si="9"/>
        <v/>
      </c>
      <c r="AC20" t="str">
        <f t="shared" si="9"/>
        <v/>
      </c>
      <c r="AD20" t="str">
        <f t="shared" si="9"/>
        <v/>
      </c>
      <c r="AE20" t="str">
        <f t="shared" si="9"/>
        <v/>
      </c>
      <c r="AF20" t="str">
        <f t="shared" si="10"/>
        <v/>
      </c>
      <c r="AG20" t="str">
        <f t="shared" si="10"/>
        <v/>
      </c>
      <c r="AH20" t="str">
        <f t="shared" si="10"/>
        <v/>
      </c>
      <c r="AI20" t="str">
        <f t="shared" si="10"/>
        <v/>
      </c>
      <c r="AJ20" t="str">
        <f t="shared" si="10"/>
        <v/>
      </c>
      <c r="AK20" t="str">
        <f t="shared" si="10"/>
        <v/>
      </c>
      <c r="AL20" t="str">
        <f t="shared" si="10"/>
        <v/>
      </c>
      <c r="AM20" t="str">
        <f t="shared" si="10"/>
        <v/>
      </c>
      <c r="AN20" t="str">
        <f t="shared" si="10"/>
        <v/>
      </c>
      <c r="AO20" t="str">
        <f t="shared" si="10"/>
        <v/>
      </c>
      <c r="AP20">
        <f t="shared" si="11"/>
        <v>1</v>
      </c>
      <c r="AQ20">
        <f t="shared" si="11"/>
        <v>1</v>
      </c>
      <c r="AR20">
        <f t="shared" si="11"/>
        <v>1</v>
      </c>
      <c r="AS20">
        <f t="shared" si="11"/>
        <v>1</v>
      </c>
      <c r="AT20">
        <f t="shared" si="11"/>
        <v>1</v>
      </c>
      <c r="AU20">
        <f t="shared" si="11"/>
        <v>1</v>
      </c>
      <c r="AV20">
        <f t="shared" si="11"/>
        <v>1</v>
      </c>
      <c r="AW20">
        <f t="shared" si="11"/>
        <v>1</v>
      </c>
      <c r="AX20">
        <f t="shared" si="11"/>
        <v>1</v>
      </c>
      <c r="AY20">
        <f t="shared" si="11"/>
        <v>1</v>
      </c>
      <c r="AZ20">
        <f t="shared" si="12"/>
        <v>1</v>
      </c>
      <c r="BA20">
        <f t="shared" si="12"/>
        <v>1</v>
      </c>
      <c r="BB20">
        <f t="shared" si="12"/>
        <v>1</v>
      </c>
      <c r="BC20">
        <f t="shared" si="12"/>
        <v>1</v>
      </c>
      <c r="BD20">
        <f t="shared" si="12"/>
        <v>1</v>
      </c>
      <c r="BE20">
        <f t="shared" si="12"/>
        <v>1</v>
      </c>
      <c r="BF20">
        <f t="shared" si="12"/>
        <v>1</v>
      </c>
      <c r="BG20">
        <f t="shared" si="12"/>
        <v>1</v>
      </c>
      <c r="BH20">
        <f t="shared" si="12"/>
        <v>1</v>
      </c>
      <c r="BI20">
        <f t="shared" si="12"/>
        <v>1</v>
      </c>
      <c r="BJ20">
        <f t="shared" si="13"/>
        <v>1</v>
      </c>
      <c r="BK20">
        <f t="shared" si="13"/>
        <v>1</v>
      </c>
      <c r="BL20">
        <f t="shared" si="13"/>
        <v>1</v>
      </c>
      <c r="BM20">
        <f t="shared" si="13"/>
        <v>1</v>
      </c>
      <c r="BN20">
        <f t="shared" si="13"/>
        <v>1</v>
      </c>
      <c r="BO20">
        <f t="shared" si="13"/>
        <v>1</v>
      </c>
      <c r="BP20">
        <f t="shared" si="13"/>
        <v>1</v>
      </c>
      <c r="BQ20">
        <f t="shared" si="13"/>
        <v>1</v>
      </c>
      <c r="BR20">
        <f t="shared" si="13"/>
        <v>1</v>
      </c>
    </row>
    <row r="21" spans="1:70" ht="15" customHeight="1" x14ac:dyDescent="0.3">
      <c r="A21" t="s">
        <v>407</v>
      </c>
      <c r="B21">
        <v>63</v>
      </c>
      <c r="C21" t="s">
        <v>386</v>
      </c>
      <c r="D21">
        <v>3</v>
      </c>
      <c r="E21" s="62">
        <v>46184.291666666657</v>
      </c>
      <c r="F21" s="62">
        <v>46198.291666666657</v>
      </c>
      <c r="G21" t="s">
        <v>15</v>
      </c>
      <c r="H21" t="str">
        <f t="shared" si="0"/>
        <v>Jun-2026</v>
      </c>
      <c r="I21" t="s">
        <v>29</v>
      </c>
      <c r="J21" s="67">
        <f t="shared" si="1"/>
        <v>46228.291666666657</v>
      </c>
      <c r="K21" t="s">
        <v>27</v>
      </c>
      <c r="L21" t="str">
        <f t="shared" si="8"/>
        <v/>
      </c>
      <c r="M21" t="str">
        <f t="shared" si="8"/>
        <v/>
      </c>
      <c r="N21" t="str">
        <f t="shared" si="8"/>
        <v/>
      </c>
      <c r="O21" t="str">
        <f t="shared" si="8"/>
        <v/>
      </c>
      <c r="P21" t="str">
        <f t="shared" si="8"/>
        <v/>
      </c>
      <c r="Q21" t="str">
        <f t="shared" si="8"/>
        <v/>
      </c>
      <c r="R21" t="str">
        <f t="shared" si="8"/>
        <v/>
      </c>
      <c r="S21" t="str">
        <f t="shared" si="8"/>
        <v/>
      </c>
      <c r="T21" t="str">
        <f t="shared" si="8"/>
        <v/>
      </c>
      <c r="U21" t="str">
        <f t="shared" si="8"/>
        <v/>
      </c>
      <c r="V21" t="str">
        <f t="shared" si="9"/>
        <v/>
      </c>
      <c r="W21" t="str">
        <f t="shared" si="9"/>
        <v/>
      </c>
      <c r="X21" t="str">
        <f t="shared" si="9"/>
        <v/>
      </c>
      <c r="Y21" t="str">
        <f t="shared" si="9"/>
        <v/>
      </c>
      <c r="Z21" t="str">
        <f t="shared" si="9"/>
        <v/>
      </c>
      <c r="AA21" t="str">
        <f t="shared" si="9"/>
        <v/>
      </c>
      <c r="AB21" t="str">
        <f t="shared" si="9"/>
        <v/>
      </c>
      <c r="AC21" t="str">
        <f t="shared" si="9"/>
        <v/>
      </c>
      <c r="AD21" t="str">
        <f t="shared" si="9"/>
        <v/>
      </c>
      <c r="AE21" t="str">
        <f t="shared" si="9"/>
        <v/>
      </c>
      <c r="AF21" t="str">
        <f t="shared" si="10"/>
        <v/>
      </c>
      <c r="AG21" t="str">
        <f t="shared" si="10"/>
        <v/>
      </c>
      <c r="AH21" t="str">
        <f t="shared" si="10"/>
        <v/>
      </c>
      <c r="AI21" t="str">
        <f t="shared" si="10"/>
        <v/>
      </c>
      <c r="AJ21" t="str">
        <f t="shared" si="10"/>
        <v/>
      </c>
      <c r="AK21" t="str">
        <f t="shared" si="10"/>
        <v/>
      </c>
      <c r="AL21" t="str">
        <f t="shared" si="10"/>
        <v/>
      </c>
      <c r="AM21" t="str">
        <f t="shared" si="10"/>
        <v/>
      </c>
      <c r="AN21" t="str">
        <f t="shared" si="10"/>
        <v/>
      </c>
      <c r="AO21" t="str">
        <f t="shared" si="10"/>
        <v/>
      </c>
      <c r="AP21" t="str">
        <f t="shared" si="11"/>
        <v/>
      </c>
      <c r="AQ21" t="str">
        <f t="shared" si="11"/>
        <v/>
      </c>
      <c r="AR21" t="str">
        <f t="shared" si="11"/>
        <v/>
      </c>
      <c r="AS21" t="str">
        <f t="shared" si="11"/>
        <v/>
      </c>
      <c r="AT21" t="str">
        <f t="shared" si="11"/>
        <v/>
      </c>
      <c r="AU21" t="str">
        <f t="shared" si="11"/>
        <v/>
      </c>
      <c r="AV21" t="str">
        <f t="shared" si="11"/>
        <v/>
      </c>
      <c r="AW21" t="str">
        <f t="shared" si="11"/>
        <v/>
      </c>
      <c r="AX21" t="str">
        <f t="shared" si="11"/>
        <v/>
      </c>
      <c r="AY21" t="str">
        <f t="shared" si="11"/>
        <v/>
      </c>
      <c r="AZ21" t="str">
        <f t="shared" si="12"/>
        <v/>
      </c>
      <c r="BA21" t="str">
        <f t="shared" si="12"/>
        <v/>
      </c>
      <c r="BB21" t="str">
        <f t="shared" si="12"/>
        <v/>
      </c>
      <c r="BC21" t="str">
        <f t="shared" si="12"/>
        <v/>
      </c>
      <c r="BD21" t="str">
        <f t="shared" si="12"/>
        <v/>
      </c>
      <c r="BE21" t="str">
        <f t="shared" si="12"/>
        <v/>
      </c>
      <c r="BF21" t="str">
        <f t="shared" si="12"/>
        <v/>
      </c>
      <c r="BG21" t="str">
        <f t="shared" si="12"/>
        <v/>
      </c>
      <c r="BH21" t="str">
        <f t="shared" si="12"/>
        <v/>
      </c>
      <c r="BI21" t="str">
        <f t="shared" si="12"/>
        <v/>
      </c>
      <c r="BJ21" t="str">
        <f t="shared" si="13"/>
        <v/>
      </c>
      <c r="BK21" t="str">
        <f t="shared" si="13"/>
        <v/>
      </c>
      <c r="BL21" t="str">
        <f t="shared" si="13"/>
        <v/>
      </c>
      <c r="BM21" t="str">
        <f t="shared" si="13"/>
        <v/>
      </c>
      <c r="BN21" t="str">
        <f t="shared" si="13"/>
        <v/>
      </c>
      <c r="BO21" t="str">
        <f t="shared" si="13"/>
        <v/>
      </c>
      <c r="BP21" t="str">
        <f t="shared" si="13"/>
        <v/>
      </c>
      <c r="BQ21" t="str">
        <f t="shared" si="13"/>
        <v/>
      </c>
      <c r="BR21" t="str">
        <f t="shared" si="13"/>
        <v/>
      </c>
    </row>
    <row r="22" spans="1:70" ht="15" customHeight="1" x14ac:dyDescent="0.3">
      <c r="A22" t="s">
        <v>408</v>
      </c>
      <c r="B22">
        <v>9</v>
      </c>
      <c r="C22" t="s">
        <v>398</v>
      </c>
      <c r="D22">
        <v>2</v>
      </c>
      <c r="E22" s="62">
        <v>46175.291666666657</v>
      </c>
      <c r="F22" s="62">
        <v>46230.291666666657</v>
      </c>
      <c r="G22" t="s">
        <v>26</v>
      </c>
      <c r="H22" t="str">
        <f t="shared" si="0"/>
        <v>Jul-2026</v>
      </c>
      <c r="I22" t="s">
        <v>29</v>
      </c>
      <c r="J22" s="67">
        <f t="shared" si="1"/>
        <v>46260.291666666657</v>
      </c>
      <c r="K22" t="s">
        <v>21</v>
      </c>
      <c r="L22" t="str">
        <f t="shared" si="8"/>
        <v/>
      </c>
      <c r="M22" t="str">
        <f t="shared" si="8"/>
        <v/>
      </c>
      <c r="N22" t="str">
        <f t="shared" si="8"/>
        <v/>
      </c>
      <c r="O22" t="str">
        <f t="shared" si="8"/>
        <v/>
      </c>
      <c r="P22" t="str">
        <f t="shared" si="8"/>
        <v/>
      </c>
      <c r="Q22" t="str">
        <f t="shared" si="8"/>
        <v/>
      </c>
      <c r="R22" t="str">
        <f t="shared" si="8"/>
        <v/>
      </c>
      <c r="S22" t="str">
        <f t="shared" si="8"/>
        <v/>
      </c>
      <c r="T22" t="str">
        <f t="shared" si="8"/>
        <v/>
      </c>
      <c r="U22" t="str">
        <f t="shared" si="8"/>
        <v/>
      </c>
      <c r="V22" t="str">
        <f t="shared" si="9"/>
        <v/>
      </c>
      <c r="W22" t="str">
        <f t="shared" si="9"/>
        <v/>
      </c>
      <c r="X22" t="str">
        <f t="shared" si="9"/>
        <v/>
      </c>
      <c r="Y22" t="str">
        <f t="shared" si="9"/>
        <v/>
      </c>
      <c r="Z22" t="str">
        <f t="shared" si="9"/>
        <v/>
      </c>
      <c r="AA22" t="str">
        <f t="shared" si="9"/>
        <v/>
      </c>
      <c r="AB22" t="str">
        <f t="shared" si="9"/>
        <v/>
      </c>
      <c r="AC22" t="str">
        <f t="shared" si="9"/>
        <v/>
      </c>
      <c r="AD22" t="str">
        <f t="shared" si="9"/>
        <v/>
      </c>
      <c r="AE22" t="str">
        <f t="shared" si="9"/>
        <v/>
      </c>
      <c r="AF22" t="str">
        <f t="shared" si="10"/>
        <v/>
      </c>
      <c r="AG22" t="str">
        <f t="shared" si="10"/>
        <v/>
      </c>
      <c r="AH22" t="str">
        <f t="shared" si="10"/>
        <v/>
      </c>
      <c r="AI22" t="str">
        <f t="shared" si="10"/>
        <v/>
      </c>
      <c r="AJ22" t="str">
        <f t="shared" si="10"/>
        <v/>
      </c>
      <c r="AK22" t="str">
        <f t="shared" si="10"/>
        <v/>
      </c>
      <c r="AL22" t="str">
        <f t="shared" si="10"/>
        <v/>
      </c>
      <c r="AM22" t="str">
        <f t="shared" si="10"/>
        <v/>
      </c>
      <c r="AN22" t="str">
        <f t="shared" si="10"/>
        <v/>
      </c>
      <c r="AO22" t="str">
        <f t="shared" si="10"/>
        <v/>
      </c>
      <c r="AP22" t="str">
        <f t="shared" si="11"/>
        <v/>
      </c>
      <c r="AQ22" t="str">
        <f t="shared" si="11"/>
        <v/>
      </c>
      <c r="AR22" t="str">
        <f t="shared" si="11"/>
        <v/>
      </c>
      <c r="AS22" t="str">
        <f t="shared" si="11"/>
        <v/>
      </c>
      <c r="AT22" t="str">
        <f t="shared" si="11"/>
        <v/>
      </c>
      <c r="AU22" t="str">
        <f t="shared" si="11"/>
        <v/>
      </c>
      <c r="AV22" t="str">
        <f t="shared" si="11"/>
        <v/>
      </c>
      <c r="AW22" t="str">
        <f t="shared" si="11"/>
        <v/>
      </c>
      <c r="AX22" t="str">
        <f t="shared" si="11"/>
        <v/>
      </c>
      <c r="AY22" t="str">
        <f t="shared" si="11"/>
        <v/>
      </c>
      <c r="AZ22" t="str">
        <f t="shared" si="12"/>
        <v/>
      </c>
      <c r="BA22" t="str">
        <f t="shared" si="12"/>
        <v/>
      </c>
      <c r="BB22" t="str">
        <f t="shared" si="12"/>
        <v/>
      </c>
      <c r="BC22" t="str">
        <f t="shared" si="12"/>
        <v/>
      </c>
      <c r="BD22" t="str">
        <f t="shared" si="12"/>
        <v/>
      </c>
      <c r="BE22" t="str">
        <f t="shared" si="12"/>
        <v/>
      </c>
      <c r="BF22" t="str">
        <f t="shared" si="12"/>
        <v/>
      </c>
      <c r="BG22" t="str">
        <f t="shared" si="12"/>
        <v/>
      </c>
      <c r="BH22" t="str">
        <f t="shared" si="12"/>
        <v/>
      </c>
      <c r="BI22" t="str">
        <f t="shared" si="12"/>
        <v/>
      </c>
      <c r="BJ22" t="str">
        <f t="shared" si="13"/>
        <v/>
      </c>
      <c r="BK22" t="str">
        <f t="shared" si="13"/>
        <v/>
      </c>
      <c r="BL22" t="str">
        <f t="shared" si="13"/>
        <v/>
      </c>
      <c r="BM22" t="str">
        <f t="shared" si="13"/>
        <v/>
      </c>
      <c r="BN22" t="str">
        <f t="shared" si="13"/>
        <v/>
      </c>
      <c r="BO22" t="str">
        <f t="shared" si="13"/>
        <v/>
      </c>
      <c r="BP22" t="str">
        <f t="shared" si="13"/>
        <v/>
      </c>
      <c r="BQ22" t="str">
        <f t="shared" si="13"/>
        <v/>
      </c>
      <c r="BR22" t="str">
        <f t="shared" si="13"/>
        <v/>
      </c>
    </row>
    <row r="23" spans="1:70" ht="15" customHeight="1" x14ac:dyDescent="0.3">
      <c r="A23" t="s">
        <v>409</v>
      </c>
      <c r="B23">
        <v>34</v>
      </c>
      <c r="C23" t="s">
        <v>401</v>
      </c>
      <c r="D23">
        <v>4</v>
      </c>
      <c r="E23" s="62">
        <v>46147.291666666657</v>
      </c>
      <c r="F23" s="62">
        <v>46223.291666666657</v>
      </c>
      <c r="G23" t="s">
        <v>15</v>
      </c>
      <c r="H23" t="str">
        <f t="shared" si="0"/>
        <v>Jul-2026</v>
      </c>
      <c r="I23" t="s">
        <v>29</v>
      </c>
      <c r="J23" s="67">
        <f t="shared" si="1"/>
        <v>46253.291666666657</v>
      </c>
      <c r="K23" t="s">
        <v>31</v>
      </c>
      <c r="L23" t="str">
        <f t="shared" si="8"/>
        <v/>
      </c>
      <c r="M23" t="str">
        <f t="shared" si="8"/>
        <v/>
      </c>
      <c r="N23" t="str">
        <f t="shared" si="8"/>
        <v/>
      </c>
      <c r="O23" t="str">
        <f t="shared" si="8"/>
        <v/>
      </c>
      <c r="P23" t="str">
        <f t="shared" si="8"/>
        <v/>
      </c>
      <c r="Q23" t="str">
        <f t="shared" si="8"/>
        <v/>
      </c>
      <c r="R23" t="str">
        <f t="shared" si="8"/>
        <v/>
      </c>
      <c r="S23" t="str">
        <f t="shared" si="8"/>
        <v/>
      </c>
      <c r="T23" t="str">
        <f t="shared" si="8"/>
        <v/>
      </c>
      <c r="U23" t="str">
        <f t="shared" si="8"/>
        <v/>
      </c>
      <c r="V23" t="str">
        <f t="shared" si="9"/>
        <v/>
      </c>
      <c r="W23" t="str">
        <f t="shared" si="9"/>
        <v/>
      </c>
      <c r="X23" t="str">
        <f t="shared" si="9"/>
        <v/>
      </c>
      <c r="Y23" t="str">
        <f t="shared" si="9"/>
        <v/>
      </c>
      <c r="Z23" t="str">
        <f t="shared" si="9"/>
        <v/>
      </c>
      <c r="AA23" t="str">
        <f t="shared" si="9"/>
        <v/>
      </c>
      <c r="AB23" t="str">
        <f t="shared" si="9"/>
        <v/>
      </c>
      <c r="AC23" t="str">
        <f t="shared" si="9"/>
        <v/>
      </c>
      <c r="AD23" t="str">
        <f t="shared" si="9"/>
        <v/>
      </c>
      <c r="AE23" t="str">
        <f t="shared" si="9"/>
        <v/>
      </c>
      <c r="AF23" t="str">
        <f t="shared" si="10"/>
        <v/>
      </c>
      <c r="AG23" t="str">
        <f t="shared" si="10"/>
        <v/>
      </c>
      <c r="AH23" t="str">
        <f t="shared" si="10"/>
        <v/>
      </c>
      <c r="AI23" t="str">
        <f t="shared" si="10"/>
        <v/>
      </c>
      <c r="AJ23" t="str">
        <f t="shared" si="10"/>
        <v/>
      </c>
      <c r="AK23" t="str">
        <f t="shared" si="10"/>
        <v/>
      </c>
      <c r="AL23" t="str">
        <f t="shared" si="10"/>
        <v/>
      </c>
      <c r="AM23" t="str">
        <f t="shared" si="10"/>
        <v/>
      </c>
      <c r="AN23" t="str">
        <f t="shared" si="10"/>
        <v/>
      </c>
      <c r="AO23" t="str">
        <f t="shared" si="10"/>
        <v/>
      </c>
      <c r="AP23" t="str">
        <f t="shared" si="11"/>
        <v/>
      </c>
      <c r="AQ23" t="str">
        <f t="shared" si="11"/>
        <v/>
      </c>
      <c r="AR23" t="str">
        <f t="shared" si="11"/>
        <v/>
      </c>
      <c r="AS23" t="str">
        <f t="shared" si="11"/>
        <v/>
      </c>
      <c r="AT23">
        <f t="shared" si="11"/>
        <v>1</v>
      </c>
      <c r="AU23">
        <f t="shared" si="11"/>
        <v>1</v>
      </c>
      <c r="AV23">
        <f t="shared" si="11"/>
        <v>1</v>
      </c>
      <c r="AW23">
        <f t="shared" si="11"/>
        <v>1</v>
      </c>
      <c r="AX23">
        <f t="shared" si="11"/>
        <v>1</v>
      </c>
      <c r="AY23">
        <f t="shared" si="11"/>
        <v>1</v>
      </c>
      <c r="AZ23">
        <f t="shared" si="12"/>
        <v>1</v>
      </c>
      <c r="BA23">
        <f t="shared" si="12"/>
        <v>1</v>
      </c>
      <c r="BB23">
        <f t="shared" si="12"/>
        <v>1</v>
      </c>
      <c r="BC23">
        <f t="shared" si="12"/>
        <v>1</v>
      </c>
      <c r="BD23">
        <f t="shared" si="12"/>
        <v>1</v>
      </c>
      <c r="BE23">
        <f t="shared" si="12"/>
        <v>1</v>
      </c>
      <c r="BF23">
        <f t="shared" si="12"/>
        <v>1</v>
      </c>
      <c r="BG23">
        <f t="shared" si="12"/>
        <v>1</v>
      </c>
      <c r="BH23">
        <f t="shared" si="12"/>
        <v>1</v>
      </c>
      <c r="BI23">
        <f t="shared" si="12"/>
        <v>1</v>
      </c>
      <c r="BJ23">
        <f t="shared" si="13"/>
        <v>1</v>
      </c>
      <c r="BK23">
        <f t="shared" si="13"/>
        <v>1</v>
      </c>
      <c r="BL23">
        <f t="shared" si="13"/>
        <v>1</v>
      </c>
      <c r="BM23">
        <f t="shared" si="13"/>
        <v>1</v>
      </c>
      <c r="BN23">
        <f t="shared" si="13"/>
        <v>1</v>
      </c>
      <c r="BO23">
        <f t="shared" si="13"/>
        <v>1</v>
      </c>
      <c r="BP23">
        <f t="shared" si="13"/>
        <v>1</v>
      </c>
      <c r="BQ23">
        <f t="shared" si="13"/>
        <v>1</v>
      </c>
      <c r="BR23">
        <f t="shared" si="13"/>
        <v>1</v>
      </c>
    </row>
    <row r="24" spans="1:70" ht="15" customHeight="1" x14ac:dyDescent="0.3">
      <c r="A24" t="s">
        <v>410</v>
      </c>
      <c r="B24">
        <v>20</v>
      </c>
      <c r="C24" t="s">
        <v>390</v>
      </c>
      <c r="D24">
        <v>1</v>
      </c>
      <c r="E24" s="62">
        <v>46139.291666666657</v>
      </c>
      <c r="F24" s="62">
        <v>46197.291666666657</v>
      </c>
      <c r="G24" t="s">
        <v>33</v>
      </c>
      <c r="H24" t="str">
        <f t="shared" si="0"/>
        <v>Jun-2026</v>
      </c>
      <c r="I24" t="s">
        <v>16</v>
      </c>
      <c r="J24" s="67">
        <f t="shared" si="1"/>
        <v>46227.291666666657</v>
      </c>
      <c r="K24" t="s">
        <v>392</v>
      </c>
      <c r="L24" t="str">
        <f t="shared" ref="L24:U33" si="14">IF(AND(L$3&gt;=$E24,L$3&lt;=$F24),1,"")</f>
        <v/>
      </c>
      <c r="M24" t="str">
        <f t="shared" si="14"/>
        <v/>
      </c>
      <c r="N24" t="str">
        <f t="shared" si="14"/>
        <v/>
      </c>
      <c r="O24" t="str">
        <f t="shared" si="14"/>
        <v/>
      </c>
      <c r="P24" t="str">
        <f t="shared" si="14"/>
        <v/>
      </c>
      <c r="Q24" t="str">
        <f t="shared" si="14"/>
        <v/>
      </c>
      <c r="R24" t="str">
        <f t="shared" si="14"/>
        <v/>
      </c>
      <c r="S24" t="str">
        <f t="shared" si="14"/>
        <v/>
      </c>
      <c r="T24" t="str">
        <f t="shared" si="14"/>
        <v/>
      </c>
      <c r="U24" t="str">
        <f t="shared" si="14"/>
        <v/>
      </c>
      <c r="V24" t="str">
        <f t="shared" ref="V24:AE33" si="15">IF(AND(V$3&gt;=$E24,V$3&lt;=$F24),1,"")</f>
        <v/>
      </c>
      <c r="W24" t="str">
        <f t="shared" si="15"/>
        <v/>
      </c>
      <c r="X24" t="str">
        <f t="shared" si="15"/>
        <v/>
      </c>
      <c r="Y24" t="str">
        <f t="shared" si="15"/>
        <v/>
      </c>
      <c r="Z24" t="str">
        <f t="shared" si="15"/>
        <v/>
      </c>
      <c r="AA24" t="str">
        <f t="shared" si="15"/>
        <v/>
      </c>
      <c r="AB24" t="str">
        <f t="shared" si="15"/>
        <v/>
      </c>
      <c r="AC24" t="str">
        <f t="shared" si="15"/>
        <v/>
      </c>
      <c r="AD24" t="str">
        <f t="shared" si="15"/>
        <v/>
      </c>
      <c r="AE24" t="str">
        <f t="shared" si="15"/>
        <v/>
      </c>
      <c r="AF24" t="str">
        <f t="shared" ref="AF24:AO33" si="16">IF(AND(AF$3&gt;=$E24,AF$3&lt;=$F24),1,"")</f>
        <v/>
      </c>
      <c r="AG24" t="str">
        <f t="shared" si="16"/>
        <v/>
      </c>
      <c r="AH24" t="str">
        <f t="shared" si="16"/>
        <v/>
      </c>
      <c r="AI24" t="str">
        <f t="shared" si="16"/>
        <v/>
      </c>
      <c r="AJ24" t="str">
        <f t="shared" si="16"/>
        <v/>
      </c>
      <c r="AK24" t="str">
        <f t="shared" si="16"/>
        <v/>
      </c>
      <c r="AL24">
        <f t="shared" si="16"/>
        <v>1</v>
      </c>
      <c r="AM24">
        <f t="shared" si="16"/>
        <v>1</v>
      </c>
      <c r="AN24">
        <f t="shared" si="16"/>
        <v>1</v>
      </c>
      <c r="AO24">
        <f t="shared" si="16"/>
        <v>1</v>
      </c>
      <c r="AP24">
        <f t="shared" ref="AP24:AY33" si="17">IF(AND(AP$3&gt;=$E24,AP$3&lt;=$F24),1,"")</f>
        <v>1</v>
      </c>
      <c r="AQ24">
        <f t="shared" si="17"/>
        <v>1</v>
      </c>
      <c r="AR24">
        <f t="shared" si="17"/>
        <v>1</v>
      </c>
      <c r="AS24">
        <f t="shared" si="17"/>
        <v>1</v>
      </c>
      <c r="AT24">
        <f t="shared" si="17"/>
        <v>1</v>
      </c>
      <c r="AU24">
        <f t="shared" si="17"/>
        <v>1</v>
      </c>
      <c r="AV24">
        <f t="shared" si="17"/>
        <v>1</v>
      </c>
      <c r="AW24">
        <f t="shared" si="17"/>
        <v>1</v>
      </c>
      <c r="AX24">
        <f t="shared" si="17"/>
        <v>1</v>
      </c>
      <c r="AY24">
        <f t="shared" si="17"/>
        <v>1</v>
      </c>
      <c r="AZ24">
        <f t="shared" ref="AZ24:BI33" si="18">IF(AND(AZ$3&gt;=$E24,AZ$3&lt;=$F24),1,"")</f>
        <v>1</v>
      </c>
      <c r="BA24">
        <f t="shared" si="18"/>
        <v>1</v>
      </c>
      <c r="BB24">
        <f t="shared" si="18"/>
        <v>1</v>
      </c>
      <c r="BC24">
        <f t="shared" si="18"/>
        <v>1</v>
      </c>
      <c r="BD24">
        <f t="shared" si="18"/>
        <v>1</v>
      </c>
      <c r="BE24">
        <f t="shared" si="18"/>
        <v>1</v>
      </c>
      <c r="BF24">
        <f t="shared" si="18"/>
        <v>1</v>
      </c>
      <c r="BG24">
        <f t="shared" si="18"/>
        <v>1</v>
      </c>
      <c r="BH24">
        <f t="shared" si="18"/>
        <v>1</v>
      </c>
      <c r="BI24">
        <f t="shared" si="18"/>
        <v>1</v>
      </c>
      <c r="BJ24">
        <f t="shared" ref="BJ24:BR33" si="19">IF(AND(BJ$3&gt;=$E24,BJ$3&lt;=$F24),1,"")</f>
        <v>1</v>
      </c>
      <c r="BK24">
        <f t="shared" si="19"/>
        <v>1</v>
      </c>
      <c r="BL24">
        <f t="shared" si="19"/>
        <v>1</v>
      </c>
      <c r="BM24">
        <f t="shared" si="19"/>
        <v>1</v>
      </c>
      <c r="BN24">
        <f t="shared" si="19"/>
        <v>1</v>
      </c>
      <c r="BO24">
        <f t="shared" si="19"/>
        <v>1</v>
      </c>
      <c r="BP24">
        <f t="shared" si="19"/>
        <v>1</v>
      </c>
      <c r="BQ24">
        <f t="shared" si="19"/>
        <v>1</v>
      </c>
      <c r="BR24">
        <f t="shared" si="19"/>
        <v>1</v>
      </c>
    </row>
    <row r="25" spans="1:70" ht="15" customHeight="1" x14ac:dyDescent="0.3">
      <c r="A25" t="s">
        <v>411</v>
      </c>
      <c r="B25">
        <v>34</v>
      </c>
      <c r="C25" t="s">
        <v>401</v>
      </c>
      <c r="D25">
        <v>4</v>
      </c>
      <c r="E25" s="62">
        <v>46202.291666666657</v>
      </c>
      <c r="F25" s="62">
        <v>46222.291666666657</v>
      </c>
      <c r="G25" t="s">
        <v>26</v>
      </c>
      <c r="H25" t="str">
        <f t="shared" si="0"/>
        <v>Jul-2026</v>
      </c>
      <c r="I25" t="s">
        <v>20</v>
      </c>
      <c r="J25" s="67">
        <f t="shared" si="1"/>
        <v>46252.291666666657</v>
      </c>
      <c r="K25" t="s">
        <v>17</v>
      </c>
      <c r="L25" t="str">
        <f t="shared" si="14"/>
        <v/>
      </c>
      <c r="M25" t="str">
        <f t="shared" si="14"/>
        <v/>
      </c>
      <c r="N25" t="str">
        <f t="shared" si="14"/>
        <v/>
      </c>
      <c r="O25" t="str">
        <f t="shared" si="14"/>
        <v/>
      </c>
      <c r="P25" t="str">
        <f t="shared" si="14"/>
        <v/>
      </c>
      <c r="Q25" t="str">
        <f t="shared" si="14"/>
        <v/>
      </c>
      <c r="R25" t="str">
        <f t="shared" si="14"/>
        <v/>
      </c>
      <c r="S25" t="str">
        <f t="shared" si="14"/>
        <v/>
      </c>
      <c r="T25" t="str">
        <f t="shared" si="14"/>
        <v/>
      </c>
      <c r="U25" t="str">
        <f t="shared" si="14"/>
        <v/>
      </c>
      <c r="V25" t="str">
        <f t="shared" si="15"/>
        <v/>
      </c>
      <c r="W25" t="str">
        <f t="shared" si="15"/>
        <v/>
      </c>
      <c r="X25" t="str">
        <f t="shared" si="15"/>
        <v/>
      </c>
      <c r="Y25" t="str">
        <f t="shared" si="15"/>
        <v/>
      </c>
      <c r="Z25" t="str">
        <f t="shared" si="15"/>
        <v/>
      </c>
      <c r="AA25" t="str">
        <f t="shared" si="15"/>
        <v/>
      </c>
      <c r="AB25" t="str">
        <f t="shared" si="15"/>
        <v/>
      </c>
      <c r="AC25" t="str">
        <f t="shared" si="15"/>
        <v/>
      </c>
      <c r="AD25" t="str">
        <f t="shared" si="15"/>
        <v/>
      </c>
      <c r="AE25" t="str">
        <f t="shared" si="15"/>
        <v/>
      </c>
      <c r="AF25" t="str">
        <f t="shared" si="16"/>
        <v/>
      </c>
      <c r="AG25" t="str">
        <f t="shared" si="16"/>
        <v/>
      </c>
      <c r="AH25" t="str">
        <f t="shared" si="16"/>
        <v/>
      </c>
      <c r="AI25" t="str">
        <f t="shared" si="16"/>
        <v/>
      </c>
      <c r="AJ25" t="str">
        <f t="shared" si="16"/>
        <v/>
      </c>
      <c r="AK25" t="str">
        <f t="shared" si="16"/>
        <v/>
      </c>
      <c r="AL25" t="str">
        <f t="shared" si="16"/>
        <v/>
      </c>
      <c r="AM25" t="str">
        <f t="shared" si="16"/>
        <v/>
      </c>
      <c r="AN25" t="str">
        <f t="shared" si="16"/>
        <v/>
      </c>
      <c r="AO25" t="str">
        <f t="shared" si="16"/>
        <v/>
      </c>
      <c r="AP25" t="str">
        <f t="shared" si="17"/>
        <v/>
      </c>
      <c r="AQ25" t="str">
        <f t="shared" si="17"/>
        <v/>
      </c>
      <c r="AR25" t="str">
        <f t="shared" si="17"/>
        <v/>
      </c>
      <c r="AS25" t="str">
        <f t="shared" si="17"/>
        <v/>
      </c>
      <c r="AT25" t="str">
        <f t="shared" si="17"/>
        <v/>
      </c>
      <c r="AU25" t="str">
        <f t="shared" si="17"/>
        <v/>
      </c>
      <c r="AV25" t="str">
        <f t="shared" si="17"/>
        <v/>
      </c>
      <c r="AW25" t="str">
        <f t="shared" si="17"/>
        <v/>
      </c>
      <c r="AX25" t="str">
        <f t="shared" si="17"/>
        <v/>
      </c>
      <c r="AY25" t="str">
        <f t="shared" si="17"/>
        <v/>
      </c>
      <c r="AZ25" t="str">
        <f t="shared" si="18"/>
        <v/>
      </c>
      <c r="BA25" t="str">
        <f t="shared" si="18"/>
        <v/>
      </c>
      <c r="BB25" t="str">
        <f t="shared" si="18"/>
        <v/>
      </c>
      <c r="BC25" t="str">
        <f t="shared" si="18"/>
        <v/>
      </c>
      <c r="BD25" t="str">
        <f t="shared" si="18"/>
        <v/>
      </c>
      <c r="BE25" t="str">
        <f t="shared" si="18"/>
        <v/>
      </c>
      <c r="BF25" t="str">
        <f t="shared" si="18"/>
        <v/>
      </c>
      <c r="BG25" t="str">
        <f t="shared" si="18"/>
        <v/>
      </c>
      <c r="BH25" t="str">
        <f t="shared" si="18"/>
        <v/>
      </c>
      <c r="BI25" t="str">
        <f t="shared" si="18"/>
        <v/>
      </c>
      <c r="BJ25" t="str">
        <f t="shared" si="19"/>
        <v/>
      </c>
      <c r="BK25" t="str">
        <f t="shared" si="19"/>
        <v/>
      </c>
      <c r="BL25" t="str">
        <f t="shared" si="19"/>
        <v/>
      </c>
      <c r="BM25" t="str">
        <f t="shared" si="19"/>
        <v/>
      </c>
      <c r="BN25" t="str">
        <f t="shared" si="19"/>
        <v/>
      </c>
      <c r="BO25" t="str">
        <f t="shared" si="19"/>
        <v/>
      </c>
      <c r="BP25" t="str">
        <f t="shared" si="19"/>
        <v/>
      </c>
      <c r="BQ25" t="str">
        <f t="shared" si="19"/>
        <v/>
      </c>
      <c r="BR25" t="str">
        <f t="shared" si="19"/>
        <v/>
      </c>
    </row>
    <row r="26" spans="1:70" ht="15" customHeight="1" x14ac:dyDescent="0.3">
      <c r="A26" t="s">
        <v>412</v>
      </c>
      <c r="B26">
        <v>42</v>
      </c>
      <c r="C26" t="s">
        <v>395</v>
      </c>
      <c r="D26">
        <v>1</v>
      </c>
      <c r="E26" s="62">
        <v>46136.291666666657</v>
      </c>
      <c r="F26" s="62">
        <v>46211.291666666657</v>
      </c>
      <c r="G26" t="s">
        <v>26</v>
      </c>
      <c r="H26" t="str">
        <f t="shared" si="0"/>
        <v>Jul-2026</v>
      </c>
      <c r="I26" t="s">
        <v>29</v>
      </c>
      <c r="J26" s="67">
        <f t="shared" si="1"/>
        <v>46241.291666666657</v>
      </c>
      <c r="K26" t="s">
        <v>27</v>
      </c>
      <c r="L26" t="str">
        <f t="shared" si="14"/>
        <v/>
      </c>
      <c r="M26" t="str">
        <f t="shared" si="14"/>
        <v/>
      </c>
      <c r="N26" t="str">
        <f t="shared" si="14"/>
        <v/>
      </c>
      <c r="O26" t="str">
        <f t="shared" si="14"/>
        <v/>
      </c>
      <c r="P26" t="str">
        <f t="shared" si="14"/>
        <v/>
      </c>
      <c r="Q26" t="str">
        <f t="shared" si="14"/>
        <v/>
      </c>
      <c r="R26" t="str">
        <f t="shared" si="14"/>
        <v/>
      </c>
      <c r="S26" t="str">
        <f t="shared" si="14"/>
        <v/>
      </c>
      <c r="T26" t="str">
        <f t="shared" si="14"/>
        <v/>
      </c>
      <c r="U26" t="str">
        <f t="shared" si="14"/>
        <v/>
      </c>
      <c r="V26" t="str">
        <f t="shared" si="15"/>
        <v/>
      </c>
      <c r="W26" t="str">
        <f t="shared" si="15"/>
        <v/>
      </c>
      <c r="X26" t="str">
        <f t="shared" si="15"/>
        <v/>
      </c>
      <c r="Y26" t="str">
        <f t="shared" si="15"/>
        <v/>
      </c>
      <c r="Z26" t="str">
        <f t="shared" si="15"/>
        <v/>
      </c>
      <c r="AA26" t="str">
        <f t="shared" si="15"/>
        <v/>
      </c>
      <c r="AB26" t="str">
        <f t="shared" si="15"/>
        <v/>
      </c>
      <c r="AC26" t="str">
        <f t="shared" si="15"/>
        <v/>
      </c>
      <c r="AD26" t="str">
        <f t="shared" si="15"/>
        <v/>
      </c>
      <c r="AE26" t="str">
        <f t="shared" si="15"/>
        <v/>
      </c>
      <c r="AF26" t="str">
        <f t="shared" si="16"/>
        <v/>
      </c>
      <c r="AG26" t="str">
        <f t="shared" si="16"/>
        <v/>
      </c>
      <c r="AH26" t="str">
        <f t="shared" si="16"/>
        <v/>
      </c>
      <c r="AI26">
        <f t="shared" si="16"/>
        <v>1</v>
      </c>
      <c r="AJ26">
        <f t="shared" si="16"/>
        <v>1</v>
      </c>
      <c r="AK26">
        <f t="shared" si="16"/>
        <v>1</v>
      </c>
      <c r="AL26">
        <f t="shared" si="16"/>
        <v>1</v>
      </c>
      <c r="AM26">
        <f t="shared" si="16"/>
        <v>1</v>
      </c>
      <c r="AN26">
        <f t="shared" si="16"/>
        <v>1</v>
      </c>
      <c r="AO26">
        <f t="shared" si="16"/>
        <v>1</v>
      </c>
      <c r="AP26">
        <f t="shared" si="17"/>
        <v>1</v>
      </c>
      <c r="AQ26">
        <f t="shared" si="17"/>
        <v>1</v>
      </c>
      <c r="AR26">
        <f t="shared" si="17"/>
        <v>1</v>
      </c>
      <c r="AS26">
        <f t="shared" si="17"/>
        <v>1</v>
      </c>
      <c r="AT26">
        <f t="shared" si="17"/>
        <v>1</v>
      </c>
      <c r="AU26">
        <f t="shared" si="17"/>
        <v>1</v>
      </c>
      <c r="AV26">
        <f t="shared" si="17"/>
        <v>1</v>
      </c>
      <c r="AW26">
        <f t="shared" si="17"/>
        <v>1</v>
      </c>
      <c r="AX26">
        <f t="shared" si="17"/>
        <v>1</v>
      </c>
      <c r="AY26">
        <f t="shared" si="17"/>
        <v>1</v>
      </c>
      <c r="AZ26">
        <f t="shared" si="18"/>
        <v>1</v>
      </c>
      <c r="BA26">
        <f t="shared" si="18"/>
        <v>1</v>
      </c>
      <c r="BB26">
        <f t="shared" si="18"/>
        <v>1</v>
      </c>
      <c r="BC26">
        <f t="shared" si="18"/>
        <v>1</v>
      </c>
      <c r="BD26">
        <f t="shared" si="18"/>
        <v>1</v>
      </c>
      <c r="BE26">
        <f t="shared" si="18"/>
        <v>1</v>
      </c>
      <c r="BF26">
        <f t="shared" si="18"/>
        <v>1</v>
      </c>
      <c r="BG26">
        <f t="shared" si="18"/>
        <v>1</v>
      </c>
      <c r="BH26">
        <f t="shared" si="18"/>
        <v>1</v>
      </c>
      <c r="BI26">
        <f t="shared" si="18"/>
        <v>1</v>
      </c>
      <c r="BJ26">
        <f t="shared" si="19"/>
        <v>1</v>
      </c>
      <c r="BK26">
        <f t="shared" si="19"/>
        <v>1</v>
      </c>
      <c r="BL26">
        <f t="shared" si="19"/>
        <v>1</v>
      </c>
      <c r="BM26">
        <f t="shared" si="19"/>
        <v>1</v>
      </c>
      <c r="BN26">
        <f t="shared" si="19"/>
        <v>1</v>
      </c>
      <c r="BO26">
        <f t="shared" si="19"/>
        <v>1</v>
      </c>
      <c r="BP26">
        <f t="shared" si="19"/>
        <v>1</v>
      </c>
      <c r="BQ26">
        <f t="shared" si="19"/>
        <v>1</v>
      </c>
      <c r="BR26">
        <f t="shared" si="19"/>
        <v>1</v>
      </c>
    </row>
    <row r="27" spans="1:70" ht="15" customHeight="1" x14ac:dyDescent="0.3">
      <c r="A27" t="s">
        <v>413</v>
      </c>
      <c r="B27">
        <v>20</v>
      </c>
      <c r="C27" t="s">
        <v>390</v>
      </c>
      <c r="D27">
        <v>1</v>
      </c>
      <c r="E27" s="62">
        <v>46167.291666666657</v>
      </c>
      <c r="F27" s="62">
        <v>46206.291666666657</v>
      </c>
      <c r="G27" t="s">
        <v>26</v>
      </c>
      <c r="H27" t="str">
        <f t="shared" si="0"/>
        <v>Jul-2026</v>
      </c>
      <c r="I27" t="s">
        <v>20</v>
      </c>
      <c r="J27" s="67">
        <f t="shared" si="1"/>
        <v>46236.291666666657</v>
      </c>
      <c r="K27" t="s">
        <v>17</v>
      </c>
      <c r="L27" t="str">
        <f t="shared" si="14"/>
        <v/>
      </c>
      <c r="M27" t="str">
        <f t="shared" si="14"/>
        <v/>
      </c>
      <c r="N27" t="str">
        <f t="shared" si="14"/>
        <v/>
      </c>
      <c r="O27" t="str">
        <f t="shared" si="14"/>
        <v/>
      </c>
      <c r="P27" t="str">
        <f t="shared" si="14"/>
        <v/>
      </c>
      <c r="Q27" t="str">
        <f t="shared" si="14"/>
        <v/>
      </c>
      <c r="R27" t="str">
        <f t="shared" si="14"/>
        <v/>
      </c>
      <c r="S27" t="str">
        <f t="shared" si="14"/>
        <v/>
      </c>
      <c r="T27" t="str">
        <f t="shared" si="14"/>
        <v/>
      </c>
      <c r="U27" t="str">
        <f t="shared" si="14"/>
        <v/>
      </c>
      <c r="V27" t="str">
        <f t="shared" si="15"/>
        <v/>
      </c>
      <c r="W27" t="str">
        <f t="shared" si="15"/>
        <v/>
      </c>
      <c r="X27" t="str">
        <f t="shared" si="15"/>
        <v/>
      </c>
      <c r="Y27" t="str">
        <f t="shared" si="15"/>
        <v/>
      </c>
      <c r="Z27" t="str">
        <f t="shared" si="15"/>
        <v/>
      </c>
      <c r="AA27" t="str">
        <f t="shared" si="15"/>
        <v/>
      </c>
      <c r="AB27" t="str">
        <f t="shared" si="15"/>
        <v/>
      </c>
      <c r="AC27" t="str">
        <f t="shared" si="15"/>
        <v/>
      </c>
      <c r="AD27" t="str">
        <f t="shared" si="15"/>
        <v/>
      </c>
      <c r="AE27" t="str">
        <f t="shared" si="15"/>
        <v/>
      </c>
      <c r="AF27" t="str">
        <f t="shared" si="16"/>
        <v/>
      </c>
      <c r="AG27" t="str">
        <f t="shared" si="16"/>
        <v/>
      </c>
      <c r="AH27" t="str">
        <f t="shared" si="16"/>
        <v/>
      </c>
      <c r="AI27" t="str">
        <f t="shared" si="16"/>
        <v/>
      </c>
      <c r="AJ27" t="str">
        <f t="shared" si="16"/>
        <v/>
      </c>
      <c r="AK27" t="str">
        <f t="shared" si="16"/>
        <v/>
      </c>
      <c r="AL27" t="str">
        <f t="shared" si="16"/>
        <v/>
      </c>
      <c r="AM27" t="str">
        <f t="shared" si="16"/>
        <v/>
      </c>
      <c r="AN27" t="str">
        <f t="shared" si="16"/>
        <v/>
      </c>
      <c r="AO27" t="str">
        <f t="shared" si="16"/>
        <v/>
      </c>
      <c r="AP27" t="str">
        <f t="shared" si="17"/>
        <v/>
      </c>
      <c r="AQ27" t="str">
        <f t="shared" si="17"/>
        <v/>
      </c>
      <c r="AR27" t="str">
        <f t="shared" si="17"/>
        <v/>
      </c>
      <c r="AS27" t="str">
        <f t="shared" si="17"/>
        <v/>
      </c>
      <c r="AT27" t="str">
        <f t="shared" si="17"/>
        <v/>
      </c>
      <c r="AU27" t="str">
        <f t="shared" si="17"/>
        <v/>
      </c>
      <c r="AV27" t="str">
        <f t="shared" si="17"/>
        <v/>
      </c>
      <c r="AW27" t="str">
        <f t="shared" si="17"/>
        <v/>
      </c>
      <c r="AX27" t="str">
        <f t="shared" si="17"/>
        <v/>
      </c>
      <c r="AY27" t="str">
        <f t="shared" si="17"/>
        <v/>
      </c>
      <c r="AZ27" t="str">
        <f t="shared" si="18"/>
        <v/>
      </c>
      <c r="BA27" t="str">
        <f t="shared" si="18"/>
        <v/>
      </c>
      <c r="BB27" t="str">
        <f t="shared" si="18"/>
        <v/>
      </c>
      <c r="BC27" t="str">
        <f t="shared" si="18"/>
        <v/>
      </c>
      <c r="BD27" t="str">
        <f t="shared" si="18"/>
        <v/>
      </c>
      <c r="BE27" t="str">
        <f t="shared" si="18"/>
        <v/>
      </c>
      <c r="BF27" t="str">
        <f t="shared" si="18"/>
        <v/>
      </c>
      <c r="BG27" t="str">
        <f t="shared" si="18"/>
        <v/>
      </c>
      <c r="BH27" t="str">
        <f t="shared" si="18"/>
        <v/>
      </c>
      <c r="BI27" t="str">
        <f t="shared" si="18"/>
        <v/>
      </c>
      <c r="BJ27" t="str">
        <f t="shared" si="19"/>
        <v/>
      </c>
      <c r="BK27" t="str">
        <f t="shared" si="19"/>
        <v/>
      </c>
      <c r="BL27" t="str">
        <f t="shared" si="19"/>
        <v/>
      </c>
      <c r="BM27" t="str">
        <f t="shared" si="19"/>
        <v/>
      </c>
      <c r="BN27">
        <f t="shared" si="19"/>
        <v>1</v>
      </c>
      <c r="BO27">
        <f t="shared" si="19"/>
        <v>1</v>
      </c>
      <c r="BP27">
        <f t="shared" si="19"/>
        <v>1</v>
      </c>
      <c r="BQ27">
        <f t="shared" si="19"/>
        <v>1</v>
      </c>
      <c r="BR27">
        <f t="shared" si="19"/>
        <v>1</v>
      </c>
    </row>
    <row r="28" spans="1:70" ht="15" customHeight="1" x14ac:dyDescent="0.3">
      <c r="A28" t="s">
        <v>414</v>
      </c>
      <c r="B28">
        <v>25</v>
      </c>
      <c r="C28" t="s">
        <v>388</v>
      </c>
      <c r="D28">
        <v>2</v>
      </c>
      <c r="E28" s="62">
        <v>46204.291666666657</v>
      </c>
      <c r="F28" s="62">
        <v>46246.291666666657</v>
      </c>
      <c r="G28" t="s">
        <v>33</v>
      </c>
      <c r="H28" t="str">
        <f t="shared" si="0"/>
        <v>Aug-2026</v>
      </c>
      <c r="I28" t="s">
        <v>29</v>
      </c>
      <c r="J28" s="67">
        <f t="shared" si="1"/>
        <v>46276.291666666657</v>
      </c>
      <c r="K28" t="s">
        <v>17</v>
      </c>
      <c r="L28" t="str">
        <f t="shared" si="14"/>
        <v/>
      </c>
      <c r="M28" t="str">
        <f t="shared" si="14"/>
        <v/>
      </c>
      <c r="N28" t="str">
        <f t="shared" si="14"/>
        <v/>
      </c>
      <c r="O28" t="str">
        <f t="shared" si="14"/>
        <v/>
      </c>
      <c r="P28" t="str">
        <f t="shared" si="14"/>
        <v/>
      </c>
      <c r="Q28" t="str">
        <f t="shared" si="14"/>
        <v/>
      </c>
      <c r="R28" t="str">
        <f t="shared" si="14"/>
        <v/>
      </c>
      <c r="S28" t="str">
        <f t="shared" si="14"/>
        <v/>
      </c>
      <c r="T28" t="str">
        <f t="shared" si="14"/>
        <v/>
      </c>
      <c r="U28" t="str">
        <f t="shared" si="14"/>
        <v/>
      </c>
      <c r="V28" t="str">
        <f t="shared" si="15"/>
        <v/>
      </c>
      <c r="W28" t="str">
        <f t="shared" si="15"/>
        <v/>
      </c>
      <c r="X28" t="str">
        <f t="shared" si="15"/>
        <v/>
      </c>
      <c r="Y28" t="str">
        <f t="shared" si="15"/>
        <v/>
      </c>
      <c r="Z28" t="str">
        <f t="shared" si="15"/>
        <v/>
      </c>
      <c r="AA28" t="str">
        <f t="shared" si="15"/>
        <v/>
      </c>
      <c r="AB28" t="str">
        <f t="shared" si="15"/>
        <v/>
      </c>
      <c r="AC28" t="str">
        <f t="shared" si="15"/>
        <v/>
      </c>
      <c r="AD28" t="str">
        <f t="shared" si="15"/>
        <v/>
      </c>
      <c r="AE28" t="str">
        <f t="shared" si="15"/>
        <v/>
      </c>
      <c r="AF28" t="str">
        <f t="shared" si="16"/>
        <v/>
      </c>
      <c r="AG28" t="str">
        <f t="shared" si="16"/>
        <v/>
      </c>
      <c r="AH28" t="str">
        <f t="shared" si="16"/>
        <v/>
      </c>
      <c r="AI28" t="str">
        <f t="shared" si="16"/>
        <v/>
      </c>
      <c r="AJ28" t="str">
        <f t="shared" si="16"/>
        <v/>
      </c>
      <c r="AK28" t="str">
        <f t="shared" si="16"/>
        <v/>
      </c>
      <c r="AL28" t="str">
        <f t="shared" si="16"/>
        <v/>
      </c>
      <c r="AM28" t="str">
        <f t="shared" si="16"/>
        <v/>
      </c>
      <c r="AN28" t="str">
        <f t="shared" si="16"/>
        <v/>
      </c>
      <c r="AO28" t="str">
        <f t="shared" si="16"/>
        <v/>
      </c>
      <c r="AP28" t="str">
        <f t="shared" si="17"/>
        <v/>
      </c>
      <c r="AQ28" t="str">
        <f t="shared" si="17"/>
        <v/>
      </c>
      <c r="AR28" t="str">
        <f t="shared" si="17"/>
        <v/>
      </c>
      <c r="AS28" t="str">
        <f t="shared" si="17"/>
        <v/>
      </c>
      <c r="AT28" t="str">
        <f t="shared" si="17"/>
        <v/>
      </c>
      <c r="AU28" t="str">
        <f t="shared" si="17"/>
        <v/>
      </c>
      <c r="AV28" t="str">
        <f t="shared" si="17"/>
        <v/>
      </c>
      <c r="AW28" t="str">
        <f t="shared" si="17"/>
        <v/>
      </c>
      <c r="AX28" t="str">
        <f t="shared" si="17"/>
        <v/>
      </c>
      <c r="AY28" t="str">
        <f t="shared" si="17"/>
        <v/>
      </c>
      <c r="AZ28" t="str">
        <f t="shared" si="18"/>
        <v/>
      </c>
      <c r="BA28" t="str">
        <f t="shared" si="18"/>
        <v/>
      </c>
      <c r="BB28" t="str">
        <f t="shared" si="18"/>
        <v/>
      </c>
      <c r="BC28" t="str">
        <f t="shared" si="18"/>
        <v/>
      </c>
      <c r="BD28" t="str">
        <f t="shared" si="18"/>
        <v/>
      </c>
      <c r="BE28" t="str">
        <f t="shared" si="18"/>
        <v/>
      </c>
      <c r="BF28" t="str">
        <f t="shared" si="18"/>
        <v/>
      </c>
      <c r="BG28" t="str">
        <f t="shared" si="18"/>
        <v/>
      </c>
      <c r="BH28" t="str">
        <f t="shared" si="18"/>
        <v/>
      </c>
      <c r="BI28" t="str">
        <f t="shared" si="18"/>
        <v/>
      </c>
      <c r="BJ28" t="str">
        <f t="shared" si="19"/>
        <v/>
      </c>
      <c r="BK28" t="str">
        <f t="shared" si="19"/>
        <v/>
      </c>
      <c r="BL28" t="str">
        <f t="shared" si="19"/>
        <v/>
      </c>
      <c r="BM28" t="str">
        <f t="shared" si="19"/>
        <v/>
      </c>
      <c r="BN28" t="str">
        <f t="shared" si="19"/>
        <v/>
      </c>
      <c r="BO28" t="str">
        <f t="shared" si="19"/>
        <v/>
      </c>
      <c r="BP28" t="str">
        <f t="shared" si="19"/>
        <v/>
      </c>
      <c r="BQ28" t="str">
        <f t="shared" si="19"/>
        <v/>
      </c>
      <c r="BR28" t="str">
        <f t="shared" si="19"/>
        <v/>
      </c>
    </row>
    <row r="29" spans="1:70" ht="15" customHeight="1" x14ac:dyDescent="0.3">
      <c r="A29" t="s">
        <v>415</v>
      </c>
      <c r="B29">
        <v>34</v>
      </c>
      <c r="C29" t="s">
        <v>388</v>
      </c>
      <c r="D29">
        <v>2</v>
      </c>
      <c r="E29" s="62">
        <v>46211.291666666657</v>
      </c>
      <c r="F29" s="62">
        <v>46251.291666666657</v>
      </c>
      <c r="G29" t="s">
        <v>26</v>
      </c>
      <c r="H29" t="str">
        <f t="shared" si="0"/>
        <v>Aug-2026</v>
      </c>
      <c r="I29" t="s">
        <v>20</v>
      </c>
      <c r="J29" s="67">
        <f t="shared" si="1"/>
        <v>46281.291666666657</v>
      </c>
      <c r="K29" t="s">
        <v>392</v>
      </c>
      <c r="L29" t="str">
        <f t="shared" si="14"/>
        <v/>
      </c>
      <c r="M29" t="str">
        <f t="shared" si="14"/>
        <v/>
      </c>
      <c r="N29" t="str">
        <f t="shared" si="14"/>
        <v/>
      </c>
      <c r="O29" t="str">
        <f t="shared" si="14"/>
        <v/>
      </c>
      <c r="P29" t="str">
        <f t="shared" si="14"/>
        <v/>
      </c>
      <c r="Q29" t="str">
        <f t="shared" si="14"/>
        <v/>
      </c>
      <c r="R29" t="str">
        <f t="shared" si="14"/>
        <v/>
      </c>
      <c r="S29" t="str">
        <f t="shared" si="14"/>
        <v/>
      </c>
      <c r="T29" t="str">
        <f t="shared" si="14"/>
        <v/>
      </c>
      <c r="U29" t="str">
        <f t="shared" si="14"/>
        <v/>
      </c>
      <c r="V29" t="str">
        <f t="shared" si="15"/>
        <v/>
      </c>
      <c r="W29" t="str">
        <f t="shared" si="15"/>
        <v/>
      </c>
      <c r="X29" t="str">
        <f t="shared" si="15"/>
        <v/>
      </c>
      <c r="Y29" t="str">
        <f t="shared" si="15"/>
        <v/>
      </c>
      <c r="Z29" t="str">
        <f t="shared" si="15"/>
        <v/>
      </c>
      <c r="AA29" t="str">
        <f t="shared" si="15"/>
        <v/>
      </c>
      <c r="AB29" t="str">
        <f t="shared" si="15"/>
        <v/>
      </c>
      <c r="AC29" t="str">
        <f t="shared" si="15"/>
        <v/>
      </c>
      <c r="AD29" t="str">
        <f t="shared" si="15"/>
        <v/>
      </c>
      <c r="AE29" t="str">
        <f t="shared" si="15"/>
        <v/>
      </c>
      <c r="AF29" t="str">
        <f t="shared" si="16"/>
        <v/>
      </c>
      <c r="AG29" t="str">
        <f t="shared" si="16"/>
        <v/>
      </c>
      <c r="AH29" t="str">
        <f t="shared" si="16"/>
        <v/>
      </c>
      <c r="AI29" t="str">
        <f t="shared" si="16"/>
        <v/>
      </c>
      <c r="AJ29" t="str">
        <f t="shared" si="16"/>
        <v/>
      </c>
      <c r="AK29" t="str">
        <f t="shared" si="16"/>
        <v/>
      </c>
      <c r="AL29" t="str">
        <f t="shared" si="16"/>
        <v/>
      </c>
      <c r="AM29" t="str">
        <f t="shared" si="16"/>
        <v/>
      </c>
      <c r="AN29" t="str">
        <f t="shared" si="16"/>
        <v/>
      </c>
      <c r="AO29" t="str">
        <f t="shared" si="16"/>
        <v/>
      </c>
      <c r="AP29" t="str">
        <f t="shared" si="17"/>
        <v/>
      </c>
      <c r="AQ29" t="str">
        <f t="shared" si="17"/>
        <v/>
      </c>
      <c r="AR29" t="str">
        <f t="shared" si="17"/>
        <v/>
      </c>
      <c r="AS29" t="str">
        <f t="shared" si="17"/>
        <v/>
      </c>
      <c r="AT29" t="str">
        <f t="shared" si="17"/>
        <v/>
      </c>
      <c r="AU29" t="str">
        <f t="shared" si="17"/>
        <v/>
      </c>
      <c r="AV29" t="str">
        <f t="shared" si="17"/>
        <v/>
      </c>
      <c r="AW29" t="str">
        <f t="shared" si="17"/>
        <v/>
      </c>
      <c r="AX29" t="str">
        <f t="shared" si="17"/>
        <v/>
      </c>
      <c r="AY29" t="str">
        <f t="shared" si="17"/>
        <v/>
      </c>
      <c r="AZ29" t="str">
        <f t="shared" si="18"/>
        <v/>
      </c>
      <c r="BA29" t="str">
        <f t="shared" si="18"/>
        <v/>
      </c>
      <c r="BB29" t="str">
        <f t="shared" si="18"/>
        <v/>
      </c>
      <c r="BC29" t="str">
        <f t="shared" si="18"/>
        <v/>
      </c>
      <c r="BD29" t="str">
        <f t="shared" si="18"/>
        <v/>
      </c>
      <c r="BE29" t="str">
        <f t="shared" si="18"/>
        <v/>
      </c>
      <c r="BF29" t="str">
        <f t="shared" si="18"/>
        <v/>
      </c>
      <c r="BG29" t="str">
        <f t="shared" si="18"/>
        <v/>
      </c>
      <c r="BH29" t="str">
        <f t="shared" si="18"/>
        <v/>
      </c>
      <c r="BI29" t="str">
        <f t="shared" si="18"/>
        <v/>
      </c>
      <c r="BJ29" t="str">
        <f t="shared" si="19"/>
        <v/>
      </c>
      <c r="BK29" t="str">
        <f t="shared" si="19"/>
        <v/>
      </c>
      <c r="BL29" t="str">
        <f t="shared" si="19"/>
        <v/>
      </c>
      <c r="BM29" t="str">
        <f t="shared" si="19"/>
        <v/>
      </c>
      <c r="BN29" t="str">
        <f t="shared" si="19"/>
        <v/>
      </c>
      <c r="BO29" t="str">
        <f t="shared" si="19"/>
        <v/>
      </c>
      <c r="BP29" t="str">
        <f t="shared" si="19"/>
        <v/>
      </c>
      <c r="BQ29" t="str">
        <f t="shared" si="19"/>
        <v/>
      </c>
      <c r="BR29" t="str">
        <f t="shared" si="19"/>
        <v/>
      </c>
    </row>
    <row r="30" spans="1:70" ht="15" customHeight="1" x14ac:dyDescent="0.3">
      <c r="A30" t="s">
        <v>416</v>
      </c>
      <c r="B30">
        <v>57</v>
      </c>
      <c r="C30" t="s">
        <v>386</v>
      </c>
      <c r="D30">
        <v>3</v>
      </c>
      <c r="E30" s="62">
        <v>46147.291666666657</v>
      </c>
      <c r="F30" s="62">
        <v>46172.291666666657</v>
      </c>
      <c r="G30" t="s">
        <v>33</v>
      </c>
      <c r="H30" t="str">
        <f t="shared" si="0"/>
        <v>May-2026</v>
      </c>
      <c r="I30" t="s">
        <v>20</v>
      </c>
      <c r="J30" s="67">
        <f t="shared" si="1"/>
        <v>46202.291666666657</v>
      </c>
      <c r="K30" t="s">
        <v>31</v>
      </c>
      <c r="L30" t="str">
        <f t="shared" si="14"/>
        <v/>
      </c>
      <c r="M30" t="str">
        <f t="shared" si="14"/>
        <v/>
      </c>
      <c r="N30" t="str">
        <f t="shared" si="14"/>
        <v/>
      </c>
      <c r="O30" t="str">
        <f t="shared" si="14"/>
        <v/>
      </c>
      <c r="P30" t="str">
        <f t="shared" si="14"/>
        <v/>
      </c>
      <c r="Q30" t="str">
        <f t="shared" si="14"/>
        <v/>
      </c>
      <c r="R30" t="str">
        <f t="shared" si="14"/>
        <v/>
      </c>
      <c r="S30" t="str">
        <f t="shared" si="14"/>
        <v/>
      </c>
      <c r="T30" t="str">
        <f t="shared" si="14"/>
        <v/>
      </c>
      <c r="U30" t="str">
        <f t="shared" si="14"/>
        <v/>
      </c>
      <c r="V30" t="str">
        <f t="shared" si="15"/>
        <v/>
      </c>
      <c r="W30" t="str">
        <f t="shared" si="15"/>
        <v/>
      </c>
      <c r="X30" t="str">
        <f t="shared" si="15"/>
        <v/>
      </c>
      <c r="Y30" t="str">
        <f t="shared" si="15"/>
        <v/>
      </c>
      <c r="Z30" t="str">
        <f t="shared" si="15"/>
        <v/>
      </c>
      <c r="AA30" t="str">
        <f t="shared" si="15"/>
        <v/>
      </c>
      <c r="AB30" t="str">
        <f t="shared" si="15"/>
        <v/>
      </c>
      <c r="AC30" t="str">
        <f t="shared" si="15"/>
        <v/>
      </c>
      <c r="AD30" t="str">
        <f t="shared" si="15"/>
        <v/>
      </c>
      <c r="AE30" t="str">
        <f t="shared" si="15"/>
        <v/>
      </c>
      <c r="AF30" t="str">
        <f t="shared" si="16"/>
        <v/>
      </c>
      <c r="AG30" t="str">
        <f t="shared" si="16"/>
        <v/>
      </c>
      <c r="AH30" t="str">
        <f t="shared" si="16"/>
        <v/>
      </c>
      <c r="AI30" t="str">
        <f t="shared" si="16"/>
        <v/>
      </c>
      <c r="AJ30" t="str">
        <f t="shared" si="16"/>
        <v/>
      </c>
      <c r="AK30" t="str">
        <f t="shared" si="16"/>
        <v/>
      </c>
      <c r="AL30" t="str">
        <f t="shared" si="16"/>
        <v/>
      </c>
      <c r="AM30" t="str">
        <f t="shared" si="16"/>
        <v/>
      </c>
      <c r="AN30" t="str">
        <f t="shared" si="16"/>
        <v/>
      </c>
      <c r="AO30" t="str">
        <f t="shared" si="16"/>
        <v/>
      </c>
      <c r="AP30" t="str">
        <f t="shared" si="17"/>
        <v/>
      </c>
      <c r="AQ30" t="str">
        <f t="shared" si="17"/>
        <v/>
      </c>
      <c r="AR30" t="str">
        <f t="shared" si="17"/>
        <v/>
      </c>
      <c r="AS30" t="str">
        <f t="shared" si="17"/>
        <v/>
      </c>
      <c r="AT30">
        <f t="shared" si="17"/>
        <v>1</v>
      </c>
      <c r="AU30">
        <f t="shared" si="17"/>
        <v>1</v>
      </c>
      <c r="AV30">
        <f t="shared" si="17"/>
        <v>1</v>
      </c>
      <c r="AW30">
        <f t="shared" si="17"/>
        <v>1</v>
      </c>
      <c r="AX30">
        <f t="shared" si="17"/>
        <v>1</v>
      </c>
      <c r="AY30">
        <f t="shared" si="17"/>
        <v>1</v>
      </c>
      <c r="AZ30">
        <f t="shared" si="18"/>
        <v>1</v>
      </c>
      <c r="BA30">
        <f t="shared" si="18"/>
        <v>1</v>
      </c>
      <c r="BB30">
        <f t="shared" si="18"/>
        <v>1</v>
      </c>
      <c r="BC30">
        <f t="shared" si="18"/>
        <v>1</v>
      </c>
      <c r="BD30">
        <f t="shared" si="18"/>
        <v>1</v>
      </c>
      <c r="BE30">
        <f t="shared" si="18"/>
        <v>1</v>
      </c>
      <c r="BF30">
        <f t="shared" si="18"/>
        <v>1</v>
      </c>
      <c r="BG30">
        <f t="shared" si="18"/>
        <v>1</v>
      </c>
      <c r="BH30">
        <f t="shared" si="18"/>
        <v>1</v>
      </c>
      <c r="BI30">
        <f t="shared" si="18"/>
        <v>1</v>
      </c>
      <c r="BJ30">
        <f t="shared" si="19"/>
        <v>1</v>
      </c>
      <c r="BK30">
        <f t="shared" si="19"/>
        <v>1</v>
      </c>
      <c r="BL30">
        <f t="shared" si="19"/>
        <v>1</v>
      </c>
      <c r="BM30">
        <f t="shared" si="19"/>
        <v>1</v>
      </c>
      <c r="BN30">
        <f t="shared" si="19"/>
        <v>1</v>
      </c>
      <c r="BO30">
        <f t="shared" si="19"/>
        <v>1</v>
      </c>
      <c r="BP30">
        <f t="shared" si="19"/>
        <v>1</v>
      </c>
      <c r="BQ30">
        <f t="shared" si="19"/>
        <v>1</v>
      </c>
      <c r="BR30">
        <f t="shared" si="19"/>
        <v>1</v>
      </c>
    </row>
    <row r="31" spans="1:70" ht="15" customHeight="1" x14ac:dyDescent="0.3">
      <c r="A31" t="s">
        <v>417</v>
      </c>
      <c r="B31">
        <v>30</v>
      </c>
      <c r="C31" t="s">
        <v>398</v>
      </c>
      <c r="D31">
        <v>2</v>
      </c>
      <c r="E31" s="62">
        <v>46224.291666666657</v>
      </c>
      <c r="F31" s="62">
        <v>46279.291666666657</v>
      </c>
      <c r="G31" t="s">
        <v>15</v>
      </c>
      <c r="H31" t="str">
        <f t="shared" si="0"/>
        <v>Sep-2026</v>
      </c>
      <c r="I31" t="s">
        <v>29</v>
      </c>
      <c r="J31" s="67">
        <f t="shared" si="1"/>
        <v>46309.291666666657</v>
      </c>
      <c r="K31" t="s">
        <v>31</v>
      </c>
      <c r="L31" t="str">
        <f t="shared" si="14"/>
        <v/>
      </c>
      <c r="M31" t="str">
        <f t="shared" si="14"/>
        <v/>
      </c>
      <c r="N31" t="str">
        <f t="shared" si="14"/>
        <v/>
      </c>
      <c r="O31" t="str">
        <f t="shared" si="14"/>
        <v/>
      </c>
      <c r="P31" t="str">
        <f t="shared" si="14"/>
        <v/>
      </c>
      <c r="Q31" t="str">
        <f t="shared" si="14"/>
        <v/>
      </c>
      <c r="R31" t="str">
        <f t="shared" si="14"/>
        <v/>
      </c>
      <c r="S31" t="str">
        <f t="shared" si="14"/>
        <v/>
      </c>
      <c r="T31" t="str">
        <f t="shared" si="14"/>
        <v/>
      </c>
      <c r="U31" t="str">
        <f t="shared" si="14"/>
        <v/>
      </c>
      <c r="V31" t="str">
        <f t="shared" si="15"/>
        <v/>
      </c>
      <c r="W31" t="str">
        <f t="shared" si="15"/>
        <v/>
      </c>
      <c r="X31" t="str">
        <f t="shared" si="15"/>
        <v/>
      </c>
      <c r="Y31" t="str">
        <f t="shared" si="15"/>
        <v/>
      </c>
      <c r="Z31" t="str">
        <f t="shared" si="15"/>
        <v/>
      </c>
      <c r="AA31" t="str">
        <f t="shared" si="15"/>
        <v/>
      </c>
      <c r="AB31" t="str">
        <f t="shared" si="15"/>
        <v/>
      </c>
      <c r="AC31" t="str">
        <f t="shared" si="15"/>
        <v/>
      </c>
      <c r="AD31" t="str">
        <f t="shared" si="15"/>
        <v/>
      </c>
      <c r="AE31" t="str">
        <f t="shared" si="15"/>
        <v/>
      </c>
      <c r="AF31" t="str">
        <f t="shared" si="16"/>
        <v/>
      </c>
      <c r="AG31" t="str">
        <f t="shared" si="16"/>
        <v/>
      </c>
      <c r="AH31" t="str">
        <f t="shared" si="16"/>
        <v/>
      </c>
      <c r="AI31" t="str">
        <f t="shared" si="16"/>
        <v/>
      </c>
      <c r="AJ31" t="str">
        <f t="shared" si="16"/>
        <v/>
      </c>
      <c r="AK31" t="str">
        <f t="shared" si="16"/>
        <v/>
      </c>
      <c r="AL31" t="str">
        <f t="shared" si="16"/>
        <v/>
      </c>
      <c r="AM31" t="str">
        <f t="shared" si="16"/>
        <v/>
      </c>
      <c r="AN31" t="str">
        <f t="shared" si="16"/>
        <v/>
      </c>
      <c r="AO31" t="str">
        <f t="shared" si="16"/>
        <v/>
      </c>
      <c r="AP31" t="str">
        <f t="shared" si="17"/>
        <v/>
      </c>
      <c r="AQ31" t="str">
        <f t="shared" si="17"/>
        <v/>
      </c>
      <c r="AR31" t="str">
        <f t="shared" si="17"/>
        <v/>
      </c>
      <c r="AS31" t="str">
        <f t="shared" si="17"/>
        <v/>
      </c>
      <c r="AT31" t="str">
        <f t="shared" si="17"/>
        <v/>
      </c>
      <c r="AU31" t="str">
        <f t="shared" si="17"/>
        <v/>
      </c>
      <c r="AV31" t="str">
        <f t="shared" si="17"/>
        <v/>
      </c>
      <c r="AW31" t="str">
        <f t="shared" si="17"/>
        <v/>
      </c>
      <c r="AX31" t="str">
        <f t="shared" si="17"/>
        <v/>
      </c>
      <c r="AY31" t="str">
        <f t="shared" si="17"/>
        <v/>
      </c>
      <c r="AZ31" t="str">
        <f t="shared" si="18"/>
        <v/>
      </c>
      <c r="BA31" t="str">
        <f t="shared" si="18"/>
        <v/>
      </c>
      <c r="BB31" t="str">
        <f t="shared" si="18"/>
        <v/>
      </c>
      <c r="BC31" t="str">
        <f t="shared" si="18"/>
        <v/>
      </c>
      <c r="BD31" t="str">
        <f t="shared" si="18"/>
        <v/>
      </c>
      <c r="BE31" t="str">
        <f t="shared" si="18"/>
        <v/>
      </c>
      <c r="BF31" t="str">
        <f t="shared" si="18"/>
        <v/>
      </c>
      <c r="BG31" t="str">
        <f t="shared" si="18"/>
        <v/>
      </c>
      <c r="BH31" t="str">
        <f t="shared" si="18"/>
        <v/>
      </c>
      <c r="BI31" t="str">
        <f t="shared" si="18"/>
        <v/>
      </c>
      <c r="BJ31" t="str">
        <f t="shared" si="19"/>
        <v/>
      </c>
      <c r="BK31" t="str">
        <f t="shared" si="19"/>
        <v/>
      </c>
      <c r="BL31" t="str">
        <f t="shared" si="19"/>
        <v/>
      </c>
      <c r="BM31" t="str">
        <f t="shared" si="19"/>
        <v/>
      </c>
      <c r="BN31" t="str">
        <f t="shared" si="19"/>
        <v/>
      </c>
      <c r="BO31" t="str">
        <f t="shared" si="19"/>
        <v/>
      </c>
      <c r="BP31" t="str">
        <f t="shared" si="19"/>
        <v/>
      </c>
      <c r="BQ31" t="str">
        <f t="shared" si="19"/>
        <v/>
      </c>
      <c r="BR31" t="str">
        <f t="shared" si="19"/>
        <v/>
      </c>
    </row>
    <row r="32" spans="1:70" ht="15" customHeight="1" x14ac:dyDescent="0.3">
      <c r="A32" t="s">
        <v>418</v>
      </c>
      <c r="B32">
        <v>15</v>
      </c>
      <c r="C32" t="s">
        <v>395</v>
      </c>
      <c r="D32">
        <v>1</v>
      </c>
      <c r="E32" s="62">
        <v>46116.291666666657</v>
      </c>
      <c r="F32" s="62">
        <v>46141.291666666657</v>
      </c>
      <c r="G32" t="s">
        <v>33</v>
      </c>
      <c r="H32" t="str">
        <f t="shared" si="0"/>
        <v>Apr-2026</v>
      </c>
      <c r="I32" t="s">
        <v>20</v>
      </c>
      <c r="J32" s="67">
        <f t="shared" si="1"/>
        <v>46171.291666666657</v>
      </c>
      <c r="K32" t="s">
        <v>21</v>
      </c>
      <c r="L32" t="str">
        <f t="shared" si="14"/>
        <v/>
      </c>
      <c r="M32" t="str">
        <f t="shared" si="14"/>
        <v/>
      </c>
      <c r="N32" t="str">
        <f t="shared" si="14"/>
        <v/>
      </c>
      <c r="O32" t="str">
        <f t="shared" si="14"/>
        <v/>
      </c>
      <c r="P32">
        <f t="shared" si="14"/>
        <v>1</v>
      </c>
      <c r="Q32">
        <f t="shared" si="14"/>
        <v>1</v>
      </c>
      <c r="R32">
        <f t="shared" si="14"/>
        <v>1</v>
      </c>
      <c r="S32">
        <f t="shared" si="14"/>
        <v>1</v>
      </c>
      <c r="T32">
        <f t="shared" si="14"/>
        <v>1</v>
      </c>
      <c r="U32">
        <f t="shared" si="14"/>
        <v>1</v>
      </c>
      <c r="V32">
        <f t="shared" si="15"/>
        <v>1</v>
      </c>
      <c r="W32">
        <f t="shared" si="15"/>
        <v>1</v>
      </c>
      <c r="X32">
        <f t="shared" si="15"/>
        <v>1</v>
      </c>
      <c r="Y32">
        <f t="shared" si="15"/>
        <v>1</v>
      </c>
      <c r="Z32">
        <f t="shared" si="15"/>
        <v>1</v>
      </c>
      <c r="AA32">
        <f t="shared" si="15"/>
        <v>1</v>
      </c>
      <c r="AB32">
        <f t="shared" si="15"/>
        <v>1</v>
      </c>
      <c r="AC32">
        <f t="shared" si="15"/>
        <v>1</v>
      </c>
      <c r="AD32">
        <f t="shared" si="15"/>
        <v>1</v>
      </c>
      <c r="AE32">
        <f t="shared" si="15"/>
        <v>1</v>
      </c>
      <c r="AF32">
        <f t="shared" si="16"/>
        <v>1</v>
      </c>
      <c r="AG32">
        <f t="shared" si="16"/>
        <v>1</v>
      </c>
      <c r="AH32">
        <f t="shared" si="16"/>
        <v>1</v>
      </c>
      <c r="AI32">
        <f t="shared" si="16"/>
        <v>1</v>
      </c>
      <c r="AJ32">
        <f t="shared" si="16"/>
        <v>1</v>
      </c>
      <c r="AK32">
        <f t="shared" si="16"/>
        <v>1</v>
      </c>
      <c r="AL32">
        <f t="shared" si="16"/>
        <v>1</v>
      </c>
      <c r="AM32">
        <f t="shared" si="16"/>
        <v>1</v>
      </c>
      <c r="AN32" t="str">
        <f t="shared" si="16"/>
        <v/>
      </c>
      <c r="AO32" t="str">
        <f t="shared" si="16"/>
        <v/>
      </c>
      <c r="AP32" t="str">
        <f t="shared" si="17"/>
        <v/>
      </c>
      <c r="AQ32" t="str">
        <f t="shared" si="17"/>
        <v/>
      </c>
      <c r="AR32" t="str">
        <f t="shared" si="17"/>
        <v/>
      </c>
      <c r="AS32" t="str">
        <f t="shared" si="17"/>
        <v/>
      </c>
      <c r="AT32" t="str">
        <f t="shared" si="17"/>
        <v/>
      </c>
      <c r="AU32" t="str">
        <f t="shared" si="17"/>
        <v/>
      </c>
      <c r="AV32" t="str">
        <f t="shared" si="17"/>
        <v/>
      </c>
      <c r="AW32" t="str">
        <f t="shared" si="17"/>
        <v/>
      </c>
      <c r="AX32" t="str">
        <f t="shared" si="17"/>
        <v/>
      </c>
      <c r="AY32" t="str">
        <f t="shared" si="17"/>
        <v/>
      </c>
      <c r="AZ32" t="str">
        <f t="shared" si="18"/>
        <v/>
      </c>
      <c r="BA32" t="str">
        <f t="shared" si="18"/>
        <v/>
      </c>
      <c r="BB32" t="str">
        <f t="shared" si="18"/>
        <v/>
      </c>
      <c r="BC32" t="str">
        <f t="shared" si="18"/>
        <v/>
      </c>
      <c r="BD32" t="str">
        <f t="shared" si="18"/>
        <v/>
      </c>
      <c r="BE32" t="str">
        <f t="shared" si="18"/>
        <v/>
      </c>
      <c r="BF32" t="str">
        <f t="shared" si="18"/>
        <v/>
      </c>
      <c r="BG32" t="str">
        <f t="shared" si="18"/>
        <v/>
      </c>
      <c r="BH32" t="str">
        <f t="shared" si="18"/>
        <v/>
      </c>
      <c r="BI32" t="str">
        <f t="shared" si="18"/>
        <v/>
      </c>
      <c r="BJ32" t="str">
        <f t="shared" si="19"/>
        <v/>
      </c>
      <c r="BK32" t="str">
        <f t="shared" si="19"/>
        <v/>
      </c>
      <c r="BL32" t="str">
        <f t="shared" si="19"/>
        <v/>
      </c>
      <c r="BM32" t="str">
        <f t="shared" si="19"/>
        <v/>
      </c>
      <c r="BN32" t="str">
        <f t="shared" si="19"/>
        <v/>
      </c>
      <c r="BO32" t="str">
        <f t="shared" si="19"/>
        <v/>
      </c>
      <c r="BP32" t="str">
        <f t="shared" si="19"/>
        <v/>
      </c>
      <c r="BQ32" t="str">
        <f t="shared" si="19"/>
        <v/>
      </c>
      <c r="BR32" t="str">
        <f t="shared" si="19"/>
        <v/>
      </c>
    </row>
    <row r="33" spans="1:70" ht="15" customHeight="1" x14ac:dyDescent="0.3">
      <c r="A33" t="s">
        <v>419</v>
      </c>
      <c r="B33">
        <v>57</v>
      </c>
      <c r="C33" t="s">
        <v>401</v>
      </c>
      <c r="D33">
        <v>4</v>
      </c>
      <c r="E33" s="62">
        <v>46208.291666666657</v>
      </c>
      <c r="F33" s="62">
        <v>46268.291666666657</v>
      </c>
      <c r="G33" t="s">
        <v>26</v>
      </c>
      <c r="H33" t="str">
        <f t="shared" si="0"/>
        <v>Sep-2026</v>
      </c>
      <c r="I33" t="s">
        <v>16</v>
      </c>
      <c r="J33" s="67">
        <f t="shared" si="1"/>
        <v>46298.291666666657</v>
      </c>
      <c r="K33" t="s">
        <v>27</v>
      </c>
      <c r="L33" t="str">
        <f t="shared" si="14"/>
        <v/>
      </c>
      <c r="M33" t="str">
        <f t="shared" si="14"/>
        <v/>
      </c>
      <c r="N33" t="str">
        <f t="shared" si="14"/>
        <v/>
      </c>
      <c r="O33" t="str">
        <f t="shared" si="14"/>
        <v/>
      </c>
      <c r="P33" t="str">
        <f t="shared" si="14"/>
        <v/>
      </c>
      <c r="Q33" t="str">
        <f t="shared" si="14"/>
        <v/>
      </c>
      <c r="R33" t="str">
        <f t="shared" si="14"/>
        <v/>
      </c>
      <c r="S33" t="str">
        <f t="shared" si="14"/>
        <v/>
      </c>
      <c r="T33" t="str">
        <f t="shared" si="14"/>
        <v/>
      </c>
      <c r="U33" t="str">
        <f t="shared" si="14"/>
        <v/>
      </c>
      <c r="V33" t="str">
        <f t="shared" si="15"/>
        <v/>
      </c>
      <c r="W33" t="str">
        <f t="shared" si="15"/>
        <v/>
      </c>
      <c r="X33" t="str">
        <f t="shared" si="15"/>
        <v/>
      </c>
      <c r="Y33" t="str">
        <f t="shared" si="15"/>
        <v/>
      </c>
      <c r="Z33" t="str">
        <f t="shared" si="15"/>
        <v/>
      </c>
      <c r="AA33" t="str">
        <f t="shared" si="15"/>
        <v/>
      </c>
      <c r="AB33" t="str">
        <f t="shared" si="15"/>
        <v/>
      </c>
      <c r="AC33" t="str">
        <f t="shared" si="15"/>
        <v/>
      </c>
      <c r="AD33" t="str">
        <f t="shared" si="15"/>
        <v/>
      </c>
      <c r="AE33" t="str">
        <f t="shared" si="15"/>
        <v/>
      </c>
      <c r="AF33" t="str">
        <f t="shared" si="16"/>
        <v/>
      </c>
      <c r="AG33" t="str">
        <f t="shared" si="16"/>
        <v/>
      </c>
      <c r="AH33" t="str">
        <f t="shared" si="16"/>
        <v/>
      </c>
      <c r="AI33" t="str">
        <f t="shared" si="16"/>
        <v/>
      </c>
      <c r="AJ33" t="str">
        <f t="shared" si="16"/>
        <v/>
      </c>
      <c r="AK33" t="str">
        <f t="shared" si="16"/>
        <v/>
      </c>
      <c r="AL33" t="str">
        <f t="shared" si="16"/>
        <v/>
      </c>
      <c r="AM33" t="str">
        <f t="shared" si="16"/>
        <v/>
      </c>
      <c r="AN33" t="str">
        <f t="shared" si="16"/>
        <v/>
      </c>
      <c r="AO33" t="str">
        <f t="shared" si="16"/>
        <v/>
      </c>
      <c r="AP33" t="str">
        <f t="shared" si="17"/>
        <v/>
      </c>
      <c r="AQ33" t="str">
        <f t="shared" si="17"/>
        <v/>
      </c>
      <c r="AR33" t="str">
        <f t="shared" si="17"/>
        <v/>
      </c>
      <c r="AS33" t="str">
        <f t="shared" si="17"/>
        <v/>
      </c>
      <c r="AT33" t="str">
        <f t="shared" si="17"/>
        <v/>
      </c>
      <c r="AU33" t="str">
        <f t="shared" si="17"/>
        <v/>
      </c>
      <c r="AV33" t="str">
        <f t="shared" si="17"/>
        <v/>
      </c>
      <c r="AW33" t="str">
        <f t="shared" si="17"/>
        <v/>
      </c>
      <c r="AX33" t="str">
        <f t="shared" si="17"/>
        <v/>
      </c>
      <c r="AY33" t="str">
        <f t="shared" si="17"/>
        <v/>
      </c>
      <c r="AZ33" t="str">
        <f t="shared" si="18"/>
        <v/>
      </c>
      <c r="BA33" t="str">
        <f t="shared" si="18"/>
        <v/>
      </c>
      <c r="BB33" t="str">
        <f t="shared" si="18"/>
        <v/>
      </c>
      <c r="BC33" t="str">
        <f t="shared" si="18"/>
        <v/>
      </c>
      <c r="BD33" t="str">
        <f t="shared" si="18"/>
        <v/>
      </c>
      <c r="BE33" t="str">
        <f t="shared" si="18"/>
        <v/>
      </c>
      <c r="BF33" t="str">
        <f t="shared" si="18"/>
        <v/>
      </c>
      <c r="BG33" t="str">
        <f t="shared" si="18"/>
        <v/>
      </c>
      <c r="BH33" t="str">
        <f t="shared" si="18"/>
        <v/>
      </c>
      <c r="BI33" t="str">
        <f t="shared" si="18"/>
        <v/>
      </c>
      <c r="BJ33" t="str">
        <f t="shared" si="19"/>
        <v/>
      </c>
      <c r="BK33" t="str">
        <f t="shared" si="19"/>
        <v/>
      </c>
      <c r="BL33" t="str">
        <f t="shared" si="19"/>
        <v/>
      </c>
      <c r="BM33" t="str">
        <f t="shared" si="19"/>
        <v/>
      </c>
      <c r="BN33" t="str">
        <f t="shared" si="19"/>
        <v/>
      </c>
      <c r="BO33" t="str">
        <f t="shared" si="19"/>
        <v/>
      </c>
      <c r="BP33" t="str">
        <f t="shared" si="19"/>
        <v/>
      </c>
      <c r="BQ33" t="str">
        <f t="shared" si="19"/>
        <v/>
      </c>
      <c r="BR33" t="str">
        <f t="shared" si="19"/>
        <v/>
      </c>
    </row>
    <row r="34" spans="1:70" ht="15" customHeight="1" x14ac:dyDescent="0.3">
      <c r="A34" t="s">
        <v>420</v>
      </c>
      <c r="B34">
        <v>9</v>
      </c>
      <c r="C34" t="s">
        <v>388</v>
      </c>
      <c r="D34">
        <v>2</v>
      </c>
      <c r="E34" s="62">
        <v>46121.291666666657</v>
      </c>
      <c r="F34" s="62">
        <v>46188.291666666657</v>
      </c>
      <c r="G34" t="s">
        <v>26</v>
      </c>
      <c r="H34" t="str">
        <f t="shared" si="0"/>
        <v>Jun-2026</v>
      </c>
      <c r="I34" t="s">
        <v>29</v>
      </c>
      <c r="J34" s="67">
        <f t="shared" si="1"/>
        <v>46218.291666666657</v>
      </c>
      <c r="K34" t="s">
        <v>392</v>
      </c>
      <c r="L34" t="str">
        <f t="shared" ref="L34:U43" si="20">IF(AND(L$3&gt;=$E34,L$3&lt;=$F34),1,"")</f>
        <v/>
      </c>
      <c r="M34" t="str">
        <f t="shared" si="20"/>
        <v/>
      </c>
      <c r="N34" t="str">
        <f t="shared" si="20"/>
        <v/>
      </c>
      <c r="O34" t="str">
        <f t="shared" si="20"/>
        <v/>
      </c>
      <c r="P34" t="str">
        <f t="shared" si="20"/>
        <v/>
      </c>
      <c r="Q34" t="str">
        <f t="shared" si="20"/>
        <v/>
      </c>
      <c r="R34" t="str">
        <f t="shared" si="20"/>
        <v/>
      </c>
      <c r="S34" t="str">
        <f t="shared" si="20"/>
        <v/>
      </c>
      <c r="T34">
        <f t="shared" si="20"/>
        <v>1</v>
      </c>
      <c r="U34">
        <f t="shared" si="20"/>
        <v>1</v>
      </c>
      <c r="V34">
        <f t="shared" ref="V34:AE43" si="21">IF(AND(V$3&gt;=$E34,V$3&lt;=$F34),1,"")</f>
        <v>1</v>
      </c>
      <c r="W34">
        <f t="shared" si="21"/>
        <v>1</v>
      </c>
      <c r="X34">
        <f t="shared" si="21"/>
        <v>1</v>
      </c>
      <c r="Y34">
        <f t="shared" si="21"/>
        <v>1</v>
      </c>
      <c r="Z34">
        <f t="shared" si="21"/>
        <v>1</v>
      </c>
      <c r="AA34">
        <f t="shared" si="21"/>
        <v>1</v>
      </c>
      <c r="AB34">
        <f t="shared" si="21"/>
        <v>1</v>
      </c>
      <c r="AC34">
        <f t="shared" si="21"/>
        <v>1</v>
      </c>
      <c r="AD34">
        <f t="shared" si="21"/>
        <v>1</v>
      </c>
      <c r="AE34">
        <f t="shared" si="21"/>
        <v>1</v>
      </c>
      <c r="AF34">
        <f t="shared" ref="AF34:AO43" si="22">IF(AND(AF$3&gt;=$E34,AF$3&lt;=$F34),1,"")</f>
        <v>1</v>
      </c>
      <c r="AG34">
        <f t="shared" si="22"/>
        <v>1</v>
      </c>
      <c r="AH34">
        <f t="shared" si="22"/>
        <v>1</v>
      </c>
      <c r="AI34">
        <f t="shared" si="22"/>
        <v>1</v>
      </c>
      <c r="AJ34">
        <f t="shared" si="22"/>
        <v>1</v>
      </c>
      <c r="AK34">
        <f t="shared" si="22"/>
        <v>1</v>
      </c>
      <c r="AL34">
        <f t="shared" si="22"/>
        <v>1</v>
      </c>
      <c r="AM34">
        <f t="shared" si="22"/>
        <v>1</v>
      </c>
      <c r="AN34">
        <f t="shared" si="22"/>
        <v>1</v>
      </c>
      <c r="AO34">
        <f t="shared" si="22"/>
        <v>1</v>
      </c>
      <c r="AP34">
        <f t="shared" ref="AP34:AY43" si="23">IF(AND(AP$3&gt;=$E34,AP$3&lt;=$F34),1,"")</f>
        <v>1</v>
      </c>
      <c r="AQ34">
        <f t="shared" si="23"/>
        <v>1</v>
      </c>
      <c r="AR34">
        <f t="shared" si="23"/>
        <v>1</v>
      </c>
      <c r="AS34">
        <f t="shared" si="23"/>
        <v>1</v>
      </c>
      <c r="AT34">
        <f t="shared" si="23"/>
        <v>1</v>
      </c>
      <c r="AU34">
        <f t="shared" si="23"/>
        <v>1</v>
      </c>
      <c r="AV34">
        <f t="shared" si="23"/>
        <v>1</v>
      </c>
      <c r="AW34">
        <f t="shared" si="23"/>
        <v>1</v>
      </c>
      <c r="AX34">
        <f t="shared" si="23"/>
        <v>1</v>
      </c>
      <c r="AY34">
        <f t="shared" si="23"/>
        <v>1</v>
      </c>
      <c r="AZ34">
        <f t="shared" ref="AZ34:BI43" si="24">IF(AND(AZ$3&gt;=$E34,AZ$3&lt;=$F34),1,"")</f>
        <v>1</v>
      </c>
      <c r="BA34">
        <f t="shared" si="24"/>
        <v>1</v>
      </c>
      <c r="BB34">
        <f t="shared" si="24"/>
        <v>1</v>
      </c>
      <c r="BC34">
        <f t="shared" si="24"/>
        <v>1</v>
      </c>
      <c r="BD34">
        <f t="shared" si="24"/>
        <v>1</v>
      </c>
      <c r="BE34">
        <f t="shared" si="24"/>
        <v>1</v>
      </c>
      <c r="BF34">
        <f t="shared" si="24"/>
        <v>1</v>
      </c>
      <c r="BG34">
        <f t="shared" si="24"/>
        <v>1</v>
      </c>
      <c r="BH34">
        <f t="shared" si="24"/>
        <v>1</v>
      </c>
      <c r="BI34">
        <f t="shared" si="24"/>
        <v>1</v>
      </c>
      <c r="BJ34">
        <f t="shared" ref="BJ34:BR43" si="25">IF(AND(BJ$3&gt;=$E34,BJ$3&lt;=$F34),1,"")</f>
        <v>1</v>
      </c>
      <c r="BK34">
        <f t="shared" si="25"/>
        <v>1</v>
      </c>
      <c r="BL34">
        <f t="shared" si="25"/>
        <v>1</v>
      </c>
      <c r="BM34">
        <f t="shared" si="25"/>
        <v>1</v>
      </c>
      <c r="BN34">
        <f t="shared" si="25"/>
        <v>1</v>
      </c>
      <c r="BO34">
        <f t="shared" si="25"/>
        <v>1</v>
      </c>
      <c r="BP34">
        <f t="shared" si="25"/>
        <v>1</v>
      </c>
      <c r="BQ34">
        <f t="shared" si="25"/>
        <v>1</v>
      </c>
      <c r="BR34">
        <f t="shared" si="25"/>
        <v>1</v>
      </c>
    </row>
    <row r="35" spans="1:70" ht="15" customHeight="1" x14ac:dyDescent="0.3">
      <c r="A35" t="s">
        <v>421</v>
      </c>
      <c r="B35">
        <v>42</v>
      </c>
      <c r="C35" t="s">
        <v>390</v>
      </c>
      <c r="D35">
        <v>1</v>
      </c>
      <c r="E35" s="62">
        <v>46177.291666666657</v>
      </c>
      <c r="F35" s="62">
        <v>46248.291666666657</v>
      </c>
      <c r="G35" t="s">
        <v>33</v>
      </c>
      <c r="H35" t="str">
        <f t="shared" si="0"/>
        <v>Aug-2026</v>
      </c>
      <c r="I35" t="s">
        <v>29</v>
      </c>
      <c r="J35" s="67">
        <f t="shared" si="1"/>
        <v>46278.291666666657</v>
      </c>
      <c r="K35" t="s">
        <v>17</v>
      </c>
      <c r="L35" t="str">
        <f t="shared" si="20"/>
        <v/>
      </c>
      <c r="M35" t="str">
        <f t="shared" si="20"/>
        <v/>
      </c>
      <c r="N35" t="str">
        <f t="shared" si="20"/>
        <v/>
      </c>
      <c r="O35" t="str">
        <f t="shared" si="20"/>
        <v/>
      </c>
      <c r="P35" t="str">
        <f t="shared" si="20"/>
        <v/>
      </c>
      <c r="Q35" t="str">
        <f t="shared" si="20"/>
        <v/>
      </c>
      <c r="R35" t="str">
        <f t="shared" si="20"/>
        <v/>
      </c>
      <c r="S35" t="str">
        <f t="shared" si="20"/>
        <v/>
      </c>
      <c r="T35" t="str">
        <f t="shared" si="20"/>
        <v/>
      </c>
      <c r="U35" t="str">
        <f t="shared" si="20"/>
        <v/>
      </c>
      <c r="V35" t="str">
        <f t="shared" si="21"/>
        <v/>
      </c>
      <c r="W35" t="str">
        <f t="shared" si="21"/>
        <v/>
      </c>
      <c r="X35" t="str">
        <f t="shared" si="21"/>
        <v/>
      </c>
      <c r="Y35" t="str">
        <f t="shared" si="21"/>
        <v/>
      </c>
      <c r="Z35" t="str">
        <f t="shared" si="21"/>
        <v/>
      </c>
      <c r="AA35" t="str">
        <f t="shared" si="21"/>
        <v/>
      </c>
      <c r="AB35" t="str">
        <f t="shared" si="21"/>
        <v/>
      </c>
      <c r="AC35" t="str">
        <f t="shared" si="21"/>
        <v/>
      </c>
      <c r="AD35" t="str">
        <f t="shared" si="21"/>
        <v/>
      </c>
      <c r="AE35" t="str">
        <f t="shared" si="21"/>
        <v/>
      </c>
      <c r="AF35" t="str">
        <f t="shared" si="22"/>
        <v/>
      </c>
      <c r="AG35" t="str">
        <f t="shared" si="22"/>
        <v/>
      </c>
      <c r="AH35" t="str">
        <f t="shared" si="22"/>
        <v/>
      </c>
      <c r="AI35" t="str">
        <f t="shared" si="22"/>
        <v/>
      </c>
      <c r="AJ35" t="str">
        <f t="shared" si="22"/>
        <v/>
      </c>
      <c r="AK35" t="str">
        <f t="shared" si="22"/>
        <v/>
      </c>
      <c r="AL35" t="str">
        <f t="shared" si="22"/>
        <v/>
      </c>
      <c r="AM35" t="str">
        <f t="shared" si="22"/>
        <v/>
      </c>
      <c r="AN35" t="str">
        <f t="shared" si="22"/>
        <v/>
      </c>
      <c r="AO35" t="str">
        <f t="shared" si="22"/>
        <v/>
      </c>
      <c r="AP35" t="str">
        <f t="shared" si="23"/>
        <v/>
      </c>
      <c r="AQ35" t="str">
        <f t="shared" si="23"/>
        <v/>
      </c>
      <c r="AR35" t="str">
        <f t="shared" si="23"/>
        <v/>
      </c>
      <c r="AS35" t="str">
        <f t="shared" si="23"/>
        <v/>
      </c>
      <c r="AT35" t="str">
        <f t="shared" si="23"/>
        <v/>
      </c>
      <c r="AU35" t="str">
        <f t="shared" si="23"/>
        <v/>
      </c>
      <c r="AV35" t="str">
        <f t="shared" si="23"/>
        <v/>
      </c>
      <c r="AW35" t="str">
        <f t="shared" si="23"/>
        <v/>
      </c>
      <c r="AX35" t="str">
        <f t="shared" si="23"/>
        <v/>
      </c>
      <c r="AY35" t="str">
        <f t="shared" si="23"/>
        <v/>
      </c>
      <c r="AZ35" t="str">
        <f t="shared" si="24"/>
        <v/>
      </c>
      <c r="BA35" t="str">
        <f t="shared" si="24"/>
        <v/>
      </c>
      <c r="BB35" t="str">
        <f t="shared" si="24"/>
        <v/>
      </c>
      <c r="BC35" t="str">
        <f t="shared" si="24"/>
        <v/>
      </c>
      <c r="BD35" t="str">
        <f t="shared" si="24"/>
        <v/>
      </c>
      <c r="BE35" t="str">
        <f t="shared" si="24"/>
        <v/>
      </c>
      <c r="BF35" t="str">
        <f t="shared" si="24"/>
        <v/>
      </c>
      <c r="BG35" t="str">
        <f t="shared" si="24"/>
        <v/>
      </c>
      <c r="BH35" t="str">
        <f t="shared" si="24"/>
        <v/>
      </c>
      <c r="BI35" t="str">
        <f t="shared" si="24"/>
        <v/>
      </c>
      <c r="BJ35" t="str">
        <f t="shared" si="25"/>
        <v/>
      </c>
      <c r="BK35" t="str">
        <f t="shared" si="25"/>
        <v/>
      </c>
      <c r="BL35" t="str">
        <f t="shared" si="25"/>
        <v/>
      </c>
      <c r="BM35" t="str">
        <f t="shared" si="25"/>
        <v/>
      </c>
      <c r="BN35" t="str">
        <f t="shared" si="25"/>
        <v/>
      </c>
      <c r="BO35" t="str">
        <f t="shared" si="25"/>
        <v/>
      </c>
      <c r="BP35" t="str">
        <f t="shared" si="25"/>
        <v/>
      </c>
      <c r="BQ35" t="str">
        <f t="shared" si="25"/>
        <v/>
      </c>
      <c r="BR35" t="str">
        <f t="shared" si="25"/>
        <v/>
      </c>
    </row>
    <row r="36" spans="1:70" ht="15" customHeight="1" x14ac:dyDescent="0.3">
      <c r="A36" t="s">
        <v>422</v>
      </c>
      <c r="B36">
        <v>15</v>
      </c>
      <c r="C36" t="s">
        <v>395</v>
      </c>
      <c r="D36">
        <v>1</v>
      </c>
      <c r="E36" s="62">
        <v>46217.291666666657</v>
      </c>
      <c r="F36" s="62">
        <v>46283.291666666657</v>
      </c>
      <c r="G36" t="s">
        <v>15</v>
      </c>
      <c r="H36" t="str">
        <f t="shared" ref="H36:H53" si="26">IF($A36="","",TEXT($F36,"MMM-YYYY"))</f>
        <v>Sep-2026</v>
      </c>
      <c r="I36" t="s">
        <v>20</v>
      </c>
      <c r="J36" s="67">
        <f t="shared" ref="J36:J53" si="27">IF($A36="","",$F36+30)</f>
        <v>46313.291666666657</v>
      </c>
      <c r="K36" t="s">
        <v>17</v>
      </c>
      <c r="L36" t="str">
        <f t="shared" si="20"/>
        <v/>
      </c>
      <c r="M36" t="str">
        <f t="shared" si="20"/>
        <v/>
      </c>
      <c r="N36" t="str">
        <f t="shared" si="20"/>
        <v/>
      </c>
      <c r="O36" t="str">
        <f t="shared" si="20"/>
        <v/>
      </c>
      <c r="P36" t="str">
        <f t="shared" si="20"/>
        <v/>
      </c>
      <c r="Q36" t="str">
        <f t="shared" si="20"/>
        <v/>
      </c>
      <c r="R36" t="str">
        <f t="shared" si="20"/>
        <v/>
      </c>
      <c r="S36" t="str">
        <f t="shared" si="20"/>
        <v/>
      </c>
      <c r="T36" t="str">
        <f t="shared" si="20"/>
        <v/>
      </c>
      <c r="U36" t="str">
        <f t="shared" si="20"/>
        <v/>
      </c>
      <c r="V36" t="str">
        <f t="shared" si="21"/>
        <v/>
      </c>
      <c r="W36" t="str">
        <f t="shared" si="21"/>
        <v/>
      </c>
      <c r="X36" t="str">
        <f t="shared" si="21"/>
        <v/>
      </c>
      <c r="Y36" t="str">
        <f t="shared" si="21"/>
        <v/>
      </c>
      <c r="Z36" t="str">
        <f t="shared" si="21"/>
        <v/>
      </c>
      <c r="AA36" t="str">
        <f t="shared" si="21"/>
        <v/>
      </c>
      <c r="AB36" t="str">
        <f t="shared" si="21"/>
        <v/>
      </c>
      <c r="AC36" t="str">
        <f t="shared" si="21"/>
        <v/>
      </c>
      <c r="AD36" t="str">
        <f t="shared" si="21"/>
        <v/>
      </c>
      <c r="AE36" t="str">
        <f t="shared" si="21"/>
        <v/>
      </c>
      <c r="AF36" t="str">
        <f t="shared" si="22"/>
        <v/>
      </c>
      <c r="AG36" t="str">
        <f t="shared" si="22"/>
        <v/>
      </c>
      <c r="AH36" t="str">
        <f t="shared" si="22"/>
        <v/>
      </c>
      <c r="AI36" t="str">
        <f t="shared" si="22"/>
        <v/>
      </c>
      <c r="AJ36" t="str">
        <f t="shared" si="22"/>
        <v/>
      </c>
      <c r="AK36" t="str">
        <f t="shared" si="22"/>
        <v/>
      </c>
      <c r="AL36" t="str">
        <f t="shared" si="22"/>
        <v/>
      </c>
      <c r="AM36" t="str">
        <f t="shared" si="22"/>
        <v/>
      </c>
      <c r="AN36" t="str">
        <f t="shared" si="22"/>
        <v/>
      </c>
      <c r="AO36" t="str">
        <f t="shared" si="22"/>
        <v/>
      </c>
      <c r="AP36" t="str">
        <f t="shared" si="23"/>
        <v/>
      </c>
      <c r="AQ36" t="str">
        <f t="shared" si="23"/>
        <v/>
      </c>
      <c r="AR36" t="str">
        <f t="shared" si="23"/>
        <v/>
      </c>
      <c r="AS36" t="str">
        <f t="shared" si="23"/>
        <v/>
      </c>
      <c r="AT36" t="str">
        <f t="shared" si="23"/>
        <v/>
      </c>
      <c r="AU36" t="str">
        <f t="shared" si="23"/>
        <v/>
      </c>
      <c r="AV36" t="str">
        <f t="shared" si="23"/>
        <v/>
      </c>
      <c r="AW36" t="str">
        <f t="shared" si="23"/>
        <v/>
      </c>
      <c r="AX36" t="str">
        <f t="shared" si="23"/>
        <v/>
      </c>
      <c r="AY36" t="str">
        <f t="shared" si="23"/>
        <v/>
      </c>
      <c r="AZ36" t="str">
        <f t="shared" si="24"/>
        <v/>
      </c>
      <c r="BA36" t="str">
        <f t="shared" si="24"/>
        <v/>
      </c>
      <c r="BB36" t="str">
        <f t="shared" si="24"/>
        <v/>
      </c>
      <c r="BC36" t="str">
        <f t="shared" si="24"/>
        <v/>
      </c>
      <c r="BD36" t="str">
        <f t="shared" si="24"/>
        <v/>
      </c>
      <c r="BE36" t="str">
        <f t="shared" si="24"/>
        <v/>
      </c>
      <c r="BF36" t="str">
        <f t="shared" si="24"/>
        <v/>
      </c>
      <c r="BG36" t="str">
        <f t="shared" si="24"/>
        <v/>
      </c>
      <c r="BH36" t="str">
        <f t="shared" si="24"/>
        <v/>
      </c>
      <c r="BI36" t="str">
        <f t="shared" si="24"/>
        <v/>
      </c>
      <c r="BJ36" t="str">
        <f t="shared" si="25"/>
        <v/>
      </c>
      <c r="BK36" t="str">
        <f t="shared" si="25"/>
        <v/>
      </c>
      <c r="BL36" t="str">
        <f t="shared" si="25"/>
        <v/>
      </c>
      <c r="BM36" t="str">
        <f t="shared" si="25"/>
        <v/>
      </c>
      <c r="BN36" t="str">
        <f t="shared" si="25"/>
        <v/>
      </c>
      <c r="BO36" t="str">
        <f t="shared" si="25"/>
        <v/>
      </c>
      <c r="BP36" t="str">
        <f t="shared" si="25"/>
        <v/>
      </c>
      <c r="BQ36" t="str">
        <f t="shared" si="25"/>
        <v/>
      </c>
      <c r="BR36" t="str">
        <f t="shared" si="25"/>
        <v/>
      </c>
    </row>
    <row r="37" spans="1:70" ht="15" customHeight="1" x14ac:dyDescent="0.3">
      <c r="A37" t="s">
        <v>423</v>
      </c>
      <c r="B37">
        <v>42</v>
      </c>
      <c r="C37" t="s">
        <v>388</v>
      </c>
      <c r="D37">
        <v>2</v>
      </c>
      <c r="E37" s="62">
        <v>46132.291666666657</v>
      </c>
      <c r="F37" s="62">
        <v>46163.291666666657</v>
      </c>
      <c r="G37" t="s">
        <v>26</v>
      </c>
      <c r="H37" t="str">
        <f t="shared" si="26"/>
        <v>May-2026</v>
      </c>
      <c r="I37" t="s">
        <v>16</v>
      </c>
      <c r="J37" s="67">
        <f t="shared" si="27"/>
        <v>46193.291666666657</v>
      </c>
      <c r="K37" t="s">
        <v>27</v>
      </c>
      <c r="L37" t="str">
        <f t="shared" si="20"/>
        <v/>
      </c>
      <c r="M37" t="str">
        <f t="shared" si="20"/>
        <v/>
      </c>
      <c r="N37" t="str">
        <f t="shared" si="20"/>
        <v/>
      </c>
      <c r="O37" t="str">
        <f t="shared" si="20"/>
        <v/>
      </c>
      <c r="P37" t="str">
        <f t="shared" si="20"/>
        <v/>
      </c>
      <c r="Q37" t="str">
        <f t="shared" si="20"/>
        <v/>
      </c>
      <c r="R37" t="str">
        <f t="shared" si="20"/>
        <v/>
      </c>
      <c r="S37" t="str">
        <f t="shared" si="20"/>
        <v/>
      </c>
      <c r="T37" t="str">
        <f t="shared" si="20"/>
        <v/>
      </c>
      <c r="U37" t="str">
        <f t="shared" si="20"/>
        <v/>
      </c>
      <c r="V37" t="str">
        <f t="shared" si="21"/>
        <v/>
      </c>
      <c r="W37" t="str">
        <f t="shared" si="21"/>
        <v/>
      </c>
      <c r="X37" t="str">
        <f t="shared" si="21"/>
        <v/>
      </c>
      <c r="Y37" t="str">
        <f t="shared" si="21"/>
        <v/>
      </c>
      <c r="Z37" t="str">
        <f t="shared" si="21"/>
        <v/>
      </c>
      <c r="AA37" t="str">
        <f t="shared" si="21"/>
        <v/>
      </c>
      <c r="AB37" t="str">
        <f t="shared" si="21"/>
        <v/>
      </c>
      <c r="AC37" t="str">
        <f t="shared" si="21"/>
        <v/>
      </c>
      <c r="AD37" t="str">
        <f t="shared" si="21"/>
        <v/>
      </c>
      <c r="AE37">
        <f t="shared" si="21"/>
        <v>1</v>
      </c>
      <c r="AF37">
        <f t="shared" si="22"/>
        <v>1</v>
      </c>
      <c r="AG37">
        <f t="shared" si="22"/>
        <v>1</v>
      </c>
      <c r="AH37">
        <f t="shared" si="22"/>
        <v>1</v>
      </c>
      <c r="AI37">
        <f t="shared" si="22"/>
        <v>1</v>
      </c>
      <c r="AJ37">
        <f t="shared" si="22"/>
        <v>1</v>
      </c>
      <c r="AK37">
        <f t="shared" si="22"/>
        <v>1</v>
      </c>
      <c r="AL37">
        <f t="shared" si="22"/>
        <v>1</v>
      </c>
      <c r="AM37">
        <f t="shared" si="22"/>
        <v>1</v>
      </c>
      <c r="AN37">
        <f t="shared" si="22"/>
        <v>1</v>
      </c>
      <c r="AO37">
        <f t="shared" si="22"/>
        <v>1</v>
      </c>
      <c r="AP37">
        <f t="shared" si="23"/>
        <v>1</v>
      </c>
      <c r="AQ37">
        <f t="shared" si="23"/>
        <v>1</v>
      </c>
      <c r="AR37">
        <f t="shared" si="23"/>
        <v>1</v>
      </c>
      <c r="AS37">
        <f t="shared" si="23"/>
        <v>1</v>
      </c>
      <c r="AT37">
        <f t="shared" si="23"/>
        <v>1</v>
      </c>
      <c r="AU37">
        <f t="shared" si="23"/>
        <v>1</v>
      </c>
      <c r="AV37">
        <f t="shared" si="23"/>
        <v>1</v>
      </c>
      <c r="AW37">
        <f t="shared" si="23"/>
        <v>1</v>
      </c>
      <c r="AX37">
        <f t="shared" si="23"/>
        <v>1</v>
      </c>
      <c r="AY37">
        <f t="shared" si="23"/>
        <v>1</v>
      </c>
      <c r="AZ37">
        <f t="shared" si="24"/>
        <v>1</v>
      </c>
      <c r="BA37">
        <f t="shared" si="24"/>
        <v>1</v>
      </c>
      <c r="BB37">
        <f t="shared" si="24"/>
        <v>1</v>
      </c>
      <c r="BC37">
        <f t="shared" si="24"/>
        <v>1</v>
      </c>
      <c r="BD37">
        <f t="shared" si="24"/>
        <v>1</v>
      </c>
      <c r="BE37">
        <f t="shared" si="24"/>
        <v>1</v>
      </c>
      <c r="BF37">
        <f t="shared" si="24"/>
        <v>1</v>
      </c>
      <c r="BG37">
        <f t="shared" si="24"/>
        <v>1</v>
      </c>
      <c r="BH37">
        <f t="shared" si="24"/>
        <v>1</v>
      </c>
      <c r="BI37">
        <f t="shared" si="24"/>
        <v>1</v>
      </c>
      <c r="BJ37" t="str">
        <f t="shared" si="25"/>
        <v/>
      </c>
      <c r="BK37" t="str">
        <f t="shared" si="25"/>
        <v/>
      </c>
      <c r="BL37" t="str">
        <f t="shared" si="25"/>
        <v/>
      </c>
      <c r="BM37" t="str">
        <f t="shared" si="25"/>
        <v/>
      </c>
      <c r="BN37" t="str">
        <f t="shared" si="25"/>
        <v/>
      </c>
      <c r="BO37" t="str">
        <f t="shared" si="25"/>
        <v/>
      </c>
      <c r="BP37" t="str">
        <f t="shared" si="25"/>
        <v/>
      </c>
      <c r="BQ37" t="str">
        <f t="shared" si="25"/>
        <v/>
      </c>
      <c r="BR37" t="str">
        <f t="shared" si="25"/>
        <v/>
      </c>
    </row>
    <row r="38" spans="1:70" ht="15" customHeight="1" x14ac:dyDescent="0.3">
      <c r="A38" t="s">
        <v>424</v>
      </c>
      <c r="B38">
        <v>63</v>
      </c>
      <c r="C38" t="s">
        <v>401</v>
      </c>
      <c r="D38">
        <v>4</v>
      </c>
      <c r="E38" s="62">
        <v>46182.291666666657</v>
      </c>
      <c r="F38" s="62">
        <v>46262.291666666657</v>
      </c>
      <c r="G38" t="s">
        <v>26</v>
      </c>
      <c r="H38" t="str">
        <f t="shared" si="26"/>
        <v>Aug-2026</v>
      </c>
      <c r="I38" t="s">
        <v>29</v>
      </c>
      <c r="J38" s="67">
        <f t="shared" si="27"/>
        <v>46292.291666666657</v>
      </c>
      <c r="K38" t="s">
        <v>27</v>
      </c>
      <c r="L38" t="str">
        <f t="shared" si="20"/>
        <v/>
      </c>
      <c r="M38" t="str">
        <f t="shared" si="20"/>
        <v/>
      </c>
      <c r="N38" t="str">
        <f t="shared" si="20"/>
        <v/>
      </c>
      <c r="O38" t="str">
        <f t="shared" si="20"/>
        <v/>
      </c>
      <c r="P38" t="str">
        <f t="shared" si="20"/>
        <v/>
      </c>
      <c r="Q38" t="str">
        <f t="shared" si="20"/>
        <v/>
      </c>
      <c r="R38" t="str">
        <f t="shared" si="20"/>
        <v/>
      </c>
      <c r="S38" t="str">
        <f t="shared" si="20"/>
        <v/>
      </c>
      <c r="T38" t="str">
        <f t="shared" si="20"/>
        <v/>
      </c>
      <c r="U38" t="str">
        <f t="shared" si="20"/>
        <v/>
      </c>
      <c r="V38" t="str">
        <f t="shared" si="21"/>
        <v/>
      </c>
      <c r="W38" t="str">
        <f t="shared" si="21"/>
        <v/>
      </c>
      <c r="X38" t="str">
        <f t="shared" si="21"/>
        <v/>
      </c>
      <c r="Y38" t="str">
        <f t="shared" si="21"/>
        <v/>
      </c>
      <c r="Z38" t="str">
        <f t="shared" si="21"/>
        <v/>
      </c>
      <c r="AA38" t="str">
        <f t="shared" si="21"/>
        <v/>
      </c>
      <c r="AB38" t="str">
        <f t="shared" si="21"/>
        <v/>
      </c>
      <c r="AC38" t="str">
        <f t="shared" si="21"/>
        <v/>
      </c>
      <c r="AD38" t="str">
        <f t="shared" si="21"/>
        <v/>
      </c>
      <c r="AE38" t="str">
        <f t="shared" si="21"/>
        <v/>
      </c>
      <c r="AF38" t="str">
        <f t="shared" si="22"/>
        <v/>
      </c>
      <c r="AG38" t="str">
        <f t="shared" si="22"/>
        <v/>
      </c>
      <c r="AH38" t="str">
        <f t="shared" si="22"/>
        <v/>
      </c>
      <c r="AI38" t="str">
        <f t="shared" si="22"/>
        <v/>
      </c>
      <c r="AJ38" t="str">
        <f t="shared" si="22"/>
        <v/>
      </c>
      <c r="AK38" t="str">
        <f t="shared" si="22"/>
        <v/>
      </c>
      <c r="AL38" t="str">
        <f t="shared" si="22"/>
        <v/>
      </c>
      <c r="AM38" t="str">
        <f t="shared" si="22"/>
        <v/>
      </c>
      <c r="AN38" t="str">
        <f t="shared" si="22"/>
        <v/>
      </c>
      <c r="AO38" t="str">
        <f t="shared" si="22"/>
        <v/>
      </c>
      <c r="AP38" t="str">
        <f t="shared" si="23"/>
        <v/>
      </c>
      <c r="AQ38" t="str">
        <f t="shared" si="23"/>
        <v/>
      </c>
      <c r="AR38" t="str">
        <f t="shared" si="23"/>
        <v/>
      </c>
      <c r="AS38" t="str">
        <f t="shared" si="23"/>
        <v/>
      </c>
      <c r="AT38" t="str">
        <f t="shared" si="23"/>
        <v/>
      </c>
      <c r="AU38" t="str">
        <f t="shared" si="23"/>
        <v/>
      </c>
      <c r="AV38" t="str">
        <f t="shared" si="23"/>
        <v/>
      </c>
      <c r="AW38" t="str">
        <f t="shared" si="23"/>
        <v/>
      </c>
      <c r="AX38" t="str">
        <f t="shared" si="23"/>
        <v/>
      </c>
      <c r="AY38" t="str">
        <f t="shared" si="23"/>
        <v/>
      </c>
      <c r="AZ38" t="str">
        <f t="shared" si="24"/>
        <v/>
      </c>
      <c r="BA38" t="str">
        <f t="shared" si="24"/>
        <v/>
      </c>
      <c r="BB38" t="str">
        <f t="shared" si="24"/>
        <v/>
      </c>
      <c r="BC38" t="str">
        <f t="shared" si="24"/>
        <v/>
      </c>
      <c r="BD38" t="str">
        <f t="shared" si="24"/>
        <v/>
      </c>
      <c r="BE38" t="str">
        <f t="shared" si="24"/>
        <v/>
      </c>
      <c r="BF38" t="str">
        <f t="shared" si="24"/>
        <v/>
      </c>
      <c r="BG38" t="str">
        <f t="shared" si="24"/>
        <v/>
      </c>
      <c r="BH38" t="str">
        <f t="shared" si="24"/>
        <v/>
      </c>
      <c r="BI38" t="str">
        <f t="shared" si="24"/>
        <v/>
      </c>
      <c r="BJ38" t="str">
        <f t="shared" si="25"/>
        <v/>
      </c>
      <c r="BK38" t="str">
        <f t="shared" si="25"/>
        <v/>
      </c>
      <c r="BL38" t="str">
        <f t="shared" si="25"/>
        <v/>
      </c>
      <c r="BM38" t="str">
        <f t="shared" si="25"/>
        <v/>
      </c>
      <c r="BN38" t="str">
        <f t="shared" si="25"/>
        <v/>
      </c>
      <c r="BO38" t="str">
        <f t="shared" si="25"/>
        <v/>
      </c>
      <c r="BP38" t="str">
        <f t="shared" si="25"/>
        <v/>
      </c>
      <c r="BQ38" t="str">
        <f t="shared" si="25"/>
        <v/>
      </c>
      <c r="BR38" t="str">
        <f t="shared" si="25"/>
        <v/>
      </c>
    </row>
    <row r="39" spans="1:70" ht="15" customHeight="1" x14ac:dyDescent="0.3">
      <c r="A39" t="s">
        <v>425</v>
      </c>
      <c r="B39">
        <v>50</v>
      </c>
      <c r="C39" t="s">
        <v>401</v>
      </c>
      <c r="D39">
        <v>4</v>
      </c>
      <c r="E39" s="62">
        <v>46201.291666666657</v>
      </c>
      <c r="F39" s="62">
        <v>46223.291666666657</v>
      </c>
      <c r="G39" t="s">
        <v>26</v>
      </c>
      <c r="H39" t="str">
        <f t="shared" si="26"/>
        <v>Jul-2026</v>
      </c>
      <c r="I39" t="s">
        <v>20</v>
      </c>
      <c r="J39" s="67">
        <f t="shared" si="27"/>
        <v>46253.291666666657</v>
      </c>
      <c r="K39" t="s">
        <v>392</v>
      </c>
      <c r="L39" t="str">
        <f t="shared" si="20"/>
        <v/>
      </c>
      <c r="M39" t="str">
        <f t="shared" si="20"/>
        <v/>
      </c>
      <c r="N39" t="str">
        <f t="shared" si="20"/>
        <v/>
      </c>
      <c r="O39" t="str">
        <f t="shared" si="20"/>
        <v/>
      </c>
      <c r="P39" t="str">
        <f t="shared" si="20"/>
        <v/>
      </c>
      <c r="Q39" t="str">
        <f t="shared" si="20"/>
        <v/>
      </c>
      <c r="R39" t="str">
        <f t="shared" si="20"/>
        <v/>
      </c>
      <c r="S39" t="str">
        <f t="shared" si="20"/>
        <v/>
      </c>
      <c r="T39" t="str">
        <f t="shared" si="20"/>
        <v/>
      </c>
      <c r="U39" t="str">
        <f t="shared" si="20"/>
        <v/>
      </c>
      <c r="V39" t="str">
        <f t="shared" si="21"/>
        <v/>
      </c>
      <c r="W39" t="str">
        <f t="shared" si="21"/>
        <v/>
      </c>
      <c r="X39" t="str">
        <f t="shared" si="21"/>
        <v/>
      </c>
      <c r="Y39" t="str">
        <f t="shared" si="21"/>
        <v/>
      </c>
      <c r="Z39" t="str">
        <f t="shared" si="21"/>
        <v/>
      </c>
      <c r="AA39" t="str">
        <f t="shared" si="21"/>
        <v/>
      </c>
      <c r="AB39" t="str">
        <f t="shared" si="21"/>
        <v/>
      </c>
      <c r="AC39" t="str">
        <f t="shared" si="21"/>
        <v/>
      </c>
      <c r="AD39" t="str">
        <f t="shared" si="21"/>
        <v/>
      </c>
      <c r="AE39" t="str">
        <f t="shared" si="21"/>
        <v/>
      </c>
      <c r="AF39" t="str">
        <f t="shared" si="22"/>
        <v/>
      </c>
      <c r="AG39" t="str">
        <f t="shared" si="22"/>
        <v/>
      </c>
      <c r="AH39" t="str">
        <f t="shared" si="22"/>
        <v/>
      </c>
      <c r="AI39" t="str">
        <f t="shared" si="22"/>
        <v/>
      </c>
      <c r="AJ39" t="str">
        <f t="shared" si="22"/>
        <v/>
      </c>
      <c r="AK39" t="str">
        <f t="shared" si="22"/>
        <v/>
      </c>
      <c r="AL39" t="str">
        <f t="shared" si="22"/>
        <v/>
      </c>
      <c r="AM39" t="str">
        <f t="shared" si="22"/>
        <v/>
      </c>
      <c r="AN39" t="str">
        <f t="shared" si="22"/>
        <v/>
      </c>
      <c r="AO39" t="str">
        <f t="shared" si="22"/>
        <v/>
      </c>
      <c r="AP39" t="str">
        <f t="shared" si="23"/>
        <v/>
      </c>
      <c r="AQ39" t="str">
        <f t="shared" si="23"/>
        <v/>
      </c>
      <c r="AR39" t="str">
        <f t="shared" si="23"/>
        <v/>
      </c>
      <c r="AS39" t="str">
        <f t="shared" si="23"/>
        <v/>
      </c>
      <c r="AT39" t="str">
        <f t="shared" si="23"/>
        <v/>
      </c>
      <c r="AU39" t="str">
        <f t="shared" si="23"/>
        <v/>
      </c>
      <c r="AV39" t="str">
        <f t="shared" si="23"/>
        <v/>
      </c>
      <c r="AW39" t="str">
        <f t="shared" si="23"/>
        <v/>
      </c>
      <c r="AX39" t="str">
        <f t="shared" si="23"/>
        <v/>
      </c>
      <c r="AY39" t="str">
        <f t="shared" si="23"/>
        <v/>
      </c>
      <c r="AZ39" t="str">
        <f t="shared" si="24"/>
        <v/>
      </c>
      <c r="BA39" t="str">
        <f t="shared" si="24"/>
        <v/>
      </c>
      <c r="BB39" t="str">
        <f t="shared" si="24"/>
        <v/>
      </c>
      <c r="BC39" t="str">
        <f t="shared" si="24"/>
        <v/>
      </c>
      <c r="BD39" t="str">
        <f t="shared" si="24"/>
        <v/>
      </c>
      <c r="BE39" t="str">
        <f t="shared" si="24"/>
        <v/>
      </c>
      <c r="BF39" t="str">
        <f t="shared" si="24"/>
        <v/>
      </c>
      <c r="BG39" t="str">
        <f t="shared" si="24"/>
        <v/>
      </c>
      <c r="BH39" t="str">
        <f t="shared" si="24"/>
        <v/>
      </c>
      <c r="BI39" t="str">
        <f t="shared" si="24"/>
        <v/>
      </c>
      <c r="BJ39" t="str">
        <f t="shared" si="25"/>
        <v/>
      </c>
      <c r="BK39" t="str">
        <f t="shared" si="25"/>
        <v/>
      </c>
      <c r="BL39" t="str">
        <f t="shared" si="25"/>
        <v/>
      </c>
      <c r="BM39" t="str">
        <f t="shared" si="25"/>
        <v/>
      </c>
      <c r="BN39" t="str">
        <f t="shared" si="25"/>
        <v/>
      </c>
      <c r="BO39" t="str">
        <f t="shared" si="25"/>
        <v/>
      </c>
      <c r="BP39" t="str">
        <f t="shared" si="25"/>
        <v/>
      </c>
      <c r="BQ39" t="str">
        <f t="shared" si="25"/>
        <v/>
      </c>
      <c r="BR39" t="str">
        <f t="shared" si="25"/>
        <v/>
      </c>
    </row>
    <row r="40" spans="1:70" ht="15" customHeight="1" x14ac:dyDescent="0.3">
      <c r="A40" t="s">
        <v>426</v>
      </c>
      <c r="B40">
        <v>30</v>
      </c>
      <c r="C40" t="s">
        <v>386</v>
      </c>
      <c r="D40">
        <v>3</v>
      </c>
      <c r="E40" s="62">
        <v>46128.291666666657</v>
      </c>
      <c r="F40" s="62">
        <v>46208.291666666657</v>
      </c>
      <c r="G40" t="s">
        <v>26</v>
      </c>
      <c r="H40" t="str">
        <f t="shared" si="26"/>
        <v>Jul-2026</v>
      </c>
      <c r="I40" t="s">
        <v>16</v>
      </c>
      <c r="J40" s="67">
        <f t="shared" si="27"/>
        <v>46238.291666666657</v>
      </c>
      <c r="K40" t="s">
        <v>27</v>
      </c>
      <c r="L40" t="str">
        <f t="shared" si="20"/>
        <v/>
      </c>
      <c r="M40" t="str">
        <f t="shared" si="20"/>
        <v/>
      </c>
      <c r="N40" t="str">
        <f t="shared" si="20"/>
        <v/>
      </c>
      <c r="O40" t="str">
        <f t="shared" si="20"/>
        <v/>
      </c>
      <c r="P40" t="str">
        <f t="shared" si="20"/>
        <v/>
      </c>
      <c r="Q40" t="str">
        <f t="shared" si="20"/>
        <v/>
      </c>
      <c r="R40" t="str">
        <f t="shared" si="20"/>
        <v/>
      </c>
      <c r="S40" t="str">
        <f t="shared" si="20"/>
        <v/>
      </c>
      <c r="T40" t="str">
        <f t="shared" si="20"/>
        <v/>
      </c>
      <c r="U40" t="str">
        <f t="shared" si="20"/>
        <v/>
      </c>
      <c r="V40" t="str">
        <f t="shared" si="21"/>
        <v/>
      </c>
      <c r="W40" t="str">
        <f t="shared" si="21"/>
        <v/>
      </c>
      <c r="X40" t="str">
        <f t="shared" si="21"/>
        <v/>
      </c>
      <c r="Y40" t="str">
        <f t="shared" si="21"/>
        <v/>
      </c>
      <c r="Z40" t="str">
        <f t="shared" si="21"/>
        <v/>
      </c>
      <c r="AA40">
        <f t="shared" si="21"/>
        <v>1</v>
      </c>
      <c r="AB40">
        <f t="shared" si="21"/>
        <v>1</v>
      </c>
      <c r="AC40">
        <f t="shared" si="21"/>
        <v>1</v>
      </c>
      <c r="AD40">
        <f t="shared" si="21"/>
        <v>1</v>
      </c>
      <c r="AE40">
        <f t="shared" si="21"/>
        <v>1</v>
      </c>
      <c r="AF40">
        <f t="shared" si="22"/>
        <v>1</v>
      </c>
      <c r="AG40">
        <f t="shared" si="22"/>
        <v>1</v>
      </c>
      <c r="AH40">
        <f t="shared" si="22"/>
        <v>1</v>
      </c>
      <c r="AI40">
        <f t="shared" si="22"/>
        <v>1</v>
      </c>
      <c r="AJ40">
        <f t="shared" si="22"/>
        <v>1</v>
      </c>
      <c r="AK40">
        <f t="shared" si="22"/>
        <v>1</v>
      </c>
      <c r="AL40">
        <f t="shared" si="22"/>
        <v>1</v>
      </c>
      <c r="AM40">
        <f t="shared" si="22"/>
        <v>1</v>
      </c>
      <c r="AN40">
        <f t="shared" si="22"/>
        <v>1</v>
      </c>
      <c r="AO40">
        <f t="shared" si="22"/>
        <v>1</v>
      </c>
      <c r="AP40">
        <f t="shared" si="23"/>
        <v>1</v>
      </c>
      <c r="AQ40">
        <f t="shared" si="23"/>
        <v>1</v>
      </c>
      <c r="AR40">
        <f t="shared" si="23"/>
        <v>1</v>
      </c>
      <c r="AS40">
        <f t="shared" si="23"/>
        <v>1</v>
      </c>
      <c r="AT40">
        <f t="shared" si="23"/>
        <v>1</v>
      </c>
      <c r="AU40">
        <f t="shared" si="23"/>
        <v>1</v>
      </c>
      <c r="AV40">
        <f t="shared" si="23"/>
        <v>1</v>
      </c>
      <c r="AW40">
        <f t="shared" si="23"/>
        <v>1</v>
      </c>
      <c r="AX40">
        <f t="shared" si="23"/>
        <v>1</v>
      </c>
      <c r="AY40">
        <f t="shared" si="23"/>
        <v>1</v>
      </c>
      <c r="AZ40">
        <f t="shared" si="24"/>
        <v>1</v>
      </c>
      <c r="BA40">
        <f t="shared" si="24"/>
        <v>1</v>
      </c>
      <c r="BB40">
        <f t="shared" si="24"/>
        <v>1</v>
      </c>
      <c r="BC40">
        <f t="shared" si="24"/>
        <v>1</v>
      </c>
      <c r="BD40">
        <f t="shared" si="24"/>
        <v>1</v>
      </c>
      <c r="BE40">
        <f t="shared" si="24"/>
        <v>1</v>
      </c>
      <c r="BF40">
        <f t="shared" si="24"/>
        <v>1</v>
      </c>
      <c r="BG40">
        <f t="shared" si="24"/>
        <v>1</v>
      </c>
      <c r="BH40">
        <f t="shared" si="24"/>
        <v>1</v>
      </c>
      <c r="BI40">
        <f t="shared" si="24"/>
        <v>1</v>
      </c>
      <c r="BJ40">
        <f t="shared" si="25"/>
        <v>1</v>
      </c>
      <c r="BK40">
        <f t="shared" si="25"/>
        <v>1</v>
      </c>
      <c r="BL40">
        <f t="shared" si="25"/>
        <v>1</v>
      </c>
      <c r="BM40">
        <f t="shared" si="25"/>
        <v>1</v>
      </c>
      <c r="BN40">
        <f t="shared" si="25"/>
        <v>1</v>
      </c>
      <c r="BO40">
        <f t="shared" si="25"/>
        <v>1</v>
      </c>
      <c r="BP40">
        <f t="shared" si="25"/>
        <v>1</v>
      </c>
      <c r="BQ40">
        <f t="shared" si="25"/>
        <v>1</v>
      </c>
      <c r="BR40">
        <f t="shared" si="25"/>
        <v>1</v>
      </c>
    </row>
    <row r="41" spans="1:70" ht="15" customHeight="1" x14ac:dyDescent="0.3">
      <c r="A41" t="s">
        <v>427</v>
      </c>
      <c r="B41">
        <v>46</v>
      </c>
      <c r="C41" t="s">
        <v>395</v>
      </c>
      <c r="D41">
        <v>1</v>
      </c>
      <c r="E41" s="62">
        <v>46194.291666666657</v>
      </c>
      <c r="F41" s="62">
        <v>46246.291666666657</v>
      </c>
      <c r="G41" t="s">
        <v>26</v>
      </c>
      <c r="H41" t="str">
        <f t="shared" si="26"/>
        <v>Aug-2026</v>
      </c>
      <c r="I41" t="s">
        <v>29</v>
      </c>
      <c r="J41" s="67">
        <f t="shared" si="27"/>
        <v>46276.291666666657</v>
      </c>
      <c r="K41" t="s">
        <v>17</v>
      </c>
      <c r="L41" t="str">
        <f t="shared" si="20"/>
        <v/>
      </c>
      <c r="M41" t="str">
        <f t="shared" si="20"/>
        <v/>
      </c>
      <c r="N41" t="str">
        <f t="shared" si="20"/>
        <v/>
      </c>
      <c r="O41" t="str">
        <f t="shared" si="20"/>
        <v/>
      </c>
      <c r="P41" t="str">
        <f t="shared" si="20"/>
        <v/>
      </c>
      <c r="Q41" t="str">
        <f t="shared" si="20"/>
        <v/>
      </c>
      <c r="R41" t="str">
        <f t="shared" si="20"/>
        <v/>
      </c>
      <c r="S41" t="str">
        <f t="shared" si="20"/>
        <v/>
      </c>
      <c r="T41" t="str">
        <f t="shared" si="20"/>
        <v/>
      </c>
      <c r="U41" t="str">
        <f t="shared" si="20"/>
        <v/>
      </c>
      <c r="V41" t="str">
        <f t="shared" si="21"/>
        <v/>
      </c>
      <c r="W41" t="str">
        <f t="shared" si="21"/>
        <v/>
      </c>
      <c r="X41" t="str">
        <f t="shared" si="21"/>
        <v/>
      </c>
      <c r="Y41" t="str">
        <f t="shared" si="21"/>
        <v/>
      </c>
      <c r="Z41" t="str">
        <f t="shared" si="21"/>
        <v/>
      </c>
      <c r="AA41" t="str">
        <f t="shared" si="21"/>
        <v/>
      </c>
      <c r="AB41" t="str">
        <f t="shared" si="21"/>
        <v/>
      </c>
      <c r="AC41" t="str">
        <f t="shared" si="21"/>
        <v/>
      </c>
      <c r="AD41" t="str">
        <f t="shared" si="21"/>
        <v/>
      </c>
      <c r="AE41" t="str">
        <f t="shared" si="21"/>
        <v/>
      </c>
      <c r="AF41" t="str">
        <f t="shared" si="22"/>
        <v/>
      </c>
      <c r="AG41" t="str">
        <f t="shared" si="22"/>
        <v/>
      </c>
      <c r="AH41" t="str">
        <f t="shared" si="22"/>
        <v/>
      </c>
      <c r="AI41" t="str">
        <f t="shared" si="22"/>
        <v/>
      </c>
      <c r="AJ41" t="str">
        <f t="shared" si="22"/>
        <v/>
      </c>
      <c r="AK41" t="str">
        <f t="shared" si="22"/>
        <v/>
      </c>
      <c r="AL41" t="str">
        <f t="shared" si="22"/>
        <v/>
      </c>
      <c r="AM41" t="str">
        <f t="shared" si="22"/>
        <v/>
      </c>
      <c r="AN41" t="str">
        <f t="shared" si="22"/>
        <v/>
      </c>
      <c r="AO41" t="str">
        <f t="shared" si="22"/>
        <v/>
      </c>
      <c r="AP41" t="str">
        <f t="shared" si="23"/>
        <v/>
      </c>
      <c r="AQ41" t="str">
        <f t="shared" si="23"/>
        <v/>
      </c>
      <c r="AR41" t="str">
        <f t="shared" si="23"/>
        <v/>
      </c>
      <c r="AS41" t="str">
        <f t="shared" si="23"/>
        <v/>
      </c>
      <c r="AT41" t="str">
        <f t="shared" si="23"/>
        <v/>
      </c>
      <c r="AU41" t="str">
        <f t="shared" si="23"/>
        <v/>
      </c>
      <c r="AV41" t="str">
        <f t="shared" si="23"/>
        <v/>
      </c>
      <c r="AW41" t="str">
        <f t="shared" si="23"/>
        <v/>
      </c>
      <c r="AX41" t="str">
        <f t="shared" si="23"/>
        <v/>
      </c>
      <c r="AY41" t="str">
        <f t="shared" si="23"/>
        <v/>
      </c>
      <c r="AZ41" t="str">
        <f t="shared" si="24"/>
        <v/>
      </c>
      <c r="BA41" t="str">
        <f t="shared" si="24"/>
        <v/>
      </c>
      <c r="BB41" t="str">
        <f t="shared" si="24"/>
        <v/>
      </c>
      <c r="BC41" t="str">
        <f t="shared" si="24"/>
        <v/>
      </c>
      <c r="BD41" t="str">
        <f t="shared" si="24"/>
        <v/>
      </c>
      <c r="BE41" t="str">
        <f t="shared" si="24"/>
        <v/>
      </c>
      <c r="BF41" t="str">
        <f t="shared" si="24"/>
        <v/>
      </c>
      <c r="BG41" t="str">
        <f t="shared" si="24"/>
        <v/>
      </c>
      <c r="BH41" t="str">
        <f t="shared" si="24"/>
        <v/>
      </c>
      <c r="BI41" t="str">
        <f t="shared" si="24"/>
        <v/>
      </c>
      <c r="BJ41" t="str">
        <f t="shared" si="25"/>
        <v/>
      </c>
      <c r="BK41" t="str">
        <f t="shared" si="25"/>
        <v/>
      </c>
      <c r="BL41" t="str">
        <f t="shared" si="25"/>
        <v/>
      </c>
      <c r="BM41" t="str">
        <f t="shared" si="25"/>
        <v/>
      </c>
      <c r="BN41" t="str">
        <f t="shared" si="25"/>
        <v/>
      </c>
      <c r="BO41" t="str">
        <f t="shared" si="25"/>
        <v/>
      </c>
      <c r="BP41" t="str">
        <f t="shared" si="25"/>
        <v/>
      </c>
      <c r="BQ41" t="str">
        <f t="shared" si="25"/>
        <v/>
      </c>
      <c r="BR41" t="str">
        <f t="shared" si="25"/>
        <v/>
      </c>
    </row>
    <row r="42" spans="1:70" ht="15" customHeight="1" x14ac:dyDescent="0.3">
      <c r="A42" t="s">
        <v>428</v>
      </c>
      <c r="B42">
        <v>15</v>
      </c>
      <c r="C42" t="s">
        <v>383</v>
      </c>
      <c r="D42">
        <v>2</v>
      </c>
      <c r="E42" s="62">
        <v>46174.291666666657</v>
      </c>
      <c r="F42" s="62">
        <v>46245.291666666657</v>
      </c>
      <c r="G42" t="s">
        <v>33</v>
      </c>
      <c r="H42" t="str">
        <f t="shared" si="26"/>
        <v>Aug-2026</v>
      </c>
      <c r="I42" t="s">
        <v>29</v>
      </c>
      <c r="J42" s="67">
        <f t="shared" si="27"/>
        <v>46275.291666666657</v>
      </c>
      <c r="K42" t="s">
        <v>17</v>
      </c>
      <c r="L42" t="str">
        <f t="shared" si="20"/>
        <v/>
      </c>
      <c r="M42" t="str">
        <f t="shared" si="20"/>
        <v/>
      </c>
      <c r="N42" t="str">
        <f t="shared" si="20"/>
        <v/>
      </c>
      <c r="O42" t="str">
        <f t="shared" si="20"/>
        <v/>
      </c>
      <c r="P42" t="str">
        <f t="shared" si="20"/>
        <v/>
      </c>
      <c r="Q42" t="str">
        <f t="shared" si="20"/>
        <v/>
      </c>
      <c r="R42" t="str">
        <f t="shared" si="20"/>
        <v/>
      </c>
      <c r="S42" t="str">
        <f t="shared" si="20"/>
        <v/>
      </c>
      <c r="T42" t="str">
        <f t="shared" si="20"/>
        <v/>
      </c>
      <c r="U42" t="str">
        <f t="shared" si="20"/>
        <v/>
      </c>
      <c r="V42" t="str">
        <f t="shared" si="21"/>
        <v/>
      </c>
      <c r="W42" t="str">
        <f t="shared" si="21"/>
        <v/>
      </c>
      <c r="X42" t="str">
        <f t="shared" si="21"/>
        <v/>
      </c>
      <c r="Y42" t="str">
        <f t="shared" si="21"/>
        <v/>
      </c>
      <c r="Z42" t="str">
        <f t="shared" si="21"/>
        <v/>
      </c>
      <c r="AA42" t="str">
        <f t="shared" si="21"/>
        <v/>
      </c>
      <c r="AB42" t="str">
        <f t="shared" si="21"/>
        <v/>
      </c>
      <c r="AC42" t="str">
        <f t="shared" si="21"/>
        <v/>
      </c>
      <c r="AD42" t="str">
        <f t="shared" si="21"/>
        <v/>
      </c>
      <c r="AE42" t="str">
        <f t="shared" si="21"/>
        <v/>
      </c>
      <c r="AF42" t="str">
        <f t="shared" si="22"/>
        <v/>
      </c>
      <c r="AG42" t="str">
        <f t="shared" si="22"/>
        <v/>
      </c>
      <c r="AH42" t="str">
        <f t="shared" si="22"/>
        <v/>
      </c>
      <c r="AI42" t="str">
        <f t="shared" si="22"/>
        <v/>
      </c>
      <c r="AJ42" t="str">
        <f t="shared" si="22"/>
        <v/>
      </c>
      <c r="AK42" t="str">
        <f t="shared" si="22"/>
        <v/>
      </c>
      <c r="AL42" t="str">
        <f t="shared" si="22"/>
        <v/>
      </c>
      <c r="AM42" t="str">
        <f t="shared" si="22"/>
        <v/>
      </c>
      <c r="AN42" t="str">
        <f t="shared" si="22"/>
        <v/>
      </c>
      <c r="AO42" t="str">
        <f t="shared" si="22"/>
        <v/>
      </c>
      <c r="AP42" t="str">
        <f t="shared" si="23"/>
        <v/>
      </c>
      <c r="AQ42" t="str">
        <f t="shared" si="23"/>
        <v/>
      </c>
      <c r="AR42" t="str">
        <f t="shared" si="23"/>
        <v/>
      </c>
      <c r="AS42" t="str">
        <f t="shared" si="23"/>
        <v/>
      </c>
      <c r="AT42" t="str">
        <f t="shared" si="23"/>
        <v/>
      </c>
      <c r="AU42" t="str">
        <f t="shared" si="23"/>
        <v/>
      </c>
      <c r="AV42" t="str">
        <f t="shared" si="23"/>
        <v/>
      </c>
      <c r="AW42" t="str">
        <f t="shared" si="23"/>
        <v/>
      </c>
      <c r="AX42" t="str">
        <f t="shared" si="23"/>
        <v/>
      </c>
      <c r="AY42" t="str">
        <f t="shared" si="23"/>
        <v/>
      </c>
      <c r="AZ42" t="str">
        <f t="shared" si="24"/>
        <v/>
      </c>
      <c r="BA42" t="str">
        <f t="shared" si="24"/>
        <v/>
      </c>
      <c r="BB42" t="str">
        <f t="shared" si="24"/>
        <v/>
      </c>
      <c r="BC42" t="str">
        <f t="shared" si="24"/>
        <v/>
      </c>
      <c r="BD42" t="str">
        <f t="shared" si="24"/>
        <v/>
      </c>
      <c r="BE42" t="str">
        <f t="shared" si="24"/>
        <v/>
      </c>
      <c r="BF42" t="str">
        <f t="shared" si="24"/>
        <v/>
      </c>
      <c r="BG42" t="str">
        <f t="shared" si="24"/>
        <v/>
      </c>
      <c r="BH42" t="str">
        <f t="shared" si="24"/>
        <v/>
      </c>
      <c r="BI42" t="str">
        <f t="shared" si="24"/>
        <v/>
      </c>
      <c r="BJ42" t="str">
        <f t="shared" si="25"/>
        <v/>
      </c>
      <c r="BK42" t="str">
        <f t="shared" si="25"/>
        <v/>
      </c>
      <c r="BL42" t="str">
        <f t="shared" si="25"/>
        <v/>
      </c>
      <c r="BM42" t="str">
        <f t="shared" si="25"/>
        <v/>
      </c>
      <c r="BN42" t="str">
        <f t="shared" si="25"/>
        <v/>
      </c>
      <c r="BO42" t="str">
        <f t="shared" si="25"/>
        <v/>
      </c>
      <c r="BP42" t="str">
        <f t="shared" si="25"/>
        <v/>
      </c>
      <c r="BQ42" t="str">
        <f t="shared" si="25"/>
        <v/>
      </c>
      <c r="BR42" t="str">
        <f t="shared" si="25"/>
        <v/>
      </c>
    </row>
    <row r="43" spans="1:70" ht="15" customHeight="1" x14ac:dyDescent="0.3">
      <c r="A43" t="s">
        <v>429</v>
      </c>
      <c r="B43">
        <v>25</v>
      </c>
      <c r="C43" t="s">
        <v>395</v>
      </c>
      <c r="D43">
        <v>1</v>
      </c>
      <c r="E43" s="62">
        <v>46121.291666666657</v>
      </c>
      <c r="F43" s="62">
        <v>46205.291666666657</v>
      </c>
      <c r="G43" t="s">
        <v>33</v>
      </c>
      <c r="H43" t="str">
        <f t="shared" si="26"/>
        <v>Jul-2026</v>
      </c>
      <c r="I43" t="s">
        <v>29</v>
      </c>
      <c r="J43" s="67">
        <f t="shared" si="27"/>
        <v>46235.291666666657</v>
      </c>
      <c r="K43" t="s">
        <v>31</v>
      </c>
      <c r="L43" t="str">
        <f t="shared" si="20"/>
        <v/>
      </c>
      <c r="M43" t="str">
        <f t="shared" si="20"/>
        <v/>
      </c>
      <c r="N43" t="str">
        <f t="shared" si="20"/>
        <v/>
      </c>
      <c r="O43" t="str">
        <f t="shared" si="20"/>
        <v/>
      </c>
      <c r="P43" t="str">
        <f t="shared" si="20"/>
        <v/>
      </c>
      <c r="Q43" t="str">
        <f t="shared" si="20"/>
        <v/>
      </c>
      <c r="R43" t="str">
        <f t="shared" si="20"/>
        <v/>
      </c>
      <c r="S43" t="str">
        <f t="shared" si="20"/>
        <v/>
      </c>
      <c r="T43">
        <f t="shared" si="20"/>
        <v>1</v>
      </c>
      <c r="U43">
        <f t="shared" si="20"/>
        <v>1</v>
      </c>
      <c r="V43">
        <f t="shared" si="21"/>
        <v>1</v>
      </c>
      <c r="W43">
        <f t="shared" si="21"/>
        <v>1</v>
      </c>
      <c r="X43">
        <f t="shared" si="21"/>
        <v>1</v>
      </c>
      <c r="Y43">
        <f t="shared" si="21"/>
        <v>1</v>
      </c>
      <c r="Z43">
        <f t="shared" si="21"/>
        <v>1</v>
      </c>
      <c r="AA43">
        <f t="shared" si="21"/>
        <v>1</v>
      </c>
      <c r="AB43">
        <f t="shared" si="21"/>
        <v>1</v>
      </c>
      <c r="AC43">
        <f t="shared" si="21"/>
        <v>1</v>
      </c>
      <c r="AD43">
        <f t="shared" si="21"/>
        <v>1</v>
      </c>
      <c r="AE43">
        <f t="shared" si="21"/>
        <v>1</v>
      </c>
      <c r="AF43">
        <f t="shared" si="22"/>
        <v>1</v>
      </c>
      <c r="AG43">
        <f t="shared" si="22"/>
        <v>1</v>
      </c>
      <c r="AH43">
        <f t="shared" si="22"/>
        <v>1</v>
      </c>
      <c r="AI43">
        <f t="shared" si="22"/>
        <v>1</v>
      </c>
      <c r="AJ43">
        <f t="shared" si="22"/>
        <v>1</v>
      </c>
      <c r="AK43">
        <f t="shared" si="22"/>
        <v>1</v>
      </c>
      <c r="AL43">
        <f t="shared" si="22"/>
        <v>1</v>
      </c>
      <c r="AM43">
        <f t="shared" si="22"/>
        <v>1</v>
      </c>
      <c r="AN43">
        <f t="shared" si="22"/>
        <v>1</v>
      </c>
      <c r="AO43">
        <f t="shared" si="22"/>
        <v>1</v>
      </c>
      <c r="AP43">
        <f t="shared" si="23"/>
        <v>1</v>
      </c>
      <c r="AQ43">
        <f t="shared" si="23"/>
        <v>1</v>
      </c>
      <c r="AR43">
        <f t="shared" si="23"/>
        <v>1</v>
      </c>
      <c r="AS43">
        <f t="shared" si="23"/>
        <v>1</v>
      </c>
      <c r="AT43">
        <f t="shared" si="23"/>
        <v>1</v>
      </c>
      <c r="AU43">
        <f t="shared" si="23"/>
        <v>1</v>
      </c>
      <c r="AV43">
        <f t="shared" si="23"/>
        <v>1</v>
      </c>
      <c r="AW43">
        <f t="shared" si="23"/>
        <v>1</v>
      </c>
      <c r="AX43">
        <f t="shared" si="23"/>
        <v>1</v>
      </c>
      <c r="AY43">
        <f t="shared" si="23"/>
        <v>1</v>
      </c>
      <c r="AZ43">
        <f t="shared" si="24"/>
        <v>1</v>
      </c>
      <c r="BA43">
        <f t="shared" si="24"/>
        <v>1</v>
      </c>
      <c r="BB43">
        <f t="shared" si="24"/>
        <v>1</v>
      </c>
      <c r="BC43">
        <f t="shared" si="24"/>
        <v>1</v>
      </c>
      <c r="BD43">
        <f t="shared" si="24"/>
        <v>1</v>
      </c>
      <c r="BE43">
        <f t="shared" si="24"/>
        <v>1</v>
      </c>
      <c r="BF43">
        <f t="shared" si="24"/>
        <v>1</v>
      </c>
      <c r="BG43">
        <f t="shared" si="24"/>
        <v>1</v>
      </c>
      <c r="BH43">
        <f t="shared" si="24"/>
        <v>1</v>
      </c>
      <c r="BI43">
        <f t="shared" si="24"/>
        <v>1</v>
      </c>
      <c r="BJ43">
        <f t="shared" si="25"/>
        <v>1</v>
      </c>
      <c r="BK43">
        <f t="shared" si="25"/>
        <v>1</v>
      </c>
      <c r="BL43">
        <f t="shared" si="25"/>
        <v>1</v>
      </c>
      <c r="BM43">
        <f t="shared" si="25"/>
        <v>1</v>
      </c>
      <c r="BN43">
        <f t="shared" si="25"/>
        <v>1</v>
      </c>
      <c r="BO43">
        <f t="shared" si="25"/>
        <v>1</v>
      </c>
      <c r="BP43">
        <f t="shared" si="25"/>
        <v>1</v>
      </c>
      <c r="BQ43">
        <f t="shared" si="25"/>
        <v>1</v>
      </c>
      <c r="BR43">
        <f t="shared" si="25"/>
        <v>1</v>
      </c>
    </row>
    <row r="44" spans="1:70" ht="15" customHeight="1" x14ac:dyDescent="0.3">
      <c r="A44" t="s">
        <v>430</v>
      </c>
      <c r="B44">
        <v>17</v>
      </c>
      <c r="C44" t="s">
        <v>388</v>
      </c>
      <c r="D44">
        <v>2</v>
      </c>
      <c r="E44" s="62">
        <v>46155.291666666657</v>
      </c>
      <c r="F44" s="62">
        <v>46222.291666666657</v>
      </c>
      <c r="G44" t="s">
        <v>15</v>
      </c>
      <c r="H44" t="str">
        <f t="shared" si="26"/>
        <v>Jul-2026</v>
      </c>
      <c r="I44" t="s">
        <v>20</v>
      </c>
      <c r="J44" s="67">
        <f t="shared" si="27"/>
        <v>46252.291666666657</v>
      </c>
      <c r="K44" t="s">
        <v>17</v>
      </c>
      <c r="L44" t="str">
        <f t="shared" ref="L44:U53" si="28">IF(AND(L$3&gt;=$E44,L$3&lt;=$F44),1,"")</f>
        <v/>
      </c>
      <c r="M44" t="str">
        <f t="shared" si="28"/>
        <v/>
      </c>
      <c r="N44" t="str">
        <f t="shared" si="28"/>
        <v/>
      </c>
      <c r="O44" t="str">
        <f t="shared" si="28"/>
        <v/>
      </c>
      <c r="P44" t="str">
        <f t="shared" si="28"/>
        <v/>
      </c>
      <c r="Q44" t="str">
        <f t="shared" si="28"/>
        <v/>
      </c>
      <c r="R44" t="str">
        <f t="shared" si="28"/>
        <v/>
      </c>
      <c r="S44" t="str">
        <f t="shared" si="28"/>
        <v/>
      </c>
      <c r="T44" t="str">
        <f t="shared" si="28"/>
        <v/>
      </c>
      <c r="U44" t="str">
        <f t="shared" si="28"/>
        <v/>
      </c>
      <c r="V44" t="str">
        <f t="shared" ref="V44:AE53" si="29">IF(AND(V$3&gt;=$E44,V$3&lt;=$F44),1,"")</f>
        <v/>
      </c>
      <c r="W44" t="str">
        <f t="shared" si="29"/>
        <v/>
      </c>
      <c r="X44" t="str">
        <f t="shared" si="29"/>
        <v/>
      </c>
      <c r="Y44" t="str">
        <f t="shared" si="29"/>
        <v/>
      </c>
      <c r="Z44" t="str">
        <f t="shared" si="29"/>
        <v/>
      </c>
      <c r="AA44" t="str">
        <f t="shared" si="29"/>
        <v/>
      </c>
      <c r="AB44" t="str">
        <f t="shared" si="29"/>
        <v/>
      </c>
      <c r="AC44" t="str">
        <f t="shared" si="29"/>
        <v/>
      </c>
      <c r="AD44" t="str">
        <f t="shared" si="29"/>
        <v/>
      </c>
      <c r="AE44" t="str">
        <f t="shared" si="29"/>
        <v/>
      </c>
      <c r="AF44" t="str">
        <f t="shared" ref="AF44:AO53" si="30">IF(AND(AF$3&gt;=$E44,AF$3&lt;=$F44),1,"")</f>
        <v/>
      </c>
      <c r="AG44" t="str">
        <f t="shared" si="30"/>
        <v/>
      </c>
      <c r="AH44" t="str">
        <f t="shared" si="30"/>
        <v/>
      </c>
      <c r="AI44" t="str">
        <f t="shared" si="30"/>
        <v/>
      </c>
      <c r="AJ44" t="str">
        <f t="shared" si="30"/>
        <v/>
      </c>
      <c r="AK44" t="str">
        <f t="shared" si="30"/>
        <v/>
      </c>
      <c r="AL44" t="str">
        <f t="shared" si="30"/>
        <v/>
      </c>
      <c r="AM44" t="str">
        <f t="shared" si="30"/>
        <v/>
      </c>
      <c r="AN44" t="str">
        <f t="shared" si="30"/>
        <v/>
      </c>
      <c r="AO44" t="str">
        <f t="shared" si="30"/>
        <v/>
      </c>
      <c r="AP44" t="str">
        <f t="shared" ref="AP44:AY53" si="31">IF(AND(AP$3&gt;=$E44,AP$3&lt;=$F44),1,"")</f>
        <v/>
      </c>
      <c r="AQ44" t="str">
        <f t="shared" si="31"/>
        <v/>
      </c>
      <c r="AR44" t="str">
        <f t="shared" si="31"/>
        <v/>
      </c>
      <c r="AS44" t="str">
        <f t="shared" si="31"/>
        <v/>
      </c>
      <c r="AT44" t="str">
        <f t="shared" si="31"/>
        <v/>
      </c>
      <c r="AU44" t="str">
        <f t="shared" si="31"/>
        <v/>
      </c>
      <c r="AV44" t="str">
        <f t="shared" si="31"/>
        <v/>
      </c>
      <c r="AW44" t="str">
        <f t="shared" si="31"/>
        <v/>
      </c>
      <c r="AX44" t="str">
        <f t="shared" si="31"/>
        <v/>
      </c>
      <c r="AY44" t="str">
        <f t="shared" si="31"/>
        <v/>
      </c>
      <c r="AZ44" t="str">
        <f t="shared" ref="AZ44:BI53" si="32">IF(AND(AZ$3&gt;=$E44,AZ$3&lt;=$F44),1,"")</f>
        <v/>
      </c>
      <c r="BA44" t="str">
        <f t="shared" si="32"/>
        <v/>
      </c>
      <c r="BB44">
        <f t="shared" si="32"/>
        <v>1</v>
      </c>
      <c r="BC44">
        <f t="shared" si="32"/>
        <v>1</v>
      </c>
      <c r="BD44">
        <f t="shared" si="32"/>
        <v>1</v>
      </c>
      <c r="BE44">
        <f t="shared" si="32"/>
        <v>1</v>
      </c>
      <c r="BF44">
        <f t="shared" si="32"/>
        <v>1</v>
      </c>
      <c r="BG44">
        <f t="shared" si="32"/>
        <v>1</v>
      </c>
      <c r="BH44">
        <f t="shared" si="32"/>
        <v>1</v>
      </c>
      <c r="BI44">
        <f t="shared" si="32"/>
        <v>1</v>
      </c>
      <c r="BJ44">
        <f t="shared" ref="BJ44:BR53" si="33">IF(AND(BJ$3&gt;=$E44,BJ$3&lt;=$F44),1,"")</f>
        <v>1</v>
      </c>
      <c r="BK44">
        <f t="shared" si="33"/>
        <v>1</v>
      </c>
      <c r="BL44">
        <f t="shared" si="33"/>
        <v>1</v>
      </c>
      <c r="BM44">
        <f t="shared" si="33"/>
        <v>1</v>
      </c>
      <c r="BN44">
        <f t="shared" si="33"/>
        <v>1</v>
      </c>
      <c r="BO44">
        <f t="shared" si="33"/>
        <v>1</v>
      </c>
      <c r="BP44">
        <f t="shared" si="33"/>
        <v>1</v>
      </c>
      <c r="BQ44">
        <f t="shared" si="33"/>
        <v>1</v>
      </c>
      <c r="BR44">
        <f t="shared" si="33"/>
        <v>1</v>
      </c>
    </row>
    <row r="45" spans="1:70" ht="15" customHeight="1" x14ac:dyDescent="0.3">
      <c r="A45" t="s">
        <v>431</v>
      </c>
      <c r="B45">
        <v>54</v>
      </c>
      <c r="C45" t="s">
        <v>395</v>
      </c>
      <c r="D45">
        <v>1</v>
      </c>
      <c r="E45" s="62">
        <v>46185.291666666657</v>
      </c>
      <c r="F45" s="62">
        <v>46273.291666666657</v>
      </c>
      <c r="G45" t="s">
        <v>33</v>
      </c>
      <c r="H45" t="str">
        <f t="shared" si="26"/>
        <v>Sep-2026</v>
      </c>
      <c r="I45" t="s">
        <v>16</v>
      </c>
      <c r="J45" s="67">
        <f t="shared" si="27"/>
        <v>46303.291666666657</v>
      </c>
      <c r="K45" t="s">
        <v>17</v>
      </c>
      <c r="L45" t="str">
        <f t="shared" si="28"/>
        <v/>
      </c>
      <c r="M45" t="str">
        <f t="shared" si="28"/>
        <v/>
      </c>
      <c r="N45" t="str">
        <f t="shared" si="28"/>
        <v/>
      </c>
      <c r="O45" t="str">
        <f t="shared" si="28"/>
        <v/>
      </c>
      <c r="P45" t="str">
        <f t="shared" si="28"/>
        <v/>
      </c>
      <c r="Q45" t="str">
        <f t="shared" si="28"/>
        <v/>
      </c>
      <c r="R45" t="str">
        <f t="shared" si="28"/>
        <v/>
      </c>
      <c r="S45" t="str">
        <f t="shared" si="28"/>
        <v/>
      </c>
      <c r="T45" t="str">
        <f t="shared" si="28"/>
        <v/>
      </c>
      <c r="U45" t="str">
        <f t="shared" si="28"/>
        <v/>
      </c>
      <c r="V45" t="str">
        <f t="shared" si="29"/>
        <v/>
      </c>
      <c r="W45" t="str">
        <f t="shared" si="29"/>
        <v/>
      </c>
      <c r="X45" t="str">
        <f t="shared" si="29"/>
        <v/>
      </c>
      <c r="Y45" t="str">
        <f t="shared" si="29"/>
        <v/>
      </c>
      <c r="Z45" t="str">
        <f t="shared" si="29"/>
        <v/>
      </c>
      <c r="AA45" t="str">
        <f t="shared" si="29"/>
        <v/>
      </c>
      <c r="AB45" t="str">
        <f t="shared" si="29"/>
        <v/>
      </c>
      <c r="AC45" t="str">
        <f t="shared" si="29"/>
        <v/>
      </c>
      <c r="AD45" t="str">
        <f t="shared" si="29"/>
        <v/>
      </c>
      <c r="AE45" t="str">
        <f t="shared" si="29"/>
        <v/>
      </c>
      <c r="AF45" t="str">
        <f t="shared" si="30"/>
        <v/>
      </c>
      <c r="AG45" t="str">
        <f t="shared" si="30"/>
        <v/>
      </c>
      <c r="AH45" t="str">
        <f t="shared" si="30"/>
        <v/>
      </c>
      <c r="AI45" t="str">
        <f t="shared" si="30"/>
        <v/>
      </c>
      <c r="AJ45" t="str">
        <f t="shared" si="30"/>
        <v/>
      </c>
      <c r="AK45" t="str">
        <f t="shared" si="30"/>
        <v/>
      </c>
      <c r="AL45" t="str">
        <f t="shared" si="30"/>
        <v/>
      </c>
      <c r="AM45" t="str">
        <f t="shared" si="30"/>
        <v/>
      </c>
      <c r="AN45" t="str">
        <f t="shared" si="30"/>
        <v/>
      </c>
      <c r="AO45" t="str">
        <f t="shared" si="30"/>
        <v/>
      </c>
      <c r="AP45" t="str">
        <f t="shared" si="31"/>
        <v/>
      </c>
      <c r="AQ45" t="str">
        <f t="shared" si="31"/>
        <v/>
      </c>
      <c r="AR45" t="str">
        <f t="shared" si="31"/>
        <v/>
      </c>
      <c r="AS45" t="str">
        <f t="shared" si="31"/>
        <v/>
      </c>
      <c r="AT45" t="str">
        <f t="shared" si="31"/>
        <v/>
      </c>
      <c r="AU45" t="str">
        <f t="shared" si="31"/>
        <v/>
      </c>
      <c r="AV45" t="str">
        <f t="shared" si="31"/>
        <v/>
      </c>
      <c r="AW45" t="str">
        <f t="shared" si="31"/>
        <v/>
      </c>
      <c r="AX45" t="str">
        <f t="shared" si="31"/>
        <v/>
      </c>
      <c r="AY45" t="str">
        <f t="shared" si="31"/>
        <v/>
      </c>
      <c r="AZ45" t="str">
        <f t="shared" si="32"/>
        <v/>
      </c>
      <c r="BA45" t="str">
        <f t="shared" si="32"/>
        <v/>
      </c>
      <c r="BB45" t="str">
        <f t="shared" si="32"/>
        <v/>
      </c>
      <c r="BC45" t="str">
        <f t="shared" si="32"/>
        <v/>
      </c>
      <c r="BD45" t="str">
        <f t="shared" si="32"/>
        <v/>
      </c>
      <c r="BE45" t="str">
        <f t="shared" si="32"/>
        <v/>
      </c>
      <c r="BF45" t="str">
        <f t="shared" si="32"/>
        <v/>
      </c>
      <c r="BG45" t="str">
        <f t="shared" si="32"/>
        <v/>
      </c>
      <c r="BH45" t="str">
        <f t="shared" si="32"/>
        <v/>
      </c>
      <c r="BI45" t="str">
        <f t="shared" si="32"/>
        <v/>
      </c>
      <c r="BJ45" t="str">
        <f t="shared" si="33"/>
        <v/>
      </c>
      <c r="BK45" t="str">
        <f t="shared" si="33"/>
        <v/>
      </c>
      <c r="BL45" t="str">
        <f t="shared" si="33"/>
        <v/>
      </c>
      <c r="BM45" t="str">
        <f t="shared" si="33"/>
        <v/>
      </c>
      <c r="BN45" t="str">
        <f t="shared" si="33"/>
        <v/>
      </c>
      <c r="BO45" t="str">
        <f t="shared" si="33"/>
        <v/>
      </c>
      <c r="BP45" t="str">
        <f t="shared" si="33"/>
        <v/>
      </c>
      <c r="BQ45" t="str">
        <f t="shared" si="33"/>
        <v/>
      </c>
      <c r="BR45" t="str">
        <f t="shared" si="33"/>
        <v/>
      </c>
    </row>
    <row r="46" spans="1:70" ht="15" customHeight="1" x14ac:dyDescent="0.3">
      <c r="A46" t="s">
        <v>432</v>
      </c>
      <c r="B46">
        <v>46</v>
      </c>
      <c r="C46" t="s">
        <v>395</v>
      </c>
      <c r="D46">
        <v>1</v>
      </c>
      <c r="E46" s="62">
        <v>46140.291666666657</v>
      </c>
      <c r="F46" s="62">
        <v>46204.291666666657</v>
      </c>
      <c r="G46" t="s">
        <v>15</v>
      </c>
      <c r="H46" t="str">
        <f t="shared" si="26"/>
        <v>Jul-2026</v>
      </c>
      <c r="I46" t="s">
        <v>20</v>
      </c>
      <c r="J46" s="67">
        <f t="shared" si="27"/>
        <v>46234.291666666657</v>
      </c>
      <c r="K46" t="s">
        <v>27</v>
      </c>
      <c r="L46" t="str">
        <f t="shared" si="28"/>
        <v/>
      </c>
      <c r="M46" t="str">
        <f t="shared" si="28"/>
        <v/>
      </c>
      <c r="N46" t="str">
        <f t="shared" si="28"/>
        <v/>
      </c>
      <c r="O46" t="str">
        <f t="shared" si="28"/>
        <v/>
      </c>
      <c r="P46" t="str">
        <f t="shared" si="28"/>
        <v/>
      </c>
      <c r="Q46" t="str">
        <f t="shared" si="28"/>
        <v/>
      </c>
      <c r="R46" t="str">
        <f t="shared" si="28"/>
        <v/>
      </c>
      <c r="S46" t="str">
        <f t="shared" si="28"/>
        <v/>
      </c>
      <c r="T46" t="str">
        <f t="shared" si="28"/>
        <v/>
      </c>
      <c r="U46" t="str">
        <f t="shared" si="28"/>
        <v/>
      </c>
      <c r="V46" t="str">
        <f t="shared" si="29"/>
        <v/>
      </c>
      <c r="W46" t="str">
        <f t="shared" si="29"/>
        <v/>
      </c>
      <c r="X46" t="str">
        <f t="shared" si="29"/>
        <v/>
      </c>
      <c r="Y46" t="str">
        <f t="shared" si="29"/>
        <v/>
      </c>
      <c r="Z46" t="str">
        <f t="shared" si="29"/>
        <v/>
      </c>
      <c r="AA46" t="str">
        <f t="shared" si="29"/>
        <v/>
      </c>
      <c r="AB46" t="str">
        <f t="shared" si="29"/>
        <v/>
      </c>
      <c r="AC46" t="str">
        <f t="shared" si="29"/>
        <v/>
      </c>
      <c r="AD46" t="str">
        <f t="shared" si="29"/>
        <v/>
      </c>
      <c r="AE46" t="str">
        <f t="shared" si="29"/>
        <v/>
      </c>
      <c r="AF46" t="str">
        <f t="shared" si="30"/>
        <v/>
      </c>
      <c r="AG46" t="str">
        <f t="shared" si="30"/>
        <v/>
      </c>
      <c r="AH46" t="str">
        <f t="shared" si="30"/>
        <v/>
      </c>
      <c r="AI46" t="str">
        <f t="shared" si="30"/>
        <v/>
      </c>
      <c r="AJ46" t="str">
        <f t="shared" si="30"/>
        <v/>
      </c>
      <c r="AK46" t="str">
        <f t="shared" si="30"/>
        <v/>
      </c>
      <c r="AL46" t="str">
        <f t="shared" si="30"/>
        <v/>
      </c>
      <c r="AM46">
        <f t="shared" si="30"/>
        <v>1</v>
      </c>
      <c r="AN46">
        <f t="shared" si="30"/>
        <v>1</v>
      </c>
      <c r="AO46">
        <f t="shared" si="30"/>
        <v>1</v>
      </c>
      <c r="AP46">
        <f t="shared" si="31"/>
        <v>1</v>
      </c>
      <c r="AQ46">
        <f t="shared" si="31"/>
        <v>1</v>
      </c>
      <c r="AR46">
        <f t="shared" si="31"/>
        <v>1</v>
      </c>
      <c r="AS46">
        <f t="shared" si="31"/>
        <v>1</v>
      </c>
      <c r="AT46">
        <f t="shared" si="31"/>
        <v>1</v>
      </c>
      <c r="AU46">
        <f t="shared" si="31"/>
        <v>1</v>
      </c>
      <c r="AV46">
        <f t="shared" si="31"/>
        <v>1</v>
      </c>
      <c r="AW46">
        <f t="shared" si="31"/>
        <v>1</v>
      </c>
      <c r="AX46">
        <f t="shared" si="31"/>
        <v>1</v>
      </c>
      <c r="AY46">
        <f t="shared" si="31"/>
        <v>1</v>
      </c>
      <c r="AZ46">
        <f t="shared" si="32"/>
        <v>1</v>
      </c>
      <c r="BA46">
        <f t="shared" si="32"/>
        <v>1</v>
      </c>
      <c r="BB46">
        <f t="shared" si="32"/>
        <v>1</v>
      </c>
      <c r="BC46">
        <f t="shared" si="32"/>
        <v>1</v>
      </c>
      <c r="BD46">
        <f t="shared" si="32"/>
        <v>1</v>
      </c>
      <c r="BE46">
        <f t="shared" si="32"/>
        <v>1</v>
      </c>
      <c r="BF46">
        <f t="shared" si="32"/>
        <v>1</v>
      </c>
      <c r="BG46">
        <f t="shared" si="32"/>
        <v>1</v>
      </c>
      <c r="BH46">
        <f t="shared" si="32"/>
        <v>1</v>
      </c>
      <c r="BI46">
        <f t="shared" si="32"/>
        <v>1</v>
      </c>
      <c r="BJ46">
        <f t="shared" si="33"/>
        <v>1</v>
      </c>
      <c r="BK46">
        <f t="shared" si="33"/>
        <v>1</v>
      </c>
      <c r="BL46">
        <f t="shared" si="33"/>
        <v>1</v>
      </c>
      <c r="BM46">
        <f t="shared" si="33"/>
        <v>1</v>
      </c>
      <c r="BN46">
        <f t="shared" si="33"/>
        <v>1</v>
      </c>
      <c r="BO46">
        <f t="shared" si="33"/>
        <v>1</v>
      </c>
      <c r="BP46">
        <f t="shared" si="33"/>
        <v>1</v>
      </c>
      <c r="BQ46">
        <f t="shared" si="33"/>
        <v>1</v>
      </c>
      <c r="BR46">
        <f t="shared" si="33"/>
        <v>1</v>
      </c>
    </row>
    <row r="47" spans="1:70" ht="15" customHeight="1" x14ac:dyDescent="0.3">
      <c r="A47" t="s">
        <v>433</v>
      </c>
      <c r="B47">
        <v>54</v>
      </c>
      <c r="C47" t="s">
        <v>395</v>
      </c>
      <c r="D47">
        <v>1</v>
      </c>
      <c r="E47" s="62">
        <v>46174.291666666657</v>
      </c>
      <c r="F47" s="62">
        <v>46232.291666666657</v>
      </c>
      <c r="G47" t="s">
        <v>33</v>
      </c>
      <c r="H47" t="str">
        <f t="shared" si="26"/>
        <v>Jul-2026</v>
      </c>
      <c r="I47" t="s">
        <v>16</v>
      </c>
      <c r="J47" s="67">
        <f t="shared" si="27"/>
        <v>46262.291666666657</v>
      </c>
      <c r="K47" t="s">
        <v>27</v>
      </c>
      <c r="L47" t="str">
        <f t="shared" si="28"/>
        <v/>
      </c>
      <c r="M47" t="str">
        <f t="shared" si="28"/>
        <v/>
      </c>
      <c r="N47" t="str">
        <f t="shared" si="28"/>
        <v/>
      </c>
      <c r="O47" t="str">
        <f t="shared" si="28"/>
        <v/>
      </c>
      <c r="P47" t="str">
        <f t="shared" si="28"/>
        <v/>
      </c>
      <c r="Q47" t="str">
        <f t="shared" si="28"/>
        <v/>
      </c>
      <c r="R47" t="str">
        <f t="shared" si="28"/>
        <v/>
      </c>
      <c r="S47" t="str">
        <f t="shared" si="28"/>
        <v/>
      </c>
      <c r="T47" t="str">
        <f t="shared" si="28"/>
        <v/>
      </c>
      <c r="U47" t="str">
        <f t="shared" si="28"/>
        <v/>
      </c>
      <c r="V47" t="str">
        <f t="shared" si="29"/>
        <v/>
      </c>
      <c r="W47" t="str">
        <f t="shared" si="29"/>
        <v/>
      </c>
      <c r="X47" t="str">
        <f t="shared" si="29"/>
        <v/>
      </c>
      <c r="Y47" t="str">
        <f t="shared" si="29"/>
        <v/>
      </c>
      <c r="Z47" t="str">
        <f t="shared" si="29"/>
        <v/>
      </c>
      <c r="AA47" t="str">
        <f t="shared" si="29"/>
        <v/>
      </c>
      <c r="AB47" t="str">
        <f t="shared" si="29"/>
        <v/>
      </c>
      <c r="AC47" t="str">
        <f t="shared" si="29"/>
        <v/>
      </c>
      <c r="AD47" t="str">
        <f t="shared" si="29"/>
        <v/>
      </c>
      <c r="AE47" t="str">
        <f t="shared" si="29"/>
        <v/>
      </c>
      <c r="AF47" t="str">
        <f t="shared" si="30"/>
        <v/>
      </c>
      <c r="AG47" t="str">
        <f t="shared" si="30"/>
        <v/>
      </c>
      <c r="AH47" t="str">
        <f t="shared" si="30"/>
        <v/>
      </c>
      <c r="AI47" t="str">
        <f t="shared" si="30"/>
        <v/>
      </c>
      <c r="AJ47" t="str">
        <f t="shared" si="30"/>
        <v/>
      </c>
      <c r="AK47" t="str">
        <f t="shared" si="30"/>
        <v/>
      </c>
      <c r="AL47" t="str">
        <f t="shared" si="30"/>
        <v/>
      </c>
      <c r="AM47" t="str">
        <f t="shared" si="30"/>
        <v/>
      </c>
      <c r="AN47" t="str">
        <f t="shared" si="30"/>
        <v/>
      </c>
      <c r="AO47" t="str">
        <f t="shared" si="30"/>
        <v/>
      </c>
      <c r="AP47" t="str">
        <f t="shared" si="31"/>
        <v/>
      </c>
      <c r="AQ47" t="str">
        <f t="shared" si="31"/>
        <v/>
      </c>
      <c r="AR47" t="str">
        <f t="shared" si="31"/>
        <v/>
      </c>
      <c r="AS47" t="str">
        <f t="shared" si="31"/>
        <v/>
      </c>
      <c r="AT47" t="str">
        <f t="shared" si="31"/>
        <v/>
      </c>
      <c r="AU47" t="str">
        <f t="shared" si="31"/>
        <v/>
      </c>
      <c r="AV47" t="str">
        <f t="shared" si="31"/>
        <v/>
      </c>
      <c r="AW47" t="str">
        <f t="shared" si="31"/>
        <v/>
      </c>
      <c r="AX47" t="str">
        <f t="shared" si="31"/>
        <v/>
      </c>
      <c r="AY47" t="str">
        <f t="shared" si="31"/>
        <v/>
      </c>
      <c r="AZ47" t="str">
        <f t="shared" si="32"/>
        <v/>
      </c>
      <c r="BA47" t="str">
        <f t="shared" si="32"/>
        <v/>
      </c>
      <c r="BB47" t="str">
        <f t="shared" si="32"/>
        <v/>
      </c>
      <c r="BC47" t="str">
        <f t="shared" si="32"/>
        <v/>
      </c>
      <c r="BD47" t="str">
        <f t="shared" si="32"/>
        <v/>
      </c>
      <c r="BE47" t="str">
        <f t="shared" si="32"/>
        <v/>
      </c>
      <c r="BF47" t="str">
        <f t="shared" si="32"/>
        <v/>
      </c>
      <c r="BG47" t="str">
        <f t="shared" si="32"/>
        <v/>
      </c>
      <c r="BH47" t="str">
        <f t="shared" si="32"/>
        <v/>
      </c>
      <c r="BI47" t="str">
        <f t="shared" si="32"/>
        <v/>
      </c>
      <c r="BJ47" t="str">
        <f t="shared" si="33"/>
        <v/>
      </c>
      <c r="BK47" t="str">
        <f t="shared" si="33"/>
        <v/>
      </c>
      <c r="BL47" t="str">
        <f t="shared" si="33"/>
        <v/>
      </c>
      <c r="BM47" t="str">
        <f t="shared" si="33"/>
        <v/>
      </c>
      <c r="BN47" t="str">
        <f t="shared" si="33"/>
        <v/>
      </c>
      <c r="BO47" t="str">
        <f t="shared" si="33"/>
        <v/>
      </c>
      <c r="BP47" t="str">
        <f t="shared" si="33"/>
        <v/>
      </c>
      <c r="BQ47" t="str">
        <f t="shared" si="33"/>
        <v/>
      </c>
      <c r="BR47" t="str">
        <f t="shared" si="33"/>
        <v/>
      </c>
    </row>
    <row r="48" spans="1:70" ht="15" customHeight="1" x14ac:dyDescent="0.3">
      <c r="A48" t="s">
        <v>434</v>
      </c>
      <c r="B48">
        <v>34</v>
      </c>
      <c r="C48" t="s">
        <v>395</v>
      </c>
      <c r="D48">
        <v>1</v>
      </c>
      <c r="E48" s="62">
        <v>46188.291666666657</v>
      </c>
      <c r="F48" s="62">
        <v>46269.291666666657</v>
      </c>
      <c r="G48" t="s">
        <v>33</v>
      </c>
      <c r="H48" t="str">
        <f t="shared" si="26"/>
        <v>Sep-2026</v>
      </c>
      <c r="I48" t="s">
        <v>20</v>
      </c>
      <c r="J48" s="67">
        <f t="shared" si="27"/>
        <v>46299.291666666657</v>
      </c>
      <c r="K48" t="s">
        <v>31</v>
      </c>
      <c r="L48" t="str">
        <f t="shared" si="28"/>
        <v/>
      </c>
      <c r="M48" t="str">
        <f t="shared" si="28"/>
        <v/>
      </c>
      <c r="N48" t="str">
        <f t="shared" si="28"/>
        <v/>
      </c>
      <c r="O48" t="str">
        <f t="shared" si="28"/>
        <v/>
      </c>
      <c r="P48" t="str">
        <f t="shared" si="28"/>
        <v/>
      </c>
      <c r="Q48" t="str">
        <f t="shared" si="28"/>
        <v/>
      </c>
      <c r="R48" t="str">
        <f t="shared" si="28"/>
        <v/>
      </c>
      <c r="S48" t="str">
        <f t="shared" si="28"/>
        <v/>
      </c>
      <c r="T48" t="str">
        <f t="shared" si="28"/>
        <v/>
      </c>
      <c r="U48" t="str">
        <f t="shared" si="28"/>
        <v/>
      </c>
      <c r="V48" t="str">
        <f t="shared" si="29"/>
        <v/>
      </c>
      <c r="W48" t="str">
        <f t="shared" si="29"/>
        <v/>
      </c>
      <c r="X48" t="str">
        <f t="shared" si="29"/>
        <v/>
      </c>
      <c r="Y48" t="str">
        <f t="shared" si="29"/>
        <v/>
      </c>
      <c r="Z48" t="str">
        <f t="shared" si="29"/>
        <v/>
      </c>
      <c r="AA48" t="str">
        <f t="shared" si="29"/>
        <v/>
      </c>
      <c r="AB48" t="str">
        <f t="shared" si="29"/>
        <v/>
      </c>
      <c r="AC48" t="str">
        <f t="shared" si="29"/>
        <v/>
      </c>
      <c r="AD48" t="str">
        <f t="shared" si="29"/>
        <v/>
      </c>
      <c r="AE48" t="str">
        <f t="shared" si="29"/>
        <v/>
      </c>
      <c r="AF48" t="str">
        <f t="shared" si="30"/>
        <v/>
      </c>
      <c r="AG48" t="str">
        <f t="shared" si="30"/>
        <v/>
      </c>
      <c r="AH48" t="str">
        <f t="shared" si="30"/>
        <v/>
      </c>
      <c r="AI48" t="str">
        <f t="shared" si="30"/>
        <v/>
      </c>
      <c r="AJ48" t="str">
        <f t="shared" si="30"/>
        <v/>
      </c>
      <c r="AK48" t="str">
        <f t="shared" si="30"/>
        <v/>
      </c>
      <c r="AL48" t="str">
        <f t="shared" si="30"/>
        <v/>
      </c>
      <c r="AM48" t="str">
        <f t="shared" si="30"/>
        <v/>
      </c>
      <c r="AN48" t="str">
        <f t="shared" si="30"/>
        <v/>
      </c>
      <c r="AO48" t="str">
        <f t="shared" si="30"/>
        <v/>
      </c>
      <c r="AP48" t="str">
        <f t="shared" si="31"/>
        <v/>
      </c>
      <c r="AQ48" t="str">
        <f t="shared" si="31"/>
        <v/>
      </c>
      <c r="AR48" t="str">
        <f t="shared" si="31"/>
        <v/>
      </c>
      <c r="AS48" t="str">
        <f t="shared" si="31"/>
        <v/>
      </c>
      <c r="AT48" t="str">
        <f t="shared" si="31"/>
        <v/>
      </c>
      <c r="AU48" t="str">
        <f t="shared" si="31"/>
        <v/>
      </c>
      <c r="AV48" t="str">
        <f t="shared" si="31"/>
        <v/>
      </c>
      <c r="AW48" t="str">
        <f t="shared" si="31"/>
        <v/>
      </c>
      <c r="AX48" t="str">
        <f t="shared" si="31"/>
        <v/>
      </c>
      <c r="AY48" t="str">
        <f t="shared" si="31"/>
        <v/>
      </c>
      <c r="AZ48" t="str">
        <f t="shared" si="32"/>
        <v/>
      </c>
      <c r="BA48" t="str">
        <f t="shared" si="32"/>
        <v/>
      </c>
      <c r="BB48" t="str">
        <f t="shared" si="32"/>
        <v/>
      </c>
      <c r="BC48" t="str">
        <f t="shared" si="32"/>
        <v/>
      </c>
      <c r="BD48" t="str">
        <f t="shared" si="32"/>
        <v/>
      </c>
      <c r="BE48" t="str">
        <f t="shared" si="32"/>
        <v/>
      </c>
      <c r="BF48" t="str">
        <f t="shared" si="32"/>
        <v/>
      </c>
      <c r="BG48" t="str">
        <f t="shared" si="32"/>
        <v/>
      </c>
      <c r="BH48" t="str">
        <f t="shared" si="32"/>
        <v/>
      </c>
      <c r="BI48" t="str">
        <f t="shared" si="32"/>
        <v/>
      </c>
      <c r="BJ48" t="str">
        <f t="shared" si="33"/>
        <v/>
      </c>
      <c r="BK48" t="str">
        <f t="shared" si="33"/>
        <v/>
      </c>
      <c r="BL48" t="str">
        <f t="shared" si="33"/>
        <v/>
      </c>
      <c r="BM48" t="str">
        <f t="shared" si="33"/>
        <v/>
      </c>
      <c r="BN48" t="str">
        <f t="shared" si="33"/>
        <v/>
      </c>
      <c r="BO48" t="str">
        <f t="shared" si="33"/>
        <v/>
      </c>
      <c r="BP48" t="str">
        <f t="shared" si="33"/>
        <v/>
      </c>
      <c r="BQ48" t="str">
        <f t="shared" si="33"/>
        <v/>
      </c>
      <c r="BR48" t="str">
        <f t="shared" si="33"/>
        <v/>
      </c>
    </row>
    <row r="49" spans="1:70" ht="15" customHeight="1" x14ac:dyDescent="0.3">
      <c r="A49" t="s">
        <v>435</v>
      </c>
      <c r="B49">
        <v>54</v>
      </c>
      <c r="C49" t="s">
        <v>398</v>
      </c>
      <c r="D49">
        <v>2</v>
      </c>
      <c r="E49" s="62">
        <v>46185.291666666657</v>
      </c>
      <c r="F49" s="62">
        <v>46240.291666666657</v>
      </c>
      <c r="G49" t="s">
        <v>26</v>
      </c>
      <c r="H49" t="str">
        <f t="shared" si="26"/>
        <v>Aug-2026</v>
      </c>
      <c r="I49" t="s">
        <v>16</v>
      </c>
      <c r="J49" s="67">
        <f t="shared" si="27"/>
        <v>46270.291666666657</v>
      </c>
      <c r="K49" t="s">
        <v>17</v>
      </c>
      <c r="L49" t="str">
        <f t="shared" si="28"/>
        <v/>
      </c>
      <c r="M49" t="str">
        <f t="shared" si="28"/>
        <v/>
      </c>
      <c r="N49" t="str">
        <f t="shared" si="28"/>
        <v/>
      </c>
      <c r="O49" t="str">
        <f t="shared" si="28"/>
        <v/>
      </c>
      <c r="P49" t="str">
        <f t="shared" si="28"/>
        <v/>
      </c>
      <c r="Q49" t="str">
        <f t="shared" si="28"/>
        <v/>
      </c>
      <c r="R49" t="str">
        <f t="shared" si="28"/>
        <v/>
      </c>
      <c r="S49" t="str">
        <f t="shared" si="28"/>
        <v/>
      </c>
      <c r="T49" t="str">
        <f t="shared" si="28"/>
        <v/>
      </c>
      <c r="U49" t="str">
        <f t="shared" si="28"/>
        <v/>
      </c>
      <c r="V49" t="str">
        <f t="shared" si="29"/>
        <v/>
      </c>
      <c r="W49" t="str">
        <f t="shared" si="29"/>
        <v/>
      </c>
      <c r="X49" t="str">
        <f t="shared" si="29"/>
        <v/>
      </c>
      <c r="Y49" t="str">
        <f t="shared" si="29"/>
        <v/>
      </c>
      <c r="Z49" t="str">
        <f t="shared" si="29"/>
        <v/>
      </c>
      <c r="AA49" t="str">
        <f t="shared" si="29"/>
        <v/>
      </c>
      <c r="AB49" t="str">
        <f t="shared" si="29"/>
        <v/>
      </c>
      <c r="AC49" t="str">
        <f t="shared" si="29"/>
        <v/>
      </c>
      <c r="AD49" t="str">
        <f t="shared" si="29"/>
        <v/>
      </c>
      <c r="AE49" t="str">
        <f t="shared" si="29"/>
        <v/>
      </c>
      <c r="AF49" t="str">
        <f t="shared" si="30"/>
        <v/>
      </c>
      <c r="AG49" t="str">
        <f t="shared" si="30"/>
        <v/>
      </c>
      <c r="AH49" t="str">
        <f t="shared" si="30"/>
        <v/>
      </c>
      <c r="AI49" t="str">
        <f t="shared" si="30"/>
        <v/>
      </c>
      <c r="AJ49" t="str">
        <f t="shared" si="30"/>
        <v/>
      </c>
      <c r="AK49" t="str">
        <f t="shared" si="30"/>
        <v/>
      </c>
      <c r="AL49" t="str">
        <f t="shared" si="30"/>
        <v/>
      </c>
      <c r="AM49" t="str">
        <f t="shared" si="30"/>
        <v/>
      </c>
      <c r="AN49" t="str">
        <f t="shared" si="30"/>
        <v/>
      </c>
      <c r="AO49" t="str">
        <f t="shared" si="30"/>
        <v/>
      </c>
      <c r="AP49" t="str">
        <f t="shared" si="31"/>
        <v/>
      </c>
      <c r="AQ49" t="str">
        <f t="shared" si="31"/>
        <v/>
      </c>
      <c r="AR49" t="str">
        <f t="shared" si="31"/>
        <v/>
      </c>
      <c r="AS49" t="str">
        <f t="shared" si="31"/>
        <v/>
      </c>
      <c r="AT49" t="str">
        <f t="shared" si="31"/>
        <v/>
      </c>
      <c r="AU49" t="str">
        <f t="shared" si="31"/>
        <v/>
      </c>
      <c r="AV49" t="str">
        <f t="shared" si="31"/>
        <v/>
      </c>
      <c r="AW49" t="str">
        <f t="shared" si="31"/>
        <v/>
      </c>
      <c r="AX49" t="str">
        <f t="shared" si="31"/>
        <v/>
      </c>
      <c r="AY49" t="str">
        <f t="shared" si="31"/>
        <v/>
      </c>
      <c r="AZ49" t="str">
        <f t="shared" si="32"/>
        <v/>
      </c>
      <c r="BA49" t="str">
        <f t="shared" si="32"/>
        <v/>
      </c>
      <c r="BB49" t="str">
        <f t="shared" si="32"/>
        <v/>
      </c>
      <c r="BC49" t="str">
        <f t="shared" si="32"/>
        <v/>
      </c>
      <c r="BD49" t="str">
        <f t="shared" si="32"/>
        <v/>
      </c>
      <c r="BE49" t="str">
        <f t="shared" si="32"/>
        <v/>
      </c>
      <c r="BF49" t="str">
        <f t="shared" si="32"/>
        <v/>
      </c>
      <c r="BG49" t="str">
        <f t="shared" si="32"/>
        <v/>
      </c>
      <c r="BH49" t="str">
        <f t="shared" si="32"/>
        <v/>
      </c>
      <c r="BI49" t="str">
        <f t="shared" si="32"/>
        <v/>
      </c>
      <c r="BJ49" t="str">
        <f t="shared" si="33"/>
        <v/>
      </c>
      <c r="BK49" t="str">
        <f t="shared" si="33"/>
        <v/>
      </c>
      <c r="BL49" t="str">
        <f t="shared" si="33"/>
        <v/>
      </c>
      <c r="BM49" t="str">
        <f t="shared" si="33"/>
        <v/>
      </c>
      <c r="BN49" t="str">
        <f t="shared" si="33"/>
        <v/>
      </c>
      <c r="BO49" t="str">
        <f t="shared" si="33"/>
        <v/>
      </c>
      <c r="BP49" t="str">
        <f t="shared" si="33"/>
        <v/>
      </c>
      <c r="BQ49" t="str">
        <f t="shared" si="33"/>
        <v/>
      </c>
      <c r="BR49" t="str">
        <f t="shared" si="33"/>
        <v/>
      </c>
    </row>
    <row r="50" spans="1:70" ht="15" customHeight="1" x14ac:dyDescent="0.3">
      <c r="A50" t="s">
        <v>436</v>
      </c>
      <c r="B50">
        <v>50</v>
      </c>
      <c r="C50" t="s">
        <v>386</v>
      </c>
      <c r="D50">
        <v>3</v>
      </c>
      <c r="E50" s="62">
        <v>46146.291666666657</v>
      </c>
      <c r="F50" s="62">
        <v>46221.291666666657</v>
      </c>
      <c r="G50" t="s">
        <v>15</v>
      </c>
      <c r="H50" t="str">
        <f t="shared" si="26"/>
        <v>Jul-2026</v>
      </c>
      <c r="I50" t="s">
        <v>20</v>
      </c>
      <c r="J50" s="67">
        <f t="shared" si="27"/>
        <v>46251.291666666657</v>
      </c>
      <c r="K50" t="s">
        <v>392</v>
      </c>
      <c r="L50" t="str">
        <f t="shared" si="28"/>
        <v/>
      </c>
      <c r="M50" t="str">
        <f t="shared" si="28"/>
        <v/>
      </c>
      <c r="N50" t="str">
        <f t="shared" si="28"/>
        <v/>
      </c>
      <c r="O50" t="str">
        <f t="shared" si="28"/>
        <v/>
      </c>
      <c r="P50" t="str">
        <f t="shared" si="28"/>
        <v/>
      </c>
      <c r="Q50" t="str">
        <f t="shared" si="28"/>
        <v/>
      </c>
      <c r="R50" t="str">
        <f t="shared" si="28"/>
        <v/>
      </c>
      <c r="S50" t="str">
        <f t="shared" si="28"/>
        <v/>
      </c>
      <c r="T50" t="str">
        <f t="shared" si="28"/>
        <v/>
      </c>
      <c r="U50" t="str">
        <f t="shared" si="28"/>
        <v/>
      </c>
      <c r="V50" t="str">
        <f t="shared" si="29"/>
        <v/>
      </c>
      <c r="W50" t="str">
        <f t="shared" si="29"/>
        <v/>
      </c>
      <c r="X50" t="str">
        <f t="shared" si="29"/>
        <v/>
      </c>
      <c r="Y50" t="str">
        <f t="shared" si="29"/>
        <v/>
      </c>
      <c r="Z50" t="str">
        <f t="shared" si="29"/>
        <v/>
      </c>
      <c r="AA50" t="str">
        <f t="shared" si="29"/>
        <v/>
      </c>
      <c r="AB50" t="str">
        <f t="shared" si="29"/>
        <v/>
      </c>
      <c r="AC50" t="str">
        <f t="shared" si="29"/>
        <v/>
      </c>
      <c r="AD50" t="str">
        <f t="shared" si="29"/>
        <v/>
      </c>
      <c r="AE50" t="str">
        <f t="shared" si="29"/>
        <v/>
      </c>
      <c r="AF50" t="str">
        <f t="shared" si="30"/>
        <v/>
      </c>
      <c r="AG50" t="str">
        <f t="shared" si="30"/>
        <v/>
      </c>
      <c r="AH50" t="str">
        <f t="shared" si="30"/>
        <v/>
      </c>
      <c r="AI50" t="str">
        <f t="shared" si="30"/>
        <v/>
      </c>
      <c r="AJ50" t="str">
        <f t="shared" si="30"/>
        <v/>
      </c>
      <c r="AK50" t="str">
        <f t="shared" si="30"/>
        <v/>
      </c>
      <c r="AL50" t="str">
        <f t="shared" si="30"/>
        <v/>
      </c>
      <c r="AM50" t="str">
        <f t="shared" si="30"/>
        <v/>
      </c>
      <c r="AN50" t="str">
        <f t="shared" si="30"/>
        <v/>
      </c>
      <c r="AO50" t="str">
        <f t="shared" si="30"/>
        <v/>
      </c>
      <c r="AP50" t="str">
        <f t="shared" si="31"/>
        <v/>
      </c>
      <c r="AQ50" t="str">
        <f t="shared" si="31"/>
        <v/>
      </c>
      <c r="AR50" t="str">
        <f t="shared" si="31"/>
        <v/>
      </c>
      <c r="AS50">
        <f t="shared" si="31"/>
        <v>1</v>
      </c>
      <c r="AT50">
        <f t="shared" si="31"/>
        <v>1</v>
      </c>
      <c r="AU50">
        <f t="shared" si="31"/>
        <v>1</v>
      </c>
      <c r="AV50">
        <f t="shared" si="31"/>
        <v>1</v>
      </c>
      <c r="AW50">
        <f t="shared" si="31"/>
        <v>1</v>
      </c>
      <c r="AX50">
        <f t="shared" si="31"/>
        <v>1</v>
      </c>
      <c r="AY50">
        <f t="shared" si="31"/>
        <v>1</v>
      </c>
      <c r="AZ50">
        <f t="shared" si="32"/>
        <v>1</v>
      </c>
      <c r="BA50">
        <f t="shared" si="32"/>
        <v>1</v>
      </c>
      <c r="BB50">
        <f t="shared" si="32"/>
        <v>1</v>
      </c>
      <c r="BC50">
        <f t="shared" si="32"/>
        <v>1</v>
      </c>
      <c r="BD50">
        <f t="shared" si="32"/>
        <v>1</v>
      </c>
      <c r="BE50">
        <f t="shared" si="32"/>
        <v>1</v>
      </c>
      <c r="BF50">
        <f t="shared" si="32"/>
        <v>1</v>
      </c>
      <c r="BG50">
        <f t="shared" si="32"/>
        <v>1</v>
      </c>
      <c r="BH50">
        <f t="shared" si="32"/>
        <v>1</v>
      </c>
      <c r="BI50">
        <f t="shared" si="32"/>
        <v>1</v>
      </c>
      <c r="BJ50">
        <f t="shared" si="33"/>
        <v>1</v>
      </c>
      <c r="BK50">
        <f t="shared" si="33"/>
        <v>1</v>
      </c>
      <c r="BL50">
        <f t="shared" si="33"/>
        <v>1</v>
      </c>
      <c r="BM50">
        <f t="shared" si="33"/>
        <v>1</v>
      </c>
      <c r="BN50">
        <f t="shared" si="33"/>
        <v>1</v>
      </c>
      <c r="BO50">
        <f t="shared" si="33"/>
        <v>1</v>
      </c>
      <c r="BP50">
        <f t="shared" si="33"/>
        <v>1</v>
      </c>
      <c r="BQ50">
        <f t="shared" si="33"/>
        <v>1</v>
      </c>
      <c r="BR50">
        <f t="shared" si="33"/>
        <v>1</v>
      </c>
    </row>
    <row r="51" spans="1:70" ht="15" customHeight="1" x14ac:dyDescent="0.3">
      <c r="A51" t="s">
        <v>437</v>
      </c>
      <c r="B51">
        <v>15</v>
      </c>
      <c r="C51" t="s">
        <v>390</v>
      </c>
      <c r="D51">
        <v>1</v>
      </c>
      <c r="E51" s="62">
        <v>46205.291666666657</v>
      </c>
      <c r="F51" s="62">
        <v>46231.291666666657</v>
      </c>
      <c r="G51" t="s">
        <v>15</v>
      </c>
      <c r="H51" t="str">
        <f t="shared" si="26"/>
        <v>Jul-2026</v>
      </c>
      <c r="I51" t="s">
        <v>16</v>
      </c>
      <c r="J51" s="67">
        <f t="shared" si="27"/>
        <v>46261.291666666657</v>
      </c>
      <c r="K51" t="s">
        <v>17</v>
      </c>
      <c r="L51" t="str">
        <f t="shared" si="28"/>
        <v/>
      </c>
      <c r="M51" t="str">
        <f t="shared" si="28"/>
        <v/>
      </c>
      <c r="N51" t="str">
        <f t="shared" si="28"/>
        <v/>
      </c>
      <c r="O51" t="str">
        <f t="shared" si="28"/>
        <v/>
      </c>
      <c r="P51" t="str">
        <f t="shared" si="28"/>
        <v/>
      </c>
      <c r="Q51" t="str">
        <f t="shared" si="28"/>
        <v/>
      </c>
      <c r="R51" t="str">
        <f t="shared" si="28"/>
        <v/>
      </c>
      <c r="S51" t="str">
        <f t="shared" si="28"/>
        <v/>
      </c>
      <c r="T51" t="str">
        <f t="shared" si="28"/>
        <v/>
      </c>
      <c r="U51" t="str">
        <f t="shared" si="28"/>
        <v/>
      </c>
      <c r="V51" t="str">
        <f t="shared" si="29"/>
        <v/>
      </c>
      <c r="W51" t="str">
        <f t="shared" si="29"/>
        <v/>
      </c>
      <c r="X51" t="str">
        <f t="shared" si="29"/>
        <v/>
      </c>
      <c r="Y51" t="str">
        <f t="shared" si="29"/>
        <v/>
      </c>
      <c r="Z51" t="str">
        <f t="shared" si="29"/>
        <v/>
      </c>
      <c r="AA51" t="str">
        <f t="shared" si="29"/>
        <v/>
      </c>
      <c r="AB51" t="str">
        <f t="shared" si="29"/>
        <v/>
      </c>
      <c r="AC51" t="str">
        <f t="shared" si="29"/>
        <v/>
      </c>
      <c r="AD51" t="str">
        <f t="shared" si="29"/>
        <v/>
      </c>
      <c r="AE51" t="str">
        <f t="shared" si="29"/>
        <v/>
      </c>
      <c r="AF51" t="str">
        <f t="shared" si="30"/>
        <v/>
      </c>
      <c r="AG51" t="str">
        <f t="shared" si="30"/>
        <v/>
      </c>
      <c r="AH51" t="str">
        <f t="shared" si="30"/>
        <v/>
      </c>
      <c r="AI51" t="str">
        <f t="shared" si="30"/>
        <v/>
      </c>
      <c r="AJ51" t="str">
        <f t="shared" si="30"/>
        <v/>
      </c>
      <c r="AK51" t="str">
        <f t="shared" si="30"/>
        <v/>
      </c>
      <c r="AL51" t="str">
        <f t="shared" si="30"/>
        <v/>
      </c>
      <c r="AM51" t="str">
        <f t="shared" si="30"/>
        <v/>
      </c>
      <c r="AN51" t="str">
        <f t="shared" si="30"/>
        <v/>
      </c>
      <c r="AO51" t="str">
        <f t="shared" si="30"/>
        <v/>
      </c>
      <c r="AP51" t="str">
        <f t="shared" si="31"/>
        <v/>
      </c>
      <c r="AQ51" t="str">
        <f t="shared" si="31"/>
        <v/>
      </c>
      <c r="AR51" t="str">
        <f t="shared" si="31"/>
        <v/>
      </c>
      <c r="AS51" t="str">
        <f t="shared" si="31"/>
        <v/>
      </c>
      <c r="AT51" t="str">
        <f t="shared" si="31"/>
        <v/>
      </c>
      <c r="AU51" t="str">
        <f t="shared" si="31"/>
        <v/>
      </c>
      <c r="AV51" t="str">
        <f t="shared" si="31"/>
        <v/>
      </c>
      <c r="AW51" t="str">
        <f t="shared" si="31"/>
        <v/>
      </c>
      <c r="AX51" t="str">
        <f t="shared" si="31"/>
        <v/>
      </c>
      <c r="AY51" t="str">
        <f t="shared" si="31"/>
        <v/>
      </c>
      <c r="AZ51" t="str">
        <f t="shared" si="32"/>
        <v/>
      </c>
      <c r="BA51" t="str">
        <f t="shared" si="32"/>
        <v/>
      </c>
      <c r="BB51" t="str">
        <f t="shared" si="32"/>
        <v/>
      </c>
      <c r="BC51" t="str">
        <f t="shared" si="32"/>
        <v/>
      </c>
      <c r="BD51" t="str">
        <f t="shared" si="32"/>
        <v/>
      </c>
      <c r="BE51" t="str">
        <f t="shared" si="32"/>
        <v/>
      </c>
      <c r="BF51" t="str">
        <f t="shared" si="32"/>
        <v/>
      </c>
      <c r="BG51" t="str">
        <f t="shared" si="32"/>
        <v/>
      </c>
      <c r="BH51" t="str">
        <f t="shared" si="32"/>
        <v/>
      </c>
      <c r="BI51" t="str">
        <f t="shared" si="32"/>
        <v/>
      </c>
      <c r="BJ51" t="str">
        <f t="shared" si="33"/>
        <v/>
      </c>
      <c r="BK51" t="str">
        <f t="shared" si="33"/>
        <v/>
      </c>
      <c r="BL51" t="str">
        <f t="shared" si="33"/>
        <v/>
      </c>
      <c r="BM51" t="str">
        <f t="shared" si="33"/>
        <v/>
      </c>
      <c r="BN51" t="str">
        <f t="shared" si="33"/>
        <v/>
      </c>
      <c r="BO51" t="str">
        <f t="shared" si="33"/>
        <v/>
      </c>
      <c r="BP51" t="str">
        <f t="shared" si="33"/>
        <v/>
      </c>
      <c r="BQ51" t="str">
        <f t="shared" si="33"/>
        <v/>
      </c>
      <c r="BR51" t="str">
        <f t="shared" si="33"/>
        <v/>
      </c>
    </row>
    <row r="52" spans="1:70" ht="15" customHeight="1" x14ac:dyDescent="0.3">
      <c r="A52" t="s">
        <v>438</v>
      </c>
      <c r="B52">
        <v>17</v>
      </c>
      <c r="C52" t="s">
        <v>398</v>
      </c>
      <c r="D52">
        <v>2</v>
      </c>
      <c r="E52" s="62">
        <v>46179.291666666657</v>
      </c>
      <c r="F52" s="62">
        <v>46264.291666666657</v>
      </c>
      <c r="G52" t="s">
        <v>33</v>
      </c>
      <c r="H52" t="str">
        <f t="shared" si="26"/>
        <v>Aug-2026</v>
      </c>
      <c r="I52" t="s">
        <v>20</v>
      </c>
      <c r="J52" s="67">
        <f t="shared" si="27"/>
        <v>46294.291666666657</v>
      </c>
      <c r="K52" t="s">
        <v>31</v>
      </c>
      <c r="L52" t="str">
        <f t="shared" si="28"/>
        <v/>
      </c>
      <c r="M52" t="str">
        <f t="shared" si="28"/>
        <v/>
      </c>
      <c r="N52" t="str">
        <f t="shared" si="28"/>
        <v/>
      </c>
      <c r="O52" t="str">
        <f t="shared" si="28"/>
        <v/>
      </c>
      <c r="P52" t="str">
        <f t="shared" si="28"/>
        <v/>
      </c>
      <c r="Q52" t="str">
        <f t="shared" si="28"/>
        <v/>
      </c>
      <c r="R52" t="str">
        <f t="shared" si="28"/>
        <v/>
      </c>
      <c r="S52" t="str">
        <f t="shared" si="28"/>
        <v/>
      </c>
      <c r="T52" t="str">
        <f t="shared" si="28"/>
        <v/>
      </c>
      <c r="U52" t="str">
        <f t="shared" si="28"/>
        <v/>
      </c>
      <c r="V52" t="str">
        <f t="shared" si="29"/>
        <v/>
      </c>
      <c r="W52" t="str">
        <f t="shared" si="29"/>
        <v/>
      </c>
      <c r="X52" t="str">
        <f t="shared" si="29"/>
        <v/>
      </c>
      <c r="Y52" t="str">
        <f t="shared" si="29"/>
        <v/>
      </c>
      <c r="Z52" t="str">
        <f t="shared" si="29"/>
        <v/>
      </c>
      <c r="AA52" t="str">
        <f t="shared" si="29"/>
        <v/>
      </c>
      <c r="AB52" t="str">
        <f t="shared" si="29"/>
        <v/>
      </c>
      <c r="AC52" t="str">
        <f t="shared" si="29"/>
        <v/>
      </c>
      <c r="AD52" t="str">
        <f t="shared" si="29"/>
        <v/>
      </c>
      <c r="AE52" t="str">
        <f t="shared" si="29"/>
        <v/>
      </c>
      <c r="AF52" t="str">
        <f t="shared" si="30"/>
        <v/>
      </c>
      <c r="AG52" t="str">
        <f t="shared" si="30"/>
        <v/>
      </c>
      <c r="AH52" t="str">
        <f t="shared" si="30"/>
        <v/>
      </c>
      <c r="AI52" t="str">
        <f t="shared" si="30"/>
        <v/>
      </c>
      <c r="AJ52" t="str">
        <f t="shared" si="30"/>
        <v/>
      </c>
      <c r="AK52" t="str">
        <f t="shared" si="30"/>
        <v/>
      </c>
      <c r="AL52" t="str">
        <f t="shared" si="30"/>
        <v/>
      </c>
      <c r="AM52" t="str">
        <f t="shared" si="30"/>
        <v/>
      </c>
      <c r="AN52" t="str">
        <f t="shared" si="30"/>
        <v/>
      </c>
      <c r="AO52" t="str">
        <f t="shared" si="30"/>
        <v/>
      </c>
      <c r="AP52" t="str">
        <f t="shared" si="31"/>
        <v/>
      </c>
      <c r="AQ52" t="str">
        <f t="shared" si="31"/>
        <v/>
      </c>
      <c r="AR52" t="str">
        <f t="shared" si="31"/>
        <v/>
      </c>
      <c r="AS52" t="str">
        <f t="shared" si="31"/>
        <v/>
      </c>
      <c r="AT52" t="str">
        <f t="shared" si="31"/>
        <v/>
      </c>
      <c r="AU52" t="str">
        <f t="shared" si="31"/>
        <v/>
      </c>
      <c r="AV52" t="str">
        <f t="shared" si="31"/>
        <v/>
      </c>
      <c r="AW52" t="str">
        <f t="shared" si="31"/>
        <v/>
      </c>
      <c r="AX52" t="str">
        <f t="shared" si="31"/>
        <v/>
      </c>
      <c r="AY52" t="str">
        <f t="shared" si="31"/>
        <v/>
      </c>
      <c r="AZ52" t="str">
        <f t="shared" si="32"/>
        <v/>
      </c>
      <c r="BA52" t="str">
        <f t="shared" si="32"/>
        <v/>
      </c>
      <c r="BB52" t="str">
        <f t="shared" si="32"/>
        <v/>
      </c>
      <c r="BC52" t="str">
        <f t="shared" si="32"/>
        <v/>
      </c>
      <c r="BD52" t="str">
        <f t="shared" si="32"/>
        <v/>
      </c>
      <c r="BE52" t="str">
        <f t="shared" si="32"/>
        <v/>
      </c>
      <c r="BF52" t="str">
        <f t="shared" si="32"/>
        <v/>
      </c>
      <c r="BG52" t="str">
        <f t="shared" si="32"/>
        <v/>
      </c>
      <c r="BH52" t="str">
        <f t="shared" si="32"/>
        <v/>
      </c>
      <c r="BI52" t="str">
        <f t="shared" si="32"/>
        <v/>
      </c>
      <c r="BJ52" t="str">
        <f t="shared" si="33"/>
        <v/>
      </c>
      <c r="BK52" t="str">
        <f t="shared" si="33"/>
        <v/>
      </c>
      <c r="BL52" t="str">
        <f t="shared" si="33"/>
        <v/>
      </c>
      <c r="BM52" t="str">
        <f t="shared" si="33"/>
        <v/>
      </c>
      <c r="BN52" t="str">
        <f t="shared" si="33"/>
        <v/>
      </c>
      <c r="BO52" t="str">
        <f t="shared" si="33"/>
        <v/>
      </c>
      <c r="BP52" t="str">
        <f t="shared" si="33"/>
        <v/>
      </c>
      <c r="BQ52" t="str">
        <f t="shared" si="33"/>
        <v/>
      </c>
      <c r="BR52" t="str">
        <f t="shared" si="33"/>
        <v/>
      </c>
    </row>
    <row r="53" spans="1:70" ht="15" customHeight="1" x14ac:dyDescent="0.3">
      <c r="A53" t="s">
        <v>439</v>
      </c>
      <c r="B53">
        <v>17</v>
      </c>
      <c r="C53" t="s">
        <v>390</v>
      </c>
      <c r="D53">
        <v>1</v>
      </c>
      <c r="E53" s="62">
        <v>46219.291666666657</v>
      </c>
      <c r="F53" s="62">
        <v>46244.291666666657</v>
      </c>
      <c r="G53" t="s">
        <v>15</v>
      </c>
      <c r="H53" t="str">
        <f t="shared" si="26"/>
        <v>Aug-2026</v>
      </c>
      <c r="I53" t="s">
        <v>16</v>
      </c>
      <c r="J53" s="67">
        <f t="shared" si="27"/>
        <v>46274.291666666657</v>
      </c>
      <c r="K53" t="s">
        <v>27</v>
      </c>
      <c r="L53" t="str">
        <f t="shared" si="28"/>
        <v/>
      </c>
      <c r="M53" t="str">
        <f t="shared" si="28"/>
        <v/>
      </c>
      <c r="N53" t="str">
        <f t="shared" si="28"/>
        <v/>
      </c>
      <c r="O53" t="str">
        <f t="shared" si="28"/>
        <v/>
      </c>
      <c r="P53" t="str">
        <f t="shared" si="28"/>
        <v/>
      </c>
      <c r="Q53" t="str">
        <f t="shared" si="28"/>
        <v/>
      </c>
      <c r="R53" t="str">
        <f t="shared" si="28"/>
        <v/>
      </c>
      <c r="S53" t="str">
        <f t="shared" si="28"/>
        <v/>
      </c>
      <c r="T53" t="str">
        <f t="shared" si="28"/>
        <v/>
      </c>
      <c r="U53" t="str">
        <f t="shared" si="28"/>
        <v/>
      </c>
      <c r="V53" t="str">
        <f t="shared" si="29"/>
        <v/>
      </c>
      <c r="W53" t="str">
        <f t="shared" si="29"/>
        <v/>
      </c>
      <c r="X53" t="str">
        <f t="shared" si="29"/>
        <v/>
      </c>
      <c r="Y53" t="str">
        <f t="shared" si="29"/>
        <v/>
      </c>
      <c r="Z53" t="str">
        <f t="shared" si="29"/>
        <v/>
      </c>
      <c r="AA53" t="str">
        <f t="shared" si="29"/>
        <v/>
      </c>
      <c r="AB53" t="str">
        <f t="shared" si="29"/>
        <v/>
      </c>
      <c r="AC53" t="str">
        <f t="shared" si="29"/>
        <v/>
      </c>
      <c r="AD53" t="str">
        <f t="shared" si="29"/>
        <v/>
      </c>
      <c r="AE53" t="str">
        <f t="shared" si="29"/>
        <v/>
      </c>
      <c r="AF53" t="str">
        <f t="shared" si="30"/>
        <v/>
      </c>
      <c r="AG53" t="str">
        <f t="shared" si="30"/>
        <v/>
      </c>
      <c r="AH53" t="str">
        <f t="shared" si="30"/>
        <v/>
      </c>
      <c r="AI53" t="str">
        <f t="shared" si="30"/>
        <v/>
      </c>
      <c r="AJ53" t="str">
        <f t="shared" si="30"/>
        <v/>
      </c>
      <c r="AK53" t="str">
        <f t="shared" si="30"/>
        <v/>
      </c>
      <c r="AL53" t="str">
        <f t="shared" si="30"/>
        <v/>
      </c>
      <c r="AM53" t="str">
        <f t="shared" si="30"/>
        <v/>
      </c>
      <c r="AN53" t="str">
        <f t="shared" si="30"/>
        <v/>
      </c>
      <c r="AO53" t="str">
        <f t="shared" si="30"/>
        <v/>
      </c>
      <c r="AP53" t="str">
        <f t="shared" si="31"/>
        <v/>
      </c>
      <c r="AQ53" t="str">
        <f t="shared" si="31"/>
        <v/>
      </c>
      <c r="AR53" t="str">
        <f t="shared" si="31"/>
        <v/>
      </c>
      <c r="AS53" t="str">
        <f t="shared" si="31"/>
        <v/>
      </c>
      <c r="AT53" t="str">
        <f t="shared" si="31"/>
        <v/>
      </c>
      <c r="AU53" t="str">
        <f t="shared" si="31"/>
        <v/>
      </c>
      <c r="AV53" t="str">
        <f t="shared" si="31"/>
        <v/>
      </c>
      <c r="AW53" t="str">
        <f t="shared" si="31"/>
        <v/>
      </c>
      <c r="AX53" t="str">
        <f t="shared" si="31"/>
        <v/>
      </c>
      <c r="AY53" t="str">
        <f t="shared" si="31"/>
        <v/>
      </c>
      <c r="AZ53" t="str">
        <f t="shared" si="32"/>
        <v/>
      </c>
      <c r="BA53" t="str">
        <f t="shared" si="32"/>
        <v/>
      </c>
      <c r="BB53" t="str">
        <f t="shared" si="32"/>
        <v/>
      </c>
      <c r="BC53" t="str">
        <f t="shared" si="32"/>
        <v/>
      </c>
      <c r="BD53" t="str">
        <f t="shared" si="32"/>
        <v/>
      </c>
      <c r="BE53" t="str">
        <f t="shared" si="32"/>
        <v/>
      </c>
      <c r="BF53" t="str">
        <f t="shared" si="32"/>
        <v/>
      </c>
      <c r="BG53" t="str">
        <f t="shared" si="32"/>
        <v/>
      </c>
      <c r="BH53" t="str">
        <f t="shared" si="32"/>
        <v/>
      </c>
      <c r="BI53" t="str">
        <f t="shared" si="32"/>
        <v/>
      </c>
      <c r="BJ53" t="str">
        <f t="shared" si="33"/>
        <v/>
      </c>
      <c r="BK53" t="str">
        <f t="shared" si="33"/>
        <v/>
      </c>
      <c r="BL53" t="str">
        <f t="shared" si="33"/>
        <v/>
      </c>
      <c r="BM53" t="str">
        <f t="shared" si="33"/>
        <v/>
      </c>
      <c r="BN53" t="str">
        <f t="shared" si="33"/>
        <v/>
      </c>
      <c r="BO53" t="str">
        <f t="shared" si="33"/>
        <v/>
      </c>
      <c r="BP53" t="str">
        <f t="shared" si="33"/>
        <v/>
      </c>
      <c r="BQ53" t="str">
        <f t="shared" si="33"/>
        <v/>
      </c>
      <c r="BR53" t="str">
        <f t="shared" si="33"/>
        <v/>
      </c>
    </row>
    <row r="54" spans="1:70" ht="15" customHeight="1" x14ac:dyDescent="0.3"/>
    <row r="55" spans="1:70" ht="15" customHeight="1" x14ac:dyDescent="0.3"/>
    <row r="56" spans="1:70" ht="15" customHeight="1" x14ac:dyDescent="0.3"/>
    <row r="57" spans="1:70" ht="15" customHeight="1" x14ac:dyDescent="0.3"/>
    <row r="58" spans="1:70" ht="15" customHeight="1" x14ac:dyDescent="0.3"/>
    <row r="59" spans="1:70" ht="15" customHeight="1" x14ac:dyDescent="0.3"/>
    <row r="60" spans="1:70" ht="15" customHeight="1" x14ac:dyDescent="0.3"/>
    <row r="61" spans="1:70" ht="15" customHeight="1" x14ac:dyDescent="0.3"/>
    <row r="62" spans="1:70" ht="15" customHeight="1" x14ac:dyDescent="0.3"/>
    <row r="63" spans="1:70" ht="15" customHeight="1" x14ac:dyDescent="0.3"/>
    <row r="64" spans="1:70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  <row r="69" ht="15" customHeight="1" x14ac:dyDescent="0.3"/>
    <row r="70" ht="15" customHeight="1" x14ac:dyDescent="0.3"/>
    <row r="71" ht="15" customHeight="1" x14ac:dyDescent="0.3"/>
    <row r="72" ht="15" customHeight="1" x14ac:dyDescent="0.3"/>
    <row r="73" ht="15" customHeight="1" x14ac:dyDescent="0.3"/>
    <row r="74" ht="15" customHeight="1" x14ac:dyDescent="0.3"/>
    <row r="75" ht="15" customHeight="1" x14ac:dyDescent="0.3"/>
    <row r="76" ht="15" customHeight="1" x14ac:dyDescent="0.3"/>
    <row r="77" ht="15" customHeight="1" x14ac:dyDescent="0.3"/>
    <row r="78" ht="15" customHeight="1" x14ac:dyDescent="0.3"/>
    <row r="79" ht="15" customHeight="1" x14ac:dyDescent="0.3"/>
    <row r="80" ht="15" customHeight="1" x14ac:dyDescent="0.3"/>
    <row r="81" ht="15" customHeight="1" x14ac:dyDescent="0.3"/>
    <row r="82" ht="15" customHeight="1" x14ac:dyDescent="0.3"/>
    <row r="83" ht="15" customHeight="1" x14ac:dyDescent="0.3"/>
    <row r="84" ht="15" customHeight="1" x14ac:dyDescent="0.3"/>
    <row r="85" ht="15" customHeight="1" x14ac:dyDescent="0.3"/>
    <row r="86" ht="15" customHeight="1" x14ac:dyDescent="0.3"/>
    <row r="87" ht="15" customHeight="1" x14ac:dyDescent="0.3"/>
    <row r="88" ht="15" customHeight="1" x14ac:dyDescent="0.3"/>
    <row r="89" ht="15" customHeight="1" x14ac:dyDescent="0.3"/>
    <row r="90" ht="15" customHeight="1" x14ac:dyDescent="0.3"/>
    <row r="91" ht="15" customHeight="1" x14ac:dyDescent="0.3"/>
    <row r="92" ht="15" customHeight="1" x14ac:dyDescent="0.3"/>
    <row r="93" ht="15" customHeight="1" x14ac:dyDescent="0.3"/>
    <row r="94" ht="15" customHeight="1" x14ac:dyDescent="0.3"/>
    <row r="95" ht="15" customHeight="1" x14ac:dyDescent="0.3"/>
    <row r="96" ht="15" customHeight="1" x14ac:dyDescent="0.3"/>
    <row r="97" ht="15" customHeight="1" x14ac:dyDescent="0.3"/>
    <row r="98" ht="15" customHeight="1" x14ac:dyDescent="0.3"/>
    <row r="99" ht="15" customHeight="1" x14ac:dyDescent="0.3"/>
    <row r="100" ht="15" customHeight="1" x14ac:dyDescent="0.3"/>
    <row r="101" ht="15" customHeight="1" x14ac:dyDescent="0.3"/>
    <row r="102" ht="15" customHeight="1" x14ac:dyDescent="0.3"/>
    <row r="103" ht="15" customHeight="1" x14ac:dyDescent="0.3"/>
    <row r="104" ht="15" customHeight="1" x14ac:dyDescent="0.3"/>
    <row r="105" ht="15" customHeight="1" x14ac:dyDescent="0.3"/>
    <row r="106" ht="15" customHeight="1" x14ac:dyDescent="0.3"/>
    <row r="107" ht="15" customHeight="1" x14ac:dyDescent="0.3"/>
    <row r="108" ht="15" customHeight="1" x14ac:dyDescent="0.3"/>
    <row r="109" ht="15" customHeight="1" x14ac:dyDescent="0.3"/>
    <row r="110" ht="15" customHeight="1" x14ac:dyDescent="0.3"/>
    <row r="111" ht="15" customHeight="1" x14ac:dyDescent="0.3"/>
    <row r="112" ht="15" customHeight="1" x14ac:dyDescent="0.3"/>
    <row r="113" ht="15" customHeight="1" x14ac:dyDescent="0.3"/>
    <row r="114" ht="15" customHeight="1" x14ac:dyDescent="0.3"/>
    <row r="115" ht="15" customHeight="1" x14ac:dyDescent="0.3"/>
    <row r="116" ht="15" customHeight="1" x14ac:dyDescent="0.3"/>
    <row r="117" ht="15" customHeight="1" x14ac:dyDescent="0.3"/>
    <row r="118" ht="15" customHeight="1" x14ac:dyDescent="0.3"/>
    <row r="119" ht="15" customHeight="1" x14ac:dyDescent="0.3"/>
    <row r="120" ht="15" customHeight="1" x14ac:dyDescent="0.3"/>
    <row r="121" ht="15" customHeight="1" x14ac:dyDescent="0.3"/>
    <row r="122" ht="15" customHeight="1" x14ac:dyDescent="0.3"/>
    <row r="123" ht="15" customHeight="1" x14ac:dyDescent="0.3"/>
    <row r="124" ht="15" customHeight="1" x14ac:dyDescent="0.3"/>
    <row r="125" ht="15" customHeight="1" x14ac:dyDescent="0.3"/>
    <row r="126" ht="15" customHeight="1" x14ac:dyDescent="0.3"/>
    <row r="127" ht="15" customHeight="1" x14ac:dyDescent="0.3"/>
    <row r="128" ht="15" customHeight="1" x14ac:dyDescent="0.3"/>
    <row r="129" ht="15" customHeight="1" x14ac:dyDescent="0.3"/>
    <row r="130" ht="15" customHeight="1" x14ac:dyDescent="0.3"/>
    <row r="131" ht="15" customHeight="1" x14ac:dyDescent="0.3"/>
    <row r="132" ht="15" customHeight="1" x14ac:dyDescent="0.3"/>
    <row r="133" ht="15" customHeight="1" x14ac:dyDescent="0.3"/>
    <row r="134" ht="15" customHeight="1" x14ac:dyDescent="0.3"/>
    <row r="135" ht="15" customHeight="1" x14ac:dyDescent="0.3"/>
    <row r="136" ht="15" customHeight="1" x14ac:dyDescent="0.3"/>
    <row r="137" ht="15" customHeight="1" x14ac:dyDescent="0.3"/>
    <row r="138" ht="15" customHeight="1" x14ac:dyDescent="0.3"/>
    <row r="139" ht="15" customHeight="1" x14ac:dyDescent="0.3"/>
    <row r="140" ht="15" customHeight="1" x14ac:dyDescent="0.3"/>
    <row r="141" ht="15" customHeight="1" x14ac:dyDescent="0.3"/>
    <row r="142" ht="15" customHeight="1" x14ac:dyDescent="0.3"/>
    <row r="143" ht="15" customHeight="1" x14ac:dyDescent="0.3"/>
    <row r="144" ht="15" customHeight="1" x14ac:dyDescent="0.3"/>
    <row r="145" ht="15" customHeight="1" x14ac:dyDescent="0.3"/>
    <row r="146" ht="15" customHeight="1" x14ac:dyDescent="0.3"/>
    <row r="147" ht="15" customHeight="1" x14ac:dyDescent="0.3"/>
    <row r="148" ht="15" customHeight="1" x14ac:dyDescent="0.3"/>
    <row r="149" ht="15" customHeight="1" x14ac:dyDescent="0.3"/>
    <row r="150" ht="15" customHeight="1" x14ac:dyDescent="0.3"/>
    <row r="151" ht="15" customHeight="1" x14ac:dyDescent="0.3"/>
    <row r="152" ht="15" customHeight="1" x14ac:dyDescent="0.3"/>
    <row r="153" ht="15" customHeight="1" x14ac:dyDescent="0.3"/>
    <row r="154" ht="15" customHeight="1" x14ac:dyDescent="0.3"/>
    <row r="155" ht="15" customHeight="1" x14ac:dyDescent="0.3"/>
    <row r="156" ht="15" customHeight="1" x14ac:dyDescent="0.3"/>
    <row r="157" ht="15" customHeight="1" x14ac:dyDescent="0.3"/>
    <row r="158" ht="15" customHeight="1" x14ac:dyDescent="0.3"/>
    <row r="159" ht="15" customHeight="1" x14ac:dyDescent="0.3"/>
    <row r="160" ht="15" customHeight="1" x14ac:dyDescent="0.3"/>
    <row r="161" ht="15" customHeight="1" x14ac:dyDescent="0.3"/>
    <row r="162" ht="15" customHeight="1" x14ac:dyDescent="0.3"/>
    <row r="163" ht="15" customHeight="1" x14ac:dyDescent="0.3"/>
    <row r="164" ht="15" customHeight="1" x14ac:dyDescent="0.3"/>
    <row r="165" ht="15" customHeight="1" x14ac:dyDescent="0.3"/>
    <row r="166" ht="15" customHeight="1" x14ac:dyDescent="0.3"/>
    <row r="167" ht="15" customHeight="1" x14ac:dyDescent="0.3"/>
    <row r="168" ht="15" customHeight="1" x14ac:dyDescent="0.3"/>
    <row r="169" ht="15" customHeight="1" x14ac:dyDescent="0.3"/>
    <row r="170" ht="15" customHeight="1" x14ac:dyDescent="0.3"/>
    <row r="171" ht="15" customHeight="1" x14ac:dyDescent="0.3"/>
    <row r="172" ht="15" customHeight="1" x14ac:dyDescent="0.3"/>
    <row r="173" ht="15" customHeight="1" x14ac:dyDescent="0.3"/>
    <row r="174" ht="15" customHeight="1" x14ac:dyDescent="0.3"/>
    <row r="175" ht="15" customHeight="1" x14ac:dyDescent="0.3"/>
    <row r="176" ht="15" customHeight="1" x14ac:dyDescent="0.3"/>
    <row r="177" ht="15" customHeight="1" x14ac:dyDescent="0.3"/>
    <row r="178" ht="15" customHeight="1" x14ac:dyDescent="0.3"/>
    <row r="179" ht="15" customHeight="1" x14ac:dyDescent="0.3"/>
    <row r="180" ht="15" customHeight="1" x14ac:dyDescent="0.3"/>
    <row r="181" ht="15" customHeight="1" x14ac:dyDescent="0.3"/>
    <row r="182" ht="15" customHeight="1" x14ac:dyDescent="0.3"/>
    <row r="183" ht="15" customHeight="1" x14ac:dyDescent="0.3"/>
    <row r="184" ht="15" customHeight="1" x14ac:dyDescent="0.3"/>
    <row r="185" ht="15" customHeight="1" x14ac:dyDescent="0.3"/>
    <row r="186" ht="15" customHeight="1" x14ac:dyDescent="0.3"/>
    <row r="187" ht="15" customHeight="1" x14ac:dyDescent="0.3"/>
    <row r="188" ht="15" customHeight="1" x14ac:dyDescent="0.3"/>
    <row r="189" ht="15" customHeight="1" x14ac:dyDescent="0.3"/>
    <row r="190" ht="15" customHeight="1" x14ac:dyDescent="0.3"/>
    <row r="191" ht="15" customHeight="1" x14ac:dyDescent="0.3"/>
    <row r="192" ht="15" customHeight="1" x14ac:dyDescent="0.3"/>
    <row r="193" ht="15" customHeight="1" x14ac:dyDescent="0.3"/>
    <row r="194" ht="15" customHeight="1" x14ac:dyDescent="0.3"/>
    <row r="195" ht="15" customHeight="1" x14ac:dyDescent="0.3"/>
    <row r="196" ht="15" customHeight="1" x14ac:dyDescent="0.3"/>
    <row r="197" ht="15" customHeight="1" x14ac:dyDescent="0.3"/>
    <row r="198" ht="15" customHeight="1" x14ac:dyDescent="0.3"/>
    <row r="199" ht="15" customHeight="1" x14ac:dyDescent="0.3"/>
    <row r="200" ht="15" customHeight="1" x14ac:dyDescent="0.3"/>
    <row r="201" ht="15" customHeight="1" x14ac:dyDescent="0.3"/>
    <row r="202" ht="15" customHeight="1" x14ac:dyDescent="0.3"/>
    <row r="203" ht="15" customHeight="1" x14ac:dyDescent="0.3"/>
    <row r="204" ht="15" customHeight="1" x14ac:dyDescent="0.3"/>
    <row r="205" ht="15" customHeight="1" x14ac:dyDescent="0.3"/>
    <row r="206" ht="15" customHeight="1" x14ac:dyDescent="0.3"/>
    <row r="207" ht="15" customHeight="1" x14ac:dyDescent="0.3"/>
    <row r="208" ht="15" customHeight="1" x14ac:dyDescent="0.3"/>
    <row r="209" ht="15" customHeight="1" x14ac:dyDescent="0.3"/>
    <row r="210" ht="15" customHeight="1" x14ac:dyDescent="0.3"/>
    <row r="211" ht="15" customHeight="1" x14ac:dyDescent="0.3"/>
    <row r="212" ht="15" customHeight="1" x14ac:dyDescent="0.3"/>
    <row r="213" ht="15" customHeight="1" x14ac:dyDescent="0.3"/>
    <row r="214" ht="15" customHeight="1" x14ac:dyDescent="0.3"/>
    <row r="215" ht="15" customHeight="1" x14ac:dyDescent="0.3"/>
    <row r="216" ht="15" customHeight="1" x14ac:dyDescent="0.3"/>
    <row r="217" ht="15" customHeight="1" x14ac:dyDescent="0.3"/>
    <row r="218" ht="15" customHeight="1" x14ac:dyDescent="0.3"/>
    <row r="219" ht="15" customHeight="1" x14ac:dyDescent="0.3"/>
    <row r="220" ht="15" customHeight="1" x14ac:dyDescent="0.3"/>
    <row r="221" ht="15" customHeight="1" x14ac:dyDescent="0.3"/>
    <row r="222" ht="15" customHeight="1" x14ac:dyDescent="0.3"/>
    <row r="223" ht="15" customHeight="1" x14ac:dyDescent="0.3"/>
    <row r="224" ht="15" customHeight="1" x14ac:dyDescent="0.3"/>
    <row r="225" ht="15" customHeight="1" x14ac:dyDescent="0.3"/>
    <row r="226" ht="15" customHeight="1" x14ac:dyDescent="0.3"/>
    <row r="227" ht="15" customHeight="1" x14ac:dyDescent="0.3"/>
    <row r="228" ht="15" customHeight="1" x14ac:dyDescent="0.3"/>
    <row r="229" ht="15" customHeight="1" x14ac:dyDescent="0.3"/>
    <row r="230" ht="15" customHeight="1" x14ac:dyDescent="0.3"/>
    <row r="231" ht="15" customHeight="1" x14ac:dyDescent="0.3"/>
    <row r="232" ht="15" customHeight="1" x14ac:dyDescent="0.3"/>
    <row r="233" ht="15" customHeight="1" x14ac:dyDescent="0.3"/>
    <row r="234" ht="15" customHeight="1" x14ac:dyDescent="0.3"/>
    <row r="235" ht="15" customHeight="1" x14ac:dyDescent="0.3"/>
    <row r="236" ht="15" customHeight="1" x14ac:dyDescent="0.3"/>
    <row r="237" ht="15" customHeight="1" x14ac:dyDescent="0.3"/>
    <row r="238" ht="15" customHeight="1" x14ac:dyDescent="0.3"/>
    <row r="239" ht="15" customHeight="1" x14ac:dyDescent="0.3"/>
    <row r="240" ht="15" customHeight="1" x14ac:dyDescent="0.3"/>
    <row r="241" ht="15" customHeight="1" x14ac:dyDescent="0.3"/>
    <row r="242" ht="15" customHeight="1" x14ac:dyDescent="0.3"/>
    <row r="243" ht="15" customHeight="1" x14ac:dyDescent="0.3"/>
    <row r="244" ht="15" customHeight="1" x14ac:dyDescent="0.3"/>
    <row r="245" ht="15" customHeight="1" x14ac:dyDescent="0.3"/>
    <row r="246" ht="15" customHeight="1" x14ac:dyDescent="0.3"/>
    <row r="247" ht="15" customHeight="1" x14ac:dyDescent="0.3"/>
    <row r="248" ht="15" customHeight="1" x14ac:dyDescent="0.3"/>
    <row r="249" ht="15" customHeight="1" x14ac:dyDescent="0.3"/>
    <row r="250" ht="15" customHeight="1" x14ac:dyDescent="0.3"/>
    <row r="251" ht="15" customHeight="1" x14ac:dyDescent="0.3"/>
    <row r="252" ht="15" customHeight="1" x14ac:dyDescent="0.3"/>
    <row r="253" ht="15" customHeight="1" x14ac:dyDescent="0.3"/>
    <row r="254" ht="15" customHeight="1" x14ac:dyDescent="0.3"/>
    <row r="255" ht="15" customHeight="1" x14ac:dyDescent="0.3"/>
    <row r="256" ht="15" customHeight="1" x14ac:dyDescent="0.3"/>
    <row r="257" ht="15" customHeight="1" x14ac:dyDescent="0.3"/>
    <row r="258" ht="15" customHeight="1" x14ac:dyDescent="0.3"/>
    <row r="259" ht="15" customHeight="1" x14ac:dyDescent="0.3"/>
    <row r="260" ht="15" customHeight="1" x14ac:dyDescent="0.3"/>
    <row r="261" ht="15" customHeight="1" x14ac:dyDescent="0.3"/>
    <row r="262" ht="15" customHeight="1" x14ac:dyDescent="0.3"/>
    <row r="263" ht="15" customHeight="1" x14ac:dyDescent="0.3"/>
    <row r="264" ht="15" customHeight="1" x14ac:dyDescent="0.3"/>
    <row r="265" ht="15" customHeight="1" x14ac:dyDescent="0.3"/>
    <row r="266" ht="15" customHeight="1" x14ac:dyDescent="0.3"/>
    <row r="267" ht="15" customHeight="1" x14ac:dyDescent="0.3"/>
    <row r="268" ht="15" customHeight="1" x14ac:dyDescent="0.3"/>
    <row r="269" ht="15" customHeight="1" x14ac:dyDescent="0.3"/>
    <row r="270" ht="15" customHeight="1" x14ac:dyDescent="0.3"/>
    <row r="271" ht="15" customHeight="1" x14ac:dyDescent="0.3"/>
    <row r="272" ht="15" customHeight="1" x14ac:dyDescent="0.3"/>
    <row r="273" ht="15" customHeight="1" x14ac:dyDescent="0.3"/>
    <row r="274" ht="15" customHeight="1" x14ac:dyDescent="0.3"/>
    <row r="275" ht="15" customHeight="1" x14ac:dyDescent="0.3"/>
    <row r="276" ht="15" customHeight="1" x14ac:dyDescent="0.3"/>
    <row r="277" ht="15" customHeight="1" x14ac:dyDescent="0.3"/>
    <row r="278" ht="15" customHeight="1" x14ac:dyDescent="0.3"/>
    <row r="279" ht="15" customHeight="1" x14ac:dyDescent="0.3"/>
    <row r="280" ht="15" customHeight="1" x14ac:dyDescent="0.3"/>
    <row r="281" ht="15" customHeight="1" x14ac:dyDescent="0.3"/>
    <row r="282" ht="15" customHeight="1" x14ac:dyDescent="0.3"/>
    <row r="283" ht="15" customHeight="1" x14ac:dyDescent="0.3"/>
    <row r="284" ht="15" customHeight="1" x14ac:dyDescent="0.3"/>
    <row r="285" ht="15" customHeight="1" x14ac:dyDescent="0.3"/>
    <row r="286" ht="15" customHeight="1" x14ac:dyDescent="0.3"/>
    <row r="287" ht="15" customHeight="1" x14ac:dyDescent="0.3"/>
    <row r="288" ht="15" customHeight="1" x14ac:dyDescent="0.3"/>
    <row r="289" ht="15" customHeight="1" x14ac:dyDescent="0.3"/>
    <row r="290" ht="15" customHeight="1" x14ac:dyDescent="0.3"/>
    <row r="291" ht="15" customHeight="1" x14ac:dyDescent="0.3"/>
    <row r="292" ht="15" customHeight="1" x14ac:dyDescent="0.3"/>
    <row r="293" ht="15" customHeight="1" x14ac:dyDescent="0.3"/>
    <row r="294" ht="15" customHeight="1" x14ac:dyDescent="0.3"/>
    <row r="295" ht="15" customHeight="1" x14ac:dyDescent="0.3"/>
    <row r="296" ht="15" customHeight="1" x14ac:dyDescent="0.3"/>
    <row r="297" ht="15" customHeight="1" x14ac:dyDescent="0.3"/>
    <row r="298" ht="15" customHeight="1" x14ac:dyDescent="0.3"/>
    <row r="299" ht="15" customHeight="1" x14ac:dyDescent="0.3"/>
    <row r="300" ht="15" customHeight="1" x14ac:dyDescent="0.3"/>
    <row r="301" ht="15" customHeight="1" x14ac:dyDescent="0.3"/>
    <row r="302" ht="15" customHeight="1" x14ac:dyDescent="0.3"/>
    <row r="303" ht="15" customHeight="1" x14ac:dyDescent="0.3"/>
    <row r="304" ht="15" customHeight="1" x14ac:dyDescent="0.3"/>
    <row r="305" ht="15" customHeight="1" x14ac:dyDescent="0.3"/>
    <row r="306" ht="15" customHeight="1" x14ac:dyDescent="0.3"/>
    <row r="307" ht="15" customHeight="1" x14ac:dyDescent="0.3"/>
    <row r="308" ht="15" customHeight="1" x14ac:dyDescent="0.3"/>
    <row r="309" ht="15" customHeight="1" x14ac:dyDescent="0.3"/>
    <row r="310" ht="15" customHeight="1" x14ac:dyDescent="0.3"/>
    <row r="311" ht="15" customHeight="1" x14ac:dyDescent="0.3"/>
    <row r="312" ht="15" customHeight="1" x14ac:dyDescent="0.3"/>
    <row r="313" ht="15" customHeight="1" x14ac:dyDescent="0.3"/>
    <row r="314" ht="15" customHeight="1" x14ac:dyDescent="0.3"/>
    <row r="315" ht="15" customHeight="1" x14ac:dyDescent="0.3"/>
    <row r="316" ht="15" customHeight="1" x14ac:dyDescent="0.3"/>
    <row r="317" ht="15" customHeight="1" x14ac:dyDescent="0.3"/>
    <row r="318" ht="15" customHeight="1" x14ac:dyDescent="0.3"/>
    <row r="319" ht="15" customHeight="1" x14ac:dyDescent="0.3"/>
    <row r="320" ht="15" customHeight="1" x14ac:dyDescent="0.3"/>
    <row r="321" ht="15" customHeight="1" x14ac:dyDescent="0.3"/>
    <row r="322" ht="15" customHeight="1" x14ac:dyDescent="0.3"/>
    <row r="323" ht="15" customHeight="1" x14ac:dyDescent="0.3"/>
    <row r="324" ht="15" customHeight="1" x14ac:dyDescent="0.3"/>
    <row r="325" ht="15" customHeight="1" x14ac:dyDescent="0.3"/>
    <row r="326" ht="15" customHeight="1" x14ac:dyDescent="0.3"/>
    <row r="327" ht="15" customHeight="1" x14ac:dyDescent="0.3"/>
    <row r="328" ht="15" customHeight="1" x14ac:dyDescent="0.3"/>
    <row r="329" ht="15" customHeight="1" x14ac:dyDescent="0.3"/>
    <row r="330" ht="15" customHeight="1" x14ac:dyDescent="0.3"/>
    <row r="331" ht="15" customHeight="1" x14ac:dyDescent="0.3"/>
    <row r="332" ht="15" customHeight="1" x14ac:dyDescent="0.3"/>
    <row r="333" ht="15" customHeight="1" x14ac:dyDescent="0.3"/>
    <row r="334" ht="15" customHeight="1" x14ac:dyDescent="0.3"/>
    <row r="335" ht="15" customHeight="1" x14ac:dyDescent="0.3"/>
    <row r="336" ht="15" customHeight="1" x14ac:dyDescent="0.3"/>
    <row r="337" ht="15" customHeight="1" x14ac:dyDescent="0.3"/>
    <row r="338" ht="15" customHeight="1" x14ac:dyDescent="0.3"/>
    <row r="339" ht="15" customHeight="1" x14ac:dyDescent="0.3"/>
    <row r="340" ht="15" customHeight="1" x14ac:dyDescent="0.3"/>
    <row r="341" ht="15" customHeight="1" x14ac:dyDescent="0.3"/>
    <row r="342" ht="15" customHeight="1" x14ac:dyDescent="0.3"/>
    <row r="343" ht="15" customHeight="1" x14ac:dyDescent="0.3"/>
    <row r="344" ht="15" customHeight="1" x14ac:dyDescent="0.3"/>
    <row r="345" ht="15" customHeight="1" x14ac:dyDescent="0.3"/>
    <row r="346" ht="15" customHeight="1" x14ac:dyDescent="0.3"/>
    <row r="347" ht="15" customHeight="1" x14ac:dyDescent="0.3"/>
    <row r="348" ht="15" customHeight="1" x14ac:dyDescent="0.3"/>
    <row r="349" ht="15" customHeight="1" x14ac:dyDescent="0.3"/>
    <row r="350" ht="15" customHeight="1" x14ac:dyDescent="0.3"/>
    <row r="351" ht="15" customHeight="1" x14ac:dyDescent="0.3"/>
    <row r="352" ht="15" customHeight="1" x14ac:dyDescent="0.3"/>
    <row r="353" ht="15" customHeight="1" x14ac:dyDescent="0.3"/>
    <row r="354" ht="15" customHeight="1" x14ac:dyDescent="0.3"/>
    <row r="355" ht="15" customHeight="1" x14ac:dyDescent="0.3"/>
    <row r="356" ht="15" customHeight="1" x14ac:dyDescent="0.3"/>
    <row r="357" ht="15" customHeight="1" x14ac:dyDescent="0.3"/>
    <row r="358" ht="15" customHeight="1" x14ac:dyDescent="0.3"/>
    <row r="359" ht="15" customHeight="1" x14ac:dyDescent="0.3"/>
    <row r="360" ht="15" customHeight="1" x14ac:dyDescent="0.3"/>
    <row r="361" ht="15" customHeight="1" x14ac:dyDescent="0.3"/>
    <row r="362" ht="15" customHeight="1" x14ac:dyDescent="0.3"/>
    <row r="363" ht="15" customHeight="1" x14ac:dyDescent="0.3"/>
    <row r="364" ht="15" customHeight="1" x14ac:dyDescent="0.3"/>
    <row r="365" ht="15" customHeight="1" x14ac:dyDescent="0.3"/>
    <row r="366" ht="15" customHeight="1" x14ac:dyDescent="0.3"/>
    <row r="367" ht="15" customHeight="1" x14ac:dyDescent="0.3"/>
    <row r="368" ht="15" customHeight="1" x14ac:dyDescent="0.3"/>
    <row r="369" ht="15" customHeight="1" x14ac:dyDescent="0.3"/>
    <row r="370" ht="15" customHeight="1" x14ac:dyDescent="0.3"/>
    <row r="371" ht="15" customHeight="1" x14ac:dyDescent="0.3"/>
    <row r="372" ht="15" customHeight="1" x14ac:dyDescent="0.3"/>
    <row r="373" ht="15" customHeight="1" x14ac:dyDescent="0.3"/>
    <row r="374" ht="15" customHeight="1" x14ac:dyDescent="0.3"/>
    <row r="375" ht="15" customHeight="1" x14ac:dyDescent="0.3"/>
    <row r="376" ht="15" customHeight="1" x14ac:dyDescent="0.3"/>
    <row r="377" ht="15" customHeight="1" x14ac:dyDescent="0.3"/>
    <row r="378" ht="15" customHeight="1" x14ac:dyDescent="0.3"/>
    <row r="379" ht="15" customHeight="1" x14ac:dyDescent="0.3"/>
    <row r="380" ht="15" customHeight="1" x14ac:dyDescent="0.3"/>
    <row r="381" ht="15" customHeight="1" x14ac:dyDescent="0.3"/>
    <row r="382" ht="15" customHeight="1" x14ac:dyDescent="0.3"/>
    <row r="383" ht="15" customHeight="1" x14ac:dyDescent="0.3"/>
    <row r="384" ht="15" customHeight="1" x14ac:dyDescent="0.3"/>
    <row r="385" ht="15" customHeight="1" x14ac:dyDescent="0.3"/>
    <row r="386" ht="15" customHeight="1" x14ac:dyDescent="0.3"/>
    <row r="387" ht="15" customHeight="1" x14ac:dyDescent="0.3"/>
    <row r="388" ht="15" customHeight="1" x14ac:dyDescent="0.3"/>
    <row r="389" ht="15" customHeight="1" x14ac:dyDescent="0.3"/>
    <row r="390" ht="15" customHeight="1" x14ac:dyDescent="0.3"/>
    <row r="391" ht="15" customHeight="1" x14ac:dyDescent="0.3"/>
    <row r="392" ht="15" customHeight="1" x14ac:dyDescent="0.3"/>
    <row r="393" ht="15" customHeight="1" x14ac:dyDescent="0.3"/>
    <row r="394" ht="15" customHeight="1" x14ac:dyDescent="0.3"/>
    <row r="395" ht="15" customHeight="1" x14ac:dyDescent="0.3"/>
    <row r="396" ht="15" customHeight="1" x14ac:dyDescent="0.3"/>
    <row r="397" ht="15" customHeight="1" x14ac:dyDescent="0.3"/>
    <row r="398" ht="15" customHeight="1" x14ac:dyDescent="0.3"/>
    <row r="399" ht="15" customHeight="1" x14ac:dyDescent="0.3"/>
    <row r="400" ht="15" customHeight="1" x14ac:dyDescent="0.3"/>
    <row r="401" ht="15" customHeight="1" x14ac:dyDescent="0.3"/>
    <row r="402" ht="15" customHeight="1" x14ac:dyDescent="0.3"/>
    <row r="403" ht="15" customHeight="1" x14ac:dyDescent="0.3"/>
    <row r="404" ht="15" customHeight="1" x14ac:dyDescent="0.3"/>
    <row r="405" ht="15" customHeight="1" x14ac:dyDescent="0.3"/>
    <row r="406" ht="15" customHeight="1" x14ac:dyDescent="0.3"/>
    <row r="407" ht="15" customHeight="1" x14ac:dyDescent="0.3"/>
    <row r="408" ht="15" customHeight="1" x14ac:dyDescent="0.3"/>
    <row r="409" ht="15" customHeight="1" x14ac:dyDescent="0.3"/>
    <row r="410" ht="15" customHeight="1" x14ac:dyDescent="0.3"/>
    <row r="411" ht="15" customHeight="1" x14ac:dyDescent="0.3"/>
    <row r="412" ht="15" customHeight="1" x14ac:dyDescent="0.3"/>
    <row r="413" ht="15" customHeight="1" x14ac:dyDescent="0.3"/>
    <row r="414" ht="15" customHeight="1" x14ac:dyDescent="0.3"/>
    <row r="415" ht="15" customHeight="1" x14ac:dyDescent="0.3"/>
    <row r="416" ht="15" customHeight="1" x14ac:dyDescent="0.3"/>
    <row r="417" ht="15" customHeight="1" x14ac:dyDescent="0.3"/>
    <row r="418" ht="15" customHeight="1" x14ac:dyDescent="0.3"/>
    <row r="419" ht="15" customHeight="1" x14ac:dyDescent="0.3"/>
    <row r="420" ht="15" customHeight="1" x14ac:dyDescent="0.3"/>
    <row r="421" ht="15" customHeight="1" x14ac:dyDescent="0.3"/>
    <row r="422" ht="15" customHeight="1" x14ac:dyDescent="0.3"/>
    <row r="423" ht="15" customHeight="1" x14ac:dyDescent="0.3"/>
    <row r="424" ht="15" customHeight="1" x14ac:dyDescent="0.3"/>
    <row r="425" ht="15" customHeight="1" x14ac:dyDescent="0.3"/>
    <row r="426" ht="15" customHeight="1" x14ac:dyDescent="0.3"/>
    <row r="427" ht="15" customHeight="1" x14ac:dyDescent="0.3"/>
    <row r="428" ht="15" customHeight="1" x14ac:dyDescent="0.3"/>
    <row r="429" ht="15" customHeight="1" x14ac:dyDescent="0.3"/>
    <row r="430" ht="15" customHeight="1" x14ac:dyDescent="0.3"/>
    <row r="431" ht="15" customHeight="1" x14ac:dyDescent="0.3"/>
    <row r="432" ht="15" customHeight="1" x14ac:dyDescent="0.3"/>
    <row r="433" ht="15" customHeight="1" x14ac:dyDescent="0.3"/>
    <row r="434" ht="15" customHeight="1" x14ac:dyDescent="0.3"/>
    <row r="435" ht="15" customHeight="1" x14ac:dyDescent="0.3"/>
    <row r="436" ht="15" customHeight="1" x14ac:dyDescent="0.3"/>
    <row r="437" ht="15" customHeight="1" x14ac:dyDescent="0.3"/>
    <row r="438" ht="15" customHeight="1" x14ac:dyDescent="0.3"/>
    <row r="439" ht="15" customHeight="1" x14ac:dyDescent="0.3"/>
    <row r="440" ht="15" customHeight="1" x14ac:dyDescent="0.3"/>
    <row r="441" ht="15" customHeight="1" x14ac:dyDescent="0.3"/>
    <row r="442" ht="15" customHeight="1" x14ac:dyDescent="0.3"/>
    <row r="443" ht="15" customHeight="1" x14ac:dyDescent="0.3"/>
    <row r="444" ht="15" customHeight="1" x14ac:dyDescent="0.3"/>
    <row r="445" ht="15" customHeight="1" x14ac:dyDescent="0.3"/>
    <row r="446" ht="15" customHeight="1" x14ac:dyDescent="0.3"/>
    <row r="447" ht="15" customHeight="1" x14ac:dyDescent="0.3"/>
    <row r="448" ht="15" customHeight="1" x14ac:dyDescent="0.3"/>
    <row r="449" ht="15" customHeight="1" x14ac:dyDescent="0.3"/>
    <row r="450" ht="15" customHeight="1" x14ac:dyDescent="0.3"/>
    <row r="451" ht="15" customHeight="1" x14ac:dyDescent="0.3"/>
    <row r="452" ht="15" customHeight="1" x14ac:dyDescent="0.3"/>
    <row r="453" ht="15" customHeight="1" x14ac:dyDescent="0.3"/>
    <row r="454" ht="15" customHeight="1" x14ac:dyDescent="0.3"/>
    <row r="455" ht="15" customHeight="1" x14ac:dyDescent="0.3"/>
    <row r="456" ht="15" customHeight="1" x14ac:dyDescent="0.3"/>
    <row r="457" ht="15" customHeight="1" x14ac:dyDescent="0.3"/>
    <row r="458" ht="15" customHeight="1" x14ac:dyDescent="0.3"/>
    <row r="459" ht="15" customHeight="1" x14ac:dyDescent="0.3"/>
    <row r="460" ht="15" customHeight="1" x14ac:dyDescent="0.3"/>
    <row r="461" ht="15" customHeight="1" x14ac:dyDescent="0.3"/>
    <row r="462" ht="15" customHeight="1" x14ac:dyDescent="0.3"/>
    <row r="463" ht="15" customHeight="1" x14ac:dyDescent="0.3"/>
    <row r="464" ht="15" customHeight="1" x14ac:dyDescent="0.3"/>
    <row r="465" ht="15" customHeight="1" x14ac:dyDescent="0.3"/>
    <row r="466" ht="15" customHeight="1" x14ac:dyDescent="0.3"/>
    <row r="467" ht="15" customHeight="1" x14ac:dyDescent="0.3"/>
    <row r="468" ht="15" customHeight="1" x14ac:dyDescent="0.3"/>
    <row r="469" ht="15" customHeight="1" x14ac:dyDescent="0.3"/>
    <row r="470" ht="15" customHeight="1" x14ac:dyDescent="0.3"/>
    <row r="471" ht="15" customHeight="1" x14ac:dyDescent="0.3"/>
    <row r="472" ht="15" customHeight="1" x14ac:dyDescent="0.3"/>
    <row r="473" ht="15" customHeight="1" x14ac:dyDescent="0.3"/>
    <row r="474" ht="15" customHeight="1" x14ac:dyDescent="0.3"/>
    <row r="475" ht="15" customHeight="1" x14ac:dyDescent="0.3"/>
    <row r="476" ht="15" customHeight="1" x14ac:dyDescent="0.3"/>
    <row r="477" ht="15" customHeight="1" x14ac:dyDescent="0.3"/>
    <row r="478" ht="15" customHeight="1" x14ac:dyDescent="0.3"/>
    <row r="479" ht="15" customHeight="1" x14ac:dyDescent="0.3"/>
    <row r="480" ht="15" customHeight="1" x14ac:dyDescent="0.3"/>
    <row r="481" ht="15" customHeight="1" x14ac:dyDescent="0.3"/>
    <row r="482" ht="15" customHeight="1" x14ac:dyDescent="0.3"/>
    <row r="483" ht="15" customHeight="1" x14ac:dyDescent="0.3"/>
    <row r="484" ht="15" customHeight="1" x14ac:dyDescent="0.3"/>
    <row r="485" ht="15" customHeight="1" x14ac:dyDescent="0.3"/>
    <row r="486" ht="15" customHeight="1" x14ac:dyDescent="0.3"/>
    <row r="487" ht="15" customHeight="1" x14ac:dyDescent="0.3"/>
    <row r="488" ht="15" customHeight="1" x14ac:dyDescent="0.3"/>
    <row r="489" ht="15" customHeight="1" x14ac:dyDescent="0.3"/>
    <row r="490" ht="15" customHeight="1" x14ac:dyDescent="0.3"/>
    <row r="491" ht="15" customHeight="1" x14ac:dyDescent="0.3"/>
    <row r="492" ht="15" customHeight="1" x14ac:dyDescent="0.3"/>
    <row r="493" ht="15" customHeight="1" x14ac:dyDescent="0.3"/>
    <row r="494" ht="15" customHeight="1" x14ac:dyDescent="0.3"/>
    <row r="495" ht="15" customHeight="1" x14ac:dyDescent="0.3"/>
    <row r="496" ht="15" customHeight="1" x14ac:dyDescent="0.3"/>
    <row r="497" ht="15" customHeight="1" x14ac:dyDescent="0.3"/>
    <row r="498" ht="15" customHeight="1" x14ac:dyDescent="0.3"/>
    <row r="499" ht="15" customHeight="1" x14ac:dyDescent="0.3"/>
    <row r="500" ht="15" customHeight="1" x14ac:dyDescent="0.3"/>
    <row r="501" ht="15" customHeight="1" x14ac:dyDescent="0.3"/>
    <row r="502" ht="15" customHeight="1" x14ac:dyDescent="0.3"/>
    <row r="503" ht="15" customHeight="1" x14ac:dyDescent="0.3"/>
    <row r="504" ht="15" customHeight="1" x14ac:dyDescent="0.3"/>
    <row r="505" ht="15" customHeight="1" x14ac:dyDescent="0.3"/>
    <row r="506" ht="15" customHeight="1" x14ac:dyDescent="0.3"/>
    <row r="507" ht="15" customHeight="1" x14ac:dyDescent="0.3"/>
    <row r="508" ht="15" customHeight="1" x14ac:dyDescent="0.3"/>
    <row r="509" ht="15" customHeight="1" x14ac:dyDescent="0.3"/>
    <row r="510" ht="15" customHeight="1" x14ac:dyDescent="0.3"/>
    <row r="511" ht="15" customHeight="1" x14ac:dyDescent="0.3"/>
    <row r="512" ht="15" customHeight="1" x14ac:dyDescent="0.3"/>
    <row r="513" ht="15" customHeight="1" x14ac:dyDescent="0.3"/>
    <row r="514" ht="15" customHeight="1" x14ac:dyDescent="0.3"/>
    <row r="515" ht="15" customHeight="1" x14ac:dyDescent="0.3"/>
    <row r="516" ht="15" customHeight="1" x14ac:dyDescent="0.3"/>
    <row r="517" ht="15" customHeight="1" x14ac:dyDescent="0.3"/>
    <row r="518" ht="15" customHeight="1" x14ac:dyDescent="0.3"/>
    <row r="519" ht="15" customHeight="1" x14ac:dyDescent="0.3"/>
    <row r="520" ht="15" customHeight="1" x14ac:dyDescent="0.3"/>
    <row r="521" ht="15" customHeight="1" x14ac:dyDescent="0.3"/>
    <row r="522" ht="15" customHeight="1" x14ac:dyDescent="0.3"/>
    <row r="523" ht="15" customHeight="1" x14ac:dyDescent="0.3"/>
    <row r="524" ht="15" customHeight="1" x14ac:dyDescent="0.3"/>
    <row r="525" ht="15" customHeight="1" x14ac:dyDescent="0.3"/>
    <row r="526" ht="15" customHeight="1" x14ac:dyDescent="0.3"/>
    <row r="527" ht="15" customHeight="1" x14ac:dyDescent="0.3"/>
    <row r="528" ht="15" customHeight="1" x14ac:dyDescent="0.3"/>
    <row r="529" ht="15" customHeight="1" x14ac:dyDescent="0.3"/>
    <row r="530" ht="15" customHeight="1" x14ac:dyDescent="0.3"/>
    <row r="531" ht="15" customHeight="1" x14ac:dyDescent="0.3"/>
    <row r="532" ht="15" customHeight="1" x14ac:dyDescent="0.3"/>
    <row r="533" ht="15" customHeight="1" x14ac:dyDescent="0.3"/>
    <row r="534" ht="15" customHeight="1" x14ac:dyDescent="0.3"/>
    <row r="535" ht="15" customHeight="1" x14ac:dyDescent="0.3"/>
    <row r="536" ht="15" customHeight="1" x14ac:dyDescent="0.3"/>
    <row r="537" ht="15" customHeight="1" x14ac:dyDescent="0.3"/>
    <row r="538" ht="15" customHeight="1" x14ac:dyDescent="0.3"/>
    <row r="539" ht="15" customHeight="1" x14ac:dyDescent="0.3"/>
    <row r="540" ht="15" customHeight="1" x14ac:dyDescent="0.3"/>
    <row r="541" ht="15" customHeight="1" x14ac:dyDescent="0.3"/>
    <row r="542" ht="15" customHeight="1" x14ac:dyDescent="0.3"/>
    <row r="543" ht="15" customHeight="1" x14ac:dyDescent="0.3"/>
    <row r="544" ht="15" customHeight="1" x14ac:dyDescent="0.3"/>
    <row r="545" ht="15" customHeight="1" x14ac:dyDescent="0.3"/>
    <row r="546" ht="15" customHeight="1" x14ac:dyDescent="0.3"/>
    <row r="547" ht="15" customHeight="1" x14ac:dyDescent="0.3"/>
    <row r="548" ht="15" customHeight="1" x14ac:dyDescent="0.3"/>
    <row r="549" ht="15" customHeight="1" x14ac:dyDescent="0.3"/>
    <row r="550" ht="15" customHeight="1" x14ac:dyDescent="0.3"/>
    <row r="551" ht="15" customHeight="1" x14ac:dyDescent="0.3"/>
    <row r="552" ht="15" customHeight="1" x14ac:dyDescent="0.3"/>
    <row r="553" ht="15" customHeight="1" x14ac:dyDescent="0.3"/>
    <row r="554" ht="15" customHeight="1" x14ac:dyDescent="0.3"/>
    <row r="555" ht="15" customHeight="1" x14ac:dyDescent="0.3"/>
    <row r="556" ht="15" customHeight="1" x14ac:dyDescent="0.3"/>
    <row r="557" ht="15" customHeight="1" x14ac:dyDescent="0.3"/>
    <row r="558" ht="15" customHeight="1" x14ac:dyDescent="0.3"/>
    <row r="559" ht="15" customHeight="1" x14ac:dyDescent="0.3"/>
    <row r="560" ht="15" customHeight="1" x14ac:dyDescent="0.3"/>
    <row r="561" ht="15" customHeight="1" x14ac:dyDescent="0.3"/>
    <row r="562" ht="15" customHeight="1" x14ac:dyDescent="0.3"/>
    <row r="563" ht="15" customHeight="1" x14ac:dyDescent="0.3"/>
    <row r="564" ht="15" customHeight="1" x14ac:dyDescent="0.3"/>
    <row r="565" ht="15" customHeight="1" x14ac:dyDescent="0.3"/>
    <row r="566" ht="15" customHeight="1" x14ac:dyDescent="0.3"/>
    <row r="567" ht="15" customHeight="1" x14ac:dyDescent="0.3"/>
    <row r="568" ht="15" customHeight="1" x14ac:dyDescent="0.3"/>
    <row r="569" ht="15" customHeight="1" x14ac:dyDescent="0.3"/>
    <row r="570" ht="15" customHeight="1" x14ac:dyDescent="0.3"/>
    <row r="571" ht="15" customHeight="1" x14ac:dyDescent="0.3"/>
    <row r="572" ht="15" customHeight="1" x14ac:dyDescent="0.3"/>
    <row r="573" ht="15" customHeight="1" x14ac:dyDescent="0.3"/>
    <row r="574" ht="15" customHeight="1" x14ac:dyDescent="0.3"/>
    <row r="575" ht="15" customHeight="1" x14ac:dyDescent="0.3"/>
    <row r="576" ht="15" customHeight="1" x14ac:dyDescent="0.3"/>
    <row r="577" ht="15" customHeight="1" x14ac:dyDescent="0.3"/>
    <row r="578" ht="15" customHeight="1" x14ac:dyDescent="0.3"/>
    <row r="579" ht="15" customHeight="1" x14ac:dyDescent="0.3"/>
    <row r="580" ht="15" customHeight="1" x14ac:dyDescent="0.3"/>
    <row r="581" ht="15" customHeight="1" x14ac:dyDescent="0.3"/>
    <row r="582" ht="15" customHeight="1" x14ac:dyDescent="0.3"/>
    <row r="583" ht="15" customHeight="1" x14ac:dyDescent="0.3"/>
    <row r="584" ht="15" customHeight="1" x14ac:dyDescent="0.3"/>
    <row r="585" ht="15" customHeight="1" x14ac:dyDescent="0.3"/>
    <row r="586" ht="15" customHeight="1" x14ac:dyDescent="0.3"/>
    <row r="587" ht="15" customHeight="1" x14ac:dyDescent="0.3"/>
    <row r="588" ht="15" customHeight="1" x14ac:dyDescent="0.3"/>
    <row r="589" ht="15" customHeight="1" x14ac:dyDescent="0.3"/>
    <row r="590" ht="15" customHeight="1" x14ac:dyDescent="0.3"/>
    <row r="591" ht="15" customHeight="1" x14ac:dyDescent="0.3"/>
    <row r="592" ht="15" customHeight="1" x14ac:dyDescent="0.3"/>
    <row r="593" ht="15" customHeight="1" x14ac:dyDescent="0.3"/>
    <row r="594" ht="15" customHeight="1" x14ac:dyDescent="0.3"/>
    <row r="595" ht="15" customHeight="1" x14ac:dyDescent="0.3"/>
    <row r="596" ht="15" customHeight="1" x14ac:dyDescent="0.3"/>
    <row r="597" ht="15" customHeight="1" x14ac:dyDescent="0.3"/>
    <row r="598" ht="15" customHeight="1" x14ac:dyDescent="0.3"/>
    <row r="599" ht="15" customHeight="1" x14ac:dyDescent="0.3"/>
    <row r="600" ht="15" customHeight="1" x14ac:dyDescent="0.3"/>
    <row r="601" ht="15" customHeight="1" x14ac:dyDescent="0.3"/>
    <row r="602" ht="15" customHeight="1" x14ac:dyDescent="0.3"/>
    <row r="603" ht="15" customHeight="1" x14ac:dyDescent="0.3"/>
    <row r="604" ht="15" customHeight="1" x14ac:dyDescent="0.3"/>
    <row r="605" ht="15" customHeight="1" x14ac:dyDescent="0.3"/>
    <row r="606" ht="15" customHeight="1" x14ac:dyDescent="0.3"/>
    <row r="607" ht="15" customHeight="1" x14ac:dyDescent="0.3"/>
    <row r="608" ht="15" customHeight="1" x14ac:dyDescent="0.3"/>
    <row r="609" ht="15" customHeight="1" x14ac:dyDescent="0.3"/>
    <row r="610" ht="15" customHeight="1" x14ac:dyDescent="0.3"/>
    <row r="611" ht="15" customHeight="1" x14ac:dyDescent="0.3"/>
    <row r="612" ht="15" customHeight="1" x14ac:dyDescent="0.3"/>
    <row r="613" ht="15" customHeight="1" x14ac:dyDescent="0.3"/>
    <row r="614" ht="15" customHeight="1" x14ac:dyDescent="0.3"/>
    <row r="615" ht="15" customHeight="1" x14ac:dyDescent="0.3"/>
    <row r="616" ht="15" customHeight="1" x14ac:dyDescent="0.3"/>
    <row r="617" ht="15" customHeight="1" x14ac:dyDescent="0.3"/>
    <row r="618" ht="15" customHeight="1" x14ac:dyDescent="0.3"/>
    <row r="619" ht="15" customHeight="1" x14ac:dyDescent="0.3"/>
    <row r="620" ht="15" customHeight="1" x14ac:dyDescent="0.3"/>
    <row r="621" ht="15" customHeight="1" x14ac:dyDescent="0.3"/>
    <row r="622" ht="15" customHeight="1" x14ac:dyDescent="0.3"/>
    <row r="623" ht="15" customHeight="1" x14ac:dyDescent="0.3"/>
    <row r="624" ht="15" customHeight="1" x14ac:dyDescent="0.3"/>
    <row r="625" ht="15" customHeight="1" x14ac:dyDescent="0.3"/>
    <row r="626" ht="15" customHeight="1" x14ac:dyDescent="0.3"/>
    <row r="627" ht="15" customHeight="1" x14ac:dyDescent="0.3"/>
    <row r="628" ht="15" customHeight="1" x14ac:dyDescent="0.3"/>
    <row r="629" ht="15" customHeight="1" x14ac:dyDescent="0.3"/>
    <row r="630" ht="15" customHeight="1" x14ac:dyDescent="0.3"/>
    <row r="631" ht="15" customHeight="1" x14ac:dyDescent="0.3"/>
    <row r="632" ht="15" customHeight="1" x14ac:dyDescent="0.3"/>
    <row r="633" ht="15" customHeight="1" x14ac:dyDescent="0.3"/>
    <row r="634" ht="15" customHeight="1" x14ac:dyDescent="0.3"/>
    <row r="635" ht="15" customHeight="1" x14ac:dyDescent="0.3"/>
    <row r="636" ht="15" customHeight="1" x14ac:dyDescent="0.3"/>
    <row r="637" ht="15" customHeight="1" x14ac:dyDescent="0.3"/>
    <row r="638" ht="15" customHeight="1" x14ac:dyDescent="0.3"/>
    <row r="639" ht="15" customHeight="1" x14ac:dyDescent="0.3"/>
    <row r="640" ht="15" customHeight="1" x14ac:dyDescent="0.3"/>
    <row r="641" ht="15" customHeight="1" x14ac:dyDescent="0.3"/>
    <row r="642" ht="15" customHeight="1" x14ac:dyDescent="0.3"/>
    <row r="643" ht="15" customHeight="1" x14ac:dyDescent="0.3"/>
    <row r="644" ht="15" customHeight="1" x14ac:dyDescent="0.3"/>
    <row r="645" ht="15" customHeight="1" x14ac:dyDescent="0.3"/>
    <row r="646" ht="15" customHeight="1" x14ac:dyDescent="0.3"/>
    <row r="647" ht="15" customHeight="1" x14ac:dyDescent="0.3"/>
    <row r="648" ht="15" customHeight="1" x14ac:dyDescent="0.3"/>
    <row r="649" ht="15" customHeight="1" x14ac:dyDescent="0.3"/>
    <row r="650" ht="15" customHeight="1" x14ac:dyDescent="0.3"/>
    <row r="651" ht="15" customHeight="1" x14ac:dyDescent="0.3"/>
    <row r="652" ht="15" customHeight="1" x14ac:dyDescent="0.3"/>
    <row r="653" ht="15" customHeight="1" x14ac:dyDescent="0.3"/>
    <row r="654" ht="15" customHeight="1" x14ac:dyDescent="0.3"/>
    <row r="655" ht="15" customHeight="1" x14ac:dyDescent="0.3"/>
    <row r="656" ht="15" customHeight="1" x14ac:dyDescent="0.3"/>
    <row r="657" ht="15" customHeight="1" x14ac:dyDescent="0.3"/>
    <row r="658" ht="15" customHeight="1" x14ac:dyDescent="0.3"/>
    <row r="659" ht="15" customHeight="1" x14ac:dyDescent="0.3"/>
    <row r="660" ht="15" customHeight="1" x14ac:dyDescent="0.3"/>
    <row r="661" ht="15" customHeight="1" x14ac:dyDescent="0.3"/>
    <row r="662" ht="15" customHeight="1" x14ac:dyDescent="0.3"/>
    <row r="663" ht="15" customHeight="1" x14ac:dyDescent="0.3"/>
    <row r="664" ht="15" customHeight="1" x14ac:dyDescent="0.3"/>
    <row r="665" ht="15" customHeight="1" x14ac:dyDescent="0.3"/>
    <row r="666" ht="15" customHeight="1" x14ac:dyDescent="0.3"/>
    <row r="667" ht="15" customHeight="1" x14ac:dyDescent="0.3"/>
    <row r="668" ht="15" customHeight="1" x14ac:dyDescent="0.3"/>
    <row r="669" ht="15" customHeight="1" x14ac:dyDescent="0.3"/>
    <row r="670" ht="15" customHeight="1" x14ac:dyDescent="0.3"/>
    <row r="671" ht="15" customHeight="1" x14ac:dyDescent="0.3"/>
    <row r="672" ht="15" customHeight="1" x14ac:dyDescent="0.3"/>
    <row r="673" ht="15" customHeight="1" x14ac:dyDescent="0.3"/>
    <row r="674" ht="15" customHeight="1" x14ac:dyDescent="0.3"/>
    <row r="675" ht="15" customHeight="1" x14ac:dyDescent="0.3"/>
    <row r="676" ht="15" customHeight="1" x14ac:dyDescent="0.3"/>
    <row r="677" ht="15" customHeight="1" x14ac:dyDescent="0.3"/>
    <row r="678" ht="15" customHeight="1" x14ac:dyDescent="0.3"/>
    <row r="679" ht="15" customHeight="1" x14ac:dyDescent="0.3"/>
    <row r="680" ht="15" customHeight="1" x14ac:dyDescent="0.3"/>
    <row r="681" ht="15" customHeight="1" x14ac:dyDescent="0.3"/>
    <row r="682" ht="15" customHeight="1" x14ac:dyDescent="0.3"/>
    <row r="683" ht="15" customHeight="1" x14ac:dyDescent="0.3"/>
    <row r="684" ht="15" customHeight="1" x14ac:dyDescent="0.3"/>
    <row r="685" ht="15" customHeight="1" x14ac:dyDescent="0.3"/>
    <row r="686" ht="15" customHeight="1" x14ac:dyDescent="0.3"/>
    <row r="687" ht="15" customHeight="1" x14ac:dyDescent="0.3"/>
    <row r="688" ht="15" customHeight="1" x14ac:dyDescent="0.3"/>
    <row r="689" ht="15" customHeight="1" x14ac:dyDescent="0.3"/>
    <row r="690" ht="15" customHeight="1" x14ac:dyDescent="0.3"/>
    <row r="691" ht="15" customHeight="1" x14ac:dyDescent="0.3"/>
    <row r="692" ht="15" customHeight="1" x14ac:dyDescent="0.3"/>
    <row r="693" ht="15" customHeight="1" x14ac:dyDescent="0.3"/>
    <row r="694" ht="15" customHeight="1" x14ac:dyDescent="0.3"/>
    <row r="695" ht="15" customHeight="1" x14ac:dyDescent="0.3"/>
    <row r="696" ht="15" customHeight="1" x14ac:dyDescent="0.3"/>
    <row r="697" ht="15" customHeight="1" x14ac:dyDescent="0.3"/>
    <row r="698" ht="15" customHeight="1" x14ac:dyDescent="0.3"/>
    <row r="699" ht="15" customHeight="1" x14ac:dyDescent="0.3"/>
    <row r="700" ht="15" customHeight="1" x14ac:dyDescent="0.3"/>
    <row r="701" ht="15" customHeight="1" x14ac:dyDescent="0.3"/>
    <row r="702" ht="15" customHeight="1" x14ac:dyDescent="0.3"/>
    <row r="703" ht="15" customHeight="1" x14ac:dyDescent="0.3"/>
    <row r="704" ht="15" customHeight="1" x14ac:dyDescent="0.3"/>
    <row r="705" ht="15" customHeight="1" x14ac:dyDescent="0.3"/>
    <row r="706" ht="15" customHeight="1" x14ac:dyDescent="0.3"/>
    <row r="707" ht="15" customHeight="1" x14ac:dyDescent="0.3"/>
    <row r="708" ht="15" customHeight="1" x14ac:dyDescent="0.3"/>
    <row r="709" ht="15" customHeight="1" x14ac:dyDescent="0.3"/>
    <row r="710" ht="15" customHeight="1" x14ac:dyDescent="0.3"/>
    <row r="711" ht="15" customHeight="1" x14ac:dyDescent="0.3"/>
    <row r="712" ht="15" customHeight="1" x14ac:dyDescent="0.3"/>
    <row r="713" ht="15" customHeight="1" x14ac:dyDescent="0.3"/>
    <row r="714" ht="15" customHeight="1" x14ac:dyDescent="0.3"/>
    <row r="715" ht="15" customHeight="1" x14ac:dyDescent="0.3"/>
    <row r="716" ht="15" customHeight="1" x14ac:dyDescent="0.3"/>
    <row r="717" ht="15" customHeight="1" x14ac:dyDescent="0.3"/>
    <row r="718" ht="15" customHeight="1" x14ac:dyDescent="0.3"/>
    <row r="719" ht="15" customHeight="1" x14ac:dyDescent="0.3"/>
    <row r="720" ht="15" customHeight="1" x14ac:dyDescent="0.3"/>
    <row r="721" ht="15" customHeight="1" x14ac:dyDescent="0.3"/>
    <row r="722" ht="15" customHeight="1" x14ac:dyDescent="0.3"/>
    <row r="723" ht="15" customHeight="1" x14ac:dyDescent="0.3"/>
    <row r="724" ht="15" customHeight="1" x14ac:dyDescent="0.3"/>
    <row r="725" ht="15" customHeight="1" x14ac:dyDescent="0.3"/>
    <row r="726" ht="15" customHeight="1" x14ac:dyDescent="0.3"/>
    <row r="727" ht="15" customHeight="1" x14ac:dyDescent="0.3"/>
    <row r="728" ht="15" customHeight="1" x14ac:dyDescent="0.3"/>
    <row r="729" ht="15" customHeight="1" x14ac:dyDescent="0.3"/>
    <row r="730" ht="15" customHeight="1" x14ac:dyDescent="0.3"/>
    <row r="731" ht="15" customHeight="1" x14ac:dyDescent="0.3"/>
    <row r="732" ht="15" customHeight="1" x14ac:dyDescent="0.3"/>
    <row r="733" ht="15" customHeight="1" x14ac:dyDescent="0.3"/>
    <row r="734" ht="15" customHeight="1" x14ac:dyDescent="0.3"/>
    <row r="735" ht="15" customHeight="1" x14ac:dyDescent="0.3"/>
    <row r="736" ht="15" customHeight="1" x14ac:dyDescent="0.3"/>
    <row r="737" ht="15" customHeight="1" x14ac:dyDescent="0.3"/>
    <row r="738" ht="15" customHeight="1" x14ac:dyDescent="0.3"/>
    <row r="739" ht="15" customHeight="1" x14ac:dyDescent="0.3"/>
    <row r="740" ht="15" customHeight="1" x14ac:dyDescent="0.3"/>
    <row r="741" ht="15" customHeight="1" x14ac:dyDescent="0.3"/>
    <row r="742" ht="15" customHeight="1" x14ac:dyDescent="0.3"/>
    <row r="743" ht="15" customHeight="1" x14ac:dyDescent="0.3"/>
    <row r="744" ht="15" customHeight="1" x14ac:dyDescent="0.3"/>
    <row r="745" ht="15" customHeight="1" x14ac:dyDescent="0.3"/>
    <row r="746" ht="15" customHeight="1" x14ac:dyDescent="0.3"/>
    <row r="747" ht="15" customHeight="1" x14ac:dyDescent="0.3"/>
    <row r="748" ht="15" customHeight="1" x14ac:dyDescent="0.3"/>
    <row r="749" ht="15" customHeight="1" x14ac:dyDescent="0.3"/>
    <row r="750" ht="15" customHeight="1" x14ac:dyDescent="0.3"/>
    <row r="751" ht="15" customHeight="1" x14ac:dyDescent="0.3"/>
    <row r="752" ht="15" customHeight="1" x14ac:dyDescent="0.3"/>
    <row r="753" ht="15" customHeight="1" x14ac:dyDescent="0.3"/>
    <row r="754" ht="15" customHeight="1" x14ac:dyDescent="0.3"/>
    <row r="755" ht="15" customHeight="1" x14ac:dyDescent="0.3"/>
    <row r="756" ht="15" customHeight="1" x14ac:dyDescent="0.3"/>
    <row r="757" ht="15" customHeight="1" x14ac:dyDescent="0.3"/>
    <row r="758" ht="15" customHeight="1" x14ac:dyDescent="0.3"/>
    <row r="759" ht="15" customHeight="1" x14ac:dyDescent="0.3"/>
    <row r="760" ht="15" customHeight="1" x14ac:dyDescent="0.3"/>
    <row r="761" ht="15" customHeight="1" x14ac:dyDescent="0.3"/>
    <row r="762" ht="15" customHeight="1" x14ac:dyDescent="0.3"/>
    <row r="763" ht="15" customHeight="1" x14ac:dyDescent="0.3"/>
    <row r="764" ht="15" customHeight="1" x14ac:dyDescent="0.3"/>
    <row r="765" ht="15" customHeight="1" x14ac:dyDescent="0.3"/>
    <row r="766" ht="15" customHeight="1" x14ac:dyDescent="0.3"/>
    <row r="767" ht="15" customHeight="1" x14ac:dyDescent="0.3"/>
    <row r="768" ht="15" customHeight="1" x14ac:dyDescent="0.3"/>
    <row r="769" ht="15" customHeight="1" x14ac:dyDescent="0.3"/>
    <row r="770" ht="15" customHeight="1" x14ac:dyDescent="0.3"/>
    <row r="771" ht="15" customHeight="1" x14ac:dyDescent="0.3"/>
    <row r="772" ht="15" customHeight="1" x14ac:dyDescent="0.3"/>
    <row r="773" ht="15" customHeight="1" x14ac:dyDescent="0.3"/>
    <row r="774" ht="15" customHeight="1" x14ac:dyDescent="0.3"/>
    <row r="775" ht="15" customHeight="1" x14ac:dyDescent="0.3"/>
    <row r="776" ht="15" customHeight="1" x14ac:dyDescent="0.3"/>
    <row r="777" ht="15" customHeight="1" x14ac:dyDescent="0.3"/>
    <row r="778" ht="15" customHeight="1" x14ac:dyDescent="0.3"/>
    <row r="779" ht="15" customHeight="1" x14ac:dyDescent="0.3"/>
    <row r="780" ht="15" customHeight="1" x14ac:dyDescent="0.3"/>
    <row r="781" ht="15" customHeight="1" x14ac:dyDescent="0.3"/>
    <row r="782" ht="15" customHeight="1" x14ac:dyDescent="0.3"/>
    <row r="783" ht="15" customHeight="1" x14ac:dyDescent="0.3"/>
    <row r="784" ht="15" customHeight="1" x14ac:dyDescent="0.3"/>
    <row r="785" ht="15" customHeight="1" x14ac:dyDescent="0.3"/>
    <row r="786" ht="15" customHeight="1" x14ac:dyDescent="0.3"/>
    <row r="787" ht="15" customHeight="1" x14ac:dyDescent="0.3"/>
    <row r="788" ht="15" customHeight="1" x14ac:dyDescent="0.3"/>
    <row r="789" ht="15" customHeight="1" x14ac:dyDescent="0.3"/>
    <row r="790" ht="15" customHeight="1" x14ac:dyDescent="0.3"/>
    <row r="791" ht="15" customHeight="1" x14ac:dyDescent="0.3"/>
    <row r="792" ht="15" customHeight="1" x14ac:dyDescent="0.3"/>
    <row r="793" ht="15" customHeight="1" x14ac:dyDescent="0.3"/>
    <row r="794" ht="15" customHeight="1" x14ac:dyDescent="0.3"/>
    <row r="795" ht="15" customHeight="1" x14ac:dyDescent="0.3"/>
    <row r="796" ht="15" customHeight="1" x14ac:dyDescent="0.3"/>
    <row r="797" ht="15" customHeight="1" x14ac:dyDescent="0.3"/>
    <row r="798" ht="15" customHeight="1" x14ac:dyDescent="0.3"/>
    <row r="799" ht="15" customHeight="1" x14ac:dyDescent="0.3"/>
    <row r="800" ht="15" customHeight="1" x14ac:dyDescent="0.3"/>
    <row r="801" ht="15" customHeight="1" x14ac:dyDescent="0.3"/>
    <row r="802" ht="15" customHeight="1" x14ac:dyDescent="0.3"/>
    <row r="803" ht="15" customHeight="1" x14ac:dyDescent="0.3"/>
    <row r="804" ht="15" customHeight="1" x14ac:dyDescent="0.3"/>
    <row r="805" ht="15" customHeight="1" x14ac:dyDescent="0.3"/>
    <row r="806" ht="15" customHeight="1" x14ac:dyDescent="0.3"/>
    <row r="807" ht="15" customHeight="1" x14ac:dyDescent="0.3"/>
    <row r="808" ht="15" customHeight="1" x14ac:dyDescent="0.3"/>
    <row r="809" ht="15" customHeight="1" x14ac:dyDescent="0.3"/>
    <row r="810" ht="15" customHeight="1" x14ac:dyDescent="0.3"/>
    <row r="811" ht="15" customHeight="1" x14ac:dyDescent="0.3"/>
    <row r="812" ht="15" customHeight="1" x14ac:dyDescent="0.3"/>
    <row r="813" ht="15" customHeight="1" x14ac:dyDescent="0.3"/>
    <row r="814" ht="15" customHeight="1" x14ac:dyDescent="0.3"/>
    <row r="815" ht="15" customHeight="1" x14ac:dyDescent="0.3"/>
    <row r="816" ht="15" customHeight="1" x14ac:dyDescent="0.3"/>
    <row r="817" ht="15" customHeight="1" x14ac:dyDescent="0.3"/>
    <row r="818" ht="15" customHeight="1" x14ac:dyDescent="0.3"/>
    <row r="819" ht="15" customHeight="1" x14ac:dyDescent="0.3"/>
    <row r="820" ht="15" customHeight="1" x14ac:dyDescent="0.3"/>
    <row r="821" ht="15" customHeight="1" x14ac:dyDescent="0.3"/>
    <row r="822" ht="15" customHeight="1" x14ac:dyDescent="0.3"/>
    <row r="823" ht="15" customHeight="1" x14ac:dyDescent="0.3"/>
    <row r="824" ht="15" customHeight="1" x14ac:dyDescent="0.3"/>
    <row r="825" ht="15" customHeight="1" x14ac:dyDescent="0.3"/>
    <row r="826" ht="15" customHeight="1" x14ac:dyDescent="0.3"/>
    <row r="827" ht="15" customHeight="1" x14ac:dyDescent="0.3"/>
    <row r="828" ht="15" customHeight="1" x14ac:dyDescent="0.3"/>
    <row r="829" ht="15" customHeight="1" x14ac:dyDescent="0.3"/>
    <row r="830" ht="15" customHeight="1" x14ac:dyDescent="0.3"/>
    <row r="831" ht="15" customHeight="1" x14ac:dyDescent="0.3"/>
    <row r="832" ht="15" customHeight="1" x14ac:dyDescent="0.3"/>
    <row r="833" ht="15" customHeight="1" x14ac:dyDescent="0.3"/>
    <row r="834" ht="15" customHeight="1" x14ac:dyDescent="0.3"/>
    <row r="835" ht="15" customHeight="1" x14ac:dyDescent="0.3"/>
    <row r="836" ht="15" customHeight="1" x14ac:dyDescent="0.3"/>
    <row r="837" ht="15" customHeight="1" x14ac:dyDescent="0.3"/>
    <row r="838" ht="15" customHeight="1" x14ac:dyDescent="0.3"/>
    <row r="839" ht="15" customHeight="1" x14ac:dyDescent="0.3"/>
    <row r="840" ht="15" customHeight="1" x14ac:dyDescent="0.3"/>
    <row r="841" ht="15" customHeight="1" x14ac:dyDescent="0.3"/>
    <row r="842" ht="15" customHeight="1" x14ac:dyDescent="0.3"/>
    <row r="843" ht="15" customHeight="1" x14ac:dyDescent="0.3"/>
    <row r="844" ht="15" customHeight="1" x14ac:dyDescent="0.3"/>
    <row r="845" ht="15" customHeight="1" x14ac:dyDescent="0.3"/>
    <row r="846" ht="15" customHeight="1" x14ac:dyDescent="0.3"/>
    <row r="847" ht="15" customHeight="1" x14ac:dyDescent="0.3"/>
    <row r="848" ht="15" customHeight="1" x14ac:dyDescent="0.3"/>
    <row r="849" ht="15" customHeight="1" x14ac:dyDescent="0.3"/>
    <row r="850" ht="15" customHeight="1" x14ac:dyDescent="0.3"/>
    <row r="851" ht="15" customHeight="1" x14ac:dyDescent="0.3"/>
    <row r="852" ht="15" customHeight="1" x14ac:dyDescent="0.3"/>
    <row r="853" ht="15" customHeight="1" x14ac:dyDescent="0.3"/>
    <row r="854" ht="15" customHeight="1" x14ac:dyDescent="0.3"/>
    <row r="855" ht="15" customHeight="1" x14ac:dyDescent="0.3"/>
    <row r="856" ht="15" customHeight="1" x14ac:dyDescent="0.3"/>
    <row r="857" ht="15" customHeight="1" x14ac:dyDescent="0.3"/>
    <row r="858" ht="15" customHeight="1" x14ac:dyDescent="0.3"/>
    <row r="859" ht="15" customHeight="1" x14ac:dyDescent="0.3"/>
    <row r="860" ht="15" customHeight="1" x14ac:dyDescent="0.3"/>
    <row r="861" ht="15" customHeight="1" x14ac:dyDescent="0.3"/>
    <row r="862" ht="15" customHeight="1" x14ac:dyDescent="0.3"/>
    <row r="863" ht="15" customHeight="1" x14ac:dyDescent="0.3"/>
    <row r="864" ht="15" customHeight="1" x14ac:dyDescent="0.3"/>
    <row r="865" ht="15" customHeight="1" x14ac:dyDescent="0.3"/>
    <row r="866" ht="15" customHeight="1" x14ac:dyDescent="0.3"/>
    <row r="867" ht="15" customHeight="1" x14ac:dyDescent="0.3"/>
    <row r="868" ht="15" customHeight="1" x14ac:dyDescent="0.3"/>
    <row r="869" ht="15" customHeight="1" x14ac:dyDescent="0.3"/>
    <row r="870" ht="15" customHeight="1" x14ac:dyDescent="0.3"/>
    <row r="871" ht="15" customHeight="1" x14ac:dyDescent="0.3"/>
    <row r="872" ht="15" customHeight="1" x14ac:dyDescent="0.3"/>
    <row r="873" ht="15" customHeight="1" x14ac:dyDescent="0.3"/>
    <row r="874" ht="15" customHeight="1" x14ac:dyDescent="0.3"/>
    <row r="875" ht="15" customHeight="1" x14ac:dyDescent="0.3"/>
    <row r="876" ht="15" customHeight="1" x14ac:dyDescent="0.3"/>
    <row r="877" ht="15" customHeight="1" x14ac:dyDescent="0.3"/>
    <row r="878" ht="15" customHeight="1" x14ac:dyDescent="0.3"/>
    <row r="879" ht="15" customHeight="1" x14ac:dyDescent="0.3"/>
    <row r="880" ht="15" customHeight="1" x14ac:dyDescent="0.3"/>
    <row r="881" ht="15" customHeight="1" x14ac:dyDescent="0.3"/>
    <row r="882" ht="15" customHeight="1" x14ac:dyDescent="0.3"/>
    <row r="883" ht="15" customHeight="1" x14ac:dyDescent="0.3"/>
    <row r="884" ht="15" customHeight="1" x14ac:dyDescent="0.3"/>
    <row r="885" ht="15" customHeight="1" x14ac:dyDescent="0.3"/>
    <row r="886" ht="15" customHeight="1" x14ac:dyDescent="0.3"/>
    <row r="887" ht="15" customHeight="1" x14ac:dyDescent="0.3"/>
    <row r="888" ht="15" customHeight="1" x14ac:dyDescent="0.3"/>
    <row r="889" ht="15" customHeight="1" x14ac:dyDescent="0.3"/>
    <row r="890" ht="15" customHeight="1" x14ac:dyDescent="0.3"/>
    <row r="891" ht="15" customHeight="1" x14ac:dyDescent="0.3"/>
    <row r="892" ht="15" customHeight="1" x14ac:dyDescent="0.3"/>
    <row r="893" ht="15" customHeight="1" x14ac:dyDescent="0.3"/>
    <row r="894" ht="15" customHeight="1" x14ac:dyDescent="0.3"/>
    <row r="895" ht="15" customHeight="1" x14ac:dyDescent="0.3"/>
    <row r="896" ht="15" customHeight="1" x14ac:dyDescent="0.3"/>
    <row r="897" ht="15" customHeight="1" x14ac:dyDescent="0.3"/>
    <row r="898" ht="15" customHeight="1" x14ac:dyDescent="0.3"/>
    <row r="899" ht="15" customHeight="1" x14ac:dyDescent="0.3"/>
    <row r="900" ht="15" customHeight="1" x14ac:dyDescent="0.3"/>
    <row r="901" ht="15" customHeight="1" x14ac:dyDescent="0.3"/>
    <row r="902" ht="15" customHeight="1" x14ac:dyDescent="0.3"/>
    <row r="903" ht="15" customHeight="1" x14ac:dyDescent="0.3"/>
    <row r="904" ht="15" customHeight="1" x14ac:dyDescent="0.3"/>
    <row r="905" ht="15" customHeight="1" x14ac:dyDescent="0.3"/>
    <row r="906" ht="15" customHeight="1" x14ac:dyDescent="0.3"/>
    <row r="907" ht="15" customHeight="1" x14ac:dyDescent="0.3"/>
    <row r="908" ht="15" customHeight="1" x14ac:dyDescent="0.3"/>
    <row r="909" ht="15" customHeight="1" x14ac:dyDescent="0.3"/>
    <row r="910" ht="15" customHeight="1" x14ac:dyDescent="0.3"/>
    <row r="911" ht="15" customHeight="1" x14ac:dyDescent="0.3"/>
    <row r="912" ht="15" customHeight="1" x14ac:dyDescent="0.3"/>
    <row r="913" ht="15" customHeight="1" x14ac:dyDescent="0.3"/>
    <row r="914" ht="15" customHeight="1" x14ac:dyDescent="0.3"/>
    <row r="915" ht="15" customHeight="1" x14ac:dyDescent="0.3"/>
    <row r="916" ht="15" customHeight="1" x14ac:dyDescent="0.3"/>
    <row r="917" ht="15" customHeight="1" x14ac:dyDescent="0.3"/>
    <row r="918" ht="15" customHeight="1" x14ac:dyDescent="0.3"/>
    <row r="919" ht="15" customHeight="1" x14ac:dyDescent="0.3"/>
    <row r="920" ht="15" customHeight="1" x14ac:dyDescent="0.3"/>
    <row r="921" ht="15" customHeight="1" x14ac:dyDescent="0.3"/>
    <row r="922" ht="15" customHeight="1" x14ac:dyDescent="0.3"/>
    <row r="923" ht="15" customHeight="1" x14ac:dyDescent="0.3"/>
    <row r="924" ht="15" customHeight="1" x14ac:dyDescent="0.3"/>
    <row r="925" ht="15" customHeight="1" x14ac:dyDescent="0.3"/>
    <row r="926" ht="15" customHeight="1" x14ac:dyDescent="0.3"/>
    <row r="927" ht="15" customHeight="1" x14ac:dyDescent="0.3"/>
    <row r="928" ht="15" customHeight="1" x14ac:dyDescent="0.3"/>
    <row r="929" ht="15" customHeight="1" x14ac:dyDescent="0.3"/>
    <row r="930" ht="15" customHeight="1" x14ac:dyDescent="0.3"/>
    <row r="931" ht="15" customHeight="1" x14ac:dyDescent="0.3"/>
    <row r="932" ht="15" customHeight="1" x14ac:dyDescent="0.3"/>
    <row r="933" ht="15" customHeight="1" x14ac:dyDescent="0.3"/>
    <row r="934" ht="15" customHeight="1" x14ac:dyDescent="0.3"/>
    <row r="935" ht="15" customHeight="1" x14ac:dyDescent="0.3"/>
    <row r="936" ht="15" customHeight="1" x14ac:dyDescent="0.3"/>
    <row r="937" ht="15" customHeight="1" x14ac:dyDescent="0.3"/>
    <row r="938" ht="15" customHeight="1" x14ac:dyDescent="0.3"/>
    <row r="939" ht="15" customHeight="1" x14ac:dyDescent="0.3"/>
    <row r="940" ht="15" customHeight="1" x14ac:dyDescent="0.3"/>
    <row r="941" ht="15" customHeight="1" x14ac:dyDescent="0.3"/>
    <row r="942" ht="15" customHeight="1" x14ac:dyDescent="0.3"/>
    <row r="943" ht="15" customHeight="1" x14ac:dyDescent="0.3"/>
    <row r="944" ht="15" customHeight="1" x14ac:dyDescent="0.3"/>
    <row r="945" ht="15" customHeight="1" x14ac:dyDescent="0.3"/>
    <row r="946" ht="15" customHeight="1" x14ac:dyDescent="0.3"/>
    <row r="947" ht="15" customHeight="1" x14ac:dyDescent="0.3"/>
    <row r="948" ht="15" customHeight="1" x14ac:dyDescent="0.3"/>
    <row r="949" ht="15" customHeight="1" x14ac:dyDescent="0.3"/>
    <row r="950" ht="15" customHeight="1" x14ac:dyDescent="0.3"/>
    <row r="951" ht="15" customHeight="1" x14ac:dyDescent="0.3"/>
    <row r="952" ht="15" customHeight="1" x14ac:dyDescent="0.3"/>
    <row r="953" ht="15" customHeight="1" x14ac:dyDescent="0.3"/>
    <row r="954" ht="15" customHeight="1" x14ac:dyDescent="0.3"/>
    <row r="955" ht="15" customHeight="1" x14ac:dyDescent="0.3"/>
    <row r="956" ht="15" customHeight="1" x14ac:dyDescent="0.3"/>
    <row r="957" ht="15" customHeight="1" x14ac:dyDescent="0.3"/>
    <row r="958" ht="15" customHeight="1" x14ac:dyDescent="0.3"/>
    <row r="959" ht="15" customHeight="1" x14ac:dyDescent="0.3"/>
    <row r="960" ht="15" customHeight="1" x14ac:dyDescent="0.3"/>
    <row r="961" ht="15" customHeight="1" x14ac:dyDescent="0.3"/>
    <row r="962" ht="15" customHeight="1" x14ac:dyDescent="0.3"/>
    <row r="963" ht="15" customHeight="1" x14ac:dyDescent="0.3"/>
    <row r="964" ht="15" customHeight="1" x14ac:dyDescent="0.3"/>
    <row r="965" ht="15" customHeight="1" x14ac:dyDescent="0.3"/>
    <row r="966" ht="15" customHeight="1" x14ac:dyDescent="0.3"/>
    <row r="967" ht="15" customHeight="1" x14ac:dyDescent="0.3"/>
    <row r="968" ht="15" customHeight="1" x14ac:dyDescent="0.3"/>
    <row r="969" ht="15" customHeight="1" x14ac:dyDescent="0.3"/>
    <row r="970" ht="15" customHeight="1" x14ac:dyDescent="0.3"/>
    <row r="971" ht="15" customHeight="1" x14ac:dyDescent="0.3"/>
    <row r="972" ht="15" customHeight="1" x14ac:dyDescent="0.3"/>
    <row r="973" ht="15" customHeight="1" x14ac:dyDescent="0.3"/>
    <row r="974" ht="15" customHeight="1" x14ac:dyDescent="0.3"/>
    <row r="975" ht="15" customHeight="1" x14ac:dyDescent="0.3"/>
    <row r="976" ht="15" customHeight="1" x14ac:dyDescent="0.3"/>
    <row r="977" ht="15" customHeight="1" x14ac:dyDescent="0.3"/>
    <row r="978" ht="15" customHeight="1" x14ac:dyDescent="0.3"/>
    <row r="979" ht="15" customHeight="1" x14ac:dyDescent="0.3"/>
    <row r="980" ht="15" customHeight="1" x14ac:dyDescent="0.3"/>
    <row r="981" ht="15" customHeight="1" x14ac:dyDescent="0.3"/>
    <row r="982" ht="15" customHeight="1" x14ac:dyDescent="0.3"/>
    <row r="983" ht="15" customHeight="1" x14ac:dyDescent="0.3"/>
    <row r="984" ht="15" customHeight="1" x14ac:dyDescent="0.3"/>
    <row r="985" ht="15" customHeight="1" x14ac:dyDescent="0.3"/>
    <row r="986" ht="15" customHeight="1" x14ac:dyDescent="0.3"/>
    <row r="987" ht="15" customHeight="1" x14ac:dyDescent="0.3"/>
    <row r="988" ht="15" customHeight="1" x14ac:dyDescent="0.3"/>
    <row r="989" ht="15" customHeight="1" x14ac:dyDescent="0.3"/>
    <row r="990" ht="15" customHeight="1" x14ac:dyDescent="0.3"/>
    <row r="991" ht="15" customHeight="1" x14ac:dyDescent="0.3"/>
    <row r="992" ht="15" customHeight="1" x14ac:dyDescent="0.3"/>
    <row r="993" ht="15" customHeight="1" x14ac:dyDescent="0.3"/>
    <row r="994" ht="15" customHeight="1" x14ac:dyDescent="0.3"/>
    <row r="995" ht="15" customHeight="1" x14ac:dyDescent="0.3"/>
    <row r="996" ht="15" customHeight="1" x14ac:dyDescent="0.3"/>
    <row r="997" ht="15" customHeight="1" x14ac:dyDescent="0.3"/>
    <row r="998" ht="15" customHeight="1" x14ac:dyDescent="0.3"/>
    <row r="999" ht="15" customHeight="1" x14ac:dyDescent="0.3"/>
    <row r="1000" ht="15" customHeight="1" x14ac:dyDescent="0.3"/>
  </sheetData>
  <mergeCells count="1">
    <mergeCell ref="A1:K1"/>
  </mergeCells>
  <conditionalFormatting sqref="A4:A1000">
    <cfRule type="expression" dxfId="7" priority="2">
      <formula>VLOOKUP($A4,$A:$G,7,0)="High"</formula>
    </cfRule>
    <cfRule type="expression" dxfId="6" priority="3">
      <formula>VLOOKUP($A4,$A:$G,7,0)="Medium"</formula>
    </cfRule>
    <cfRule type="expression" dxfId="5" priority="4">
      <formula>VLOOKUP($A4,$A:$G,7,0)="Low"</formula>
    </cfRule>
  </conditionalFormatting>
  <conditionalFormatting sqref="I4:I1000">
    <cfRule type="containsText" dxfId="4" priority="5" operator="containsText" text="Released">
      <formula>NOT(ISERROR(SEARCH("Released",I4)))</formula>
    </cfRule>
    <cfRule type="containsText" dxfId="3" priority="6" operator="containsText" text="On Hold">
      <formula>NOT(ISERROR(SEARCH("On Hold",I4)))</formula>
    </cfRule>
    <cfRule type="containsText" dxfId="2" priority="7" operator="containsText" text="Cancelled">
      <formula>NOT(ISERROR(SEARCH("Cancelled",I4)))</formula>
    </cfRule>
  </conditionalFormatting>
  <conditionalFormatting sqref="J4:J1000">
    <cfRule type="expression" dxfId="1" priority="8">
      <formula>AND(ISNUMBER($J4),$J4&lt;TODAY())</formula>
    </cfRule>
  </conditionalFormatting>
  <conditionalFormatting sqref="L4:BR1000">
    <cfRule type="expression" dxfId="0" priority="9">
      <formula>$L4=1</formula>
    </cfRule>
  </conditionalFormatting>
  <dataValidations disablePrompts="1" count="4">
    <dataValidation type="list" sqref="C4:C1000" xr:uid="{00000000-0002-0000-2300-000000000000}">
      <formula1>"BR1,BR2,CR2,CR3,CR4,RIM,BPR"</formula1>
      <formula2>0</formula2>
    </dataValidation>
    <dataValidation type="list" sqref="B4:B1000" xr:uid="{00000000-0002-0000-2300-000001000000}">
      <formula1>SizeList</formula1>
      <formula2>0</formula2>
    </dataValidation>
    <dataValidation type="list" sqref="G4:G1000" xr:uid="{00000000-0002-0000-2300-000002000000}">
      <formula1>"High,Medium,Low"</formula1>
      <formula2>0</formula2>
    </dataValidation>
    <dataValidation type="list" sqref="I4:I1000" xr:uid="{00000000-0002-0000-2300-000003000000}">
      <formula1>"Released,On Hold,Cancelled"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36</vt:i4>
      </vt:variant>
      <vt:variant>
        <vt:lpstr>Named Ranges</vt:lpstr>
      </vt:variant>
      <vt:variant>
        <vt:i4>7</vt:i4>
      </vt:variant>
    </vt:vector>
  </HeadingPairs>
  <TitlesOfParts>
    <vt:vector size="43" baseType="lpstr">
      <vt:lpstr>Settings</vt:lpstr>
      <vt:lpstr>Machine_List</vt:lpstr>
      <vt:lpstr>Job_Master</vt:lpstr>
      <vt:lpstr>VTL_Plan</vt:lpstr>
      <vt:lpstr>SPM_Plan</vt:lpstr>
      <vt:lpstr>CARVING_Plan</vt:lpstr>
      <vt:lpstr>EDM_Plan</vt:lpstr>
      <vt:lpstr>ENG_Plan</vt:lpstr>
      <vt:lpstr>VENT_Plan</vt:lpstr>
      <vt:lpstr>FID_Plan</vt:lpstr>
      <vt:lpstr>QC_Plan</vt:lpstr>
      <vt:lpstr>Lists</vt:lpstr>
      <vt:lpstr>Dashboard</vt:lpstr>
      <vt:lpstr>PM_Schedule</vt:lpstr>
      <vt:lpstr>OPR_2P</vt:lpstr>
      <vt:lpstr>SEG_6P</vt:lpstr>
      <vt:lpstr>SOL_4P</vt:lpstr>
      <vt:lpstr>RW_2P</vt:lpstr>
      <vt:lpstr>RW2_4P</vt:lpstr>
      <vt:lpstr>FLAP_4P</vt:lpstr>
      <vt:lpstr>TUBE_4P</vt:lpstr>
      <vt:lpstr>WIP_Tracker</vt:lpstr>
      <vt:lpstr>Delivery_Tracker</vt:lpstr>
      <vt:lpstr>WhatIf_Scenario</vt:lpstr>
      <vt:lpstr>4Week_Horizon</vt:lpstr>
      <vt:lpstr>Material_Stock</vt:lpstr>
      <vt:lpstr>Shift_Roster</vt:lpstr>
      <vt:lpstr>Downtime_Register</vt:lpstr>
      <vt:lpstr>OPR_BR1</vt:lpstr>
      <vt:lpstr>OPR_BR2</vt:lpstr>
      <vt:lpstr>OPR_CR2</vt:lpstr>
      <vt:lpstr>OPR_CR3</vt:lpstr>
      <vt:lpstr>OPR_CR4</vt:lpstr>
      <vt:lpstr>OPR_RIM</vt:lpstr>
      <vt:lpstr>OPR_BPR</vt:lpstr>
      <vt:lpstr>Job_Master_Ring</vt:lpstr>
      <vt:lpstr>DimensionID</vt:lpstr>
      <vt:lpstr>DimensionOD</vt:lpstr>
      <vt:lpstr>GlobalStartDate</vt:lpstr>
      <vt:lpstr>JobTypeList</vt:lpstr>
      <vt:lpstr>MachineLookup</vt:lpstr>
      <vt:lpstr>SizeList</vt:lpstr>
      <vt:lpstr>WorkmanCategoryRange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User13606</cp:lastModifiedBy>
  <cp:revision>62</cp:revision>
  <dcterms:created xsi:type="dcterms:W3CDTF">2026-03-31T18:30:24Z</dcterms:created>
  <dcterms:modified xsi:type="dcterms:W3CDTF">2026-04-06T20:26:44Z</dcterms:modified>
  <dc:language>en-US</dc:language>
</cp:coreProperties>
</file>